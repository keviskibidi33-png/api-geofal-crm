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3 Informe de concreto\INFORMES ACREDITADOS\COMPRESION MIGUEL\"/>
    </mc:Choice>
  </mc:AlternateContent>
  <xr:revisionPtr revIDLastSave="0" documentId="13_ncr:1_{5229B9CF-52F7-4359-A410-72DA94F73DD5}" xr6:coauthVersionLast="47" xr6:coauthVersionMax="47" xr10:uidLastSave="{00000000-0000-0000-0000-000000000000}"/>
  <bookViews>
    <workbookView xWindow="-120" yWindow="-120" windowWidth="29040" windowHeight="15720" tabRatio="563" activeTab="4" xr2:uid="{B55599B3-DE8F-4104-884B-70398044C85C}"/>
  </bookViews>
  <sheets>
    <sheet name="Resumen" sheetId="97" r:id="rId1"/>
    <sheet name="COMPRESION" sheetId="91" r:id="rId2"/>
    <sheet name="Hoja2" sheetId="93" state="hidden" r:id="rId3"/>
    <sheet name="DATOS" sheetId="92" r:id="rId4"/>
    <sheet name="INCERTIDUMBRE" sheetId="94" r:id="rId5"/>
    <sheet name="Balanza" sheetId="95" r:id="rId6"/>
    <sheet name="PRECISION" sheetId="96" r:id="rId7"/>
    <sheet name="Hoja1" sheetId="49" state="hidden" r:id="rId8"/>
  </sheets>
  <definedNames>
    <definedName name="_xlnm.Print_Area" localSheetId="1">COMPRESION!$A$2:$M$41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92" l="1"/>
  <c r="Q6" i="92" l="1"/>
  <c r="C37" i="94"/>
  <c r="C14" i="92" l="1"/>
  <c r="C12" i="92"/>
  <c r="I20" i="92"/>
  <c r="J20" i="92"/>
  <c r="K20" i="92"/>
  <c r="I21" i="92"/>
  <c r="J21" i="92"/>
  <c r="K21" i="92"/>
  <c r="I22" i="92"/>
  <c r="J22" i="92"/>
  <c r="K22" i="92"/>
  <c r="E20" i="92"/>
  <c r="F20" i="92"/>
  <c r="G20" i="92"/>
  <c r="H20" i="92"/>
  <c r="E21" i="92"/>
  <c r="F21" i="92"/>
  <c r="G21" i="92"/>
  <c r="H21" i="92"/>
  <c r="E22" i="92"/>
  <c r="F22" i="92"/>
  <c r="G22" i="92"/>
  <c r="H22" i="92"/>
  <c r="D21" i="92"/>
  <c r="D22" i="92"/>
  <c r="D20" i="92"/>
  <c r="B43" i="92" s="1"/>
  <c r="C43" i="92" s="1"/>
  <c r="C21" i="92"/>
  <c r="C22" i="92"/>
  <c r="C20" i="92"/>
  <c r="B21" i="92"/>
  <c r="B22" i="92"/>
  <c r="B20" i="92"/>
  <c r="C16" i="92"/>
  <c r="C13" i="92"/>
  <c r="C11" i="92"/>
  <c r="C10" i="92"/>
  <c r="C9" i="92"/>
  <c r="C17" i="91"/>
  <c r="C16" i="91"/>
  <c r="L16" i="91"/>
  <c r="L7" i="91"/>
  <c r="L6" i="91"/>
  <c r="C6" i="91"/>
  <c r="C7" i="91"/>
  <c r="C8" i="91"/>
  <c r="C5" i="91"/>
  <c r="I20" i="95" l="1"/>
  <c r="E6" i="92" l="1"/>
  <c r="F51" i="92"/>
  <c r="G51" i="92" s="1"/>
  <c r="F47" i="92"/>
  <c r="G47" i="92" s="1"/>
  <c r="F43" i="92"/>
  <c r="H43" i="92" s="1"/>
  <c r="B51" i="92"/>
  <c r="D51" i="92" s="1"/>
  <c r="B47" i="92"/>
  <c r="C47" i="92" s="1"/>
  <c r="A22" i="91"/>
  <c r="E10" i="92"/>
  <c r="L18" i="91"/>
  <c r="L17" i="91"/>
  <c r="B3" i="49"/>
  <c r="C3" i="49" s="1"/>
  <c r="J3" i="49"/>
  <c r="K3" i="49" s="1"/>
  <c r="L3" i="49" s="1"/>
  <c r="C4" i="49"/>
  <c r="J4" i="49"/>
  <c r="K4" i="49" s="1"/>
  <c r="L4" i="49" s="1"/>
  <c r="J5" i="49"/>
  <c r="K5" i="49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71" i="96"/>
  <c r="D71" i="96"/>
  <c r="E71" i="96"/>
  <c r="C72" i="96"/>
  <c r="D72" i="96"/>
  <c r="E72" i="96"/>
  <c r="C74" i="96"/>
  <c r="D74" i="96"/>
  <c r="E74" i="96"/>
  <c r="C75" i="96"/>
  <c r="D75" i="96"/>
  <c r="E75" i="96"/>
  <c r="C76" i="96"/>
  <c r="V34" i="94" s="1"/>
  <c r="X34" i="94" s="1"/>
  <c r="D76" i="96"/>
  <c r="E76" i="96"/>
  <c r="C77" i="96"/>
  <c r="D77" i="96"/>
  <c r="E77" i="96"/>
  <c r="D20" i="95"/>
  <c r="E20" i="95"/>
  <c r="F20" i="95"/>
  <c r="G20" i="95"/>
  <c r="H20" i="95"/>
  <c r="C30" i="94"/>
  <c r="E50" i="94" s="1"/>
  <c r="F31" i="94" s="1"/>
  <c r="L30" i="94"/>
  <c r="F50" i="94" s="1"/>
  <c r="O31" i="94" s="1"/>
  <c r="F32" i="94"/>
  <c r="O32" i="94"/>
  <c r="X32" i="94"/>
  <c r="X30" i="94" s="1"/>
  <c r="B44" i="94"/>
  <c r="B45" i="94"/>
  <c r="B46" i="94"/>
  <c r="F36" i="94"/>
  <c r="O36" i="94"/>
  <c r="X36" i="94"/>
  <c r="C6" i="92"/>
  <c r="C15" i="92"/>
  <c r="L19" i="91" s="1"/>
  <c r="E15" i="92"/>
  <c r="M19" i="91" s="1"/>
  <c r="L20" i="92"/>
  <c r="A23" i="91"/>
  <c r="L21" i="92"/>
  <c r="L22" i="92"/>
  <c r="G36" i="92"/>
  <c r="H22" i="91" s="1"/>
  <c r="I36" i="92"/>
  <c r="K22" i="91" s="1"/>
  <c r="G37" i="92"/>
  <c r="H23" i="91" s="1"/>
  <c r="I37" i="92"/>
  <c r="K23" i="91" s="1"/>
  <c r="G38" i="92"/>
  <c r="U30" i="94" s="1"/>
  <c r="G50" i="94" s="1"/>
  <c r="I38" i="92"/>
  <c r="K24" i="91" s="1"/>
  <c r="H5" i="93"/>
  <c r="C18" i="91"/>
  <c r="C22" i="91"/>
  <c r="C23" i="91"/>
  <c r="A24" i="91"/>
  <c r="C24" i="91"/>
  <c r="F26" i="91"/>
  <c r="I31" i="92" l="1"/>
  <c r="I30" i="92"/>
  <c r="I32" i="92"/>
  <c r="D27" i="95" s="1"/>
  <c r="D21" i="95"/>
  <c r="E21" i="95"/>
  <c r="A5" i="49"/>
  <c r="B5" i="49" s="1"/>
  <c r="A7" i="49" s="1"/>
  <c r="B7" i="49" s="1"/>
  <c r="C7" i="49" s="1"/>
  <c r="O30" i="94"/>
  <c r="F30" i="94"/>
  <c r="I21" i="95"/>
  <c r="D34" i="94"/>
  <c r="F34" i="94" s="1"/>
  <c r="M34" i="94"/>
  <c r="O34" i="94" s="1"/>
  <c r="H24" i="91"/>
  <c r="D43" i="92"/>
  <c r="F48" i="92"/>
  <c r="H47" i="92"/>
  <c r="H51" i="92"/>
  <c r="D47" i="92"/>
  <c r="F52" i="92"/>
  <c r="F44" i="92"/>
  <c r="B52" i="92"/>
  <c r="C51" i="92"/>
  <c r="G43" i="92"/>
  <c r="B48" i="92"/>
  <c r="B44" i="92"/>
  <c r="C44" i="92" s="1"/>
  <c r="D25" i="95"/>
  <c r="J30" i="92"/>
  <c r="G21" i="95"/>
  <c r="H21" i="95"/>
  <c r="F21" i="95"/>
  <c r="J32" i="92" l="1"/>
  <c r="C5" i="49"/>
  <c r="E27" i="95"/>
  <c r="E25" i="95"/>
  <c r="H44" i="92"/>
  <c r="G44" i="92"/>
  <c r="C52" i="92"/>
  <c r="D52" i="92"/>
  <c r="D44" i="92"/>
  <c r="C48" i="92"/>
  <c r="D48" i="92"/>
  <c r="G52" i="92"/>
  <c r="H52" i="92"/>
  <c r="H48" i="92"/>
  <c r="G48" i="92"/>
  <c r="D26" i="95"/>
  <c r="E26" i="95" s="1"/>
  <c r="J31" i="92"/>
  <c r="U37" i="94" l="1"/>
  <c r="X37" i="94" s="1"/>
  <c r="Z37" i="94" s="1"/>
  <c r="L37" i="94"/>
  <c r="O37" i="94" s="1"/>
  <c r="Q37" i="94" s="1"/>
  <c r="F37" i="94"/>
  <c r="H37" i="94" s="1"/>
  <c r="C46" i="94" s="1"/>
  <c r="D53" i="92"/>
  <c r="D54" i="92"/>
  <c r="D49" i="92"/>
  <c r="H54" i="92"/>
  <c r="H53" i="92"/>
  <c r="H45" i="92"/>
  <c r="G24" i="92" s="1"/>
  <c r="D50" i="92"/>
  <c r="H49" i="92"/>
  <c r="D45" i="92"/>
  <c r="E24" i="92" s="1"/>
  <c r="D46" i="92"/>
  <c r="H50" i="92"/>
  <c r="H46" i="92"/>
  <c r="D26" i="92" l="1"/>
  <c r="D32" i="92" s="1"/>
  <c r="F26" i="92"/>
  <c r="F32" i="92" s="1"/>
  <c r="E25" i="92"/>
  <c r="E31" i="92" s="1"/>
  <c r="F24" i="92"/>
  <c r="F30" i="92" s="1"/>
  <c r="H26" i="92"/>
  <c r="H32" i="92" s="1"/>
  <c r="G26" i="92"/>
  <c r="G32" i="92" s="1"/>
  <c r="H24" i="92"/>
  <c r="H30" i="92" s="1"/>
  <c r="D25" i="92"/>
  <c r="D31" i="92" s="1"/>
  <c r="D24" i="92"/>
  <c r="D30" i="92" s="1"/>
  <c r="E30" i="92"/>
  <c r="H25" i="92"/>
  <c r="H31" i="92" s="1"/>
  <c r="G25" i="92"/>
  <c r="G31" i="92" s="1"/>
  <c r="G30" i="92"/>
  <c r="F25" i="92"/>
  <c r="F31" i="92" s="1"/>
  <c r="E26" i="92"/>
  <c r="E32" i="92" s="1"/>
  <c r="E36" i="92" l="1"/>
  <c r="E38" i="92"/>
  <c r="D36" i="92"/>
  <c r="D37" i="92"/>
  <c r="E37" i="92"/>
  <c r="D38" i="92"/>
  <c r="F37" i="92" l="1"/>
  <c r="G23" i="91" s="1"/>
  <c r="L33" i="94"/>
  <c r="P33" i="94" s="1"/>
  <c r="F23" i="91"/>
  <c r="J37" i="92"/>
  <c r="M23" i="91" s="1"/>
  <c r="F24" i="91"/>
  <c r="J38" i="92"/>
  <c r="M24" i="91" s="1"/>
  <c r="D22" i="91"/>
  <c r="J36" i="92"/>
  <c r="M22" i="91" s="1"/>
  <c r="D23" i="91"/>
  <c r="C33" i="94"/>
  <c r="L16" i="94" s="1"/>
  <c r="F36" i="92"/>
  <c r="G22" i="91" s="1"/>
  <c r="K30" i="92"/>
  <c r="L30" i="92" s="1"/>
  <c r="H36" i="92" s="1"/>
  <c r="L36" i="92" s="1"/>
  <c r="M30" i="92" s="1"/>
  <c r="K31" i="92"/>
  <c r="L31" i="92" s="1"/>
  <c r="H37" i="92" s="1"/>
  <c r="M21" i="92" s="1"/>
  <c r="F22" i="91"/>
  <c r="F38" i="92"/>
  <c r="G24" i="91" s="1"/>
  <c r="D24" i="91"/>
  <c r="U33" i="94"/>
  <c r="R16" i="94" s="1"/>
  <c r="K32" i="92"/>
  <c r="L32" i="92" s="1"/>
  <c r="H38" i="92" s="1"/>
  <c r="R17" i="94" l="1"/>
  <c r="T16" i="94"/>
  <c r="S16" i="94"/>
  <c r="L17" i="94"/>
  <c r="M16" i="94"/>
  <c r="N16" i="94"/>
  <c r="O16" i="94"/>
  <c r="G30" i="94"/>
  <c r="H30" i="94" s="1"/>
  <c r="C44" i="94" s="1"/>
  <c r="G33" i="94"/>
  <c r="I22" i="91"/>
  <c r="J22" i="91" s="1"/>
  <c r="M20" i="92"/>
  <c r="P30" i="94"/>
  <c r="Q30" i="94" s="1"/>
  <c r="C29" i="94"/>
  <c r="I23" i="91"/>
  <c r="J23" i="91" s="1"/>
  <c r="L37" i="92"/>
  <c r="M31" i="92" s="1"/>
  <c r="L29" i="94"/>
  <c r="M22" i="92"/>
  <c r="I24" i="91"/>
  <c r="J24" i="91" s="1"/>
  <c r="L38" i="92"/>
  <c r="M32" i="92" s="1"/>
  <c r="U29" i="94"/>
  <c r="Y33" i="94"/>
  <c r="Y30" i="94"/>
  <c r="Z30" i="94" s="1"/>
  <c r="T17" i="94" l="1"/>
  <c r="S17" i="94"/>
  <c r="T18" i="94"/>
  <c r="T19" i="94"/>
  <c r="Q16" i="94"/>
  <c r="P16" i="94"/>
  <c r="N17" i="94"/>
  <c r="M17" i="94"/>
  <c r="O17" i="94"/>
  <c r="N19" i="94"/>
  <c r="N18" i="94"/>
  <c r="V35" i="94" l="1"/>
  <c r="X35" i="94" s="1"/>
  <c r="X33" i="94" s="1"/>
  <c r="Z33" i="94" s="1"/>
  <c r="Z38" i="94" s="1"/>
  <c r="Z39" i="94" s="1"/>
  <c r="P17" i="94"/>
  <c r="Q17" i="94"/>
  <c r="Q18" i="94" s="1"/>
  <c r="D35" i="94"/>
  <c r="F35" i="94" s="1"/>
  <c r="F33" i="94" s="1"/>
  <c r="H33" i="94" s="1"/>
  <c r="C45" i="94" s="1"/>
  <c r="C47" i="94" s="1"/>
  <c r="Q19" i="94" l="1"/>
  <c r="M35" i="94" s="1"/>
  <c r="O35" i="94" s="1"/>
  <c r="O33" i="94" s="1"/>
  <c r="Q33" i="94" s="1"/>
  <c r="Q38" i="94" s="1"/>
  <c r="Q39" i="94" s="1"/>
  <c r="H38" i="94"/>
  <c r="H39" i="94" s="1"/>
  <c r="D47" i="94"/>
  <c r="D46" i="94"/>
  <c r="D44" i="94"/>
  <c r="D45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3" authorId="0" shapeId="0" xr:uid="{1332D1C9-4099-462E-BCD4-2B7CFBACF8E9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  <author>LENOVO</author>
    <author>HP</author>
  </authors>
  <commentList>
    <comment ref="E10" authorId="0" shapeId="0" xr:uid="{E5C3364F-32C4-469C-9E4F-8564AD8ABC14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Mpa</t>
        </r>
      </text>
    </comment>
    <comment ref="C12" authorId="0" shapeId="0" xr:uid="{E630B57C-A28A-4E9C-B17E-830CA8175AAF}">
      <text>
        <r>
          <rPr>
            <b/>
            <sz val="9"/>
            <color indexed="81"/>
            <rFont val="Tahoma"/>
            <family val="2"/>
          </rPr>
          <t>si se coloca en hora esta debera eliminarse la parte la fecha</t>
        </r>
      </text>
    </comment>
    <comment ref="C14" authorId="0" shapeId="0" xr:uid="{527C94E1-8D1E-4EC3-968B-A18A90532196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si se coloca en hora se debe eliminar la parte de fecha</t>
        </r>
      </text>
    </comment>
    <comment ref="C15" authorId="1" shapeId="0" xr:uid="{CAE0261E-1FEE-4B0C-8CE3-25D9BBEFE4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ES MENOR A 3 DIAS SE REPORTARA EN HORAS
</t>
        </r>
      </text>
    </comment>
    <comment ref="I19" authorId="2" shapeId="0" xr:uid="{4F90DC09-21BA-4170-B9DB-9983BD15AEC1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
50KN A 800KN</t>
        </r>
      </text>
    </comment>
    <comment ref="O28" authorId="1" shapeId="0" xr:uid="{52A25414-6B08-414B-A894-39188F6C6B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Para probetas de concreto FC siempre sera 1.
Para diamantina y corte de probetas FC se tiene que actualizar</t>
        </r>
      </text>
    </comment>
    <comment ref="G34" authorId="2" shapeId="0" xr:uid="{58AD2C8D-70AE-4AF8-9D31-4D8085FD53B0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5" authorId="0" shapeId="0" xr:uid="{9B788E4C-D6EF-47BA-913E-DE8DEA4B0D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
</t>
        </r>
      </text>
    </comment>
    <comment ref="M35" authorId="0" shapeId="0" xr:uid="{8CF7B78D-DC13-4941-BDCA-76E806FA76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  <comment ref="V35" authorId="0" shapeId="0" xr:uid="{381B9031-9AF4-4E8A-A240-9A3AE71413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</commentList>
</comments>
</file>

<file path=xl/sharedStrings.xml><?xml version="1.0" encoding="utf-8"?>
<sst xmlns="http://schemas.openxmlformats.org/spreadsheetml/2006/main" count="461" uniqueCount="241">
  <si>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</si>
  <si>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</si>
  <si>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</si>
  <si>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</si>
  <si>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</si>
  <si>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</si>
  <si>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</si>
  <si>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</si>
  <si>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</si>
  <si>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</si>
  <si>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</si>
  <si>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</si>
  <si>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</si>
  <si>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</si>
  <si>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</si>
  <si>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</si>
  <si>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F'C</t>
  </si>
  <si>
    <t>Resistencia Compresión   (Mpa)</t>
  </si>
  <si>
    <t>LABORATORIO DE ENSAYO DE MATERIALES</t>
  </si>
  <si>
    <t>Nota :</t>
  </si>
  <si>
    <t>Página 1 de 1</t>
  </si>
  <si>
    <t>CLIENTE</t>
  </si>
  <si>
    <t>PROYECTO **</t>
  </si>
  <si>
    <t>UBICACIÓN **</t>
  </si>
  <si>
    <t>CÓDIGO</t>
  </si>
  <si>
    <t>Fin del Documento</t>
  </si>
  <si>
    <t>DIRECCIÓN **</t>
  </si>
  <si>
    <t>Observaciones:</t>
  </si>
  <si>
    <t>kg/cm2</t>
  </si>
  <si>
    <t>FECHA EMISIÓN</t>
  </si>
  <si>
    <t>Código muestra                 LEM</t>
  </si>
  <si>
    <t>Estructura</t>
  </si>
  <si>
    <t>Diámetro promedio (mm)</t>
  </si>
  <si>
    <t>Longitud promedio (mm)</t>
  </si>
  <si>
    <t>Área sección transversal (mm2)</t>
  </si>
  <si>
    <t xml:space="preserve">Carga                      Máxima                  (kN)              </t>
  </si>
  <si>
    <t>Tipo                   fractura</t>
  </si>
  <si>
    <t>Defecto de la muestra o en la tapa:</t>
  </si>
  <si>
    <t>L/D</t>
  </si>
  <si>
    <t>Factor correccion</t>
  </si>
  <si>
    <t>Densidad                      muestra (kg/m3)</t>
  </si>
  <si>
    <t>Mpa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</si>
  <si>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</si>
  <si>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</si>
  <si>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</si>
  <si>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</si>
  <si>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</si>
  <si>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Factor</t>
  </si>
  <si>
    <t>Fecha Moldeo</t>
  </si>
  <si>
    <t>Fecha Rotura</t>
  </si>
  <si>
    <t>Edad muestra</t>
  </si>
  <si>
    <t>IDENTIFICACION DE LA MUESTRA</t>
  </si>
  <si>
    <t>Parametro Diametro</t>
  </si>
  <si>
    <t>Código cliente</t>
  </si>
  <si>
    <t>PROMEDIO</t>
  </si>
  <si>
    <t>Diametro</t>
  </si>
  <si>
    <t>Correccion</t>
  </si>
  <si>
    <t>EQP-0054</t>
  </si>
  <si>
    <t xml:space="preserve">STANDARD TEST METHOD FOR COMPRESSIVE STRENGTH OF CYLINDRICAL CONCRETE SPECIMENS1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</si>
  <si>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</si>
  <si>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</si>
  <si>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</si>
  <si>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</si>
  <si>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</si>
  <si>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</si>
  <si>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</si>
  <si>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</si>
  <si>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</si>
  <si>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</si>
  <si>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</si>
  <si>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Variables:</t>
  </si>
  <si>
    <t>Fórmula:</t>
  </si>
  <si>
    <t>Paso 2. Definición de las variables aleatorias</t>
  </si>
  <si>
    <t>Fuentes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</si>
  <si>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</si>
  <si>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</si>
  <si>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</si>
  <si>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</si>
  <si>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</si>
  <si>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</si>
  <si>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</si>
  <si>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C</t>
  </si>
  <si>
    <t>Normal, K=1</t>
  </si>
  <si>
    <t>Certificado de Calibración</t>
  </si>
  <si>
    <t>Resolución</t>
  </si>
  <si>
    <t>Rectangular</t>
  </si>
  <si>
    <t>Y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</si>
  <si>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</si>
  <si>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</si>
  <si>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</si>
  <si>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</si>
  <si>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</si>
  <si>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Factor de influencia</t>
  </si>
  <si>
    <t>valor</t>
  </si>
  <si>
    <t>fcm = resistencia a la compresion Mpa</t>
  </si>
  <si>
    <t>D= Diametro promedio medido, mm</t>
  </si>
  <si>
    <t>Resistencia a la compresión de muestras cilindricas de concreto</t>
  </si>
  <si>
    <t>Pmax= Carga máxima, KN</t>
  </si>
  <si>
    <t>Carga máxima</t>
  </si>
  <si>
    <t>KN</t>
  </si>
  <si>
    <t>mm</t>
  </si>
  <si>
    <t>INCERTIDUMBRE ESTANDAR -TIPO A</t>
  </si>
  <si>
    <t>TALLER DE INCERTIDUMBRE ESTANDAR -TIPO A</t>
  </si>
  <si>
    <t>Fecha de evaluacion:</t>
  </si>
  <si>
    <t xml:space="preserve">1-Calcular la Incertidumbre estandar </t>
  </si>
  <si>
    <t>Réplicas de medición (n=6)</t>
  </si>
  <si>
    <t>n</t>
  </si>
  <si>
    <t>p</t>
  </si>
  <si>
    <t>g</t>
  </si>
  <si>
    <t>Masa muestra aire (g)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</si>
  <si>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</si>
  <si>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</si>
  <si>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</si>
  <si>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</si>
  <si>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</si>
  <si>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</si>
  <si>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</si>
  <si>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</si>
  <si>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</si>
  <si>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</si>
  <si>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Masa 1</t>
  </si>
  <si>
    <t>Masa 2</t>
  </si>
  <si>
    <t>analista(p=2)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</si>
  <si>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Datos</t>
    </r>
  </si>
  <si>
    <r>
      <t>Promedio (x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</si>
  <si>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Desviación Estándar (s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</si>
  <si>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Varianza (s</t>
    </r>
    <r>
      <rPr>
        <vertAlign val="superscript"/>
        <sz val="9"/>
        <rFont val="Arial"/>
        <family val="2"/>
      </rPr>
      <t>2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</si>
  <si>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t xml:space="preserve">Densidad </t>
  </si>
  <si>
    <t xml:space="preserve">RECEPCIÓN N° </t>
  </si>
  <si>
    <r>
      <t>Área sección transversal (mm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</si>
  <si>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(MPa)</t>
  </si>
  <si>
    <t>Hora de ensayo</t>
  </si>
  <si>
    <t>Obligatorio &lt;3d</t>
  </si>
  <si>
    <t>Hora de Moldeo</t>
  </si>
  <si>
    <t>-</t>
  </si>
  <si>
    <t>Defecto de muestra</t>
  </si>
  <si>
    <t>ASTM C39/C39M-24</t>
  </si>
  <si>
    <t>**Datos proporcionados y de responsabilidad del cliente</t>
  </si>
  <si>
    <t>Fecha Moldeo**</t>
  </si>
  <si>
    <t>CORRECCION DIAMETRO</t>
  </si>
  <si>
    <t>Diametro  1</t>
  </si>
  <si>
    <t>Diametro  2</t>
  </si>
  <si>
    <t>CORRECCION LONGITUD</t>
  </si>
  <si>
    <t>Longitud 1</t>
  </si>
  <si>
    <t>Longitud 2</t>
  </si>
  <si>
    <t>Longitud 3</t>
  </si>
  <si>
    <t>CORRECION MASA</t>
  </si>
  <si>
    <t>Masa aire (g)</t>
  </si>
  <si>
    <t>Masa  aire (kg)</t>
  </si>
  <si>
    <t xml:space="preserve">Carga                      Máxima            (kN)              </t>
  </si>
  <si>
    <t>Solo para &lt;3dias</t>
  </si>
  <si>
    <t>Densidad</t>
  </si>
  <si>
    <t>Resistencia concreto</t>
  </si>
  <si>
    <t>F. correc. Compresion</t>
  </si>
  <si>
    <t>Certificado de Calibración: balanza 30kg precisión 1g</t>
  </si>
  <si>
    <t>IDENTIFICACIÓN DE LA MUESTRA</t>
  </si>
  <si>
    <t xml:space="preserve">Estructura**     </t>
  </si>
  <si>
    <t>Evaluación del defecto de muestra</t>
  </si>
  <si>
    <t>Presencia de grandes huecos de aire</t>
  </si>
  <si>
    <t>Evidencia de segregación</t>
  </si>
  <si>
    <t>Las fracturas pasan predominantemente alrededor de la particula gruesa</t>
  </si>
  <si>
    <t>Las fracturas pasan a travez del agregado grueso</t>
  </si>
  <si>
    <t>EVALUACIÓN DE DEFECTO DE LA MUESTRA</t>
  </si>
  <si>
    <t>Desprendimiento tapa adherida</t>
  </si>
  <si>
    <t xml:space="preserve">OT N° </t>
  </si>
  <si>
    <t>SI ES MAYOR &gt; 1.75</t>
  </si>
  <si>
    <r>
      <t xml:space="preserve">LUGAR DE ENSAYO: </t>
    </r>
    <r>
      <rPr>
        <sz val="8"/>
        <rFont val="Arial"/>
        <family val="2"/>
      </rPr>
      <t>Laboratorio de ensayo de materiales</t>
    </r>
  </si>
  <si>
    <t>F. calibración</t>
  </si>
  <si>
    <t>REALIZADO POR:</t>
  </si>
  <si>
    <t>pendiente</t>
  </si>
  <si>
    <t>intercepto</t>
  </si>
  <si>
    <t>F.C. COMPRESION</t>
  </si>
  <si>
    <t>Certificado de Calibración: Pie de rey precisión 0.01mm</t>
  </si>
  <si>
    <t>STANDARD TEST METHOD FOR COMPRESSIVE STRENGTH OF CYLINDRICAL CONCRETE SPECIMENS</t>
  </si>
  <si>
    <t>F-LEM-P-CO-12.02</t>
  </si>
  <si>
    <t>Error</t>
  </si>
  <si>
    <t>NO MOVER</t>
  </si>
  <si>
    <t>A</t>
  </si>
  <si>
    <t>B</t>
  </si>
  <si>
    <t xml:space="preserve">D </t>
  </si>
  <si>
    <t>F´c (kg/cm2)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</si>
  <si>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</si>
  <si>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r>
      <t>Resistencia Compresión  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</si>
  <si>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(kg/cm2)</t>
  </si>
  <si>
    <t>compresion 1 - Diametro</t>
  </si>
  <si>
    <t>compresion 2 - Diametro</t>
  </si>
  <si>
    <t>compresion 3 - Diametro</t>
  </si>
  <si>
    <t>Resistencia a la compresión</t>
  </si>
  <si>
    <t>und</t>
  </si>
  <si>
    <t>CALCULO:  RESISTENCIA A LA COMPRESION 3</t>
  </si>
  <si>
    <t>Masa 3</t>
  </si>
  <si>
    <t>Tipo muestra</t>
  </si>
  <si>
    <t>Cilindros Moldeados</t>
  </si>
  <si>
    <t>Repetibilidad</t>
  </si>
  <si>
    <t>Carga KN</t>
  </si>
  <si>
    <t>U</t>
  </si>
  <si>
    <t>MEDIDA</t>
  </si>
  <si>
    <t>ASTM C39/C39M-25</t>
  </si>
  <si>
    <t>Fecha  Recepción</t>
  </si>
  <si>
    <t>REPETIBILIDAD VERNIER</t>
  </si>
  <si>
    <t>F.calibracion</t>
  </si>
  <si>
    <t>Código muestra LEM</t>
  </si>
  <si>
    <t xml:space="preserve">Carga Máxima (kN)              </t>
  </si>
  <si>
    <t>Tipo  fractura</t>
  </si>
  <si>
    <r>
      <t>Densidad muestra (kg/m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</si>
  <si>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 xml:space="preserve">STANDARD TEST METHOD FOR COMPRESSIVE STRENGTH OF CYLINDRICAL CONCRETE SPECIMENS   </t>
  </si>
  <si>
    <t>FORMATO RESUMEN N° F-LEM-P-CO-12.03</t>
  </si>
  <si>
    <t>RECEPCIÓN N°</t>
  </si>
  <si>
    <t>OT N°</t>
  </si>
  <si>
    <t>Hora moldeo</t>
  </si>
  <si>
    <t>Hora rotura</t>
  </si>
  <si>
    <t>F'c                             (kg/cm2)</t>
  </si>
  <si>
    <t>Carga                      Máxima            (kN)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</si>
  <si>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</si>
  <si>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</si>
  <si>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</si>
  <si>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Los resultados de los ensayos realizados no deben ser utilizados como una certificación de conformidad con normas de producto o como certificado del sistema de calidad de la entidad que lo produce.</t>
  </si>
  <si>
    <t>- GEOFAL S.A.C. no se hace responsable por el uso incorrecto o inadecuado del presente informe.</t>
  </si>
  <si>
    <t>- De conformidad con lo dispuesto por el artículo 1321 del Código Civil, queda establecido que en ningún caso la responsabilidad de GEOFAL S.A.C. será mayor al valor del servicio prestado.</t>
  </si>
  <si>
    <t>Versión: 04 (26-05-2026)</t>
  </si>
  <si>
    <t>Indice</t>
  </si>
  <si>
    <t>Valor (mm)</t>
  </si>
  <si>
    <t>Incertidumbre de medición (U)</t>
  </si>
  <si>
    <t>Del certificado de Calibracón</t>
  </si>
  <si>
    <t>Del Certificado de calibracón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</si>
  <si>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</si>
  <si>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</si>
  <si>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 COMPRESION</t>
  </si>
  <si>
    <t>50Kn a 800Kn</t>
  </si>
  <si>
    <t>Certificado de Calibración: Prensa de concreto</t>
  </si>
  <si>
    <t>Concreto</t>
  </si>
  <si>
    <t>Paso 1. Definición del proceso de medición</t>
  </si>
  <si>
    <t>CÁLCULO:  RESISTENCIA A LA COMPRESIÓN 1</t>
  </si>
  <si>
    <t>CÁLCULO:  RESISTENCIA A LA COMPRESIÓN 2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</si>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</sst>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\L\ \-\ 0000"/>
    <numFmt numFmtId="166" formatCode="dd\-mmm\-yyyy"/>
    <numFmt numFmtId="167" formatCode="dd/mm/yyyy;@"/>
    <numFmt numFmtId="168" formatCode="0\ &quot;/ CO-06&quot;"/>
    <numFmt numFmtId="169" formatCode="dd\-mm\-yy;@"/>
    <numFmt numFmtId="170" formatCode="0.0000"/>
    <numFmt numFmtId="171" formatCode="0.000"/>
    <numFmt numFmtId="172" formatCode="0.00000"/>
    <numFmt numFmtId="173" formatCode="&quot;0&quot;0"/>
    <numFmt numFmtId="174" formatCode="0.0E+00"/>
    <numFmt numFmtId="175" formatCode="0.0%"/>
    <numFmt numFmtId="176" formatCode="000\-&quot;CO-24&quot;"/>
    <numFmt numFmtId="177" formatCode="0.0\ &quot;MPa&quot;"/>
    <numFmt numFmtId="178" formatCode="h:mm:ss;@"/>
    <numFmt numFmtId="179" formatCode="yyyy\-mm\-dd;@"/>
    <numFmt numFmtId="180" formatCode="#,##0.000"/>
    <numFmt numFmtId="181" formatCode="&quot;INFORME DE ENSAYO N°&quot;000&quot;-26 CO12&quot;"/>
    <numFmt numFmtId="182" formatCode="000\-&quot;CO-26&quot;"/>
    <numFmt numFmtId="183" formatCode="000\-&quot;26&quot;"/>
    <numFmt numFmtId="184" formatCode="&quot;CERTIFICADO N°&quot;000&quot;-20 AG06&quot;"/>
  </numFmts>
  <fonts count="5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vertAlign val="subscript"/>
      <sz val="9"/>
      <name val="Arial"/>
      <family val="2"/>
    </font>
    <font>
      <b/>
      <vertAlign val="superscript"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00B0F0"/>
      <name val="Arial"/>
      <family val="2"/>
    </font>
    <font>
      <i/>
      <sz val="9"/>
      <color rgb="FF0070C0"/>
      <name val="Arial"/>
      <family val="2"/>
    </font>
    <font>
      <b/>
      <sz val="9"/>
      <color rgb="FF0070C0"/>
      <name val="Arial"/>
      <family val="2"/>
    </font>
    <font>
      <i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sz val="9"/>
      <color rgb="FF0070C0"/>
      <name val="Arial"/>
      <family val="2"/>
    </font>
    <font>
      <b/>
      <u/>
      <sz val="9"/>
      <name val="Cambria"/>
      <family val="1"/>
      <scheme val="maj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7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05">
    <xf numFmtId="0" fontId="0" fillId="0" borderId="0" xfId="0"/>
    <xf numFmtId="0" fontId="0" fillId="0" borderId="1" xfId="0" applyBorder="1"/>
    <xf numFmtId="2" fontId="6" fillId="2" borderId="1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28" fillId="0" borderId="1" xfId="0" applyFont="1" applyBorder="1"/>
    <xf numFmtId="16" fontId="28" fillId="0" borderId="1" xfId="0" applyNumberFormat="1" applyFont="1" applyBorder="1"/>
    <xf numFmtId="2" fontId="28" fillId="0" borderId="1" xfId="0" applyNumberFormat="1" applyFont="1" applyBorder="1"/>
    <xf numFmtId="2" fontId="29" fillId="2" borderId="1" xfId="0" applyNumberFormat="1" applyFont="1" applyFill="1" applyBorder="1" applyAlignment="1">
      <alignment vertical="center" wrapText="1"/>
    </xf>
    <xf numFmtId="168" fontId="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5" applyFont="1" applyFill="1" applyBorder="1" applyAlignment="1">
      <alignment vertical="center"/>
    </xf>
    <xf numFmtId="0" fontId="1" fillId="2" borderId="0" xfId="1" applyFill="1" applyAlignment="1">
      <alignment vertical="center"/>
    </xf>
    <xf numFmtId="0" fontId="30" fillId="2" borderId="1" xfId="3" applyFont="1" applyFill="1" applyBorder="1" applyAlignment="1">
      <alignment horizontal="center" vertical="center"/>
    </xf>
    <xf numFmtId="0" fontId="1" fillId="2" borderId="0" xfId="0" applyFont="1" applyFill="1"/>
    <xf numFmtId="173" fontId="30" fillId="2" borderId="1" xfId="3" quotePrefix="1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vertical="center"/>
    </xf>
    <xf numFmtId="0" fontId="32" fillId="2" borderId="2" xfId="0" applyFont="1" applyFill="1" applyBorder="1" applyAlignment="1">
      <alignment horizontal="left" vertical="center" indent="1"/>
    </xf>
    <xf numFmtId="0" fontId="32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31" fillId="2" borderId="2" xfId="0" applyFont="1" applyFill="1" applyBorder="1" applyAlignment="1">
      <alignment vertical="center" wrapText="1"/>
    </xf>
    <xf numFmtId="0" fontId="2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1" fillId="2" borderId="0" xfId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1" fillId="3" borderId="0" xfId="6" applyFont="1" applyFill="1" applyAlignment="1">
      <alignment horizontal="left" vertical="center"/>
    </xf>
    <xf numFmtId="0" fontId="18" fillId="3" borderId="0" xfId="6" applyFont="1" applyFill="1" applyAlignment="1">
      <alignment vertical="center" wrapText="1"/>
    </xf>
    <xf numFmtId="0" fontId="33" fillId="3" borderId="0" xfId="6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quotePrefix="1" applyFont="1" applyFill="1" applyBorder="1" applyAlignment="1">
      <alignment horizontal="center" vertical="center" wrapText="1"/>
    </xf>
    <xf numFmtId="164" fontId="10" fillId="2" borderId="0" xfId="1" quotePrefix="1" applyNumberFormat="1" applyFont="1" applyFill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2" fontId="10" fillId="0" borderId="1" xfId="1" quotePrefix="1" applyNumberFormat="1" applyFont="1" applyBorder="1" applyAlignment="1" applyProtection="1">
      <alignment horizontal="center" vertical="center"/>
      <protection hidden="1"/>
    </xf>
    <xf numFmtId="171" fontId="10" fillId="0" borderId="1" xfId="1" applyNumberFormat="1" applyFont="1" applyBorder="1" applyAlignment="1" applyProtection="1">
      <alignment horizontal="center" vertical="center" wrapText="1"/>
      <protection hidden="1"/>
    </xf>
    <xf numFmtId="11" fontId="10" fillId="0" borderId="1" xfId="1" applyNumberFormat="1" applyFont="1" applyBorder="1" applyAlignment="1" applyProtection="1">
      <alignment horizontal="center" vertical="center"/>
      <protection hidden="1"/>
    </xf>
    <xf numFmtId="2" fontId="10" fillId="2" borderId="0" xfId="1" applyNumberFormat="1" applyFont="1" applyFill="1" applyAlignment="1" applyProtection="1">
      <alignment horizontal="left" vertical="center"/>
      <protection locked="0" hidden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170" fontId="10" fillId="0" borderId="1" xfId="0" quotePrefix="1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vertical="center"/>
      <protection hidden="1"/>
    </xf>
    <xf numFmtId="170" fontId="10" fillId="0" borderId="1" xfId="0" applyNumberFormat="1" applyFont="1" applyBorder="1" applyAlignment="1" applyProtection="1">
      <alignment horizontal="center" vertical="center"/>
      <protection hidden="1"/>
    </xf>
    <xf numFmtId="171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170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>
      <alignment horizontal="left"/>
    </xf>
    <xf numFmtId="170" fontId="10" fillId="2" borderId="0" xfId="0" quotePrefix="1" applyNumberFormat="1" applyFont="1" applyFill="1" applyAlignment="1" applyProtection="1">
      <alignment horizontal="center" vertical="center"/>
      <protection locked="0"/>
    </xf>
    <xf numFmtId="2" fontId="10" fillId="2" borderId="0" xfId="0" applyNumberFormat="1" applyFont="1" applyFill="1" applyAlignment="1" applyProtection="1">
      <alignment vertical="center"/>
      <protection hidden="1"/>
    </xf>
    <xf numFmtId="170" fontId="10" fillId="2" borderId="0" xfId="0" applyNumberFormat="1" applyFont="1" applyFill="1" applyAlignment="1" applyProtection="1">
      <alignment horizontal="center" vertical="center"/>
      <protection hidden="1"/>
    </xf>
    <xf numFmtId="170" fontId="10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0" fillId="0" borderId="1" xfId="0" applyNumberFormat="1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>
      <alignment vertical="center" wrapText="1"/>
    </xf>
    <xf numFmtId="0" fontId="10" fillId="0" borderId="1" xfId="0" quotePrefix="1" applyFont="1" applyBorder="1" applyAlignment="1" applyProtection="1">
      <alignment horizontal="center" vertical="center"/>
      <protection hidden="1"/>
    </xf>
    <xf numFmtId="2" fontId="10" fillId="0" borderId="1" xfId="0" quotePrefix="1" applyNumberFormat="1" applyFont="1" applyBorder="1" applyAlignment="1" applyProtection="1">
      <alignment horizontal="center" vertical="center"/>
      <protection hidden="1"/>
    </xf>
    <xf numFmtId="171" fontId="10" fillId="0" borderId="1" xfId="1" quotePrefix="1" applyNumberFormat="1" applyFont="1" applyBorder="1" applyAlignment="1" applyProtection="1">
      <alignment horizontal="center" vertical="center"/>
      <protection hidden="1"/>
    </xf>
    <xf numFmtId="2" fontId="10" fillId="2" borderId="0" xfId="0" quotePrefix="1" applyNumberFormat="1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170" fontId="10" fillId="2" borderId="1" xfId="0" quotePrefix="1" applyNumberFormat="1" applyFont="1" applyFill="1" applyBorder="1" applyAlignment="1" applyProtection="1">
      <alignment horizontal="center" vertical="center"/>
      <protection locked="0"/>
    </xf>
    <xf numFmtId="170" fontId="10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0" fillId="2" borderId="1" xfId="0" applyNumberFormat="1" applyFont="1" applyFill="1" applyBorder="1" applyAlignment="1" applyProtection="1">
      <alignment vertical="center"/>
      <protection hidden="1"/>
    </xf>
    <xf numFmtId="170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35" fillId="2" borderId="1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>
      <alignment vertical="center"/>
    </xf>
    <xf numFmtId="0" fontId="10" fillId="2" borderId="3" xfId="0" applyFont="1" applyFill="1" applyBorder="1"/>
    <xf numFmtId="2" fontId="10" fillId="2" borderId="3" xfId="0" applyNumberFormat="1" applyFont="1" applyFill="1" applyBorder="1" applyAlignment="1">
      <alignment vertical="center"/>
    </xf>
    <xf numFmtId="2" fontId="10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vertical="center"/>
    </xf>
    <xf numFmtId="0" fontId="34" fillId="3" borderId="0" xfId="0" applyFont="1" applyFill="1" applyAlignment="1">
      <alignment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vertical="center" wrapText="1"/>
    </xf>
    <xf numFmtId="0" fontId="10" fillId="2" borderId="6" xfId="1" applyFont="1" applyFill="1" applyBorder="1" applyAlignment="1" applyProtection="1">
      <alignment horizontal="right" vertical="center"/>
      <protection hidden="1"/>
    </xf>
    <xf numFmtId="174" fontId="10" fillId="2" borderId="5" xfId="1" applyNumberFormat="1" applyFont="1" applyFill="1" applyBorder="1" applyAlignment="1" applyProtection="1">
      <alignment horizontal="center" vertical="center"/>
      <protection hidden="1"/>
    </xf>
    <xf numFmtId="175" fontId="35" fillId="3" borderId="7" xfId="0" applyNumberFormat="1" applyFont="1" applyFill="1" applyBorder="1" applyAlignment="1">
      <alignment horizontal="center" vertical="center" wrapText="1"/>
    </xf>
    <xf numFmtId="174" fontId="10" fillId="2" borderId="8" xfId="1" applyNumberFormat="1" applyFont="1" applyFill="1" applyBorder="1" applyAlignment="1" applyProtection="1">
      <alignment horizontal="center" vertical="center"/>
      <protection hidden="1"/>
    </xf>
    <xf numFmtId="175" fontId="35" fillId="3" borderId="9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vertical="center" wrapText="1"/>
    </xf>
    <xf numFmtId="0" fontId="10" fillId="2" borderId="11" xfId="1" applyFont="1" applyFill="1" applyBorder="1" applyAlignment="1" applyProtection="1">
      <alignment horizontal="right" vertical="center"/>
      <protection hidden="1"/>
    </xf>
    <xf numFmtId="0" fontId="1" fillId="2" borderId="2" xfId="0" applyFont="1" applyFill="1" applyBorder="1"/>
    <xf numFmtId="0" fontId="1" fillId="2" borderId="4" xfId="0" applyFont="1" applyFill="1" applyBorder="1" applyAlignment="1">
      <alignment horizontal="right"/>
    </xf>
    <xf numFmtId="175" fontId="35" fillId="3" borderId="1" xfId="0" applyNumberFormat="1" applyFont="1" applyFill="1" applyBorder="1" applyAlignment="1">
      <alignment horizontal="center" vertical="center" wrapText="1"/>
    </xf>
    <xf numFmtId="2" fontId="10" fillId="0" borderId="1" xfId="1" applyNumberFormat="1" applyFont="1" applyBorder="1" applyAlignment="1" applyProtection="1">
      <alignment horizontal="center" vertical="center"/>
      <protection locked="0" hidden="1"/>
    </xf>
    <xf numFmtId="164" fontId="8" fillId="0" borderId="1" xfId="4" applyNumberFormat="1" applyFont="1" applyBorder="1" applyAlignment="1">
      <alignment horizontal="center" vertical="center"/>
    </xf>
    <xf numFmtId="2" fontId="10" fillId="2" borderId="1" xfId="1" quotePrefix="1" applyNumberFormat="1" applyFont="1" applyFill="1" applyBorder="1" applyAlignment="1" applyProtection="1">
      <alignment horizontal="center" vertical="center"/>
      <protection locked="0"/>
    </xf>
    <xf numFmtId="2" fontId="10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2" borderId="0" xfId="1" applyFont="1" applyFill="1" applyAlignment="1">
      <alignment horizontal="left"/>
    </xf>
    <xf numFmtId="11" fontId="1" fillId="2" borderId="0" xfId="1" applyNumberForma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0" xfId="1" applyFill="1" applyAlignment="1">
      <alignment horizontal="left"/>
    </xf>
    <xf numFmtId="0" fontId="2" fillId="2" borderId="0" xfId="1" applyFont="1" applyFill="1"/>
    <xf numFmtId="0" fontId="1" fillId="2" borderId="0" xfId="1" applyFill="1" applyAlignment="1">
      <alignment horizontal="center"/>
    </xf>
    <xf numFmtId="0" fontId="1" fillId="2" borderId="0" xfId="1" quotePrefix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36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1" fontId="37" fillId="2" borderId="1" xfId="1" applyNumberFormat="1" applyFont="1" applyFill="1" applyBorder="1" applyAlignment="1" applyProtection="1">
      <alignment horizontal="center"/>
      <protection locked="0"/>
    </xf>
    <xf numFmtId="164" fontId="37" fillId="2" borderId="1" xfId="1" applyNumberFormat="1" applyFont="1" applyFill="1" applyBorder="1" applyAlignment="1" applyProtection="1">
      <alignment horizontal="center"/>
      <protection locked="0"/>
    </xf>
    <xf numFmtId="172" fontId="1" fillId="2" borderId="1" xfId="1" applyNumberFormat="1" applyFill="1" applyBorder="1" applyAlignment="1">
      <alignment horizontal="center"/>
    </xf>
    <xf numFmtId="172" fontId="1" fillId="2" borderId="0" xfId="1" applyNumberFormat="1" applyFill="1" applyAlignment="1">
      <alignment horizontal="center"/>
    </xf>
    <xf numFmtId="0" fontId="21" fillId="2" borderId="0" xfId="1" applyFont="1" applyFill="1"/>
    <xf numFmtId="172" fontId="1" fillId="2" borderId="1" xfId="0" applyNumberFormat="1" applyFont="1" applyFill="1" applyBorder="1" applyAlignment="1">
      <alignment horizontal="center"/>
    </xf>
    <xf numFmtId="0" fontId="15" fillId="2" borderId="0" xfId="1" applyFont="1" applyFill="1" applyAlignment="1">
      <alignment horizontal="left" vertical="center"/>
    </xf>
    <xf numFmtId="0" fontId="21" fillId="2" borderId="0" xfId="1" applyFont="1" applyFill="1" applyAlignment="1">
      <alignment vertical="center"/>
    </xf>
    <xf numFmtId="0" fontId="0" fillId="2" borderId="4" xfId="0" applyFill="1" applyBorder="1"/>
    <xf numFmtId="0" fontId="0" fillId="2" borderId="12" xfId="0" applyFill="1" applyBorder="1"/>
    <xf numFmtId="0" fontId="38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8" fillId="2" borderId="0" xfId="0" applyFont="1" applyFill="1"/>
    <xf numFmtId="0" fontId="1" fillId="2" borderId="0" xfId="1" applyFill="1" applyAlignment="1">
      <alignment wrapText="1"/>
    </xf>
    <xf numFmtId="0" fontId="1" fillId="2" borderId="0" xfId="1" applyFill="1" applyAlignment="1">
      <alignment vertical="top" wrapText="1"/>
    </xf>
    <xf numFmtId="175" fontId="1" fillId="2" borderId="0" xfId="7" quotePrefix="1" applyNumberFormat="1" applyFont="1" applyFill="1"/>
    <xf numFmtId="170" fontId="10" fillId="2" borderId="1" xfId="0" applyNumberFormat="1" applyFont="1" applyFill="1" applyBorder="1" applyAlignment="1">
      <alignment horizontal="center" vertical="center"/>
    </xf>
    <xf numFmtId="10" fontId="39" fillId="2" borderId="0" xfId="7" applyNumberFormat="1" applyFont="1" applyFill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0" fontId="1" fillId="2" borderId="2" xfId="1" applyFill="1" applyBorder="1"/>
    <xf numFmtId="0" fontId="16" fillId="2" borderId="0" xfId="1" applyFont="1" applyFill="1" applyAlignment="1">
      <alignment vertical="center"/>
    </xf>
    <xf numFmtId="0" fontId="40" fillId="2" borderId="0" xfId="0" applyFont="1" applyFill="1"/>
    <xf numFmtId="15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1" xfId="1" applyNumberFormat="1" applyFont="1" applyFill="1" applyBorder="1" applyAlignment="1">
      <alignment horizontal="center" vertical="center"/>
    </xf>
    <xf numFmtId="1" fontId="10" fillId="2" borderId="13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70" fontId="10" fillId="2" borderId="0" xfId="0" applyNumberFormat="1" applyFont="1" applyFill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2" fontId="10" fillId="2" borderId="1" xfId="4" applyNumberFormat="1" applyFont="1" applyFill="1" applyBorder="1" applyAlignment="1" applyProtection="1">
      <alignment horizontal="center" vertical="center"/>
      <protection locked="0"/>
    </xf>
    <xf numFmtId="10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2" borderId="4" xfId="0" applyFont="1" applyFill="1" applyBorder="1"/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0" fillId="2" borderId="14" xfId="0" applyFont="1" applyFill="1" applyBorder="1"/>
    <xf numFmtId="0" fontId="10" fillId="2" borderId="12" xfId="0" applyFont="1" applyFill="1" applyBorder="1"/>
    <xf numFmtId="0" fontId="41" fillId="2" borderId="0" xfId="0" applyFont="1" applyFill="1"/>
    <xf numFmtId="0" fontId="10" fillId="2" borderId="10" xfId="0" applyFont="1" applyFill="1" applyBorder="1"/>
    <xf numFmtId="0" fontId="10" fillId="2" borderId="15" xfId="0" applyFont="1" applyFill="1" applyBorder="1"/>
    <xf numFmtId="0" fontId="10" fillId="2" borderId="11" xfId="0" applyFont="1" applyFill="1" applyBorder="1"/>
    <xf numFmtId="2" fontId="42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164" fontId="39" fillId="2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10" fillId="2" borderId="6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/>
    </xf>
    <xf numFmtId="0" fontId="10" fillId="2" borderId="15" xfId="1" applyFont="1" applyFill="1" applyBorder="1" applyAlignment="1">
      <alignment vertical="center"/>
    </xf>
    <xf numFmtId="0" fontId="10" fillId="2" borderId="11" xfId="1" applyFont="1" applyFill="1" applyBorder="1" applyAlignment="1">
      <alignment vertical="center"/>
    </xf>
    <xf numFmtId="0" fontId="10" fillId="2" borderId="10" xfId="1" applyFont="1" applyFill="1" applyBorder="1" applyAlignment="1" applyProtection="1">
      <alignment vertical="center"/>
      <protection locked="0"/>
    </xf>
    <xf numFmtId="171" fontId="10" fillId="2" borderId="15" xfId="1" applyNumberFormat="1" applyFont="1" applyFill="1" applyBorder="1" applyAlignment="1">
      <alignment horizontal="center" vertical="center"/>
    </xf>
    <xf numFmtId="171" fontId="10" fillId="2" borderId="1" xfId="0" applyNumberFormat="1" applyFont="1" applyFill="1" applyBorder="1" applyAlignment="1">
      <alignment horizontal="center" vertical="center"/>
    </xf>
    <xf numFmtId="0" fontId="39" fillId="2" borderId="0" xfId="0" applyFont="1" applyFill="1"/>
    <xf numFmtId="1" fontId="14" fillId="0" borderId="1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2" fontId="43" fillId="4" borderId="1" xfId="0" applyNumberFormat="1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 wrapText="1"/>
    </xf>
    <xf numFmtId="0" fontId="45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12" fillId="2" borderId="0" xfId="5" applyFont="1" applyFill="1" applyAlignment="1">
      <alignment horizontal="right" vertical="center"/>
    </xf>
    <xf numFmtId="0" fontId="4" fillId="2" borderId="0" xfId="5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/>
    <xf numFmtId="0" fontId="4" fillId="2" borderId="0" xfId="0" applyFont="1" applyFill="1"/>
    <xf numFmtId="0" fontId="12" fillId="2" borderId="0" xfId="5" applyFont="1" applyFill="1" applyAlignment="1" applyProtection="1">
      <alignment horizontal="center" vertical="center"/>
      <protection locked="0"/>
    </xf>
    <xf numFmtId="0" fontId="8" fillId="2" borderId="15" xfId="1" applyFont="1" applyFill="1" applyBorder="1"/>
    <xf numFmtId="0" fontId="4" fillId="2" borderId="15" xfId="0" applyFont="1" applyFill="1" applyBorder="1"/>
    <xf numFmtId="0" fontId="4" fillId="2" borderId="15" xfId="0" applyFont="1" applyFill="1" applyBorder="1" applyProtection="1">
      <protection locked="0"/>
    </xf>
    <xf numFmtId="0" fontId="12" fillId="2" borderId="15" xfId="5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Protection="1">
      <protection locked="0"/>
    </xf>
    <xf numFmtId="0" fontId="8" fillId="2" borderId="15" xfId="0" applyFont="1" applyFill="1" applyBorder="1" applyAlignment="1" applyProtection="1">
      <alignment vertical="center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5" applyFont="1" applyFill="1" applyAlignment="1" applyProtection="1">
      <alignment vertical="center"/>
      <protection locked="0"/>
    </xf>
    <xf numFmtId="0" fontId="12" fillId="2" borderId="8" xfId="5" applyFont="1" applyFill="1" applyBorder="1" applyAlignment="1">
      <alignment horizontal="left" vertical="center"/>
    </xf>
    <xf numFmtId="0" fontId="46" fillId="2" borderId="0" xfId="0" applyFont="1" applyFill="1" applyAlignment="1" applyProtection="1">
      <alignment horizontal="center" vertical="center" wrapText="1"/>
      <protection locked="0"/>
    </xf>
    <xf numFmtId="16" fontId="47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0" fillId="2" borderId="0" xfId="1" quotePrefix="1" applyFont="1" applyFill="1" applyAlignment="1">
      <alignment horizontal="left" vertical="center"/>
    </xf>
    <xf numFmtId="0" fontId="8" fillId="2" borderId="0" xfId="0" applyFont="1" applyFill="1"/>
    <xf numFmtId="0" fontId="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5" fillId="2" borderId="0" xfId="0" applyFont="1" applyFill="1" applyAlignment="1">
      <alignment vertical="center"/>
    </xf>
    <xf numFmtId="0" fontId="48" fillId="2" borderId="0" xfId="1" applyFont="1" applyFill="1" applyAlignment="1">
      <alignment horizontal="right" vertical="center"/>
    </xf>
    <xf numFmtId="0" fontId="5" fillId="2" borderId="0" xfId="0" applyFont="1" applyFill="1" applyAlignment="1" applyProtection="1">
      <alignment vertical="center"/>
      <protection locked="0"/>
    </xf>
    <xf numFmtId="0" fontId="2" fillId="2" borderId="15" xfId="0" applyFont="1" applyFill="1" applyBorder="1" applyAlignment="1">
      <alignment vertical="center"/>
    </xf>
    <xf numFmtId="11" fontId="10" fillId="2" borderId="15" xfId="1" applyNumberFormat="1" applyFont="1" applyFill="1" applyBorder="1" applyAlignment="1">
      <alignment horizontal="center" vertical="center"/>
    </xf>
    <xf numFmtId="169" fontId="37" fillId="2" borderId="1" xfId="1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right" vertical="center"/>
    </xf>
    <xf numFmtId="0" fontId="49" fillId="2" borderId="0" xfId="1" applyFont="1" applyFill="1"/>
    <xf numFmtId="0" fontId="47" fillId="2" borderId="0" xfId="1" applyFont="1" applyFill="1" applyAlignment="1" applyProtection="1">
      <alignment horizontal="center"/>
      <protection locked="0"/>
    </xf>
    <xf numFmtId="0" fontId="49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8" fillId="2" borderId="0" xfId="1" applyFont="1" applyFill="1" applyAlignment="1" applyProtection="1">
      <alignment horizontal="center"/>
      <protection locked="0"/>
    </xf>
    <xf numFmtId="169" fontId="38" fillId="2" borderId="0" xfId="1" applyNumberFormat="1" applyFont="1" applyFill="1" applyAlignment="1" applyProtection="1">
      <alignment horizontal="center"/>
      <protection locked="0"/>
    </xf>
    <xf numFmtId="164" fontId="38" fillId="2" borderId="0" xfId="1" applyNumberFormat="1" applyFont="1" applyFill="1" applyAlignment="1" applyProtection="1">
      <alignment horizontal="center"/>
      <protection locked="0"/>
    </xf>
    <xf numFmtId="164" fontId="37" fillId="2" borderId="0" xfId="1" applyNumberFormat="1" applyFont="1" applyFill="1" applyAlignment="1" applyProtection="1">
      <alignment horizontal="center"/>
      <protection locked="0"/>
    </xf>
    <xf numFmtId="0" fontId="37" fillId="2" borderId="0" xfId="1" applyFont="1" applyFill="1" applyAlignment="1" applyProtection="1">
      <alignment horizontal="center"/>
      <protection locked="0"/>
    </xf>
    <xf numFmtId="169" fontId="37" fillId="2" borderId="0" xfId="1" applyNumberFormat="1" applyFont="1" applyFill="1" applyAlignment="1" applyProtection="1">
      <alignment horizontal="center"/>
      <protection locked="0"/>
    </xf>
    <xf numFmtId="0" fontId="38" fillId="2" borderId="0" xfId="1" applyFont="1" applyFill="1"/>
    <xf numFmtId="2" fontId="38" fillId="2" borderId="0" xfId="0" applyNumberFormat="1" applyFont="1" applyFill="1" applyAlignment="1">
      <alignment horizontal="center"/>
    </xf>
    <xf numFmtId="172" fontId="38" fillId="2" borderId="0" xfId="1" applyNumberFormat="1" applyFont="1" applyFill="1" applyAlignment="1">
      <alignment horizontal="center"/>
    </xf>
    <xf numFmtId="164" fontId="0" fillId="2" borderId="0" xfId="0" applyNumberFormat="1" applyFill="1"/>
    <xf numFmtId="1" fontId="0" fillId="2" borderId="0" xfId="0" applyNumberFormat="1" applyFill="1"/>
    <xf numFmtId="170" fontId="10" fillId="2" borderId="0" xfId="0" applyNumberFormat="1" applyFont="1" applyFill="1" applyAlignment="1">
      <alignment horizontal="center" vertical="center"/>
    </xf>
    <xf numFmtId="0" fontId="10" fillId="2" borderId="16" xfId="0" applyFont="1" applyFill="1" applyBorder="1"/>
    <xf numFmtId="170" fontId="10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/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170" fontId="10" fillId="2" borderId="18" xfId="0" applyNumberFormat="1" applyFont="1" applyFill="1" applyBorder="1" applyAlignment="1">
      <alignment horizontal="center" vertical="center"/>
    </xf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4" fillId="2" borderId="24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left" vertical="center" wrapText="1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8" fillId="0" borderId="0" xfId="1" applyFont="1" applyAlignment="1">
      <alignment horizontal="right" vertical="center"/>
    </xf>
    <xf numFmtId="170" fontId="10" fillId="0" borderId="1" xfId="0" applyNumberFormat="1" applyFont="1" applyBorder="1" applyAlignment="1" applyProtection="1">
      <alignment horizontal="center" vertical="center"/>
      <protection locked="0"/>
    </xf>
    <xf numFmtId="170" fontId="10" fillId="0" borderId="1" xfId="1" applyNumberFormat="1" applyFont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>
      <alignment horizontal="center" vertical="center"/>
    </xf>
    <xf numFmtId="172" fontId="1" fillId="2" borderId="1" xfId="1" applyNumberFormat="1" applyFill="1" applyBorder="1" applyAlignment="1">
      <alignment horizontal="center" vertical="center"/>
    </xf>
    <xf numFmtId="1" fontId="10" fillId="2" borderId="1" xfId="4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vertical="center" wrapText="1"/>
    </xf>
    <xf numFmtId="0" fontId="51" fillId="3" borderId="15" xfId="0" applyFont="1" applyFill="1" applyBorder="1" applyAlignment="1">
      <alignment vertical="center" wrapText="1"/>
    </xf>
    <xf numFmtId="2" fontId="10" fillId="2" borderId="0" xfId="0" applyNumberFormat="1" applyFont="1" applyFill="1"/>
    <xf numFmtId="0" fontId="8" fillId="2" borderId="25" xfId="1" applyFont="1" applyFill="1" applyBorder="1" applyAlignment="1">
      <alignment vertical="center" wrapText="1"/>
    </xf>
    <xf numFmtId="170" fontId="10" fillId="2" borderId="1" xfId="1" applyNumberFormat="1" applyFont="1" applyFill="1" applyBorder="1" applyAlignment="1" applyProtection="1">
      <alignment horizontal="center" vertical="center"/>
      <protection hidden="1"/>
    </xf>
    <xf numFmtId="0" fontId="8" fillId="2" borderId="1" xfId="1" applyFont="1" applyFill="1" applyBorder="1" applyAlignment="1">
      <alignment vertical="center" wrapText="1"/>
    </xf>
    <xf numFmtId="2" fontId="8" fillId="0" borderId="1" xfId="4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7" fillId="2" borderId="1" xfId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4" fillId="3" borderId="2" xfId="0" applyFont="1" applyFill="1" applyBorder="1" applyAlignment="1">
      <alignment vertical="center" wrapText="1"/>
    </xf>
    <xf numFmtId="0" fontId="10" fillId="2" borderId="4" xfId="1" applyFont="1" applyFill="1" applyBorder="1" applyAlignment="1" applyProtection="1">
      <alignment horizontal="right" vertical="center"/>
      <protection hidden="1"/>
    </xf>
    <xf numFmtId="174" fontId="10" fillId="2" borderId="2" xfId="1" applyNumberFormat="1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>
      <alignment horizontal="center"/>
    </xf>
    <xf numFmtId="174" fontId="10" fillId="2" borderId="2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/>
    </xf>
    <xf numFmtId="171" fontId="10" fillId="2" borderId="1" xfId="1" applyNumberFormat="1" applyFont="1" applyFill="1" applyBorder="1" applyAlignment="1" applyProtection="1">
      <alignment horizontal="center" vertical="center"/>
      <protection hidden="1"/>
    </xf>
    <xf numFmtId="164" fontId="10" fillId="2" borderId="1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vertical="center"/>
    </xf>
    <xf numFmtId="177" fontId="14" fillId="2" borderId="0" xfId="0" applyNumberFormat="1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horizontal="right" vertical="center"/>
      <protection locked="0"/>
    </xf>
    <xf numFmtId="0" fontId="55" fillId="2" borderId="0" xfId="0" applyFont="1" applyFill="1" applyAlignment="1">
      <alignment horizontal="left" vertical="center"/>
    </xf>
    <xf numFmtId="0" fontId="5" fillId="2" borderId="0" xfId="0" applyFont="1" applyFill="1"/>
    <xf numFmtId="0" fontId="40" fillId="0" borderId="0" xfId="1" quotePrefix="1" applyFont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Protection="1">
      <protection locked="0"/>
    </xf>
    <xf numFmtId="11" fontId="30" fillId="2" borderId="0" xfId="0" applyNumberFormat="1" applyFont="1" applyFill="1" applyAlignment="1">
      <alignment horizontal="center" vertical="center"/>
    </xf>
    <xf numFmtId="0" fontId="30" fillId="3" borderId="0" xfId="0" applyFont="1" applyFill="1"/>
    <xf numFmtId="0" fontId="30" fillId="3" borderId="0" xfId="0" applyFont="1" applyFill="1" applyAlignment="1">
      <alignment horizontal="center"/>
    </xf>
    <xf numFmtId="11" fontId="30" fillId="3" borderId="0" xfId="0" applyNumberFormat="1" applyFont="1" applyFill="1" applyAlignment="1">
      <alignment horizontal="center"/>
    </xf>
    <xf numFmtId="0" fontId="30" fillId="3" borderId="0" xfId="0" quotePrefix="1" applyFont="1" applyFill="1" applyAlignment="1">
      <alignment horizontal="left"/>
    </xf>
    <xf numFmtId="0" fontId="30" fillId="3" borderId="0" xfId="0" applyFont="1" applyFill="1" applyAlignment="1">
      <alignment horizontal="left"/>
    </xf>
    <xf numFmtId="14" fontId="10" fillId="2" borderId="15" xfId="1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182" fontId="43" fillId="4" borderId="5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14" fillId="2" borderId="7" xfId="0" applyFont="1" applyFill="1" applyBorder="1" applyAlignment="1">
      <alignment horizontal="center" vertical="center" wrapText="1"/>
    </xf>
    <xf numFmtId="0" fontId="56" fillId="0" borderId="26" xfId="0" applyFont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6" fillId="0" borderId="27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4" borderId="0" xfId="5" applyFont="1" applyFill="1" applyAlignment="1">
      <alignment vertical="center"/>
    </xf>
    <xf numFmtId="0" fontId="56" fillId="4" borderId="26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79" fontId="1" fillId="2" borderId="0" xfId="1" applyNumberFormat="1" applyFill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170" fontId="10" fillId="2" borderId="33" xfId="0" applyNumberFormat="1" applyFont="1" applyFill="1" applyBorder="1" applyAlignment="1">
      <alignment horizontal="center" vertical="center"/>
    </xf>
    <xf numFmtId="170" fontId="10" fillId="2" borderId="36" xfId="0" applyNumberFormat="1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170" fontId="10" fillId="2" borderId="39" xfId="0" applyNumberFormat="1" applyFont="1" applyFill="1" applyBorder="1" applyAlignment="1">
      <alignment horizontal="center" vertical="center"/>
    </xf>
    <xf numFmtId="14" fontId="10" fillId="2" borderId="11" xfId="0" applyNumberFormat="1" applyFont="1" applyFill="1" applyBorder="1"/>
    <xf numFmtId="170" fontId="1" fillId="2" borderId="1" xfId="0" applyNumberFormat="1" applyFont="1" applyFill="1" applyBorder="1" applyAlignment="1">
      <alignment horizontal="center"/>
    </xf>
    <xf numFmtId="0" fontId="54" fillId="0" borderId="0" xfId="0" applyFont="1"/>
    <xf numFmtId="0" fontId="10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0" fillId="2" borderId="0" xfId="0" applyFont="1" applyFill="1" applyAlignment="1">
      <alignment horizontal="center"/>
    </xf>
    <xf numFmtId="1" fontId="40" fillId="2" borderId="0" xfId="0" applyNumberFormat="1" applyFont="1" applyFill="1" applyAlignment="1">
      <alignment horizont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1" fontId="40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vertical="center"/>
    </xf>
    <xf numFmtId="0" fontId="13" fillId="2" borderId="0" xfId="0" applyFont="1" applyFill="1"/>
    <xf numFmtId="15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14" fontId="10" fillId="2" borderId="11" xfId="1" applyNumberFormat="1" applyFont="1" applyFill="1" applyBorder="1" applyAlignment="1">
      <alignment vertical="center"/>
    </xf>
    <xf numFmtId="0" fontId="56" fillId="4" borderId="28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12" fillId="4" borderId="0" xfId="5" applyFont="1" applyFill="1" applyAlignment="1">
      <alignment horizontal="center" vertical="center"/>
    </xf>
    <xf numFmtId="182" fontId="43" fillId="4" borderId="1" xfId="0" applyNumberFormat="1" applyFont="1" applyFill="1" applyBorder="1" applyAlignment="1">
      <alignment horizontal="center" vertical="center"/>
    </xf>
    <xf numFmtId="179" fontId="30" fillId="2" borderId="1" xfId="3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70" fontId="1" fillId="2" borderId="0" xfId="0" applyNumberFormat="1" applyFont="1" applyFill="1" applyAlignment="1">
      <alignment horizontal="center"/>
    </xf>
    <xf numFmtId="0" fontId="5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79" fontId="1" fillId="2" borderId="2" xfId="1" applyNumberFormat="1" applyFill="1" applyBorder="1" applyAlignment="1">
      <alignment horizontal="center" vertical="center"/>
    </xf>
    <xf numFmtId="179" fontId="1" fillId="2" borderId="4" xfId="1" applyNumberForma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4" xfId="0" applyNumberFormat="1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32" fillId="2" borderId="5" xfId="3" applyFont="1" applyFill="1" applyBorder="1" applyAlignment="1">
      <alignment horizontal="center"/>
    </xf>
    <xf numFmtId="0" fontId="32" fillId="2" borderId="6" xfId="3" applyFont="1" applyFill="1" applyBorder="1" applyAlignment="1">
      <alignment horizontal="center"/>
    </xf>
    <xf numFmtId="0" fontId="32" fillId="2" borderId="8" xfId="3" applyFont="1" applyFill="1" applyBorder="1" applyAlignment="1">
      <alignment horizontal="center"/>
    </xf>
    <xf numFmtId="0" fontId="32" fillId="2" borderId="12" xfId="3" applyFont="1" applyFill="1" applyBorder="1" applyAlignment="1">
      <alignment horizontal="center"/>
    </xf>
    <xf numFmtId="0" fontId="32" fillId="2" borderId="10" xfId="3" applyFont="1" applyFill="1" applyBorder="1" applyAlignment="1">
      <alignment horizontal="center"/>
    </xf>
    <xf numFmtId="0" fontId="32" fillId="2" borderId="11" xfId="3" applyFont="1" applyFill="1" applyBorder="1" applyAlignment="1">
      <alignment horizontal="center"/>
    </xf>
    <xf numFmtId="0" fontId="53" fillId="2" borderId="5" xfId="3" applyFont="1" applyFill="1" applyBorder="1" applyAlignment="1">
      <alignment horizontal="center" vertical="center" wrapText="1"/>
    </xf>
    <xf numFmtId="0" fontId="53" fillId="2" borderId="14" xfId="3" applyFont="1" applyFill="1" applyBorder="1" applyAlignment="1">
      <alignment horizontal="center" vertical="center" wrapText="1"/>
    </xf>
    <xf numFmtId="0" fontId="53" fillId="2" borderId="6" xfId="3" applyFont="1" applyFill="1" applyBorder="1" applyAlignment="1">
      <alignment horizontal="center" vertical="center" wrapText="1"/>
    </xf>
    <xf numFmtId="0" fontId="53" fillId="2" borderId="8" xfId="3" applyFont="1" applyFill="1" applyBorder="1" applyAlignment="1">
      <alignment horizontal="center" vertical="center" wrapText="1"/>
    </xf>
    <xf numFmtId="0" fontId="53" fillId="2" borderId="0" xfId="3" applyFont="1" applyFill="1" applyAlignment="1">
      <alignment horizontal="center" vertical="center" wrapText="1"/>
    </xf>
    <xf numFmtId="0" fontId="53" fillId="2" borderId="12" xfId="3" applyFont="1" applyFill="1" applyBorder="1" applyAlignment="1">
      <alignment horizontal="center" vertical="center" wrapText="1"/>
    </xf>
    <xf numFmtId="0" fontId="53" fillId="2" borderId="10" xfId="3" applyFont="1" applyFill="1" applyBorder="1" applyAlignment="1">
      <alignment horizontal="center" vertical="center" wrapText="1"/>
    </xf>
    <xf numFmtId="0" fontId="53" fillId="2" borderId="15" xfId="3" applyFont="1" applyFill="1" applyBorder="1" applyAlignment="1">
      <alignment horizontal="center" vertical="center" wrapText="1"/>
    </xf>
    <xf numFmtId="0" fontId="53" fillId="2" borderId="11" xfId="3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left" vertical="center" wrapText="1" indent="1"/>
    </xf>
    <xf numFmtId="0" fontId="32" fillId="2" borderId="3" xfId="0" applyFont="1" applyFill="1" applyBorder="1" applyAlignment="1">
      <alignment horizontal="left" vertical="center" wrapText="1" indent="1"/>
    </xf>
    <xf numFmtId="0" fontId="32" fillId="2" borderId="4" xfId="0" applyFont="1" applyFill="1" applyBorder="1" applyAlignment="1">
      <alignment horizontal="left" vertical="center" wrapText="1" indent="1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84" fontId="11" fillId="2" borderId="0" xfId="0" applyNumberFormat="1" applyFont="1" applyFill="1" applyAlignment="1" applyProtection="1">
      <alignment horizontal="center"/>
      <protection hidden="1"/>
    </xf>
    <xf numFmtId="166" fontId="4" fillId="2" borderId="0" xfId="0" applyNumberFormat="1" applyFont="1" applyFill="1" applyAlignment="1" applyProtection="1">
      <alignment horizontal="left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182" fontId="8" fillId="2" borderId="4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79" fontId="8" fillId="2" borderId="0" xfId="0" applyNumberFormat="1" applyFont="1" applyFill="1" applyAlignment="1">
      <alignment horizontal="left" vertical="center"/>
    </xf>
    <xf numFmtId="179" fontId="8" fillId="2" borderId="12" xfId="0" applyNumberFormat="1" applyFont="1" applyFill="1" applyBorder="1" applyAlignment="1">
      <alignment horizontal="left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181" fontId="11" fillId="2" borderId="0" xfId="0" applyNumberFormat="1" applyFont="1" applyFill="1" applyAlignment="1" applyProtection="1">
      <alignment horizontal="center" vertical="center"/>
      <protection locked="0"/>
    </xf>
    <xf numFmtId="16" fontId="8" fillId="2" borderId="0" xfId="0" applyNumberFormat="1" applyFont="1" applyFill="1" applyAlignment="1">
      <alignment horizontal="left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83" fontId="8" fillId="2" borderId="0" xfId="0" applyNumberFormat="1" applyFont="1" applyFill="1" applyAlignment="1">
      <alignment horizontal="left" vertical="center"/>
    </xf>
    <xf numFmtId="0" fontId="48" fillId="0" borderId="0" xfId="1" applyFont="1" applyAlignment="1">
      <alignment horizontal="center" vertical="center"/>
    </xf>
    <xf numFmtId="0" fontId="10" fillId="2" borderId="0" xfId="0" quotePrefix="1" applyFont="1" applyFill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1" fontId="8" fillId="2" borderId="1" xfId="0" applyNumberFormat="1" applyFont="1" applyFill="1" applyBorder="1" applyAlignment="1">
      <alignment horizontal="center" vertical="center"/>
    </xf>
    <xf numFmtId="0" fontId="40" fillId="0" borderId="0" xfId="1" quotePrefix="1" applyFont="1" applyAlignment="1">
      <alignment horizontal="left" vertical="center" wrapText="1"/>
    </xf>
    <xf numFmtId="0" fontId="40" fillId="2" borderId="0" xfId="1" quotePrefix="1" applyFont="1" applyFill="1" applyAlignment="1">
      <alignment horizontal="left" vertical="center" wrapText="1"/>
    </xf>
    <xf numFmtId="0" fontId="14" fillId="5" borderId="42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 vertical="center"/>
    </xf>
    <xf numFmtId="178" fontId="43" fillId="4" borderId="1" xfId="0" applyNumberFormat="1" applyFont="1" applyFill="1" applyBorder="1" applyAlignment="1" applyProtection="1">
      <alignment horizontal="center" vertical="center"/>
      <protection locked="0"/>
    </xf>
    <xf numFmtId="169" fontId="43" fillId="4" borderId="1" xfId="0" applyNumberFormat="1" applyFont="1" applyFill="1" applyBorder="1" applyAlignment="1" applyProtection="1">
      <alignment horizontal="center" vertical="center"/>
      <protection locked="0"/>
    </xf>
    <xf numFmtId="1" fontId="4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4" fontId="43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/>
    </xf>
    <xf numFmtId="1" fontId="10" fillId="2" borderId="2" xfId="1" applyNumberFormat="1" applyFont="1" applyFill="1" applyBorder="1" applyAlignment="1">
      <alignment horizontal="center" vertical="center"/>
    </xf>
    <xf numFmtId="1" fontId="10" fillId="2" borderId="4" xfId="1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8">
    <cellStyle name="Normal" xfId="0" builtinId="0"/>
    <cellStyle name="Normal 2 2" xfId="1" xr:uid="{9DAD18C5-CA70-449B-936B-B93EDD206E49}"/>
    <cellStyle name="Normal 4" xfId="2" xr:uid="{F1AB9C58-C0EF-4457-B684-ECD76DB27E77}"/>
    <cellStyle name="Normal 6" xfId="3" xr:uid="{3F82C259-7525-4AEC-8E51-FF2051182A69}"/>
    <cellStyle name="Normal_ABG-01" xfId="4" xr:uid="{710D9DC9-24AB-447F-B393-7E4B83825A2C}"/>
    <cellStyle name="Normal_ENSAYOS" xfId="5" xr:uid="{42AD3258-66EC-4822-B13E-460FDFBA5069}"/>
    <cellStyle name="Normal_Produc. 07-09-99 2" xfId="6" xr:uid="{8E8BCAF4-76FF-452A-BDCC-0FAAFAB39057}"/>
    <cellStyle name="Porcentaje" xfId="7" builtinId="5"/>
  </cellStyles>
  <dxfs count="2">
    <dxf>
      <font>
        <b/>
        <i val="0"/>
        <color rgb="FFC00000"/>
      </font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Compresiòn</a:t>
            </a:r>
          </a:p>
        </c:rich>
      </c:tx>
      <c:layout>
        <c:manualLayout>
          <c:xMode val="edge"/>
          <c:yMode val="edge"/>
          <c:x val="0.24510173852030873"/>
          <c:y val="4.351008571481011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tx>
          <c:invertIfNegative val="0"/>
          <c:cat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INCERTIDUMBRE!$D$44:$D$46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E29-8B23-1248AAE0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4491216"/>
        <c:axId val="1"/>
      </c:barChart>
      <c:catAx>
        <c:axId val="13944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944912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19048</xdr:rowOff>
    </xdr:from>
    <xdr:to>
      <xdr:col>8</xdr:col>
      <xdr:colOff>419100</xdr:colOff>
      <xdr:row>0</xdr:row>
      <xdr:rowOff>522291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A86288CB-0B1D-7A9A-137B-EADF44491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19048"/>
          <a:ext cx="847725" cy="503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37</xdr:row>
      <xdr:rowOff>68408</xdr:rowOff>
    </xdr:from>
    <xdr:to>
      <xdr:col>7</xdr:col>
      <xdr:colOff>586220</xdr:colOff>
      <xdr:row>39</xdr:row>
      <xdr:rowOff>185652</xdr:rowOff>
    </xdr:to>
    <xdr:pic>
      <xdr:nvPicPr>
        <xdr:cNvPr id="402277" name="Imagen 2">
          <a:extLst>
            <a:ext uri="{FF2B5EF4-FFF2-40B4-BE49-F238E27FC236}">
              <a16:creationId xmlns:a16="http://schemas.microsoft.com/office/drawing/2014/main" id="{A51CFB38-DBC1-01EE-6DF0-D6332B47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2787361" y="8443481"/>
          <a:ext cx="1424420" cy="110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13855</xdr:colOff>
      <xdr:row>37</xdr:row>
      <xdr:rowOff>214745</xdr:rowOff>
    </xdr:from>
    <xdr:to>
      <xdr:col>9</xdr:col>
      <xdr:colOff>446169</xdr:colOff>
      <xdr:row>40</xdr:row>
      <xdr:rowOff>125654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FBB2CC-7DD4-4B9B-87D5-AC091C25B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39491" y="8042563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24</xdr:row>
      <xdr:rowOff>28575</xdr:rowOff>
    </xdr:from>
    <xdr:to>
      <xdr:col>24</xdr:col>
      <xdr:colOff>428625</xdr:colOff>
      <xdr:row>32</xdr:row>
      <xdr:rowOff>171451</xdr:rowOff>
    </xdr:to>
    <xdr:pic>
      <xdr:nvPicPr>
        <xdr:cNvPr id="357785" name="Imagen 1">
          <a:extLst>
            <a:ext uri="{FF2B5EF4-FFF2-40B4-BE49-F238E27FC236}">
              <a16:creationId xmlns:a16="http://schemas.microsoft.com/office/drawing/2014/main" id="{570B3790-B6F9-1A37-0613-1742409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4810125"/>
          <a:ext cx="4819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</xdr:row>
      <xdr:rowOff>142875</xdr:rowOff>
    </xdr:from>
    <xdr:to>
      <xdr:col>4</xdr:col>
      <xdr:colOff>571500</xdr:colOff>
      <xdr:row>17</xdr:row>
      <xdr:rowOff>9525</xdr:rowOff>
    </xdr:to>
    <xdr:pic>
      <xdr:nvPicPr>
        <xdr:cNvPr id="1049704" name="Imagen 2">
          <a:extLst>
            <a:ext uri="{FF2B5EF4-FFF2-40B4-BE49-F238E27FC236}">
              <a16:creationId xmlns:a16="http://schemas.microsoft.com/office/drawing/2014/main" id="{E5FF7B59-A8A1-4129-7091-8E8D8D0F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057525"/>
          <a:ext cx="1409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304800</xdr:colOff>
      <xdr:row>27</xdr:row>
      <xdr:rowOff>0</xdr:rowOff>
    </xdr:from>
    <xdr:to>
      <xdr:col>33</xdr:col>
      <xdr:colOff>409575</xdr:colOff>
      <xdr:row>27</xdr:row>
      <xdr:rowOff>161925</xdr:rowOff>
    </xdr:to>
    <xdr:sp macro="" textlink="">
      <xdr:nvSpPr>
        <xdr:cNvPr id="1049705" name="Text Box 28">
          <a:extLst>
            <a:ext uri="{FF2B5EF4-FFF2-40B4-BE49-F238E27FC236}">
              <a16:creationId xmlns:a16="http://schemas.microsoft.com/office/drawing/2014/main" id="{61A1E26E-D02F-03CA-6CA3-940DF36EFCFF}"/>
            </a:ext>
          </a:extLst>
        </xdr:cNvPr>
        <xdr:cNvSpPr txBox="1">
          <a:spLocks noChangeArrowheads="1"/>
        </xdr:cNvSpPr>
      </xdr:nvSpPr>
      <xdr:spPr bwMode="auto">
        <a:xfrm>
          <a:off x="27908250" y="5600700"/>
          <a:ext cx="104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476250</xdr:colOff>
      <xdr:row>41</xdr:row>
      <xdr:rowOff>219075</xdr:rowOff>
    </xdr:from>
    <xdr:to>
      <xdr:col>7</xdr:col>
      <xdr:colOff>742950</xdr:colOff>
      <xdr:row>47</xdr:row>
      <xdr:rowOff>95250</xdr:rowOff>
    </xdr:to>
    <xdr:graphicFrame macro="">
      <xdr:nvGraphicFramePr>
        <xdr:cNvPr id="1049706" name="4 Gráfico">
          <a:extLst>
            <a:ext uri="{FF2B5EF4-FFF2-40B4-BE49-F238E27FC236}">
              <a16:creationId xmlns:a16="http://schemas.microsoft.com/office/drawing/2014/main" id="{E11884CF-FFB5-6A95-B5F2-B41321457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304800</xdr:colOff>
      <xdr:row>36</xdr:row>
      <xdr:rowOff>0</xdr:rowOff>
    </xdr:from>
    <xdr:to>
      <xdr:col>33</xdr:col>
      <xdr:colOff>409575</xdr:colOff>
      <xdr:row>36</xdr:row>
      <xdr:rowOff>209550</xdr:rowOff>
    </xdr:to>
    <xdr:sp macro="" textlink="">
      <xdr:nvSpPr>
        <xdr:cNvPr id="1049707" name="Text Box 28">
          <a:extLst>
            <a:ext uri="{FF2B5EF4-FFF2-40B4-BE49-F238E27FC236}">
              <a16:creationId xmlns:a16="http://schemas.microsoft.com/office/drawing/2014/main" id="{44A7AEFB-90E9-7F5F-D584-47745C3CFB6D}"/>
            </a:ext>
          </a:extLst>
        </xdr:cNvPr>
        <xdr:cNvSpPr txBox="1">
          <a:spLocks noChangeArrowheads="1"/>
        </xdr:cNvSpPr>
      </xdr:nvSpPr>
      <xdr:spPr bwMode="auto">
        <a:xfrm>
          <a:off x="27908250" y="818197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11</xdr:row>
      <xdr:rowOff>104775</xdr:rowOff>
    </xdr:from>
    <xdr:to>
      <xdr:col>9</xdr:col>
      <xdr:colOff>314325</xdr:colOff>
      <xdr:row>19</xdr:row>
      <xdr:rowOff>28575</xdr:rowOff>
    </xdr:to>
    <xdr:pic>
      <xdr:nvPicPr>
        <xdr:cNvPr id="1049710" name="Imagen 1">
          <a:extLst>
            <a:ext uri="{FF2B5EF4-FFF2-40B4-BE49-F238E27FC236}">
              <a16:creationId xmlns:a16="http://schemas.microsoft.com/office/drawing/2014/main" id="{B2B4836A-FE10-BA75-7CDB-8FD91FF0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638425"/>
          <a:ext cx="34099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352425</xdr:colOff>
      <xdr:row>0</xdr:row>
      <xdr:rowOff>38100</xdr:rowOff>
    </xdr:from>
    <xdr:to>
      <xdr:col>18</xdr:col>
      <xdr:colOff>962025</xdr:colOff>
      <xdr:row>11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749077-366A-4FC2-A841-2C2185B1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53575" y="38100"/>
          <a:ext cx="6657975" cy="2038350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0</xdr:row>
      <xdr:rowOff>47625</xdr:rowOff>
    </xdr:from>
    <xdr:to>
      <xdr:col>0</xdr:col>
      <xdr:colOff>1362075</xdr:colOff>
      <xdr:row>3</xdr:row>
      <xdr:rowOff>125284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C09689-FBA7-4A6E-B2AB-801D0C59A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7625"/>
          <a:ext cx="933450" cy="56343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361950</xdr:rowOff>
    </xdr:from>
    <xdr:to>
      <xdr:col>10</xdr:col>
      <xdr:colOff>410564</xdr:colOff>
      <xdr:row>5</xdr:row>
      <xdr:rowOff>114388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B687CE-5E8E-5F45-636F-3B7D77EA7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523875"/>
          <a:ext cx="7087589" cy="6287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10</xdr:row>
      <xdr:rowOff>114300</xdr:rowOff>
    </xdr:from>
    <xdr:to>
      <xdr:col>8</xdr:col>
      <xdr:colOff>247650</xdr:colOff>
      <xdr:row>22</xdr:row>
      <xdr:rowOff>9525</xdr:rowOff>
    </xdr:to>
    <xdr:pic>
      <xdr:nvPicPr>
        <xdr:cNvPr id="1018925" name="24 Imagen">
          <a:extLst>
            <a:ext uri="{FF2B5EF4-FFF2-40B4-BE49-F238E27FC236}">
              <a16:creationId xmlns:a16="http://schemas.microsoft.com/office/drawing/2014/main" id="{987C3920-20B2-1C6B-B5E2-425FA14A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95525"/>
          <a:ext cx="58197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6CA7A-33EE-4750-A146-614242834573}" name="Tabla2" displayName="Tabla2" ref="B3:J4" insertRow="1" totalsRowShown="0" headerRowDxfId="1">
  <autoFilter ref="B3:J4" xr:uid="{05752631-69EB-4334-BBD8-99CE9B5403DA}"/>
  <tableColumns count="9">
    <tableColumn id="1" xr3:uid="{00000000-0010-0000-0100-000001000000}" name="Código muestra                 LEM"/>
    <tableColumn id="2" xr3:uid="{00000000-0010-0000-0100-000002000000}" name="Código cliente"/>
    <tableColumn id="3" xr3:uid="{00000000-0010-0000-0100-000003000000}" name="Diámetro promedio (mm)"/>
    <tableColumn id="4" xr3:uid="{00000000-0010-0000-0100-000004000000}" name="Longitud promedio (mm)"/>
    <tableColumn id="5" xr3:uid="{00000000-0010-0000-0100-000005000000}" name="Área sección transversal (mm2)"/>
    <tableColumn id="6" xr3:uid="{00000000-0010-0000-0100-000006000000}" name="Carga                      Máxima                  (kN)              "/>
    <tableColumn id="7" xr3:uid="{00000000-0010-0000-0100-000007000000}" name="Resistencia Compresión   (Mpa)"/>
    <tableColumn id="8" xr3:uid="{00000000-0010-0000-0100-000008000000}" name="Densidad                      muestra (kg/m3)"/>
    <tableColumn id="9" xr3:uid="{00000000-0010-0000-0100-000009000000}" name="Tipo                   fractu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F61-0E2D-4589-BE67-B20C10249E1E}">
  <dimension ref="A1:P24"/>
  <sheetViews>
    <sheetView workbookViewId="0">
      <selection activeCell="K7" sqref="K7"/>
    </sheetView>
  </sheetViews>
  <sheetFormatPr baseColWidth="10" defaultColWidth="11.5703125" defaultRowHeight="12.75" x14ac:dyDescent="0.2"/>
  <cols>
    <col min="1" max="4" width="10.140625" style="18" customWidth="1"/>
    <col min="5" max="5" width="10.140625" style="346" customWidth="1"/>
    <col min="6" max="6" width="10.7109375" style="346" customWidth="1"/>
    <col min="7" max="8" width="9" style="346" customWidth="1"/>
    <col min="9" max="16" width="10.140625" style="18" customWidth="1"/>
    <col min="17" max="16384" width="11.5703125" style="18"/>
  </cols>
  <sheetData>
    <row r="1" spans="1:16" ht="43.15" customHeight="1" x14ac:dyDescent="0.2">
      <c r="A1" s="339"/>
      <c r="B1" s="340"/>
      <c r="C1" s="340"/>
      <c r="D1" s="340"/>
      <c r="E1" s="345"/>
      <c r="F1" s="345"/>
      <c r="G1" s="345"/>
      <c r="H1" s="345"/>
      <c r="I1" s="340"/>
      <c r="J1" s="340"/>
      <c r="K1" s="340"/>
      <c r="L1" s="340"/>
      <c r="M1" s="340"/>
      <c r="N1" s="340"/>
      <c r="O1" s="340"/>
      <c r="P1" s="125"/>
    </row>
    <row r="2" spans="1:16" ht="14.45" customHeight="1" x14ac:dyDescent="0.2"/>
    <row r="3" spans="1:16" ht="14.45" customHeight="1" x14ac:dyDescent="0.2">
      <c r="A3" s="438" t="s">
        <v>18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</row>
    <row r="4" spans="1:16" ht="14.45" customHeight="1" x14ac:dyDescent="0.25">
      <c r="A4" s="439" t="s">
        <v>206</v>
      </c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</row>
    <row r="5" spans="1:16" ht="14.45" customHeight="1" x14ac:dyDescent="0.2"/>
    <row r="6" spans="1:16" x14ac:dyDescent="0.2">
      <c r="A6" s="196" t="s">
        <v>21</v>
      </c>
      <c r="B6" s="350"/>
      <c r="C6" s="350"/>
      <c r="D6" s="381"/>
      <c r="E6" s="382"/>
      <c r="F6" s="382"/>
      <c r="G6" s="382"/>
      <c r="H6" s="382"/>
      <c r="O6" s="203" t="s">
        <v>207</v>
      </c>
      <c r="P6" s="381"/>
    </row>
    <row r="7" spans="1:16" x14ac:dyDescent="0.2">
      <c r="A7" s="196" t="s">
        <v>26</v>
      </c>
      <c r="B7" s="350"/>
      <c r="C7" s="350"/>
      <c r="D7" s="381"/>
      <c r="E7" s="382"/>
      <c r="F7" s="382"/>
      <c r="G7" s="382"/>
      <c r="H7" s="382"/>
      <c r="O7" s="203" t="s">
        <v>208</v>
      </c>
      <c r="P7" s="381"/>
    </row>
    <row r="8" spans="1:16" x14ac:dyDescent="0.2">
      <c r="A8" s="196" t="s">
        <v>22</v>
      </c>
      <c r="B8" s="350"/>
      <c r="C8" s="350"/>
      <c r="D8" s="381"/>
      <c r="E8" s="382"/>
      <c r="F8" s="382"/>
      <c r="G8" s="382"/>
      <c r="H8" s="382"/>
    </row>
    <row r="9" spans="1:16" x14ac:dyDescent="0.2">
      <c r="A9" s="196" t="s">
        <v>23</v>
      </c>
      <c r="B9" s="350"/>
      <c r="C9" s="350"/>
      <c r="D9" s="381"/>
      <c r="E9" s="382"/>
      <c r="F9" s="382"/>
      <c r="G9" s="382"/>
      <c r="H9" s="382"/>
    </row>
    <row r="10" spans="1:16" x14ac:dyDescent="0.2">
      <c r="O10" s="203" t="s">
        <v>198</v>
      </c>
      <c r="P10" s="383"/>
    </row>
    <row r="11" spans="1:16" x14ac:dyDescent="0.2">
      <c r="O11" s="200" t="s">
        <v>151</v>
      </c>
      <c r="P11" s="381"/>
    </row>
    <row r="13" spans="1:16" ht="47.45" customHeight="1" x14ac:dyDescent="0.2">
      <c r="A13" s="341" t="s">
        <v>30</v>
      </c>
      <c r="B13" s="341" t="s">
        <v>53</v>
      </c>
      <c r="C13" s="342" t="s">
        <v>31</v>
      </c>
      <c r="D13" s="347" t="s">
        <v>211</v>
      </c>
      <c r="E13" s="230" t="s">
        <v>138</v>
      </c>
      <c r="F13" s="230" t="s">
        <v>49</v>
      </c>
      <c r="G13" s="230" t="s">
        <v>209</v>
      </c>
      <c r="H13" s="348" t="s">
        <v>210</v>
      </c>
      <c r="I13" s="343" t="s">
        <v>42</v>
      </c>
      <c r="J13" s="343" t="s">
        <v>43</v>
      </c>
      <c r="K13" s="344" t="s">
        <v>44</v>
      </c>
      <c r="L13" s="344" t="s">
        <v>45</v>
      </c>
      <c r="M13" s="344" t="s">
        <v>46</v>
      </c>
      <c r="N13" s="344" t="s">
        <v>212</v>
      </c>
      <c r="O13" s="344" t="s">
        <v>36</v>
      </c>
      <c r="P13" s="341" t="s">
        <v>109</v>
      </c>
    </row>
    <row r="14" spans="1:16" ht="25.15" customHeight="1" x14ac:dyDescent="0.2">
      <c r="A14" s="351"/>
      <c r="B14" s="351"/>
      <c r="C14" s="351"/>
      <c r="D14" s="351"/>
      <c r="E14" s="380"/>
      <c r="F14" s="380"/>
      <c r="G14" s="380"/>
      <c r="H14" s="380"/>
      <c r="I14" s="351"/>
      <c r="J14" s="351"/>
      <c r="K14" s="351"/>
      <c r="L14" s="351"/>
      <c r="M14" s="351"/>
      <c r="N14" s="351"/>
      <c r="O14" s="351"/>
      <c r="P14" s="351"/>
    </row>
    <row r="15" spans="1:16" ht="25.15" customHeight="1" x14ac:dyDescent="0.2">
      <c r="A15" s="342"/>
      <c r="B15" s="342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</row>
    <row r="16" spans="1:16" ht="25.15" customHeight="1" x14ac:dyDescent="0.2">
      <c r="A16" s="342"/>
      <c r="B16" s="342"/>
      <c r="C16" s="342"/>
      <c r="D16" s="342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</row>
    <row r="17" spans="1:16" ht="25.15" customHeight="1" x14ac:dyDescent="0.2">
      <c r="A17" s="342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</row>
    <row r="18" spans="1:16" ht="25.15" customHeight="1" x14ac:dyDescent="0.2">
      <c r="A18" s="342"/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</row>
    <row r="19" spans="1:16" ht="25.15" customHeight="1" x14ac:dyDescent="0.2">
      <c r="A19" s="342"/>
      <c r="B19" s="342"/>
      <c r="C19" s="342"/>
      <c r="D19" s="342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</row>
    <row r="20" spans="1:16" ht="25.15" customHeight="1" x14ac:dyDescent="0.2">
      <c r="A20" s="342"/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</row>
    <row r="21" spans="1:16" ht="25.15" customHeight="1" x14ac:dyDescent="0.2">
      <c r="A21" s="342"/>
      <c r="B21" s="342"/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</row>
    <row r="22" spans="1:16" ht="25.15" customHeight="1" x14ac:dyDescent="0.2">
      <c r="A22" s="342"/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</row>
    <row r="23" spans="1:16" ht="25.15" customHeight="1" x14ac:dyDescent="0.2">
      <c r="A23" s="342"/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</row>
    <row r="24" spans="1:16" x14ac:dyDescent="0.2">
      <c r="B24"/>
    </row>
  </sheetData>
  <sheetProtection algorithmName="SHA-512" hashValue="V50RPHsBQdPNqL3vz1bD24QfObpKHscEbhukBIRmetlvglf3gvICAbjBTNn+3siROmjs+BoscYWT2YBSmXDo5g==" saltValue="rEbkNNcWfX8MD7H/4JYPkg==" spinCount="100000" sheet="1" objects="1" scenarios="1"/>
  <mergeCells count="2">
    <mergeCell ref="A3:P3"/>
    <mergeCell ref="A4:P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810-F0FF-49F4-B86C-2656A8FFCA3C}">
  <dimension ref="A1:V48"/>
  <sheetViews>
    <sheetView showGridLines="0" zoomScale="110" zoomScaleNormal="110" zoomScaleSheetLayoutView="100" workbookViewId="0">
      <selection activeCell="S7" sqref="S7"/>
    </sheetView>
  </sheetViews>
  <sheetFormatPr baseColWidth="10" defaultColWidth="10.28515625" defaultRowHeight="15" x14ac:dyDescent="0.25"/>
  <cols>
    <col min="1" max="1" width="10.7109375" style="194" customWidth="1"/>
    <col min="2" max="2" width="1.5703125" style="194" customWidth="1"/>
    <col min="3" max="3" width="10.140625" style="194" customWidth="1"/>
    <col min="4" max="4" width="5.28515625" style="194" customWidth="1"/>
    <col min="5" max="5" width="5" style="194" customWidth="1"/>
    <col min="6" max="6" width="9.5703125" style="194" customWidth="1"/>
    <col min="7" max="7" width="10.42578125" style="194" customWidth="1"/>
    <col min="8" max="8" width="8.85546875" style="194" customWidth="1"/>
    <col min="9" max="9" width="9.7109375" style="194" customWidth="1"/>
    <col min="10" max="10" width="12" style="194" customWidth="1"/>
    <col min="11" max="11" width="1" style="194" customWidth="1"/>
    <col min="12" max="12" width="5.7109375" style="194" customWidth="1"/>
    <col min="13" max="13" width="9" style="194" customWidth="1"/>
    <col min="14" max="14" width="3.42578125" style="194" customWidth="1"/>
    <col min="15" max="15" width="2.7109375" style="194" customWidth="1"/>
    <col min="16" max="16" width="7.42578125" style="194" customWidth="1"/>
    <col min="17" max="17" width="1.7109375" style="194" customWidth="1"/>
    <col min="18" max="18" width="11.28515625" style="194" bestFit="1" customWidth="1"/>
    <col min="19" max="16384" width="10.28515625" style="194"/>
  </cols>
  <sheetData>
    <row r="1" spans="1:22" ht="12.6" customHeight="1" x14ac:dyDescent="0.25">
      <c r="A1" s="193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2" spans="1:22" ht="18" customHeight="1" x14ac:dyDescent="0.25">
      <c r="A2" s="438" t="s">
        <v>18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22" ht="18" customHeight="1" x14ac:dyDescent="0.25">
      <c r="A3" s="455">
        <v>0</v>
      </c>
      <c r="B3" s="455"/>
      <c r="C3" s="455"/>
      <c r="D3" s="455"/>
      <c r="E3" s="455"/>
      <c r="F3" s="455"/>
      <c r="G3" s="455"/>
      <c r="H3" s="455"/>
      <c r="I3" s="455"/>
      <c r="J3" s="455"/>
      <c r="K3" s="455"/>
      <c r="L3" s="455"/>
      <c r="M3" s="455"/>
    </row>
    <row r="4" spans="1:22" ht="15.95" customHeight="1" x14ac:dyDescent="0.25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</row>
    <row r="5" spans="1:22" ht="16.899999999999999" customHeight="1" x14ac:dyDescent="0.25">
      <c r="A5" s="196" t="s">
        <v>21</v>
      </c>
      <c r="B5" s="197" t="s">
        <v>0</v>
      </c>
      <c r="C5" s="454">
        <f>+Resumen!B6</f>
        <v>0</v>
      </c>
      <c r="D5" s="454"/>
      <c r="E5" s="454"/>
      <c r="F5" s="454"/>
      <c r="G5" s="454"/>
      <c r="H5" s="454"/>
      <c r="I5" s="454"/>
      <c r="J5" s="200" t="s">
        <v>24</v>
      </c>
      <c r="K5" s="201" t="s">
        <v>0</v>
      </c>
      <c r="L5" s="456" t="s">
        <v>174</v>
      </c>
      <c r="M5" s="456"/>
      <c r="N5" s="202"/>
      <c r="O5" s="202"/>
      <c r="P5" s="202"/>
    </row>
    <row r="6" spans="1:22" ht="16.899999999999999" customHeight="1" x14ac:dyDescent="0.25">
      <c r="A6" s="196" t="s">
        <v>26</v>
      </c>
      <c r="B6" s="197" t="s">
        <v>0</v>
      </c>
      <c r="C6" s="454">
        <f>+Resumen!B7</f>
        <v>0</v>
      </c>
      <c r="D6" s="454"/>
      <c r="E6" s="454"/>
      <c r="F6" s="454"/>
      <c r="G6" s="454"/>
      <c r="H6" s="454"/>
      <c r="I6" s="454"/>
      <c r="J6" s="203" t="s">
        <v>128</v>
      </c>
      <c r="K6" s="197" t="s">
        <v>0</v>
      </c>
      <c r="L6" s="458">
        <f>+Resumen!P6</f>
        <v>0</v>
      </c>
      <c r="M6" s="458"/>
      <c r="N6" s="202"/>
      <c r="O6" s="202"/>
      <c r="P6" s="202"/>
      <c r="T6" s="204"/>
      <c r="U6" s="205"/>
      <c r="V6" s="206"/>
    </row>
    <row r="7" spans="1:22" ht="16.899999999999999" customHeight="1" x14ac:dyDescent="0.25">
      <c r="A7" s="196" t="s">
        <v>22</v>
      </c>
      <c r="B7" s="197" t="s">
        <v>0</v>
      </c>
      <c r="C7" s="454">
        <f>+Resumen!B8</f>
        <v>0</v>
      </c>
      <c r="D7" s="454"/>
      <c r="E7" s="454"/>
      <c r="F7" s="454"/>
      <c r="G7" s="454"/>
      <c r="H7" s="454"/>
      <c r="I7" s="454"/>
      <c r="J7" s="203" t="s">
        <v>164</v>
      </c>
      <c r="K7" s="197" t="s">
        <v>0</v>
      </c>
      <c r="L7" s="458">
        <f>+Resumen!P7</f>
        <v>0</v>
      </c>
      <c r="M7" s="458"/>
      <c r="N7" s="202"/>
      <c r="O7" s="202"/>
      <c r="P7" s="202"/>
      <c r="S7" s="204"/>
      <c r="T7" s="204"/>
      <c r="U7" s="205"/>
      <c r="V7" s="206"/>
    </row>
    <row r="8" spans="1:22" ht="16.899999999999999" customHeight="1" x14ac:dyDescent="0.25">
      <c r="A8" s="196" t="s">
        <v>23</v>
      </c>
      <c r="B8" s="197" t="s">
        <v>0</v>
      </c>
      <c r="C8" s="454">
        <f>+Resumen!B9</f>
        <v>0</v>
      </c>
      <c r="D8" s="454"/>
      <c r="E8" s="454"/>
      <c r="F8" s="454"/>
      <c r="G8" s="454"/>
      <c r="H8" s="454"/>
      <c r="I8" s="454"/>
      <c r="J8" s="203" t="s">
        <v>29</v>
      </c>
      <c r="K8" s="197" t="s">
        <v>0</v>
      </c>
      <c r="L8" s="451"/>
      <c r="M8" s="451"/>
      <c r="N8" s="202"/>
      <c r="O8" s="202"/>
      <c r="P8" s="202"/>
      <c r="S8" s="204"/>
      <c r="T8" s="204"/>
      <c r="U8" s="440"/>
      <c r="V8" s="440"/>
    </row>
    <row r="9" spans="1:22" ht="15.95" customHeight="1" x14ac:dyDescent="0.25">
      <c r="A9" s="207" t="s">
        <v>137</v>
      </c>
      <c r="B9" s="208"/>
      <c r="D9" s="209"/>
      <c r="E9" s="209"/>
      <c r="F9" s="199"/>
      <c r="G9" s="198"/>
      <c r="H9" s="198"/>
      <c r="I9" s="198"/>
      <c r="N9" s="202"/>
      <c r="O9" s="202"/>
      <c r="P9" s="202"/>
      <c r="S9" s="204"/>
      <c r="T9" s="204"/>
      <c r="U9" s="441"/>
      <c r="V9" s="441"/>
    </row>
    <row r="10" spans="1:22" ht="7.5" customHeight="1" x14ac:dyDescent="0.25">
      <c r="A10" s="210"/>
      <c r="B10" s="211"/>
      <c r="C10" s="212"/>
      <c r="D10" s="213"/>
      <c r="E10" s="213"/>
      <c r="F10" s="214"/>
      <c r="G10" s="215"/>
      <c r="H10" s="215"/>
      <c r="I10" s="215"/>
      <c r="J10" s="215"/>
      <c r="K10" s="215"/>
      <c r="L10" s="214"/>
      <c r="M10" s="214"/>
      <c r="N10" s="202"/>
      <c r="O10" s="202"/>
      <c r="P10" s="202"/>
      <c r="S10" s="204"/>
      <c r="T10" s="204"/>
      <c r="U10" s="216"/>
      <c r="V10" s="216"/>
    </row>
    <row r="11" spans="1:22" ht="18.75" customHeight="1" x14ac:dyDescent="0.25">
      <c r="A11" s="442" t="s">
        <v>173</v>
      </c>
      <c r="B11" s="443"/>
      <c r="C11" s="443"/>
      <c r="D11" s="443"/>
      <c r="E11" s="443"/>
      <c r="F11" s="443"/>
      <c r="G11" s="443"/>
      <c r="H11" s="443"/>
      <c r="I11" s="443"/>
      <c r="J11" s="443"/>
      <c r="K11" s="443"/>
      <c r="L11" s="443"/>
      <c r="M11" s="444"/>
      <c r="N11" s="202"/>
      <c r="O11" s="202"/>
      <c r="P11" s="202"/>
    </row>
    <row r="12" spans="1:22" ht="15" customHeight="1" x14ac:dyDescent="0.25">
      <c r="A12" s="461" t="s">
        <v>136</v>
      </c>
      <c r="B12" s="462"/>
      <c r="C12" s="462"/>
      <c r="D12" s="462"/>
      <c r="E12" s="462"/>
      <c r="F12" s="462"/>
      <c r="G12" s="462"/>
      <c r="H12" s="462"/>
      <c r="I12" s="462"/>
      <c r="J12" s="462"/>
      <c r="K12" s="462"/>
      <c r="L12" s="462"/>
      <c r="M12" s="463"/>
      <c r="P12" s="202"/>
    </row>
    <row r="13" spans="1:22" ht="6" customHeight="1" x14ac:dyDescent="0.25">
      <c r="A13" s="314"/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6"/>
      <c r="P13" s="202"/>
    </row>
    <row r="14" spans="1:22" ht="12" customHeight="1" x14ac:dyDescent="0.25">
      <c r="A14" s="319" t="s">
        <v>155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P14" s="202"/>
    </row>
    <row r="15" spans="1:22" ht="6.6" customHeight="1" x14ac:dyDescent="0.25">
      <c r="A15" s="217"/>
      <c r="B15" s="317"/>
      <c r="C15" s="317"/>
      <c r="D15" s="317"/>
      <c r="E15" s="317"/>
      <c r="F15" s="317"/>
      <c r="G15" s="317"/>
      <c r="H15" s="317"/>
      <c r="I15" s="317"/>
      <c r="M15" s="329"/>
      <c r="P15" s="202"/>
    </row>
    <row r="16" spans="1:22" ht="17.45" customHeight="1" x14ac:dyDescent="0.25">
      <c r="A16" s="217" t="s">
        <v>156</v>
      </c>
      <c r="B16" s="218" t="s">
        <v>0</v>
      </c>
      <c r="C16" s="453">
        <f>+Resumen!C14</f>
        <v>0</v>
      </c>
      <c r="D16" s="453"/>
      <c r="E16" s="453"/>
      <c r="F16" s="453"/>
      <c r="G16" s="453"/>
      <c r="H16" s="453"/>
      <c r="I16" s="219"/>
      <c r="J16" s="203" t="s">
        <v>198</v>
      </c>
      <c r="K16" s="197" t="s">
        <v>0</v>
      </c>
      <c r="L16" s="451">
        <f>+Resumen!P10</f>
        <v>0</v>
      </c>
      <c r="M16" s="452"/>
      <c r="N16" s="220"/>
      <c r="P16" s="202"/>
    </row>
    <row r="17" spans="1:16" ht="17.45" customHeight="1" x14ac:dyDescent="0.25">
      <c r="A17" s="221" t="s">
        <v>181</v>
      </c>
      <c r="B17" s="218" t="s">
        <v>0</v>
      </c>
      <c r="C17" s="283">
        <f>+Resumen!D14</f>
        <v>0</v>
      </c>
      <c r="D17" s="219"/>
      <c r="E17" s="219"/>
      <c r="F17" s="219"/>
      <c r="G17" s="219"/>
      <c r="H17" s="219"/>
      <c r="I17" s="219"/>
      <c r="J17" s="200" t="s">
        <v>138</v>
      </c>
      <c r="K17" s="218" t="s">
        <v>0</v>
      </c>
      <c r="L17" s="451">
        <f>+DATOS!C11</f>
        <v>0</v>
      </c>
      <c r="M17" s="452"/>
      <c r="N17" s="220"/>
      <c r="P17" s="202"/>
    </row>
    <row r="18" spans="1:16" ht="17.45" customHeight="1" x14ac:dyDescent="0.25">
      <c r="A18" s="221" t="s">
        <v>191</v>
      </c>
      <c r="B18" s="218" t="s">
        <v>0</v>
      </c>
      <c r="C18" s="198" t="str">
        <f>+DATOS!C17</f>
        <v>Cilindros Moldeados</v>
      </c>
      <c r="D18" s="223"/>
      <c r="E18" s="219"/>
      <c r="F18" s="219"/>
      <c r="G18" s="219"/>
      <c r="H18" s="219"/>
      <c r="I18" s="219"/>
      <c r="J18" s="200" t="s">
        <v>49</v>
      </c>
      <c r="K18" s="218" t="s">
        <v>0</v>
      </c>
      <c r="L18" s="451">
        <f>+DATOS!C13</f>
        <v>0</v>
      </c>
      <c r="M18" s="452"/>
      <c r="N18" s="220"/>
      <c r="P18" s="202"/>
    </row>
    <row r="19" spans="1:16" ht="15.95" customHeight="1" x14ac:dyDescent="0.25">
      <c r="A19" s="221" t="s">
        <v>166</v>
      </c>
      <c r="B19" s="222"/>
      <c r="D19" s="223"/>
      <c r="E19" s="219"/>
      <c r="F19" s="219"/>
      <c r="G19" s="219"/>
      <c r="H19" s="219"/>
      <c r="I19" s="219"/>
      <c r="J19" s="200" t="s">
        <v>50</v>
      </c>
      <c r="K19" s="218" t="s">
        <v>0</v>
      </c>
      <c r="L19" s="224">
        <f>+DATOS!C15</f>
        <v>0</v>
      </c>
      <c r="M19" s="225" t="str">
        <f>+DATOS!E15</f>
        <v>horas</v>
      </c>
      <c r="N19" s="220"/>
      <c r="P19" s="202"/>
    </row>
    <row r="20" spans="1:16" ht="9" customHeight="1" x14ac:dyDescent="0.25">
      <c r="A20" s="226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8"/>
      <c r="M20" s="229"/>
      <c r="N20" s="220"/>
      <c r="P20" s="202"/>
    </row>
    <row r="21" spans="1:16" ht="47.25" customHeight="1" x14ac:dyDescent="0.25">
      <c r="A21" s="447" t="s">
        <v>201</v>
      </c>
      <c r="B21" s="448"/>
      <c r="C21" s="230" t="s">
        <v>53</v>
      </c>
      <c r="D21" s="447" t="s">
        <v>32</v>
      </c>
      <c r="E21" s="448"/>
      <c r="F21" s="230" t="s">
        <v>33</v>
      </c>
      <c r="G21" s="230" t="s">
        <v>129</v>
      </c>
      <c r="H21" s="230" t="s">
        <v>202</v>
      </c>
      <c r="I21" s="230" t="s">
        <v>130</v>
      </c>
      <c r="J21" s="230" t="s">
        <v>182</v>
      </c>
      <c r="K21" s="447" t="s">
        <v>203</v>
      </c>
      <c r="L21" s="448"/>
      <c r="M21" s="230" t="s">
        <v>204</v>
      </c>
      <c r="N21" s="202"/>
      <c r="P21" s="202"/>
    </row>
    <row r="22" spans="1:16" ht="24.75" customHeight="1" x14ac:dyDescent="0.25">
      <c r="A22" s="445">
        <f>IF(DATOS!B20="","--",DATOS!B20)</f>
        <v>0</v>
      </c>
      <c r="B22" s="446"/>
      <c r="C22" s="349">
        <f>IF(DATOS!C20="","--",DATOS!C20)</f>
        <v>0</v>
      </c>
      <c r="D22" s="449">
        <f>+DATOS!D36</f>
        <v>-6.7762635780344027E-21</v>
      </c>
      <c r="E22" s="450"/>
      <c r="F22" s="352">
        <f>+DATOS!E36</f>
        <v>-6.7762635780344027E-21</v>
      </c>
      <c r="G22" s="352">
        <f>+DATOS!F36</f>
        <v>3.6063799341243148E-41</v>
      </c>
      <c r="H22" s="326">
        <f>+DATOS!G36</f>
        <v>0</v>
      </c>
      <c r="I22" s="327">
        <f>+DATOS!H36</f>
        <v>0</v>
      </c>
      <c r="J22" s="327">
        <f>+I22*10.1972</f>
        <v>0</v>
      </c>
      <c r="K22" s="457">
        <f>+DATOS!I36</f>
        <v>0</v>
      </c>
      <c r="L22" s="457"/>
      <c r="M22" s="328">
        <f>+DATOS!J36</f>
        <v>0</v>
      </c>
      <c r="N22" s="202"/>
      <c r="O22" s="202"/>
      <c r="P22" s="202"/>
    </row>
    <row r="23" spans="1:16" ht="24.75" hidden="1" customHeight="1" x14ac:dyDescent="0.25">
      <c r="A23" s="445">
        <f>IF(DATOS!B21="","--",DATOS!B21)</f>
        <v>0</v>
      </c>
      <c r="B23" s="446"/>
      <c r="C23" s="349">
        <f>IF(DATOS!C21="","--",DATOS!C21)</f>
        <v>0</v>
      </c>
      <c r="D23" s="449">
        <f>+DATOS!D37</f>
        <v>-6.7762635780344027E-21</v>
      </c>
      <c r="E23" s="450"/>
      <c r="F23" s="352">
        <f>+DATOS!E37</f>
        <v>-6.7762635780344027E-21</v>
      </c>
      <c r="G23" s="352">
        <f>+DATOS!F37</f>
        <v>3.6063799341243148E-41</v>
      </c>
      <c r="H23" s="326">
        <f>+DATOS!G37</f>
        <v>0</v>
      </c>
      <c r="I23" s="327">
        <f>+DATOS!H37</f>
        <v>0</v>
      </c>
      <c r="J23" s="327">
        <f>+I23*10.1972</f>
        <v>0</v>
      </c>
      <c r="K23" s="457">
        <f>+DATOS!I37</f>
        <v>0</v>
      </c>
      <c r="L23" s="457"/>
      <c r="M23" s="328">
        <f>+DATOS!J37</f>
        <v>0</v>
      </c>
      <c r="N23" s="202"/>
      <c r="O23" s="202"/>
      <c r="P23" s="202"/>
    </row>
    <row r="24" spans="1:16" ht="24.75" hidden="1" customHeight="1" x14ac:dyDescent="0.25">
      <c r="A24" s="445">
        <f>IF(DATOS!B22="","--",DATOS!B22)</f>
        <v>0</v>
      </c>
      <c r="B24" s="446"/>
      <c r="C24" s="349">
        <f>IF(DATOS!C22="","--",DATOS!C22)</f>
        <v>0</v>
      </c>
      <c r="D24" s="465">
        <f>+DATOS!D38</f>
        <v>-6.7762635780344027E-21</v>
      </c>
      <c r="E24" s="465"/>
      <c r="F24" s="352">
        <f>+DATOS!E38</f>
        <v>-6.7762635780344027E-21</v>
      </c>
      <c r="G24" s="352">
        <f>+DATOS!F38</f>
        <v>3.6063799341243148E-41</v>
      </c>
      <c r="H24" s="326">
        <f>+DATOS!G38</f>
        <v>0</v>
      </c>
      <c r="I24" s="327">
        <f>+DATOS!H38</f>
        <v>0</v>
      </c>
      <c r="J24" s="327">
        <f>+I24*10.1972</f>
        <v>0</v>
      </c>
      <c r="K24" s="457">
        <f>+DATOS!I38</f>
        <v>0</v>
      </c>
      <c r="L24" s="457"/>
      <c r="M24" s="328">
        <f>+DATOS!J38</f>
        <v>0</v>
      </c>
      <c r="N24" s="202"/>
      <c r="O24" s="202"/>
      <c r="P24" s="202"/>
    </row>
    <row r="25" spans="1:16" ht="20.25" customHeight="1" x14ac:dyDescent="0.25">
      <c r="A25" s="157"/>
      <c r="B25" s="157"/>
      <c r="C25" s="157"/>
      <c r="D25" s="157"/>
      <c r="E25" s="157"/>
      <c r="F25" s="157"/>
      <c r="G25" s="157"/>
      <c r="H25" s="157"/>
      <c r="I25" s="320"/>
      <c r="J25" s="321"/>
      <c r="K25" s="322"/>
      <c r="L25" s="323"/>
      <c r="M25" s="231"/>
      <c r="N25" s="202"/>
      <c r="O25" s="202"/>
      <c r="P25" s="202"/>
    </row>
    <row r="26" spans="1:16" ht="15.95" customHeight="1" x14ac:dyDescent="0.25">
      <c r="A26" s="232" t="s">
        <v>37</v>
      </c>
      <c r="B26" s="231"/>
      <c r="C26" s="231"/>
      <c r="D26" s="231"/>
      <c r="E26" s="233"/>
      <c r="F26" s="464" t="str">
        <f>+DATOS!N20</f>
        <v>-</v>
      </c>
      <c r="G26" s="464"/>
      <c r="H26" s="464"/>
      <c r="I26" s="464"/>
      <c r="J26" s="464"/>
      <c r="K26" s="464"/>
      <c r="L26" s="464"/>
      <c r="M26" s="464"/>
      <c r="N26" s="202"/>
      <c r="O26" s="202"/>
      <c r="P26" s="202"/>
    </row>
    <row r="27" spans="1:16" ht="15.95" customHeight="1" x14ac:dyDescent="0.25">
      <c r="A27" s="234"/>
      <c r="B27" s="231"/>
      <c r="C27" s="233"/>
      <c r="D27" s="231"/>
      <c r="E27" s="233"/>
      <c r="F27" s="464"/>
      <c r="G27" s="464"/>
      <c r="H27" s="464"/>
      <c r="I27" s="464"/>
      <c r="J27" s="464"/>
      <c r="K27" s="464"/>
      <c r="L27" s="464"/>
      <c r="M27" s="464"/>
      <c r="N27" s="202"/>
      <c r="O27" s="202"/>
      <c r="P27" s="202"/>
    </row>
    <row r="28" spans="1:16" ht="15.95" customHeight="1" x14ac:dyDescent="0.25">
      <c r="A28" s="147" t="s">
        <v>19</v>
      </c>
      <c r="B28" s="235"/>
      <c r="C28" s="236"/>
      <c r="D28" s="236"/>
      <c r="E28" s="236"/>
      <c r="F28" s="236"/>
      <c r="G28" s="236"/>
      <c r="H28" s="236"/>
      <c r="I28" s="236"/>
      <c r="J28" s="236"/>
      <c r="K28" s="236"/>
      <c r="L28" s="237"/>
      <c r="M28" s="237"/>
      <c r="N28" s="202"/>
      <c r="O28" s="202"/>
      <c r="P28" s="202"/>
    </row>
    <row r="29" spans="1:16" ht="15.95" customHeight="1" x14ac:dyDescent="0.25">
      <c r="A29" s="238" t="s">
        <v>214</v>
      </c>
      <c r="B29" s="235"/>
      <c r="C29" s="239"/>
      <c r="D29" s="235"/>
      <c r="E29" s="235"/>
      <c r="F29" s="236"/>
      <c r="G29" s="236"/>
      <c r="H29" s="236"/>
      <c r="I29" s="236"/>
      <c r="J29" s="236"/>
      <c r="K29" s="236"/>
      <c r="L29" s="237"/>
      <c r="M29" s="237"/>
      <c r="N29" s="202"/>
      <c r="O29" s="202"/>
      <c r="P29" s="202"/>
    </row>
    <row r="30" spans="1:16" ht="39" customHeight="1" x14ac:dyDescent="0.25">
      <c r="A30" s="467" t="s">
        <v>215</v>
      </c>
      <c r="B30" s="467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202"/>
      <c r="O30" s="202"/>
      <c r="P30" s="202"/>
    </row>
    <row r="31" spans="1:16" ht="16.149999999999999" customHeight="1" x14ac:dyDescent="0.25">
      <c r="A31" s="460" t="s">
        <v>217</v>
      </c>
      <c r="B31" s="460"/>
      <c r="C31" s="460"/>
      <c r="D31" s="460"/>
      <c r="E31" s="460"/>
      <c r="F31" s="460"/>
      <c r="G31" s="460"/>
      <c r="H31" s="460"/>
      <c r="I31" s="460"/>
      <c r="J31" s="460"/>
      <c r="K31" s="460"/>
      <c r="L31" s="460"/>
      <c r="M31" s="460"/>
      <c r="N31" s="202"/>
      <c r="O31" s="202"/>
      <c r="P31" s="202"/>
    </row>
    <row r="32" spans="1:16" ht="25.9" customHeight="1" x14ac:dyDescent="0.25">
      <c r="A32" s="467" t="s">
        <v>216</v>
      </c>
      <c r="B32" s="467"/>
      <c r="C32" s="467"/>
      <c r="D32" s="467"/>
      <c r="E32" s="467"/>
      <c r="F32" s="467"/>
      <c r="G32" s="467"/>
      <c r="H32" s="467"/>
      <c r="I32" s="467"/>
      <c r="J32" s="467"/>
      <c r="K32" s="467"/>
      <c r="L32" s="237"/>
      <c r="M32" s="237"/>
      <c r="N32" s="202"/>
      <c r="O32" s="202"/>
      <c r="P32" s="202"/>
    </row>
    <row r="33" spans="1:16" ht="25.15" customHeight="1" x14ac:dyDescent="0.25">
      <c r="A33" s="466" t="s">
        <v>218</v>
      </c>
      <c r="B33" s="466"/>
      <c r="C33" s="466"/>
      <c r="D33" s="466"/>
      <c r="E33" s="466"/>
      <c r="F33" s="466"/>
      <c r="G33" s="466"/>
      <c r="H33" s="466"/>
      <c r="I33" s="466"/>
      <c r="J33" s="466"/>
      <c r="K33" s="466"/>
      <c r="L33" s="466"/>
      <c r="M33" s="466"/>
      <c r="N33" s="324"/>
      <c r="O33" s="202"/>
      <c r="P33" s="202"/>
    </row>
    <row r="34" spans="1:16" ht="11.45" customHeight="1" x14ac:dyDescent="0.25">
      <c r="A34" s="241"/>
      <c r="B34" s="240"/>
      <c r="C34" s="237"/>
      <c r="D34" s="236"/>
      <c r="E34" s="236"/>
      <c r="F34" s="236"/>
      <c r="G34" s="236"/>
      <c r="H34" s="236"/>
      <c r="I34" s="236"/>
      <c r="J34" s="236"/>
      <c r="K34" s="236"/>
      <c r="L34" s="237"/>
      <c r="M34" s="237"/>
      <c r="N34" s="202"/>
      <c r="O34" s="202"/>
      <c r="P34" s="202"/>
    </row>
    <row r="35" spans="1:16" ht="15.95" customHeight="1" x14ac:dyDescent="0.25">
      <c r="A35" s="242" t="s">
        <v>27</v>
      </c>
      <c r="B35" s="240"/>
      <c r="N35" s="202"/>
      <c r="O35" s="202"/>
      <c r="P35" s="202"/>
    </row>
    <row r="36" spans="1:16" ht="15.95" customHeight="1" x14ac:dyDescent="0.25">
      <c r="A36" s="32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02"/>
      <c r="O36" s="202"/>
      <c r="P36" s="202"/>
    </row>
    <row r="37" spans="1:16" ht="103.9" customHeight="1" x14ac:dyDescent="0.25">
      <c r="A37" s="239"/>
      <c r="B37" s="239"/>
      <c r="C37" s="239"/>
      <c r="D37" s="236"/>
      <c r="E37" s="236"/>
      <c r="F37" s="236"/>
      <c r="G37" s="236"/>
      <c r="H37" s="236"/>
      <c r="I37" s="236"/>
      <c r="J37" s="236"/>
      <c r="K37" s="236"/>
      <c r="L37" s="237"/>
      <c r="M37" s="237"/>
      <c r="N37" s="202"/>
      <c r="O37" s="202"/>
      <c r="P37" s="202"/>
    </row>
    <row r="38" spans="1:16" ht="63.75" customHeight="1" x14ac:dyDescent="0.25">
      <c r="A38" s="239"/>
      <c r="B38" s="239"/>
      <c r="C38" s="239"/>
      <c r="D38" s="236"/>
      <c r="E38" s="236"/>
      <c r="F38" s="285"/>
      <c r="G38" s="285"/>
      <c r="H38" s="285"/>
      <c r="I38" s="285"/>
      <c r="J38" s="285"/>
      <c r="K38" s="285"/>
      <c r="L38" s="286"/>
      <c r="M38" s="286"/>
      <c r="N38" s="202"/>
      <c r="O38" s="202"/>
      <c r="P38" s="202"/>
    </row>
    <row r="39" spans="1:16" x14ac:dyDescent="0.25">
      <c r="A39" s="236"/>
      <c r="B39" s="236"/>
      <c r="C39" s="236"/>
      <c r="D39" s="236"/>
      <c r="E39" s="236"/>
      <c r="F39" s="285"/>
      <c r="G39" s="285"/>
      <c r="H39" s="285"/>
      <c r="I39" s="285"/>
      <c r="J39" s="285"/>
      <c r="K39" s="285"/>
      <c r="L39" s="286"/>
      <c r="M39" s="286"/>
      <c r="N39" s="202"/>
      <c r="O39" s="202"/>
      <c r="P39" s="202"/>
    </row>
    <row r="40" spans="1:16" ht="15.95" customHeight="1" x14ac:dyDescent="0.25">
      <c r="A40" s="37" t="s">
        <v>20</v>
      </c>
      <c r="B40" s="236"/>
      <c r="C40" s="236"/>
      <c r="D40" s="236"/>
      <c r="E40" s="236"/>
      <c r="F40" s="285"/>
      <c r="G40" s="285"/>
      <c r="H40" s="285"/>
      <c r="I40" s="285"/>
      <c r="J40" s="285"/>
      <c r="K40" s="285"/>
      <c r="L40" s="286"/>
      <c r="M40" s="286"/>
      <c r="N40" s="202"/>
      <c r="O40" s="202"/>
      <c r="P40" s="202"/>
    </row>
    <row r="41" spans="1:16" ht="15.95" customHeight="1" x14ac:dyDescent="0.25">
      <c r="A41" s="37" t="s">
        <v>219</v>
      </c>
      <c r="B41" s="236"/>
      <c r="C41" s="236"/>
      <c r="D41" s="236"/>
      <c r="E41" s="236"/>
      <c r="F41" s="285"/>
      <c r="G41" s="285"/>
      <c r="H41" s="285"/>
      <c r="I41" s="285"/>
      <c r="J41" s="285"/>
      <c r="K41" s="285"/>
      <c r="L41" s="459" t="s">
        <v>25</v>
      </c>
      <c r="M41" s="459"/>
      <c r="N41" s="202"/>
      <c r="O41" s="202"/>
      <c r="P41" s="202"/>
    </row>
    <row r="42" spans="1:16" ht="15.95" customHeight="1" x14ac:dyDescent="0.25">
      <c r="A42" s="236"/>
      <c r="B42" s="236"/>
      <c r="C42" s="236"/>
      <c r="D42" s="236"/>
      <c r="E42" s="236"/>
      <c r="F42" s="285"/>
      <c r="G42" s="285"/>
      <c r="H42" s="285"/>
      <c r="I42" s="285"/>
      <c r="J42" s="285"/>
      <c r="K42" s="285"/>
      <c r="L42" s="287"/>
      <c r="M42" s="287"/>
      <c r="N42" s="202"/>
      <c r="O42" s="202"/>
      <c r="P42" s="202"/>
    </row>
    <row r="43" spans="1:16" ht="15.95" customHeight="1" x14ac:dyDescent="0.25">
      <c r="A43" s="236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43"/>
      <c r="M43" s="243"/>
      <c r="N43" s="202"/>
      <c r="O43" s="202"/>
      <c r="P43" s="202"/>
    </row>
    <row r="44" spans="1:16" ht="15.95" customHeight="1" x14ac:dyDescent="0.25">
      <c r="A44" s="236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43"/>
      <c r="M44" s="243"/>
      <c r="N44" s="202"/>
      <c r="O44" s="202"/>
      <c r="P44" s="202"/>
    </row>
    <row r="45" spans="1:16" ht="12.75" customHeight="1" x14ac:dyDescent="0.25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02"/>
      <c r="O45" s="202"/>
      <c r="P45" s="202"/>
    </row>
    <row r="46" spans="1:16" ht="12.75" customHeight="1" x14ac:dyDescent="0.25"/>
    <row r="47" spans="1:16" ht="15.95" customHeight="1" x14ac:dyDescent="0.25"/>
    <row r="48" spans="1:16" ht="15.95" customHeight="1" x14ac:dyDescent="0.25"/>
  </sheetData>
  <sheetProtection algorithmName="SHA-512" hashValue="wPd9RMXKy0+AQmtfMUao4o9iqMVTc1slWl8kUFY4AmvYWP3CJ0FLt/lffJ8v9sVhEuYHAhono4btNaQqMgSV1A==" saltValue="VPy0Sq0FQwYgp18kc3StcQ==" spinCount="100000" sheet="1" objects="1" scenarios="1"/>
  <protectedRanges>
    <protectedRange sqref="C5:C8" name="Rango3_3_1_1_1_1_1_2_1"/>
  </protectedRanges>
  <mergeCells count="36">
    <mergeCell ref="L41:M41"/>
    <mergeCell ref="A31:M31"/>
    <mergeCell ref="A12:M12"/>
    <mergeCell ref="K21:L21"/>
    <mergeCell ref="A22:B22"/>
    <mergeCell ref="K23:L23"/>
    <mergeCell ref="F26:M27"/>
    <mergeCell ref="D24:E24"/>
    <mergeCell ref="A33:M33"/>
    <mergeCell ref="A32:K32"/>
    <mergeCell ref="A30:M30"/>
    <mergeCell ref="A2:M2"/>
    <mergeCell ref="A3:M3"/>
    <mergeCell ref="L5:M5"/>
    <mergeCell ref="A21:B21"/>
    <mergeCell ref="K24:L24"/>
    <mergeCell ref="A23:B23"/>
    <mergeCell ref="L7:M7"/>
    <mergeCell ref="K22:L22"/>
    <mergeCell ref="L6:M6"/>
    <mergeCell ref="C5:I5"/>
    <mergeCell ref="C6:I6"/>
    <mergeCell ref="C7:I7"/>
    <mergeCell ref="U8:V8"/>
    <mergeCell ref="U9:V9"/>
    <mergeCell ref="A11:M11"/>
    <mergeCell ref="A24:B24"/>
    <mergeCell ref="D21:E21"/>
    <mergeCell ref="D22:E22"/>
    <mergeCell ref="D23:E23"/>
    <mergeCell ref="L16:M16"/>
    <mergeCell ref="L8:M8"/>
    <mergeCell ref="C16:H16"/>
    <mergeCell ref="L17:M17"/>
    <mergeCell ref="L18:M18"/>
    <mergeCell ref="C8:I8"/>
  </mergeCells>
  <printOptions horizontalCentered="1"/>
  <pageMargins left="0" right="0" top="1.5748031496062993" bottom="0.39370078740157483" header="0" footer="0"/>
  <pageSetup paperSize="274" scale="88" orientation="portrait" r:id="rId1"/>
  <headerFooter scaleWithDoc="0">
    <oddHeader xml:space="preserve">&amp;C&amp;G
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EEB-DC2E-4FB1-AC02-49075B487158}">
  <dimension ref="B3:K5"/>
  <sheetViews>
    <sheetView workbookViewId="0">
      <selection activeCell="I5" sqref="I5"/>
    </sheetView>
  </sheetViews>
  <sheetFormatPr baseColWidth="10" defaultRowHeight="12.75" x14ac:dyDescent="0.2"/>
  <cols>
    <col min="2" max="2" width="12.42578125" customWidth="1"/>
    <col min="3" max="7" width="11.42578125" customWidth="1"/>
    <col min="8" max="8" width="11.7109375" customWidth="1"/>
    <col min="9" max="10" width="11.42578125" customWidth="1"/>
  </cols>
  <sheetData>
    <row r="3" spans="2:11" ht="51" x14ac:dyDescent="0.2">
      <c r="B3" s="16" t="s">
        <v>30</v>
      </c>
      <c r="C3" s="16" t="s">
        <v>53</v>
      </c>
      <c r="D3" s="16" t="s">
        <v>32</v>
      </c>
      <c r="E3" s="16" t="s">
        <v>33</v>
      </c>
      <c r="F3" s="16" t="s">
        <v>34</v>
      </c>
      <c r="G3" s="16" t="s">
        <v>35</v>
      </c>
      <c r="H3" s="16" t="s">
        <v>17</v>
      </c>
      <c r="I3" s="16" t="s">
        <v>40</v>
      </c>
      <c r="J3" s="16" t="s">
        <v>36</v>
      </c>
      <c r="K3" s="15"/>
    </row>
    <row r="5" spans="2:11" x14ac:dyDescent="0.2">
      <c r="G5" s="14" t="s">
        <v>54</v>
      </c>
      <c r="H5" t="e">
        <f>AVERAGE(H4)</f>
        <v>#DIV/0!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8C2-C1B9-46B8-9CA5-F8A985F2FEF2}">
  <sheetPr>
    <tabColor theme="0"/>
  </sheetPr>
  <dimension ref="A1:U72"/>
  <sheetViews>
    <sheetView zoomScale="110" zoomScaleNormal="110" workbookViewId="0">
      <selection activeCell="F15" sqref="F15"/>
    </sheetView>
  </sheetViews>
  <sheetFormatPr baseColWidth="10" defaultColWidth="11.42578125" defaultRowHeight="12" x14ac:dyDescent="0.2"/>
  <cols>
    <col min="1" max="1" width="1.140625" style="17" customWidth="1"/>
    <col min="2" max="2" width="12.85546875" style="17" customWidth="1"/>
    <col min="3" max="3" width="12" style="17" customWidth="1"/>
    <col min="4" max="7" width="9.5703125" style="17" customWidth="1"/>
    <col min="8" max="8" width="11.140625" style="17" customWidth="1"/>
    <col min="9" max="11" width="9.5703125" style="17" customWidth="1"/>
    <col min="12" max="12" width="11" style="17" customWidth="1"/>
    <col min="13" max="13" width="9.7109375" style="17" customWidth="1"/>
    <col min="14" max="14" width="11.140625" style="17" customWidth="1"/>
    <col min="15" max="15" width="11" style="17" customWidth="1"/>
    <col min="16" max="18" width="9.7109375" style="17" customWidth="1"/>
    <col min="19" max="19" width="14.5703125" style="17" customWidth="1"/>
    <col min="20" max="20" width="13" style="17" customWidth="1"/>
    <col min="21" max="21" width="9.7109375" style="17" customWidth="1"/>
    <col min="22" max="22" width="11.42578125" style="17"/>
    <col min="23" max="25" width="10.140625" style="17" customWidth="1"/>
    <col min="26" max="16384" width="11.42578125" style="17"/>
  </cols>
  <sheetData>
    <row r="1" spans="1:21" ht="4.1500000000000004" customHeight="1" x14ac:dyDescent="0.2"/>
    <row r="2" spans="1:21" ht="13.5" customHeight="1" x14ac:dyDescent="0.2">
      <c r="B2" s="473" t="s">
        <v>58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5"/>
      <c r="N2" s="156"/>
      <c r="O2" s="156"/>
      <c r="P2" s="156"/>
      <c r="Q2" s="156"/>
      <c r="R2" s="156"/>
      <c r="S2" s="156"/>
      <c r="T2" s="156"/>
      <c r="U2" s="156"/>
    </row>
    <row r="3" spans="1:21" ht="13.5" customHeight="1" x14ac:dyDescent="0.2">
      <c r="B3" s="476" t="s">
        <v>197</v>
      </c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8"/>
      <c r="N3" s="156"/>
      <c r="O3" s="156"/>
      <c r="P3" s="156"/>
      <c r="Q3" s="156"/>
      <c r="R3" s="156"/>
      <c r="S3" s="156"/>
      <c r="T3" s="156"/>
      <c r="U3" s="156"/>
    </row>
    <row r="4" spans="1:21" ht="4.9000000000000004" customHeight="1" x14ac:dyDescent="0.2">
      <c r="A4" s="157"/>
      <c r="B4" s="157"/>
      <c r="C4" s="157"/>
      <c r="D4" s="157"/>
      <c r="E4" s="157"/>
      <c r="F4" s="157"/>
      <c r="G4" s="157"/>
      <c r="H4" s="157"/>
      <c r="I4" s="157"/>
    </row>
    <row r="5" spans="1:21" ht="13.9" customHeight="1" x14ac:dyDescent="0.2">
      <c r="B5" s="173" t="s">
        <v>154</v>
      </c>
      <c r="C5" s="174"/>
      <c r="D5" s="174"/>
      <c r="E5" s="174"/>
      <c r="F5" s="175"/>
      <c r="G5" s="173"/>
      <c r="H5" s="174" t="s">
        <v>172</v>
      </c>
      <c r="I5" s="174"/>
      <c r="J5" s="174"/>
      <c r="K5" s="174"/>
      <c r="L5" s="159"/>
      <c r="M5" s="148"/>
      <c r="N5" s="173" t="s">
        <v>229</v>
      </c>
      <c r="O5" s="174"/>
      <c r="P5" s="174"/>
      <c r="Q5" s="175"/>
      <c r="R5" s="158"/>
      <c r="S5" s="158"/>
    </row>
    <row r="6" spans="1:21" ht="13.9" customHeight="1" x14ac:dyDescent="0.2">
      <c r="B6" s="176" t="s">
        <v>56</v>
      </c>
      <c r="C6" s="246">
        <f>+Balanza!C7</f>
        <v>-1.4899999999999999E-6</v>
      </c>
      <c r="D6" s="337" t="s">
        <v>200</v>
      </c>
      <c r="E6" s="336">
        <f>+Balanza!C12</f>
        <v>46160</v>
      </c>
      <c r="F6" s="178"/>
      <c r="G6" s="179"/>
      <c r="H6" s="177" t="s">
        <v>56</v>
      </c>
      <c r="I6" s="177"/>
      <c r="J6" s="180">
        <v>-2.0000000000000001E-4</v>
      </c>
      <c r="K6" s="177" t="s">
        <v>100</v>
      </c>
      <c r="L6" s="163" t="s">
        <v>200</v>
      </c>
      <c r="M6" s="361">
        <v>46185</v>
      </c>
      <c r="N6" s="378" t="s">
        <v>200</v>
      </c>
      <c r="O6" s="336">
        <v>45902</v>
      </c>
      <c r="P6" s="337"/>
      <c r="Q6" s="379" t="str">
        <f>+INCERTIDUMBRE!D50</f>
        <v>U</v>
      </c>
      <c r="R6" s="156"/>
      <c r="S6" s="156"/>
    </row>
    <row r="7" spans="1:21" ht="3.6" customHeight="1" x14ac:dyDescent="0.2"/>
    <row r="8" spans="1:21" ht="12.6" customHeight="1" x14ac:dyDescent="0.2">
      <c r="B8" s="479" t="s">
        <v>51</v>
      </c>
      <c r="C8" s="480"/>
      <c r="D8" s="481"/>
      <c r="G8" s="172" t="s">
        <v>152</v>
      </c>
      <c r="H8" s="172"/>
    </row>
    <row r="9" spans="1:21" ht="21.6" customHeight="1" x14ac:dyDescent="0.2">
      <c r="B9" s="20" t="s">
        <v>31</v>
      </c>
      <c r="C9" s="487">
        <f>+Resumen!C14</f>
        <v>0</v>
      </c>
      <c r="D9" s="487"/>
      <c r="E9" s="144"/>
      <c r="G9" s="167" t="s">
        <v>28</v>
      </c>
      <c r="H9" s="167" t="s">
        <v>41</v>
      </c>
      <c r="J9" s="170"/>
      <c r="K9" s="248" t="s">
        <v>168</v>
      </c>
      <c r="L9" s="294" t="s">
        <v>134</v>
      </c>
      <c r="N9" s="187" t="s">
        <v>162</v>
      </c>
      <c r="O9" s="82"/>
      <c r="P9" s="82"/>
      <c r="Q9" s="82"/>
      <c r="R9" s="82"/>
      <c r="S9" s="154"/>
      <c r="T9" s="24"/>
    </row>
    <row r="10" spans="1:21" ht="16.5" customHeight="1" x14ac:dyDescent="0.2">
      <c r="B10" s="21" t="s">
        <v>180</v>
      </c>
      <c r="C10" s="486">
        <f>+Resumen!D14</f>
        <v>0</v>
      </c>
      <c r="D10" s="486"/>
      <c r="E10" s="313" t="e">
        <f>+LOOKUP(C10,G10:G16,H10:H16)</f>
        <v>#N/A</v>
      </c>
      <c r="G10" s="167">
        <v>100</v>
      </c>
      <c r="H10" s="171">
        <v>9.8066499999999994</v>
      </c>
      <c r="N10" s="277" t="s">
        <v>177</v>
      </c>
      <c r="O10" s="280" t="s">
        <v>158</v>
      </c>
      <c r="P10" s="159"/>
      <c r="Q10" s="159"/>
      <c r="R10" s="159"/>
      <c r="S10" s="148"/>
      <c r="T10" s="18"/>
    </row>
    <row r="11" spans="1:21" ht="16.5" customHeight="1" x14ac:dyDescent="0.2">
      <c r="B11" s="20" t="s">
        <v>48</v>
      </c>
      <c r="C11" s="471">
        <f>+Resumen!E14</f>
        <v>0</v>
      </c>
      <c r="D11" s="471"/>
      <c r="G11" s="167">
        <v>140</v>
      </c>
      <c r="H11" s="171">
        <v>13.7293</v>
      </c>
      <c r="N11" s="278" t="s">
        <v>178</v>
      </c>
      <c r="O11" s="281" t="s">
        <v>159</v>
      </c>
      <c r="S11" s="160"/>
      <c r="T11" s="18"/>
    </row>
    <row r="12" spans="1:21" ht="16.5" customHeight="1" x14ac:dyDescent="0.2">
      <c r="B12" s="20" t="s">
        <v>133</v>
      </c>
      <c r="C12" s="470">
        <f>+Resumen!G14</f>
        <v>0</v>
      </c>
      <c r="D12" s="470"/>
      <c r="E12" s="191" t="s">
        <v>150</v>
      </c>
      <c r="G12" s="167">
        <v>175</v>
      </c>
      <c r="H12" s="171">
        <v>17.1616</v>
      </c>
      <c r="N12" s="278" t="s">
        <v>81</v>
      </c>
      <c r="O12" s="281" t="s">
        <v>160</v>
      </c>
      <c r="S12" s="160"/>
      <c r="T12" s="263"/>
    </row>
    <row r="13" spans="1:21" ht="16.5" customHeight="1" x14ac:dyDescent="0.2">
      <c r="B13" s="20" t="s">
        <v>49</v>
      </c>
      <c r="C13" s="471">
        <f>+Resumen!F14</f>
        <v>0</v>
      </c>
      <c r="D13" s="471"/>
      <c r="E13" s="191"/>
      <c r="G13" s="167">
        <v>210</v>
      </c>
      <c r="H13" s="171">
        <v>20.594000000000001</v>
      </c>
      <c r="N13" s="278" t="s">
        <v>179</v>
      </c>
      <c r="O13" s="281" t="s">
        <v>161</v>
      </c>
      <c r="S13" s="160"/>
      <c r="T13" s="262"/>
    </row>
    <row r="14" spans="1:21" ht="16.5" customHeight="1" x14ac:dyDescent="0.2">
      <c r="B14" s="20" t="s">
        <v>131</v>
      </c>
      <c r="C14" s="470">
        <f>+Resumen!H14</f>
        <v>0</v>
      </c>
      <c r="D14" s="470"/>
      <c r="E14" s="191" t="s">
        <v>132</v>
      </c>
      <c r="G14" s="167">
        <v>245</v>
      </c>
      <c r="H14" s="171">
        <v>24.026299999999999</v>
      </c>
      <c r="N14" s="278" t="s">
        <v>13</v>
      </c>
      <c r="O14" s="282" t="s">
        <v>163</v>
      </c>
      <c r="S14" s="160"/>
      <c r="T14" s="18"/>
    </row>
    <row r="15" spans="1:21" ht="16.5" customHeight="1" x14ac:dyDescent="0.2">
      <c r="B15" s="20" t="s">
        <v>50</v>
      </c>
      <c r="C15" s="488">
        <f>+IF(C13-C11&lt;3,(INT(((C13+C14)-(C11+C12))*24)),C13-C11)</f>
        <v>0</v>
      </c>
      <c r="D15" s="488"/>
      <c r="E15" s="157" t="str">
        <f>+IF(C13-C11&lt;3,"horas","días")</f>
        <v>horas</v>
      </c>
      <c r="F15" s="161"/>
      <c r="G15" s="167">
        <v>280</v>
      </c>
      <c r="H15" s="171">
        <v>27.458600000000001</v>
      </c>
      <c r="N15" s="162"/>
      <c r="O15" s="163"/>
      <c r="P15" s="163"/>
      <c r="Q15" s="163"/>
      <c r="R15" s="163"/>
      <c r="S15" s="164"/>
      <c r="T15" s="18"/>
    </row>
    <row r="16" spans="1:21" ht="16.5" customHeight="1" x14ac:dyDescent="0.2">
      <c r="B16" s="20" t="s">
        <v>151</v>
      </c>
      <c r="C16" s="472">
        <f>+Resumen!P11</f>
        <v>0</v>
      </c>
      <c r="D16" s="472"/>
      <c r="G16" s="167">
        <v>350</v>
      </c>
      <c r="H16" s="171">
        <v>34.323300000000003</v>
      </c>
      <c r="T16" s="18"/>
    </row>
    <row r="17" spans="2:20" ht="16.5" customHeight="1" x14ac:dyDescent="0.2">
      <c r="B17" s="20" t="s">
        <v>191</v>
      </c>
      <c r="C17" s="472" t="s">
        <v>192</v>
      </c>
      <c r="D17" s="472"/>
      <c r="G17" s="143"/>
      <c r="H17" s="293"/>
      <c r="T17" s="18"/>
    </row>
    <row r="18" spans="2:20" ht="13.9" customHeight="1" x14ac:dyDescent="0.2">
      <c r="T18" s="18"/>
    </row>
    <row r="19" spans="2:20" ht="33.75" customHeight="1" x14ac:dyDescent="0.2">
      <c r="B19" s="153" t="s">
        <v>30</v>
      </c>
      <c r="C19" s="153" t="s">
        <v>53</v>
      </c>
      <c r="D19" s="155" t="s">
        <v>42</v>
      </c>
      <c r="E19" s="155" t="s">
        <v>43</v>
      </c>
      <c r="F19" s="152" t="s">
        <v>44</v>
      </c>
      <c r="G19" s="152" t="s">
        <v>45</v>
      </c>
      <c r="H19" s="152" t="s">
        <v>46</v>
      </c>
      <c r="I19" s="152" t="s">
        <v>149</v>
      </c>
      <c r="J19" s="152" t="s">
        <v>36</v>
      </c>
      <c r="K19" s="153" t="s">
        <v>109</v>
      </c>
      <c r="L19" s="153" t="s">
        <v>52</v>
      </c>
      <c r="M19" s="153" t="s">
        <v>135</v>
      </c>
      <c r="N19" s="184" t="s">
        <v>157</v>
      </c>
      <c r="O19" s="185"/>
      <c r="P19" s="185"/>
      <c r="Q19" s="186"/>
      <c r="T19" s="18"/>
    </row>
    <row r="20" spans="2:20" ht="24" customHeight="1" x14ac:dyDescent="0.2">
      <c r="B20" s="338">
        <f>+Resumen!A14</f>
        <v>0</v>
      </c>
      <c r="C20" s="188">
        <f>+Resumen!B14</f>
        <v>0</v>
      </c>
      <c r="D20" s="189">
        <f>+Resumen!I14</f>
        <v>0</v>
      </c>
      <c r="E20" s="189">
        <f>+Resumen!J14</f>
        <v>0</v>
      </c>
      <c r="F20" s="189">
        <f>+Resumen!K14</f>
        <v>0</v>
      </c>
      <c r="G20" s="189">
        <f>+Resumen!L14</f>
        <v>0</v>
      </c>
      <c r="H20" s="189">
        <f>+Resumen!M14</f>
        <v>0</v>
      </c>
      <c r="I20" s="189">
        <f>+Resumen!N14</f>
        <v>0</v>
      </c>
      <c r="J20" s="189">
        <f>+Resumen!O14</f>
        <v>0</v>
      </c>
      <c r="K20" s="189">
        <f>+Resumen!P14</f>
        <v>0</v>
      </c>
      <c r="L20" s="165" t="e">
        <f>+IF(((MAX(D20,E20)-MIN(D20,E20))/D20)*100&lt;2,"Cumple","No Cumple")</f>
        <v>#DIV/0!</v>
      </c>
      <c r="M20" s="190" t="e">
        <f>+IF(AND(C15&gt;=28,E10&lt;H36),"ok",IF(C15&lt;28,"--","Evaluar"))</f>
        <v>#N/A</v>
      </c>
      <c r="N20" s="489" t="s">
        <v>134</v>
      </c>
      <c r="O20" s="490"/>
      <c r="P20" s="490"/>
      <c r="Q20" s="491"/>
      <c r="T20" s="18"/>
    </row>
    <row r="21" spans="2:20" ht="24" customHeight="1" x14ac:dyDescent="0.2">
      <c r="B21" s="338">
        <f>+Resumen!A15</f>
        <v>0</v>
      </c>
      <c r="C21" s="188">
        <f>+Resumen!B15</f>
        <v>0</v>
      </c>
      <c r="D21" s="189">
        <f>+Resumen!I15</f>
        <v>0</v>
      </c>
      <c r="E21" s="189">
        <f>+Resumen!J15</f>
        <v>0</v>
      </c>
      <c r="F21" s="189">
        <f>+Resumen!K15</f>
        <v>0</v>
      </c>
      <c r="G21" s="189">
        <f>+Resumen!L15</f>
        <v>0</v>
      </c>
      <c r="H21" s="189">
        <f>+Resumen!M15</f>
        <v>0</v>
      </c>
      <c r="I21" s="189">
        <f>+Resumen!N15</f>
        <v>0</v>
      </c>
      <c r="J21" s="189">
        <f>+Resumen!O15</f>
        <v>0</v>
      </c>
      <c r="K21" s="189">
        <f>+Resumen!P15</f>
        <v>0</v>
      </c>
      <c r="L21" s="165" t="e">
        <f>+IF(((MAX(D21,E21)-MIN(D21,E21))/D21)*100&lt;2,"Cumple","No Cumple")</f>
        <v>#DIV/0!</v>
      </c>
      <c r="M21" s="190" t="e">
        <f>+IF(AND(C15&gt;=28,E10&lt;H37),"ok",IF(C15&lt;28,"--","Defecto de muestra"))</f>
        <v>#N/A</v>
      </c>
      <c r="N21" s="492"/>
      <c r="O21" s="493"/>
      <c r="P21" s="493"/>
      <c r="Q21" s="494"/>
    </row>
    <row r="22" spans="2:20" ht="24" customHeight="1" x14ac:dyDescent="0.2">
      <c r="B22" s="384">
        <f>+Resumen!A16</f>
        <v>0</v>
      </c>
      <c r="C22" s="188">
        <f>+Resumen!B16</f>
        <v>0</v>
      </c>
      <c r="D22" s="189">
        <f>+Resumen!I16</f>
        <v>0</v>
      </c>
      <c r="E22" s="189">
        <f>+Resumen!J16</f>
        <v>0</v>
      </c>
      <c r="F22" s="189">
        <f>+Resumen!K16</f>
        <v>0</v>
      </c>
      <c r="G22" s="189">
        <f>+Resumen!L16</f>
        <v>0</v>
      </c>
      <c r="H22" s="189">
        <f>+Resumen!M16</f>
        <v>0</v>
      </c>
      <c r="I22" s="189">
        <f>+Resumen!N16</f>
        <v>0</v>
      </c>
      <c r="J22" s="189">
        <f>+Resumen!O16</f>
        <v>0</v>
      </c>
      <c r="K22" s="189">
        <f>+Resumen!P16</f>
        <v>0</v>
      </c>
      <c r="L22" s="165" t="e">
        <f>+IF(((MAX(D22,E22)-MIN(D22,E22))/D22)*100&lt;2,"Cumple","No Cumple")</f>
        <v>#DIV/0!</v>
      </c>
      <c r="M22" s="190" t="e">
        <f>+IF(AND(C15&gt;=28,E10&lt;H38),"ok",IF(C15&lt;28,"--","Defecto de muestra"))</f>
        <v>#N/A</v>
      </c>
      <c r="N22" s="495"/>
      <c r="O22" s="496"/>
      <c r="P22" s="496"/>
      <c r="Q22" s="497"/>
    </row>
    <row r="23" spans="2:20" ht="20.25" customHeight="1" x14ac:dyDescent="0.2">
      <c r="I23" s="377" t="s">
        <v>228</v>
      </c>
    </row>
    <row r="24" spans="2:20" ht="18" customHeight="1" x14ac:dyDescent="0.2">
      <c r="D24" s="134">
        <f>+D20*$D$45+$D$46</f>
        <v>-6.7762635780344027E-21</v>
      </c>
      <c r="E24" s="134">
        <f>+E20*$D$45+$D$46</f>
        <v>-6.7762635780344027E-21</v>
      </c>
      <c r="F24" s="134">
        <f>+F20*$H$45+$H$46</f>
        <v>-6.7762635780344027E-21</v>
      </c>
      <c r="G24" s="134">
        <f>+G20*$H$45+$H$46</f>
        <v>-6.7762635780344027E-21</v>
      </c>
      <c r="H24" s="134">
        <f>+H20*$H$45+$H$46</f>
        <v>-6.7762635780344027E-21</v>
      </c>
    </row>
    <row r="25" spans="2:20" ht="20.45" customHeight="1" x14ac:dyDescent="0.2">
      <c r="D25" s="134">
        <f>+D21*$D$49+$D$50</f>
        <v>-6.7762635780344027E-21</v>
      </c>
      <c r="E25" s="134">
        <f>+E21*$D$49+$D$50</f>
        <v>-6.7762635780344027E-21</v>
      </c>
      <c r="F25" s="134">
        <f>+F21*$H$49+$H$50</f>
        <v>-6.7762635780344027E-21</v>
      </c>
      <c r="G25" s="134">
        <f>+G21*$H$49+$H$50</f>
        <v>-6.7762635780344027E-21</v>
      </c>
      <c r="H25" s="134">
        <f>+H21*$H$49+$H$50</f>
        <v>-6.7762635780344027E-21</v>
      </c>
      <c r="J25" s="297"/>
    </row>
    <row r="26" spans="2:20" ht="20.45" customHeight="1" x14ac:dyDescent="0.2">
      <c r="D26" s="134">
        <f>+D22*$D$53+$D$54</f>
        <v>-6.7762635780344027E-21</v>
      </c>
      <c r="E26" s="134">
        <f>+E22*$D$53+$D$54</f>
        <v>-6.7762635780344027E-21</v>
      </c>
      <c r="F26" s="134">
        <f>+F22*$H$53+$H$54</f>
        <v>-6.7762635780344027E-21</v>
      </c>
      <c r="G26" s="134">
        <f>+G22*$H$53+$H$54</f>
        <v>-6.7762635780344027E-21</v>
      </c>
      <c r="H26" s="134">
        <f>+H22*$H$53+$H$54</f>
        <v>-6.7762635780344027E-21</v>
      </c>
    </row>
    <row r="27" spans="2:20" ht="6.6" customHeight="1" x14ac:dyDescent="0.2">
      <c r="D27" s="264"/>
      <c r="E27" s="264"/>
      <c r="F27" s="264"/>
      <c r="G27" s="264"/>
      <c r="H27" s="264"/>
    </row>
    <row r="28" spans="2:20" ht="20.45" customHeight="1" x14ac:dyDescent="0.2">
      <c r="D28" s="485" t="s">
        <v>139</v>
      </c>
      <c r="E28" s="485"/>
      <c r="F28" s="485" t="s">
        <v>142</v>
      </c>
      <c r="G28" s="485"/>
      <c r="H28" s="485"/>
      <c r="I28" s="485" t="s">
        <v>146</v>
      </c>
      <c r="J28" s="485"/>
      <c r="K28" s="485" t="s">
        <v>171</v>
      </c>
      <c r="L28" s="485"/>
      <c r="M28" s="498" t="s">
        <v>16</v>
      </c>
      <c r="O28" s="170" t="s">
        <v>153</v>
      </c>
      <c r="P28" s="154"/>
      <c r="R28" s="302" t="e">
        <f>(STDEV(H36:H38)/AVERAGE(H36:H38))*100</f>
        <v>#DIV/0!</v>
      </c>
    </row>
    <row r="29" spans="2:20" ht="24" customHeight="1" x14ac:dyDescent="0.2">
      <c r="D29" s="166" t="s">
        <v>140</v>
      </c>
      <c r="E29" s="166" t="s">
        <v>141</v>
      </c>
      <c r="F29" s="149" t="s">
        <v>143</v>
      </c>
      <c r="G29" s="149" t="s">
        <v>144</v>
      </c>
      <c r="H29" s="149" t="s">
        <v>145</v>
      </c>
      <c r="I29" s="149" t="s">
        <v>147</v>
      </c>
      <c r="J29" s="149" t="s">
        <v>148</v>
      </c>
      <c r="K29" s="167" t="s">
        <v>38</v>
      </c>
      <c r="L29" s="149" t="s">
        <v>39</v>
      </c>
      <c r="M29" s="498"/>
      <c r="O29" s="167" t="s">
        <v>38</v>
      </c>
      <c r="P29" s="167" t="s">
        <v>47</v>
      </c>
    </row>
    <row r="30" spans="2:20" ht="20.45" customHeight="1" x14ac:dyDescent="0.2">
      <c r="D30" s="19">
        <f t="shared" ref="D30:H32" si="0">+D20+D24</f>
        <v>-6.7762635780344027E-21</v>
      </c>
      <c r="E30" s="19">
        <f t="shared" si="0"/>
        <v>-6.7762635780344027E-21</v>
      </c>
      <c r="F30" s="19">
        <f t="shared" si="0"/>
        <v>-6.7762635780344027E-21</v>
      </c>
      <c r="G30" s="19">
        <f t="shared" si="0"/>
        <v>-6.7762635780344027E-21</v>
      </c>
      <c r="H30" s="19">
        <f t="shared" si="0"/>
        <v>-6.7762635780344027E-21</v>
      </c>
      <c r="I30" s="292">
        <f>+K20+$C$6*K20</f>
        <v>0</v>
      </c>
      <c r="J30" s="150">
        <f>+I30/1000</f>
        <v>0</v>
      </c>
      <c r="K30" s="19">
        <f>+E36/D36</f>
        <v>1</v>
      </c>
      <c r="L30" s="279">
        <f>IF(AND(K30&gt;1.75,K30&lt;=2.2),1,FORECAST(K30,P31:P34,O31:O34))</f>
        <v>0.88100000000000001</v>
      </c>
      <c r="M30" s="151" t="e">
        <f>+L36/$C$10</f>
        <v>#DIV/0!</v>
      </c>
      <c r="O30" s="192" t="s">
        <v>165</v>
      </c>
      <c r="P30" s="19">
        <v>1</v>
      </c>
      <c r="R30" s="282"/>
      <c r="S30" s="282"/>
    </row>
    <row r="31" spans="2:20" ht="20.45" customHeight="1" x14ac:dyDescent="0.2">
      <c r="D31" s="19">
        <f t="shared" si="0"/>
        <v>-6.7762635780344027E-21</v>
      </c>
      <c r="E31" s="19">
        <f t="shared" si="0"/>
        <v>-6.7762635780344027E-21</v>
      </c>
      <c r="F31" s="19">
        <f t="shared" si="0"/>
        <v>-6.7762635780344027E-21</v>
      </c>
      <c r="G31" s="19">
        <f t="shared" si="0"/>
        <v>-6.7762635780344027E-21</v>
      </c>
      <c r="H31" s="19">
        <f t="shared" si="0"/>
        <v>-6.7762635780344027E-21</v>
      </c>
      <c r="I31" s="292">
        <f>+K21+$C$6*K21</f>
        <v>0</v>
      </c>
      <c r="J31" s="150">
        <f>+I31/1000</f>
        <v>0</v>
      </c>
      <c r="K31" s="19">
        <f>+E37/D37</f>
        <v>1</v>
      </c>
      <c r="L31" s="279">
        <f>IF(AND(K31&gt;1.75,K31&lt;=2.2),1,FORECAST(K31,P31:P34,O31:O34))</f>
        <v>0.88100000000000001</v>
      </c>
      <c r="M31" s="151" t="e">
        <f>+L37/$C$10</f>
        <v>#DIV/0!</v>
      </c>
      <c r="O31" s="19">
        <v>1.75</v>
      </c>
      <c r="P31" s="167">
        <v>0.98</v>
      </c>
      <c r="R31" s="144"/>
      <c r="S31" s="144"/>
    </row>
    <row r="32" spans="2:20" ht="20.45" customHeight="1" x14ac:dyDescent="0.2">
      <c r="D32" s="19">
        <f t="shared" si="0"/>
        <v>-6.7762635780344027E-21</v>
      </c>
      <c r="E32" s="19">
        <f t="shared" si="0"/>
        <v>-6.7762635780344027E-21</v>
      </c>
      <c r="F32" s="19">
        <f t="shared" si="0"/>
        <v>-6.7762635780344027E-21</v>
      </c>
      <c r="G32" s="19">
        <f t="shared" si="0"/>
        <v>-6.7762635780344027E-21</v>
      </c>
      <c r="H32" s="19">
        <f t="shared" si="0"/>
        <v>-6.7762635780344027E-21</v>
      </c>
      <c r="I32" s="292">
        <f>+K22+$C$6*K22</f>
        <v>0</v>
      </c>
      <c r="J32" s="150">
        <f>+I32/1000</f>
        <v>0</v>
      </c>
      <c r="K32" s="19">
        <f>+E38/D38</f>
        <v>1</v>
      </c>
      <c r="L32" s="279">
        <f>IF(AND(K32&gt;1.75,K32&lt;=2.2),1,FORECAST(K32,P32:P34,O32:O34))</f>
        <v>0.875</v>
      </c>
      <c r="M32" s="151" t="e">
        <f>+L38/$C$10</f>
        <v>#DIV/0!</v>
      </c>
      <c r="O32" s="19">
        <v>1.5</v>
      </c>
      <c r="P32" s="167">
        <v>0.96</v>
      </c>
      <c r="R32" s="144"/>
      <c r="S32" s="144"/>
    </row>
    <row r="33" spans="2:20" ht="20.45" customHeight="1" x14ac:dyDescent="0.2">
      <c r="O33" s="19">
        <v>1.25</v>
      </c>
      <c r="P33" s="167">
        <v>0.93</v>
      </c>
      <c r="S33" s="144"/>
    </row>
    <row r="34" spans="2:20" ht="20.45" customHeight="1" x14ac:dyDescent="0.2">
      <c r="D34" s="484" t="s">
        <v>32</v>
      </c>
      <c r="E34" s="484" t="s">
        <v>33</v>
      </c>
      <c r="F34" s="484" t="s">
        <v>34</v>
      </c>
      <c r="G34" s="484" t="s">
        <v>149</v>
      </c>
      <c r="H34" s="482" t="s">
        <v>17</v>
      </c>
      <c r="I34" s="484" t="s">
        <v>36</v>
      </c>
      <c r="J34" s="482" t="s">
        <v>40</v>
      </c>
      <c r="L34" s="482" t="s">
        <v>183</v>
      </c>
      <c r="O34" s="19">
        <v>1</v>
      </c>
      <c r="P34" s="167">
        <v>0.87</v>
      </c>
    </row>
    <row r="35" spans="2:20" ht="20.45" customHeight="1" x14ac:dyDescent="0.2">
      <c r="D35" s="484"/>
      <c r="E35" s="484"/>
      <c r="F35" s="484"/>
      <c r="G35" s="484"/>
      <c r="H35" s="483"/>
      <c r="I35" s="484"/>
      <c r="J35" s="483"/>
      <c r="L35" s="483"/>
    </row>
    <row r="36" spans="2:20" ht="20.45" customHeight="1" x14ac:dyDescent="0.2">
      <c r="D36" s="13">
        <f>+(D30+E30)/2</f>
        <v>-6.7762635780344027E-21</v>
      </c>
      <c r="E36" s="13">
        <f>+(F30+G30+H30)/3</f>
        <v>-6.7762635780344027E-21</v>
      </c>
      <c r="F36" s="13">
        <f>3.1416*D36^2/4</f>
        <v>3.6063799341243148E-41</v>
      </c>
      <c r="G36" s="13">
        <f>+I20</f>
        <v>0</v>
      </c>
      <c r="H36" s="13">
        <f>(4000*G36/3.1416/D36^2)*L30</f>
        <v>0</v>
      </c>
      <c r="I36" s="169">
        <f>+J20</f>
        <v>0</v>
      </c>
      <c r="J36" s="183">
        <f>IF($C$16="no","---",MROUND((4*(10^9)*J30)/E36/(D36^2)/3.1416,10))</f>
        <v>0</v>
      </c>
      <c r="L36" s="284">
        <f>+H36*10.1972</f>
        <v>0</v>
      </c>
    </row>
    <row r="37" spans="2:20" ht="20.45" customHeight="1" x14ac:dyDescent="0.2">
      <c r="D37" s="13">
        <f>+(D31+E31)/2</f>
        <v>-6.7762635780344027E-21</v>
      </c>
      <c r="E37" s="13">
        <f>+(F31+G31+H31)/3</f>
        <v>-6.7762635780344027E-21</v>
      </c>
      <c r="F37" s="13">
        <f>3.1416*D37^2/4</f>
        <v>3.6063799341243148E-41</v>
      </c>
      <c r="G37" s="13">
        <f>+I21</f>
        <v>0</v>
      </c>
      <c r="H37" s="13">
        <f>(4000*G37/3.1416/D37^2)*L31</f>
        <v>0</v>
      </c>
      <c r="I37" s="169">
        <f>+J21</f>
        <v>0</v>
      </c>
      <c r="J37" s="183">
        <f>IF($C$16="no","---",MROUND((4*(10^9)*J31)/E37/(D37^2)/3.1416,10))</f>
        <v>0</v>
      </c>
      <c r="L37" s="284">
        <f>+H37*10.1972</f>
        <v>0</v>
      </c>
    </row>
    <row r="38" spans="2:20" ht="20.45" customHeight="1" x14ac:dyDescent="0.2">
      <c r="D38" s="13">
        <f>+(D32+E32)/2</f>
        <v>-6.7762635780344027E-21</v>
      </c>
      <c r="E38" s="13">
        <f>+(F32+G32+H32)/3</f>
        <v>-6.7762635780344027E-21</v>
      </c>
      <c r="F38" s="13">
        <f>3.1416*D38^2/4</f>
        <v>3.6063799341243148E-41</v>
      </c>
      <c r="G38" s="13">
        <f>+I22</f>
        <v>0</v>
      </c>
      <c r="H38" s="13">
        <f>(4000*G38/3.1416/D38^2)*L32</f>
        <v>0</v>
      </c>
      <c r="I38" s="169">
        <f>+J22</f>
        <v>0</v>
      </c>
      <c r="J38" s="183">
        <f>IF($C$16="no","---",MROUND((4*(10^9)*J32)/E38/(D38^2)/3.1416,10))</f>
        <v>0</v>
      </c>
      <c r="L38" s="284">
        <f>+H38*10.1972</f>
        <v>0</v>
      </c>
    </row>
    <row r="39" spans="2:20" ht="20.45" customHeight="1" x14ac:dyDescent="0.2">
      <c r="D39" s="264"/>
      <c r="E39" s="264"/>
      <c r="F39" s="264"/>
      <c r="G39" s="264"/>
      <c r="H39" s="264"/>
    </row>
    <row r="40" spans="2:20" ht="20.45" customHeight="1" thickBot="1" x14ac:dyDescent="0.25">
      <c r="D40" s="264"/>
      <c r="E40" s="264"/>
      <c r="F40" s="264"/>
      <c r="G40" s="264"/>
      <c r="H40" s="264"/>
    </row>
    <row r="41" spans="2:20" ht="20.45" customHeight="1" x14ac:dyDescent="0.2">
      <c r="B41" s="276" t="s">
        <v>176</v>
      </c>
      <c r="C41" s="265"/>
      <c r="D41" s="266"/>
      <c r="E41" s="266"/>
      <c r="F41" s="266"/>
      <c r="G41" s="266"/>
      <c r="H41" s="266"/>
      <c r="I41" s="265"/>
      <c r="J41" s="468" t="s">
        <v>223</v>
      </c>
      <c r="K41" s="468"/>
      <c r="L41" s="469"/>
    </row>
    <row r="42" spans="2:20" ht="20.45" customHeight="1" x14ac:dyDescent="0.2">
      <c r="B42" s="267"/>
      <c r="J42" s="167" t="s">
        <v>115</v>
      </c>
      <c r="K42" s="167" t="s">
        <v>74</v>
      </c>
      <c r="L42" s="268" t="s">
        <v>175</v>
      </c>
    </row>
    <row r="43" spans="2:20" ht="20.45" customHeight="1" x14ac:dyDescent="0.2">
      <c r="B43" s="269">
        <f>MATCH(D20,K43:K52)</f>
        <v>1</v>
      </c>
      <c r="C43" s="167">
        <f>INDEX(J43:L52,B43,2)</f>
        <v>0</v>
      </c>
      <c r="D43" s="134">
        <f>INDEX(J43:L52,B43,3)</f>
        <v>0</v>
      </c>
      <c r="F43" s="167">
        <f>MATCH(F20,K43:K52)</f>
        <v>1</v>
      </c>
      <c r="G43" s="167">
        <f>INDEX(J43:L52,F43,2)</f>
        <v>0</v>
      </c>
      <c r="H43" s="134">
        <f>INDEX(J43:L52,F43,3)</f>
        <v>0</v>
      </c>
      <c r="J43" s="167">
        <v>1</v>
      </c>
      <c r="K43" s="167">
        <v>0</v>
      </c>
      <c r="L43" s="270">
        <v>0</v>
      </c>
    </row>
    <row r="44" spans="2:20" ht="20.45" customHeight="1" x14ac:dyDescent="0.2">
      <c r="B44" s="269">
        <f>B43+1</f>
        <v>2</v>
      </c>
      <c r="C44" s="167">
        <f>INDEX(J43:L52,B44,2)</f>
        <v>50</v>
      </c>
      <c r="D44" s="134">
        <f>INDEX(J43:L52,B44,3)</f>
        <v>-1E-4</v>
      </c>
      <c r="F44" s="167">
        <f>F43+1</f>
        <v>2</v>
      </c>
      <c r="G44" s="167">
        <f>INDEX(J43:L52,F44,2)</f>
        <v>50</v>
      </c>
      <c r="H44" s="134">
        <f>INDEX(J43:L52,F44,3)</f>
        <v>-1E-4</v>
      </c>
      <c r="J44" s="167">
        <v>2</v>
      </c>
      <c r="K44" s="167">
        <v>50</v>
      </c>
      <c r="L44" s="270">
        <v>-1E-4</v>
      </c>
    </row>
    <row r="45" spans="2:20" ht="20.45" customHeight="1" x14ac:dyDescent="0.2">
      <c r="B45" s="271"/>
      <c r="C45" s="167" t="s">
        <v>169</v>
      </c>
      <c r="D45" s="134">
        <f>+SLOPE(D43:D44,C43:C44)</f>
        <v>-1.9999999999999999E-6</v>
      </c>
      <c r="F45" s="47"/>
      <c r="G45" s="167" t="s">
        <v>169</v>
      </c>
      <c r="H45" s="134">
        <f>+SLOPE(H43:H44,G43:G44)</f>
        <v>-1.9999999999999999E-6</v>
      </c>
      <c r="J45" s="167">
        <v>3</v>
      </c>
      <c r="K45" s="167">
        <v>100</v>
      </c>
      <c r="L45" s="270">
        <v>0</v>
      </c>
    </row>
    <row r="46" spans="2:20" ht="20.45" customHeight="1" x14ac:dyDescent="0.2">
      <c r="B46" s="271"/>
      <c r="C46" s="167" t="s">
        <v>170</v>
      </c>
      <c r="D46" s="134">
        <f>+INTERCEPT(D43:D44,C43:C44)</f>
        <v>-6.7762635780344027E-21</v>
      </c>
      <c r="F46" s="47"/>
      <c r="G46" s="167" t="s">
        <v>170</v>
      </c>
      <c r="H46" s="134">
        <f>+INTERCEPT(H43:H44,G43:G44)</f>
        <v>-6.7762635780344027E-21</v>
      </c>
      <c r="J46" s="167">
        <v>4</v>
      </c>
      <c r="K46" s="167">
        <v>200</v>
      </c>
      <c r="L46" s="270">
        <v>-2.9999999999999997E-4</v>
      </c>
    </row>
    <row r="47" spans="2:20" ht="18.600000000000001" customHeight="1" x14ac:dyDescent="0.2">
      <c r="B47" s="269">
        <f>MATCH(D21,K43:K52)</f>
        <v>1</v>
      </c>
      <c r="C47" s="167">
        <f>INDEX(J43:L52,B47,2)</f>
        <v>0</v>
      </c>
      <c r="D47" s="134">
        <f>INDEX(J43:L52,B47,3)</f>
        <v>0</v>
      </c>
      <c r="F47" s="167">
        <f>MATCH(F21,K43:K52)</f>
        <v>1</v>
      </c>
      <c r="G47" s="167">
        <f>INDEX(J43:L52,F47,2)</f>
        <v>0</v>
      </c>
      <c r="H47" s="134">
        <f>INDEX(J43:L52,F47,3)</f>
        <v>0</v>
      </c>
      <c r="J47" s="167">
        <v>5</v>
      </c>
      <c r="K47" s="167">
        <v>400</v>
      </c>
      <c r="L47" s="270">
        <v>0</v>
      </c>
      <c r="S47" s="143"/>
      <c r="T47" s="264"/>
    </row>
    <row r="48" spans="2:20" ht="18.600000000000001" customHeight="1" x14ac:dyDescent="0.2">
      <c r="B48" s="269">
        <f>B47+1</f>
        <v>2</v>
      </c>
      <c r="C48" s="167">
        <f>INDEX(J43:L52,B48,2)</f>
        <v>50</v>
      </c>
      <c r="D48" s="134">
        <f>INDEX(J43:L52,B48,3)</f>
        <v>-1E-4</v>
      </c>
      <c r="F48" s="167">
        <f>F47+1</f>
        <v>2</v>
      </c>
      <c r="G48" s="167">
        <f>INDEX(J43:L52,F48,2)</f>
        <v>50</v>
      </c>
      <c r="H48" s="134">
        <f>INDEX(J43:L52,F48,3)</f>
        <v>-1E-4</v>
      </c>
      <c r="J48" s="167">
        <v>6</v>
      </c>
      <c r="K48" s="167">
        <v>450</v>
      </c>
      <c r="L48" s="270">
        <v>0.01</v>
      </c>
      <c r="S48" s="143"/>
      <c r="T48" s="264"/>
    </row>
    <row r="49" spans="2:21" ht="18.600000000000001" customHeight="1" x14ac:dyDescent="0.2">
      <c r="B49" s="271"/>
      <c r="C49" s="167" t="s">
        <v>169</v>
      </c>
      <c r="D49" s="134">
        <f>+SLOPE(D47:D48,C47:C48)</f>
        <v>-1.9999999999999999E-6</v>
      </c>
      <c r="F49" s="47"/>
      <c r="G49" s="167" t="s">
        <v>169</v>
      </c>
      <c r="H49" s="134">
        <f>+SLOPE(H47:H48,G47:G48)</f>
        <v>-1.9999999999999999E-6</v>
      </c>
      <c r="J49" s="167"/>
      <c r="K49" s="167"/>
      <c r="L49" s="270"/>
      <c r="S49" s="143"/>
      <c r="T49" s="264"/>
    </row>
    <row r="50" spans="2:21" ht="18.600000000000001" customHeight="1" x14ac:dyDescent="0.2">
      <c r="B50" s="271"/>
      <c r="C50" s="167" t="s">
        <v>170</v>
      </c>
      <c r="D50" s="134">
        <f>+INTERCEPT(D47:D48,C47:C48)</f>
        <v>-6.7762635780344027E-21</v>
      </c>
      <c r="F50" s="47"/>
      <c r="G50" s="167" t="s">
        <v>170</v>
      </c>
      <c r="H50" s="134">
        <f>+INTERCEPT(H47:H48,G47:G48)</f>
        <v>-6.7762635780344027E-21</v>
      </c>
      <c r="J50" s="167"/>
      <c r="K50" s="167"/>
      <c r="L50" s="270"/>
      <c r="S50" s="143"/>
      <c r="T50" s="264"/>
    </row>
    <row r="51" spans="2:21" ht="18.600000000000001" customHeight="1" x14ac:dyDescent="0.2">
      <c r="B51" s="269">
        <f>MATCH(D22,K43:K52)</f>
        <v>1</v>
      </c>
      <c r="C51" s="167">
        <f>INDEX(J43:L52,B51,2)</f>
        <v>0</v>
      </c>
      <c r="D51" s="134">
        <f>INDEX(J43:L52,B51,3)</f>
        <v>0</v>
      </c>
      <c r="F51" s="167">
        <f>MATCH(F22,K43:K52)</f>
        <v>1</v>
      </c>
      <c r="G51" s="167">
        <f>INDEX(J43:L52,F51,2)</f>
        <v>0</v>
      </c>
      <c r="H51" s="134">
        <f>INDEX(J43:L52,F51,3)</f>
        <v>0</v>
      </c>
      <c r="J51" s="167"/>
      <c r="K51" s="167"/>
      <c r="L51" s="270"/>
      <c r="S51" s="143"/>
      <c r="T51" s="264"/>
    </row>
    <row r="52" spans="2:21" ht="18.600000000000001" customHeight="1" x14ac:dyDescent="0.2">
      <c r="B52" s="269">
        <f>B51+1</f>
        <v>2</v>
      </c>
      <c r="C52" s="167">
        <f>INDEX(J43:L52,B52,2)</f>
        <v>50</v>
      </c>
      <c r="D52" s="134">
        <f>INDEX(J43:L52,B52,3)</f>
        <v>-1E-4</v>
      </c>
      <c r="F52" s="167">
        <f>F51+1</f>
        <v>2</v>
      </c>
      <c r="G52" s="167">
        <f>INDEX(J43:L52,F52,2)</f>
        <v>50</v>
      </c>
      <c r="H52" s="134">
        <f>INDEX(J43:L52,F52,3)</f>
        <v>-1E-4</v>
      </c>
      <c r="J52" s="167"/>
      <c r="K52" s="167"/>
      <c r="L52" s="270"/>
      <c r="S52" s="143"/>
      <c r="T52" s="264"/>
    </row>
    <row r="53" spans="2:21" ht="18.600000000000001" customHeight="1" x14ac:dyDescent="0.2">
      <c r="B53" s="271"/>
      <c r="C53" s="167" t="s">
        <v>169</v>
      </c>
      <c r="D53" s="134">
        <f>+SLOPE(D51:D52,C51:C52)</f>
        <v>-1.9999999999999999E-6</v>
      </c>
      <c r="F53" s="47"/>
      <c r="G53" s="167" t="s">
        <v>169</v>
      </c>
      <c r="H53" s="134">
        <f>+SLOPE(H51:H52,G51:G52)</f>
        <v>-1.9999999999999999E-6</v>
      </c>
      <c r="L53" s="272"/>
      <c r="S53" s="143"/>
      <c r="T53" s="264"/>
    </row>
    <row r="54" spans="2:21" ht="18.600000000000001" customHeight="1" x14ac:dyDescent="0.2">
      <c r="B54" s="271"/>
      <c r="C54" s="167" t="s">
        <v>170</v>
      </c>
      <c r="D54" s="134">
        <f>+INTERCEPT(D51:D52,C51:C52)</f>
        <v>-6.7762635780344027E-21</v>
      </c>
      <c r="F54" s="47"/>
      <c r="G54" s="167" t="s">
        <v>170</v>
      </c>
      <c r="H54" s="134">
        <f>+INTERCEPT(H51:H52,G51:G52)</f>
        <v>-6.7762635780344027E-21</v>
      </c>
      <c r="L54" s="272"/>
      <c r="S54" s="143"/>
      <c r="T54" s="264"/>
    </row>
    <row r="55" spans="2:21" ht="18.600000000000001" customHeight="1" thickBot="1" x14ac:dyDescent="0.25">
      <c r="B55" s="273"/>
      <c r="C55" s="274"/>
      <c r="D55" s="274"/>
      <c r="E55" s="274"/>
      <c r="F55" s="274"/>
      <c r="G55" s="274"/>
      <c r="H55" s="274"/>
      <c r="I55" s="274"/>
      <c r="J55" s="274"/>
      <c r="K55" s="274"/>
      <c r="L55" s="275"/>
      <c r="S55" s="143"/>
      <c r="T55" s="264"/>
    </row>
    <row r="56" spans="2:21" ht="12.75" x14ac:dyDescent="0.2">
      <c r="T56" s="18"/>
    </row>
    <row r="57" spans="2:21" x14ac:dyDescent="0.2">
      <c r="Q57" s="182"/>
    </row>
    <row r="58" spans="2:21" ht="25.15" customHeight="1" x14ac:dyDescent="0.2"/>
    <row r="59" spans="2:21" ht="24" customHeight="1" x14ac:dyDescent="0.2">
      <c r="T59" s="18"/>
      <c r="U59" s="18"/>
    </row>
    <row r="60" spans="2:21" ht="24" customHeight="1" x14ac:dyDescent="0.2">
      <c r="T60" s="18"/>
      <c r="U60" s="18"/>
    </row>
    <row r="61" spans="2:21" ht="24" customHeight="1" x14ac:dyDescent="0.2">
      <c r="T61" s="18"/>
      <c r="U61" s="18"/>
    </row>
    <row r="62" spans="2:21" ht="14.45" customHeight="1" x14ac:dyDescent="0.2">
      <c r="T62" s="18"/>
      <c r="U62" s="18"/>
    </row>
    <row r="63" spans="2:21" ht="24" customHeight="1" x14ac:dyDescent="0.2">
      <c r="T63" s="18"/>
      <c r="U63" s="18"/>
    </row>
    <row r="64" spans="2:21" ht="24" customHeight="1" x14ac:dyDescent="0.2">
      <c r="T64" s="18"/>
      <c r="U64" s="18"/>
    </row>
    <row r="65" spans="20:21" ht="24" customHeight="1" x14ac:dyDescent="0.2">
      <c r="T65" s="18"/>
      <c r="U65" s="18"/>
    </row>
    <row r="66" spans="20:21" ht="24" customHeight="1" x14ac:dyDescent="0.2">
      <c r="U66" s="24"/>
    </row>
    <row r="67" spans="20:21" ht="24" customHeight="1" x14ac:dyDescent="0.2"/>
    <row r="71" spans="20:21" x14ac:dyDescent="0.2">
      <c r="T71" s="168"/>
    </row>
    <row r="72" spans="20:21" x14ac:dyDescent="0.2">
      <c r="T72" s="168"/>
    </row>
  </sheetData>
  <protectedRanges>
    <protectedRange sqref="D5 J5 P5" name="Rango3_3_1_1_1_1_1_1_1_1_1_1_1"/>
  </protectedRanges>
  <mergeCells count="27">
    <mergeCell ref="N20:Q22"/>
    <mergeCell ref="M28:M29"/>
    <mergeCell ref="I34:I35"/>
    <mergeCell ref="I28:J28"/>
    <mergeCell ref="K28:L28"/>
    <mergeCell ref="B2:M2"/>
    <mergeCell ref="B3:M3"/>
    <mergeCell ref="B8:D8"/>
    <mergeCell ref="J34:J35"/>
    <mergeCell ref="F34:F35"/>
    <mergeCell ref="E34:E35"/>
    <mergeCell ref="D34:D35"/>
    <mergeCell ref="G34:G35"/>
    <mergeCell ref="D28:E28"/>
    <mergeCell ref="F28:H28"/>
    <mergeCell ref="L34:L35"/>
    <mergeCell ref="H34:H35"/>
    <mergeCell ref="C10:D10"/>
    <mergeCell ref="C9:D9"/>
    <mergeCell ref="C16:D16"/>
    <mergeCell ref="C15:D15"/>
    <mergeCell ref="J41:L41"/>
    <mergeCell ref="C14:D14"/>
    <mergeCell ref="C13:D13"/>
    <mergeCell ref="C12:D12"/>
    <mergeCell ref="C11:D11"/>
    <mergeCell ref="C17:D17"/>
  </mergeCells>
  <phoneticPr fontId="8" type="noConversion"/>
  <conditionalFormatting sqref="L20:L22">
    <cfRule type="containsText" dxfId="0" priority="1" stopIfTrue="1" operator="containsText" text="No">
      <formula>NOT(ISERROR(SEARCH("No",L20)))</formula>
    </cfRule>
  </conditionalFormatting>
  <dataValidations count="3">
    <dataValidation type="list" allowBlank="1" showInputMessage="1" showErrorMessage="1" sqref="C16:D16" xr:uid="{E47467CA-0A1F-4BCB-99C0-5C548D2A97C6}">
      <formula1>"SI,NO"</formula1>
    </dataValidation>
    <dataValidation type="list" allowBlank="1" showInputMessage="1" showErrorMessage="1" sqref="L9" xr:uid="{5234A26D-2F63-4B3C-8633-C083E6FD9452}">
      <formula1>"-, DEYVI, IVAN, DAVID, ANDRES"</formula1>
    </dataValidation>
    <dataValidation type="list" allowBlank="1" showInputMessage="1" showErrorMessage="1" sqref="C17:D17" xr:uid="{1FB3F616-9252-4360-B3B7-2AB036955CDC}">
      <formula1>"-, Cilindros Moldeados, Nùcleos perforados"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AE8-48AD-4BEF-A715-EB4F6ECB3007}">
  <dimension ref="A1:AK63"/>
  <sheetViews>
    <sheetView tabSelected="1" zoomScaleNormal="100" workbookViewId="0">
      <selection activeCell="J20" sqref="J20"/>
    </sheetView>
  </sheetViews>
  <sheetFormatPr baseColWidth="10" defaultColWidth="11.42578125" defaultRowHeight="12.75" x14ac:dyDescent="0.2"/>
  <cols>
    <col min="1" max="1" width="23.7109375" style="24" customWidth="1"/>
    <col min="2" max="2" width="5.7109375" style="24" customWidth="1"/>
    <col min="3" max="3" width="11.5703125" style="24" customWidth="1"/>
    <col min="4" max="4" width="12.7109375" style="24" customWidth="1"/>
    <col min="5" max="5" width="12.5703125" style="24" customWidth="1"/>
    <col min="6" max="6" width="14.5703125" style="24" customWidth="1"/>
    <col min="7" max="8" width="12.140625" style="24" customWidth="1"/>
    <col min="9" max="9" width="9.140625" style="24" customWidth="1"/>
    <col min="10" max="10" width="23.7109375" style="24" customWidth="1"/>
    <col min="11" max="11" width="7.7109375" style="24" customWidth="1"/>
    <col min="12" max="12" width="10.5703125" style="24" customWidth="1"/>
    <col min="13" max="13" width="13" style="24" customWidth="1"/>
    <col min="14" max="14" width="12" style="24" customWidth="1"/>
    <col min="15" max="15" width="11.7109375" style="24" customWidth="1"/>
    <col min="16" max="16" width="13.140625" style="24" customWidth="1"/>
    <col min="17" max="17" width="13.7109375" style="24" customWidth="1"/>
    <col min="18" max="18" width="8.85546875" style="24" customWidth="1"/>
    <col min="19" max="19" width="24.5703125" style="24" customWidth="1"/>
    <col min="20" max="20" width="10" style="24" customWidth="1"/>
    <col min="21" max="21" width="10.5703125" style="24" customWidth="1"/>
    <col min="22" max="22" width="12.28515625" style="24" customWidth="1"/>
    <col min="23" max="23" width="14.28515625" style="24" customWidth="1"/>
    <col min="24" max="24" width="12.85546875" style="24" customWidth="1"/>
    <col min="25" max="25" width="12.5703125" style="24" customWidth="1"/>
    <col min="26" max="26" width="12" style="24" customWidth="1"/>
    <col min="27" max="16384" width="11.42578125" style="24"/>
  </cols>
  <sheetData>
    <row r="1" spans="1:24" ht="12.75" customHeight="1" x14ac:dyDescent="0.2">
      <c r="A1" s="418"/>
      <c r="B1" s="419"/>
      <c r="C1" s="424" t="s">
        <v>59</v>
      </c>
      <c r="D1" s="425"/>
      <c r="E1" s="425"/>
      <c r="F1" s="425"/>
      <c r="G1" s="425"/>
      <c r="H1" s="426"/>
      <c r="I1" s="23" t="s">
        <v>60</v>
      </c>
      <c r="J1" s="23" t="s">
        <v>61</v>
      </c>
      <c r="T1" s="394" t="s">
        <v>224</v>
      </c>
      <c r="U1" s="395"/>
      <c r="V1" s="396"/>
    </row>
    <row r="2" spans="1:24" ht="12.75" customHeight="1" x14ac:dyDescent="0.2">
      <c r="A2" s="420"/>
      <c r="B2" s="421"/>
      <c r="C2" s="427"/>
      <c r="D2" s="428"/>
      <c r="E2" s="428"/>
      <c r="F2" s="428"/>
      <c r="G2" s="428"/>
      <c r="H2" s="429"/>
      <c r="I2" s="23" t="s">
        <v>62</v>
      </c>
      <c r="J2" s="25">
        <v>3</v>
      </c>
      <c r="T2" s="397" t="s">
        <v>220</v>
      </c>
      <c r="U2" s="397" t="s">
        <v>221</v>
      </c>
      <c r="V2" s="397" t="s">
        <v>222</v>
      </c>
    </row>
    <row r="3" spans="1:24" ht="12.75" customHeight="1" x14ac:dyDescent="0.2">
      <c r="A3" s="420"/>
      <c r="B3" s="421"/>
      <c r="C3" s="427"/>
      <c r="D3" s="428"/>
      <c r="E3" s="428"/>
      <c r="F3" s="428"/>
      <c r="G3" s="428"/>
      <c r="H3" s="429"/>
      <c r="I3" s="23" t="s">
        <v>63</v>
      </c>
      <c r="J3" s="385">
        <v>46146</v>
      </c>
      <c r="T3" s="398"/>
      <c r="U3" s="398"/>
      <c r="V3" s="398"/>
    </row>
    <row r="4" spans="1:24" ht="12.75" customHeight="1" x14ac:dyDescent="0.2">
      <c r="A4" s="422"/>
      <c r="B4" s="423"/>
      <c r="C4" s="430"/>
      <c r="D4" s="431"/>
      <c r="E4" s="431"/>
      <c r="F4" s="431"/>
      <c r="G4" s="431"/>
      <c r="H4" s="432"/>
      <c r="I4" s="23" t="s">
        <v>64</v>
      </c>
      <c r="J4" s="23" t="s">
        <v>65</v>
      </c>
      <c r="T4" s="399"/>
      <c r="U4" s="399"/>
      <c r="V4" s="399"/>
    </row>
    <row r="5" spans="1:24" x14ac:dyDescent="0.2">
      <c r="T5" s="308">
        <v>1</v>
      </c>
      <c r="U5" s="308">
        <v>50</v>
      </c>
      <c r="V5" s="362">
        <v>8.2000000000000007E-3</v>
      </c>
    </row>
    <row r="6" spans="1:24" ht="18" customHeight="1" x14ac:dyDescent="0.2">
      <c r="A6" s="26" t="s">
        <v>66</v>
      </c>
      <c r="B6" s="433" t="s">
        <v>205</v>
      </c>
      <c r="C6" s="434"/>
      <c r="D6" s="434"/>
      <c r="E6" s="434"/>
      <c r="F6" s="434"/>
      <c r="G6" s="434"/>
      <c r="H6" s="434"/>
      <c r="I6" s="434"/>
      <c r="J6" s="435"/>
      <c r="T6" s="308">
        <v>2</v>
      </c>
      <c r="U6" s="308">
        <v>100</v>
      </c>
      <c r="V6" s="362">
        <v>8.3000000000000001E-3</v>
      </c>
    </row>
    <row r="7" spans="1:24" ht="18" customHeight="1" x14ac:dyDescent="0.2">
      <c r="A7" s="26" t="s">
        <v>67</v>
      </c>
      <c r="B7" s="27" t="s">
        <v>136</v>
      </c>
      <c r="C7" s="28"/>
      <c r="D7" s="28"/>
      <c r="E7" s="28"/>
      <c r="F7" s="29"/>
      <c r="G7" s="29"/>
      <c r="H7" s="29"/>
      <c r="I7" s="29"/>
      <c r="J7" s="30"/>
      <c r="T7" s="308">
        <v>3</v>
      </c>
      <c r="U7" s="308">
        <v>200</v>
      </c>
      <c r="V7" s="362">
        <v>8.6999999999999994E-3</v>
      </c>
    </row>
    <row r="8" spans="1:24" ht="18" customHeight="1" x14ac:dyDescent="0.2">
      <c r="A8" s="26" t="s">
        <v>68</v>
      </c>
      <c r="B8" s="27" t="s">
        <v>230</v>
      </c>
      <c r="C8" s="28"/>
      <c r="D8" s="28"/>
      <c r="E8" s="28"/>
      <c r="F8" s="29"/>
      <c r="G8" s="29"/>
      <c r="H8" s="29"/>
      <c r="I8" s="29"/>
      <c r="J8" s="30"/>
      <c r="T8" s="308">
        <v>4</v>
      </c>
      <c r="U8" s="308">
        <v>400</v>
      </c>
      <c r="V8" s="362">
        <v>0.01</v>
      </c>
    </row>
    <row r="9" spans="1:24" ht="18" customHeight="1" x14ac:dyDescent="0.2">
      <c r="A9" s="31" t="s">
        <v>69</v>
      </c>
      <c r="B9" s="27" t="s">
        <v>96</v>
      </c>
      <c r="C9" s="28"/>
      <c r="D9" s="28"/>
      <c r="E9" s="27"/>
      <c r="F9" s="29"/>
      <c r="G9" s="29"/>
      <c r="H9" s="29"/>
      <c r="I9" s="29"/>
      <c r="J9" s="30"/>
      <c r="T9" s="308">
        <v>5</v>
      </c>
      <c r="U9" s="308">
        <v>450</v>
      </c>
      <c r="V9" s="362">
        <v>0.01</v>
      </c>
    </row>
    <row r="11" spans="1:24" ht="15" customHeight="1" x14ac:dyDescent="0.2">
      <c r="A11" s="32" t="s">
        <v>231</v>
      </c>
      <c r="B11" s="22"/>
      <c r="C11" s="22"/>
      <c r="D11" s="22"/>
      <c r="E11" s="22"/>
      <c r="F11" s="32" t="s">
        <v>72</v>
      </c>
      <c r="G11" s="22"/>
      <c r="H11" s="22"/>
      <c r="V11" s="409"/>
      <c r="W11" s="409"/>
      <c r="X11" s="409"/>
    </row>
    <row r="12" spans="1:24" ht="15" customHeight="1" x14ac:dyDescent="0.2">
      <c r="A12" s="32"/>
      <c r="B12" s="22"/>
      <c r="C12" s="22"/>
      <c r="D12" s="22"/>
      <c r="E12" s="22"/>
      <c r="F12" s="22"/>
      <c r="G12" s="22"/>
      <c r="H12" s="22"/>
      <c r="V12" s="410"/>
      <c r="W12" s="410"/>
      <c r="X12" s="410"/>
    </row>
    <row r="13" spans="1:24" ht="15" customHeight="1" x14ac:dyDescent="0.2">
      <c r="A13" s="33" t="s">
        <v>70</v>
      </c>
      <c r="B13" s="22"/>
      <c r="C13" s="22"/>
      <c r="D13" s="33" t="s">
        <v>71</v>
      </c>
      <c r="E13" s="22"/>
      <c r="G13" s="22"/>
      <c r="H13" s="22"/>
      <c r="V13" s="410"/>
      <c r="W13" s="410"/>
      <c r="X13" s="410"/>
    </row>
    <row r="14" spans="1:24" ht="15" customHeight="1" x14ac:dyDescent="0.2">
      <c r="A14" s="22"/>
      <c r="B14" s="22"/>
      <c r="C14" s="22"/>
      <c r="D14" s="22"/>
      <c r="E14" s="22"/>
      <c r="F14" s="22"/>
      <c r="G14" s="22"/>
      <c r="H14" s="22"/>
      <c r="V14" s="410"/>
      <c r="W14" s="410"/>
      <c r="X14" s="410"/>
    </row>
    <row r="15" spans="1:24" ht="15" customHeight="1" x14ac:dyDescent="0.2">
      <c r="A15" s="34" t="s">
        <v>94</v>
      </c>
      <c r="B15" s="22"/>
      <c r="C15" s="22"/>
      <c r="D15" s="22"/>
      <c r="E15" s="22"/>
      <c r="F15" s="22"/>
      <c r="G15" s="22"/>
      <c r="H15" s="22"/>
      <c r="L15" s="411" t="s">
        <v>184</v>
      </c>
      <c r="M15" s="411"/>
      <c r="N15" s="411"/>
      <c r="O15" s="411" t="s">
        <v>185</v>
      </c>
      <c r="P15" s="411"/>
      <c r="Q15" s="411"/>
      <c r="R15" s="412" t="s">
        <v>186</v>
      </c>
      <c r="S15" s="413"/>
      <c r="T15" s="414"/>
      <c r="V15" s="386"/>
      <c r="W15" s="386"/>
      <c r="X15" s="387"/>
    </row>
    <row r="16" spans="1:24" ht="15" customHeight="1" x14ac:dyDescent="0.2">
      <c r="A16" s="34" t="s">
        <v>95</v>
      </c>
      <c r="B16" s="22"/>
      <c r="C16" s="22"/>
      <c r="D16" s="22"/>
      <c r="E16" s="22"/>
      <c r="F16" s="22"/>
      <c r="G16" s="22"/>
      <c r="H16" s="22"/>
      <c r="L16" s="354" t="e">
        <f>MATCH(C33,U6:U8)</f>
        <v>#N/A</v>
      </c>
      <c r="M16" s="355" t="e">
        <f>INDEX(T6:V8,L16,2)</f>
        <v>#N/A</v>
      </c>
      <c r="N16" s="356" t="e">
        <f>INDEX(T6:V8,L16,3)</f>
        <v>#N/A</v>
      </c>
      <c r="O16" s="354" t="e">
        <f>MATCH(L33,U6:U8)</f>
        <v>#N/A</v>
      </c>
      <c r="P16" s="355" t="e">
        <f>INDEX(T6:V8,O16,2)</f>
        <v>#N/A</v>
      </c>
      <c r="Q16" s="356" t="e">
        <f>INDEX(T6:V8,O16,3)</f>
        <v>#N/A</v>
      </c>
      <c r="R16" s="354" t="e">
        <f>MATCH(U33,U6:U8)</f>
        <v>#N/A</v>
      </c>
      <c r="S16" s="355" t="e">
        <f>INDEX(T6:V8,R16,2)</f>
        <v>#N/A</v>
      </c>
      <c r="T16" s="356" t="e">
        <f>INDEX(T6:V8,R16,3)</f>
        <v>#N/A</v>
      </c>
      <c r="V16" s="386"/>
      <c r="W16" s="386"/>
      <c r="X16" s="387"/>
    </row>
    <row r="17" spans="1:37" ht="15" customHeight="1" x14ac:dyDescent="0.2">
      <c r="A17" s="34" t="s">
        <v>97</v>
      </c>
      <c r="B17" s="22"/>
      <c r="C17" s="22"/>
      <c r="D17" s="22"/>
      <c r="E17" s="22"/>
      <c r="F17" s="22"/>
      <c r="G17" s="22"/>
      <c r="H17" s="22"/>
      <c r="L17" s="358" t="e">
        <f>L16+1</f>
        <v>#N/A</v>
      </c>
      <c r="M17" s="359" t="e">
        <f>INDEX(T6:V8,L17,2)</f>
        <v>#N/A</v>
      </c>
      <c r="N17" s="360" t="e">
        <f>INDEX(T6:V8,L17,3)</f>
        <v>#N/A</v>
      </c>
      <c r="O17" s="358" t="e">
        <f>O16+1</f>
        <v>#N/A</v>
      </c>
      <c r="P17" s="359" t="e">
        <f>INDEX(T6:V8,O17,2)</f>
        <v>#N/A</v>
      </c>
      <c r="Q17" s="360" t="e">
        <f>INDEX(T6:V8,O17,3)</f>
        <v>#N/A</v>
      </c>
      <c r="R17" s="358" t="e">
        <f>R16+1</f>
        <v>#N/A</v>
      </c>
      <c r="S17" s="359" t="e">
        <f>INDEX(T6:V8,R17,2)</f>
        <v>#N/A</v>
      </c>
      <c r="T17" s="360" t="e">
        <f>INDEX(T6:V8,R17,3)</f>
        <v>#N/A</v>
      </c>
      <c r="V17" s="386"/>
      <c r="W17" s="386"/>
      <c r="X17" s="387"/>
    </row>
    <row r="18" spans="1:37" ht="15" customHeight="1" x14ac:dyDescent="0.2">
      <c r="B18" s="22"/>
      <c r="C18" s="22"/>
      <c r="D18" s="22"/>
      <c r="E18" s="22"/>
      <c r="F18" s="22"/>
      <c r="G18" s="22"/>
      <c r="H18" s="22"/>
      <c r="L18" s="436" t="s">
        <v>169</v>
      </c>
      <c r="M18" s="437"/>
      <c r="N18" s="360" t="e">
        <f>+SLOPE(N16:N17,L16:L17)</f>
        <v>#N/A</v>
      </c>
      <c r="O18" s="405" t="s">
        <v>169</v>
      </c>
      <c r="P18" s="406"/>
      <c r="Q18" s="360" t="e">
        <f>+SLOPE(Q16:Q17,O16:O17)</f>
        <v>#N/A</v>
      </c>
      <c r="R18" s="405" t="s">
        <v>169</v>
      </c>
      <c r="S18" s="406"/>
      <c r="T18" s="360" t="e">
        <f>+SLOPE(T16:T17,R16:R17)</f>
        <v>#N/A</v>
      </c>
      <c r="V18" s="386"/>
      <c r="W18" s="386"/>
      <c r="X18" s="387"/>
    </row>
    <row r="19" spans="1:37" ht="15" customHeight="1" x14ac:dyDescent="0.2">
      <c r="A19" s="34"/>
      <c r="B19" s="22"/>
      <c r="C19" s="22"/>
      <c r="D19" s="22"/>
      <c r="E19" s="22"/>
      <c r="F19" s="22"/>
      <c r="G19" s="22"/>
      <c r="H19" s="22"/>
      <c r="L19" s="416" t="s">
        <v>170</v>
      </c>
      <c r="M19" s="417"/>
      <c r="N19" s="357" t="e">
        <f>+INTERCEPT(N16:N17,L16:L17)</f>
        <v>#N/A</v>
      </c>
      <c r="O19" s="407" t="s">
        <v>170</v>
      </c>
      <c r="P19" s="408"/>
      <c r="Q19" s="357" t="e">
        <f>+INTERCEPT(Q16:Q17,O16:O17)</f>
        <v>#N/A</v>
      </c>
      <c r="R19" s="407" t="s">
        <v>170</v>
      </c>
      <c r="S19" s="408"/>
      <c r="T19" s="357" t="e">
        <f>+INTERCEPT(T16:T17,R16:R17)</f>
        <v>#N/A</v>
      </c>
      <c r="V19" s="386"/>
      <c r="W19" s="386"/>
      <c r="X19" s="387"/>
    </row>
    <row r="20" spans="1:37" ht="15" customHeight="1" x14ac:dyDescent="0.2">
      <c r="A20" s="34"/>
      <c r="B20" s="22"/>
      <c r="C20" s="22"/>
      <c r="D20" s="22"/>
      <c r="E20" s="22"/>
      <c r="F20" s="22"/>
      <c r="G20" s="22"/>
      <c r="H20" s="22"/>
    </row>
    <row r="21" spans="1:37" ht="15" customHeight="1" x14ac:dyDescent="0.2">
      <c r="A21" s="34"/>
      <c r="B21" s="22"/>
      <c r="C21" s="22"/>
      <c r="D21" s="22"/>
      <c r="E21" s="22"/>
      <c r="F21" s="22"/>
      <c r="G21" s="22"/>
      <c r="H21" s="22"/>
    </row>
    <row r="22" spans="1:37" ht="15" customHeight="1" x14ac:dyDescent="0.2">
      <c r="A22" s="37"/>
      <c r="B22" s="22"/>
      <c r="C22" s="22"/>
      <c r="D22" s="22"/>
      <c r="E22" s="22"/>
      <c r="F22" s="22"/>
      <c r="G22" s="22"/>
      <c r="H22" s="22"/>
    </row>
    <row r="23" spans="1:37" ht="15" customHeight="1" x14ac:dyDescent="0.2">
      <c r="A23" s="33"/>
      <c r="B23" s="22"/>
      <c r="C23" s="22"/>
      <c r="D23" s="22"/>
      <c r="E23" s="22"/>
      <c r="F23" s="22"/>
      <c r="G23" s="35"/>
      <c r="H23" s="22"/>
    </row>
    <row r="24" spans="1:37" x14ac:dyDescent="0.2">
      <c r="A24" s="22"/>
      <c r="B24" s="22"/>
      <c r="C24" s="22"/>
      <c r="D24" s="22"/>
      <c r="E24" s="22"/>
      <c r="F24" s="22"/>
      <c r="G24" s="22"/>
      <c r="H24" s="22"/>
    </row>
    <row r="25" spans="1:37" ht="15" customHeight="1" x14ac:dyDescent="0.2">
      <c r="A25" s="36"/>
      <c r="B25" s="22"/>
      <c r="C25" s="22"/>
      <c r="D25" s="22"/>
      <c r="E25" s="22"/>
      <c r="F25" s="22"/>
      <c r="G25" s="35"/>
      <c r="H25" s="22"/>
    </row>
    <row r="26" spans="1:37" x14ac:dyDescent="0.2">
      <c r="A26" s="22"/>
      <c r="B26" s="22"/>
      <c r="C26" s="22"/>
      <c r="D26" s="22"/>
      <c r="E26" s="22"/>
      <c r="F26" s="22"/>
      <c r="G26" s="22"/>
      <c r="H26" s="22"/>
    </row>
    <row r="27" spans="1:37" ht="21" customHeight="1" x14ac:dyDescent="0.2">
      <c r="A27" s="38" t="s">
        <v>232</v>
      </c>
      <c r="B27" s="39"/>
      <c r="C27" s="39"/>
      <c r="D27" s="40"/>
      <c r="E27" s="39"/>
      <c r="F27" s="39"/>
      <c r="G27" s="39"/>
      <c r="H27" s="39"/>
      <c r="I27" s="41"/>
      <c r="J27" s="38" t="s">
        <v>233</v>
      </c>
      <c r="S27" s="38" t="s">
        <v>189</v>
      </c>
    </row>
    <row r="28" spans="1:37" ht="41.25" x14ac:dyDescent="0.2">
      <c r="A28" s="42" t="s">
        <v>73</v>
      </c>
      <c r="B28" s="43" t="s">
        <v>188</v>
      </c>
      <c r="C28" s="42" t="s">
        <v>74</v>
      </c>
      <c r="D28" s="43" t="s">
        <v>75</v>
      </c>
      <c r="E28" s="43" t="s">
        <v>76</v>
      </c>
      <c r="F28" s="43" t="s">
        <v>77</v>
      </c>
      <c r="G28" s="43" t="s">
        <v>78</v>
      </c>
      <c r="H28" s="43" t="s">
        <v>79</v>
      </c>
      <c r="I28" s="44"/>
      <c r="J28" s="42" t="s">
        <v>73</v>
      </c>
      <c r="K28" s="43" t="s">
        <v>188</v>
      </c>
      <c r="L28" s="42" t="s">
        <v>74</v>
      </c>
      <c r="M28" s="43" t="s">
        <v>75</v>
      </c>
      <c r="N28" s="43" t="s">
        <v>76</v>
      </c>
      <c r="O28" s="43" t="s">
        <v>77</v>
      </c>
      <c r="P28" s="43" t="s">
        <v>78</v>
      </c>
      <c r="Q28" s="43" t="s">
        <v>79</v>
      </c>
      <c r="R28" s="44"/>
      <c r="S28" s="42" t="s">
        <v>73</v>
      </c>
      <c r="T28" s="43" t="s">
        <v>188</v>
      </c>
      <c r="U28" s="42" t="s">
        <v>74</v>
      </c>
      <c r="V28" s="43" t="s">
        <v>75</v>
      </c>
      <c r="W28" s="43" t="s">
        <v>76</v>
      </c>
      <c r="X28" s="43" t="s">
        <v>77</v>
      </c>
      <c r="Y28" s="43" t="s">
        <v>78</v>
      </c>
      <c r="Z28" s="43" t="s">
        <v>79</v>
      </c>
      <c r="AA28" s="44"/>
      <c r="AC28" s="41"/>
      <c r="AD28" s="45"/>
      <c r="AE28" s="45"/>
      <c r="AF28" s="45"/>
      <c r="AG28" s="45"/>
      <c r="AH28" s="44"/>
      <c r="AI28" s="45"/>
      <c r="AJ28" s="45"/>
      <c r="AK28" s="45"/>
    </row>
    <row r="29" spans="1:37" ht="20.25" customHeight="1" x14ac:dyDescent="0.2">
      <c r="A29" s="46" t="s">
        <v>187</v>
      </c>
      <c r="B29" s="167" t="s">
        <v>41</v>
      </c>
      <c r="C29" s="102">
        <f>4000*C30/3.1416/C33/C33</f>
        <v>0</v>
      </c>
      <c r="D29" s="48" t="s">
        <v>80</v>
      </c>
      <c r="E29" s="48" t="s">
        <v>80</v>
      </c>
      <c r="F29" s="48" t="s">
        <v>80</v>
      </c>
      <c r="G29" s="48" t="s">
        <v>80</v>
      </c>
      <c r="H29" s="48" t="s">
        <v>80</v>
      </c>
      <c r="I29" s="49"/>
      <c r="J29" s="46" t="s">
        <v>187</v>
      </c>
      <c r="K29" s="167" t="s">
        <v>41</v>
      </c>
      <c r="L29" s="102">
        <f>4000*L30/3.1416/L33/L33</f>
        <v>0</v>
      </c>
      <c r="M29" s="48" t="s">
        <v>80</v>
      </c>
      <c r="N29" s="48" t="s">
        <v>80</v>
      </c>
      <c r="O29" s="48" t="s">
        <v>80</v>
      </c>
      <c r="P29" s="48" t="s">
        <v>80</v>
      </c>
      <c r="Q29" s="48" t="s">
        <v>80</v>
      </c>
      <c r="R29" s="49"/>
      <c r="S29" s="46" t="s">
        <v>187</v>
      </c>
      <c r="T29" s="167" t="s">
        <v>41</v>
      </c>
      <c r="U29" s="102">
        <f>4000*U30/3.1416/U33/U33</f>
        <v>0</v>
      </c>
      <c r="V29" s="48" t="s">
        <v>80</v>
      </c>
      <c r="W29" s="48" t="s">
        <v>80</v>
      </c>
      <c r="X29" s="48" t="s">
        <v>80</v>
      </c>
      <c r="Y29" s="48" t="s">
        <v>80</v>
      </c>
      <c r="Z29" s="48" t="s">
        <v>80</v>
      </c>
      <c r="AA29" s="49"/>
      <c r="AG29" s="87"/>
      <c r="AH29" s="87"/>
      <c r="AI29" s="87"/>
      <c r="AJ29" s="87"/>
      <c r="AK29" s="87"/>
    </row>
    <row r="30" spans="1:37" ht="20.25" customHeight="1" x14ac:dyDescent="0.2">
      <c r="A30" s="50" t="s">
        <v>98</v>
      </c>
      <c r="B30" s="169" t="s">
        <v>99</v>
      </c>
      <c r="C30" s="100">
        <f>+DATOS!I20</f>
        <v>0</v>
      </c>
      <c r="D30" s="52" t="s">
        <v>80</v>
      </c>
      <c r="E30" s="53" t="s">
        <v>80</v>
      </c>
      <c r="F30" s="54">
        <f>SQRT((F31*F31+F32*F32))</f>
        <v>4.880000853825063</v>
      </c>
      <c r="G30" s="53">
        <f>4000/3.1416/C33/C33</f>
        <v>2.7728636978533311E+43</v>
      </c>
      <c r="H30" s="289">
        <f>+G30*F30</f>
        <v>1.3531577213064778E+44</v>
      </c>
      <c r="I30" s="55" t="s">
        <v>81</v>
      </c>
      <c r="J30" s="50" t="s">
        <v>98</v>
      </c>
      <c r="K30" s="51" t="s">
        <v>99</v>
      </c>
      <c r="L30" s="100">
        <f>+DATOS!I21</f>
        <v>0</v>
      </c>
      <c r="M30" s="52" t="s">
        <v>80</v>
      </c>
      <c r="N30" s="53" t="s">
        <v>80</v>
      </c>
      <c r="O30" s="54">
        <f>SQRT((O31*O31+O32*O32))</f>
        <v>4.880000853825063</v>
      </c>
      <c r="P30" s="53">
        <f>4000/3.1416/L33/L33</f>
        <v>2.7728636978533311E+43</v>
      </c>
      <c r="Q30" s="289">
        <f>+P30*O30</f>
        <v>1.3531577213064778E+44</v>
      </c>
      <c r="R30" s="55" t="s">
        <v>81</v>
      </c>
      <c r="S30" s="50" t="s">
        <v>98</v>
      </c>
      <c r="T30" s="51" t="s">
        <v>99</v>
      </c>
      <c r="U30" s="100">
        <f>+DATOS!G38</f>
        <v>0</v>
      </c>
      <c r="V30" s="52" t="s">
        <v>80</v>
      </c>
      <c r="W30" s="53" t="s">
        <v>80</v>
      </c>
      <c r="X30" s="54">
        <f>SQRT((X31*X31+X32*X32))</f>
        <v>0.77000541123639732</v>
      </c>
      <c r="Y30" s="53">
        <f>4000/3.1416/U33/U33</f>
        <v>2.7728636978533311E+43</v>
      </c>
      <c r="Z30" s="289">
        <f>+Y30*X30</f>
        <v>2.1351200519680316E+43</v>
      </c>
      <c r="AA30" s="55" t="s">
        <v>81</v>
      </c>
      <c r="AG30" s="87"/>
      <c r="AH30" s="87"/>
      <c r="AI30" s="87"/>
      <c r="AJ30" s="87"/>
      <c r="AK30" s="87"/>
    </row>
    <row r="31" spans="1:37" ht="20.25" customHeight="1" x14ac:dyDescent="0.2">
      <c r="A31" s="298" t="s">
        <v>83</v>
      </c>
      <c r="B31" s="169" t="s">
        <v>99</v>
      </c>
      <c r="C31" s="100"/>
      <c r="D31" s="52" t="s">
        <v>134</v>
      </c>
      <c r="E31" s="78" t="s">
        <v>89</v>
      </c>
      <c r="F31" s="312">
        <f>+E50</f>
        <v>-4.8800000000000008</v>
      </c>
      <c r="G31" s="53"/>
      <c r="H31" s="289"/>
      <c r="I31" s="55"/>
      <c r="J31" s="300" t="s">
        <v>83</v>
      </c>
      <c r="K31" s="51" t="s">
        <v>99</v>
      </c>
      <c r="L31" s="100"/>
      <c r="M31" s="52" t="s">
        <v>134</v>
      </c>
      <c r="N31" s="78" t="s">
        <v>89</v>
      </c>
      <c r="O31" s="312">
        <f>+F50</f>
        <v>-4.8800000000000008</v>
      </c>
      <c r="P31" s="53"/>
      <c r="Q31" s="289"/>
      <c r="R31" s="55"/>
      <c r="S31" s="300" t="s">
        <v>83</v>
      </c>
      <c r="T31" s="51" t="s">
        <v>99</v>
      </c>
      <c r="U31" s="100"/>
      <c r="V31" s="52" t="s">
        <v>134</v>
      </c>
      <c r="W31" s="78" t="s">
        <v>89</v>
      </c>
      <c r="X31" s="299">
        <v>0.77</v>
      </c>
      <c r="Y31" s="53"/>
      <c r="Z31" s="289"/>
      <c r="AA31" s="55"/>
      <c r="AG31" s="87"/>
      <c r="AH31" s="87"/>
      <c r="AI31" s="87"/>
      <c r="AJ31" s="87"/>
      <c r="AK31" s="87"/>
    </row>
    <row r="32" spans="1:37" ht="20.25" customHeight="1" x14ac:dyDescent="0.2">
      <c r="A32" s="56" t="s">
        <v>84</v>
      </c>
      <c r="B32" s="169" t="s">
        <v>99</v>
      </c>
      <c r="C32" s="57"/>
      <c r="D32" s="103">
        <v>0.01</v>
      </c>
      <c r="E32" s="68" t="s">
        <v>85</v>
      </c>
      <c r="F32" s="60">
        <f>+D32/SQRT(3)/2</f>
        <v>2.886751345948129E-3</v>
      </c>
      <c r="G32" s="61" t="s">
        <v>80</v>
      </c>
      <c r="H32" s="62" t="s">
        <v>80</v>
      </c>
      <c r="I32" s="63"/>
      <c r="J32" s="56" t="s">
        <v>84</v>
      </c>
      <c r="K32" s="51" t="s">
        <v>99</v>
      </c>
      <c r="L32" s="57"/>
      <c r="M32" s="103">
        <v>0.01</v>
      </c>
      <c r="N32" s="68" t="s">
        <v>85</v>
      </c>
      <c r="O32" s="60">
        <f>+M32/SQRT(3)/2</f>
        <v>2.886751345948129E-3</v>
      </c>
      <c r="P32" s="61" t="s">
        <v>80</v>
      </c>
      <c r="Q32" s="62" t="s">
        <v>80</v>
      </c>
      <c r="R32" s="63"/>
      <c r="S32" s="56" t="s">
        <v>84</v>
      </c>
      <c r="T32" s="51" t="s">
        <v>99</v>
      </c>
      <c r="U32" s="57"/>
      <c r="V32" s="103">
        <v>0.01</v>
      </c>
      <c r="W32" s="68" t="s">
        <v>85</v>
      </c>
      <c r="X32" s="60">
        <f>+V32/SQRT(3)/2</f>
        <v>2.886751345948129E-3</v>
      </c>
      <c r="Y32" s="61" t="s">
        <v>80</v>
      </c>
      <c r="Z32" s="62" t="s">
        <v>80</v>
      </c>
      <c r="AA32" s="63"/>
      <c r="AG32" s="87"/>
      <c r="AH32" s="87"/>
      <c r="AI32" s="87"/>
      <c r="AJ32" s="87"/>
      <c r="AK32" s="87"/>
    </row>
    <row r="33" spans="1:37" ht="20.25" customHeight="1" x14ac:dyDescent="0.2">
      <c r="A33" s="69" t="s">
        <v>55</v>
      </c>
      <c r="B33" s="169" t="s">
        <v>100</v>
      </c>
      <c r="C33" s="301">
        <f>+DATOS!D36</f>
        <v>-6.7762635780344027E-21</v>
      </c>
      <c r="D33" s="70"/>
      <c r="E33" s="71" t="s">
        <v>80</v>
      </c>
      <c r="F33" s="54" t="e">
        <f>SQRT((F34*F34)+(F35*F35)+(F36*F36))</f>
        <v>#N/A</v>
      </c>
      <c r="G33" s="72">
        <f>8000*C30/3.1416/C33/C33/C33</f>
        <v>0</v>
      </c>
      <c r="H33" s="60" t="e">
        <f>+G33*F33</f>
        <v>#N/A</v>
      </c>
      <c r="I33" s="55" t="s">
        <v>86</v>
      </c>
      <c r="J33" s="69" t="s">
        <v>55</v>
      </c>
      <c r="K33" s="51" t="s">
        <v>100</v>
      </c>
      <c r="L33" s="301">
        <f>+DATOS!D37</f>
        <v>-6.7762635780344027E-21</v>
      </c>
      <c r="M33" s="70"/>
      <c r="N33" s="71" t="s">
        <v>80</v>
      </c>
      <c r="O33" s="54" t="e">
        <f>SQRT((O34*O34)+(O35*O35)+(O36*O36))</f>
        <v>#N/A</v>
      </c>
      <c r="P33" s="72">
        <f>8000*L30/3.1416/L33/L33/L33</f>
        <v>0</v>
      </c>
      <c r="Q33" s="60" t="e">
        <f>+P33*O33</f>
        <v>#N/A</v>
      </c>
      <c r="R33" s="55" t="s">
        <v>86</v>
      </c>
      <c r="S33" s="69" t="s">
        <v>55</v>
      </c>
      <c r="T33" s="51" t="s">
        <v>100</v>
      </c>
      <c r="U33" s="101">
        <f>+DATOS!D38</f>
        <v>-6.7762635780344027E-21</v>
      </c>
      <c r="V33" s="70"/>
      <c r="W33" s="71" t="s">
        <v>80</v>
      </c>
      <c r="X33" s="54" t="e">
        <f>SQRT((X34*X34)+(X35*X35)+(X36*X36))</f>
        <v>#N/A</v>
      </c>
      <c r="Y33" s="72">
        <f>8000*U30/3.1416/U33/U33/U33</f>
        <v>0</v>
      </c>
      <c r="Z33" s="60" t="e">
        <f>+Y33*X33</f>
        <v>#N/A</v>
      </c>
      <c r="AA33" s="55" t="s">
        <v>86</v>
      </c>
      <c r="AG33" s="87"/>
      <c r="AH33" s="87"/>
      <c r="AI33" s="87"/>
      <c r="AJ33" s="87"/>
      <c r="AK33" s="87"/>
    </row>
    <row r="34" spans="1:37" ht="20.25" customHeight="1" x14ac:dyDescent="0.2">
      <c r="A34" s="56" t="s">
        <v>193</v>
      </c>
      <c r="B34" s="169" t="s">
        <v>100</v>
      </c>
      <c r="C34" s="57"/>
      <c r="D34" s="58">
        <f>+PRECISION!$C$76</f>
        <v>6.408699444614291E-3</v>
      </c>
      <c r="E34" s="59" t="s">
        <v>82</v>
      </c>
      <c r="F34" s="60">
        <f>+D34</f>
        <v>6.408699444614291E-3</v>
      </c>
      <c r="G34" s="61" t="s">
        <v>80</v>
      </c>
      <c r="H34" s="62" t="s">
        <v>80</v>
      </c>
      <c r="I34" s="17"/>
      <c r="J34" s="56" t="s">
        <v>193</v>
      </c>
      <c r="K34" s="51" t="s">
        <v>100</v>
      </c>
      <c r="L34" s="57"/>
      <c r="M34" s="58">
        <f>+PRECISION!$C$76</f>
        <v>6.408699444614291E-3</v>
      </c>
      <c r="N34" s="59" t="s">
        <v>82</v>
      </c>
      <c r="O34" s="60">
        <f>+M34</f>
        <v>6.408699444614291E-3</v>
      </c>
      <c r="P34" s="61" t="s">
        <v>80</v>
      </c>
      <c r="Q34" s="62" t="s">
        <v>80</v>
      </c>
      <c r="R34" s="17"/>
      <c r="S34" s="56" t="s">
        <v>193</v>
      </c>
      <c r="T34" s="51" t="s">
        <v>100</v>
      </c>
      <c r="U34" s="57"/>
      <c r="V34" s="58">
        <f>+PRECISION!$C$76</f>
        <v>6.408699444614291E-3</v>
      </c>
      <c r="W34" s="59" t="s">
        <v>82</v>
      </c>
      <c r="X34" s="60">
        <f>+V34</f>
        <v>6.408699444614291E-3</v>
      </c>
      <c r="Y34" s="61" t="s">
        <v>80</v>
      </c>
      <c r="Z34" s="62" t="s">
        <v>80</v>
      </c>
      <c r="AA34" s="17"/>
      <c r="AG34" s="87"/>
      <c r="AH34" s="87"/>
      <c r="AI34" s="87"/>
      <c r="AJ34" s="87"/>
      <c r="AK34" s="87"/>
    </row>
    <row r="35" spans="1:37" ht="20.25" customHeight="1" x14ac:dyDescent="0.2">
      <c r="A35" s="56" t="s">
        <v>83</v>
      </c>
      <c r="B35" s="169" t="s">
        <v>100</v>
      </c>
      <c r="C35" s="57"/>
      <c r="D35" s="288" t="e">
        <f>+C33*N18+N19</f>
        <v>#N/A</v>
      </c>
      <c r="E35" s="59" t="s">
        <v>82</v>
      </c>
      <c r="F35" s="60" t="e">
        <f>+D35</f>
        <v>#N/A</v>
      </c>
      <c r="G35" s="61" t="s">
        <v>80</v>
      </c>
      <c r="H35" s="62" t="s">
        <v>80</v>
      </c>
      <c r="I35" s="17"/>
      <c r="J35" s="56" t="s">
        <v>83</v>
      </c>
      <c r="K35" s="51" t="s">
        <v>100</v>
      </c>
      <c r="L35" s="57"/>
      <c r="M35" s="288" t="e">
        <f>+L33*Q18+Q19</f>
        <v>#N/A</v>
      </c>
      <c r="N35" s="59" t="s">
        <v>82</v>
      </c>
      <c r="O35" s="60" t="e">
        <f>+M35</f>
        <v>#N/A</v>
      </c>
      <c r="P35" s="61" t="s">
        <v>80</v>
      </c>
      <c r="Q35" s="62" t="s">
        <v>80</v>
      </c>
      <c r="R35" s="17"/>
      <c r="S35" s="56" t="s">
        <v>83</v>
      </c>
      <c r="T35" s="51" t="s">
        <v>100</v>
      </c>
      <c r="U35" s="57"/>
      <c r="V35" s="288" t="e">
        <f>+U33*T18+T19</f>
        <v>#N/A</v>
      </c>
      <c r="W35" s="59" t="s">
        <v>82</v>
      </c>
      <c r="X35" s="60" t="e">
        <f>+V35</f>
        <v>#N/A</v>
      </c>
      <c r="Y35" s="61" t="s">
        <v>80</v>
      </c>
      <c r="Z35" s="62" t="s">
        <v>80</v>
      </c>
      <c r="AA35" s="17"/>
    </row>
    <row r="36" spans="1:37" ht="20.25" customHeight="1" x14ac:dyDescent="0.2">
      <c r="A36" s="56" t="s">
        <v>84</v>
      </c>
      <c r="B36" s="169" t="s">
        <v>100</v>
      </c>
      <c r="C36" s="57"/>
      <c r="D36" s="103">
        <v>0.01</v>
      </c>
      <c r="E36" s="68" t="s">
        <v>85</v>
      </c>
      <c r="F36" s="60">
        <f>+D36/SQRT(3)/2</f>
        <v>2.886751345948129E-3</v>
      </c>
      <c r="G36" s="61" t="s">
        <v>80</v>
      </c>
      <c r="H36" s="62" t="s">
        <v>80</v>
      </c>
      <c r="I36" s="17"/>
      <c r="J36" s="56" t="s">
        <v>84</v>
      </c>
      <c r="K36" s="51" t="s">
        <v>100</v>
      </c>
      <c r="L36" s="57"/>
      <c r="M36" s="103">
        <v>0.01</v>
      </c>
      <c r="N36" s="68" t="s">
        <v>85</v>
      </c>
      <c r="O36" s="60">
        <f>+M36/SQRT(3)/2</f>
        <v>2.886751345948129E-3</v>
      </c>
      <c r="P36" s="61" t="s">
        <v>80</v>
      </c>
      <c r="Q36" s="62" t="s">
        <v>80</v>
      </c>
      <c r="R36" s="17"/>
      <c r="S36" s="56" t="s">
        <v>84</v>
      </c>
      <c r="T36" s="51" t="s">
        <v>100</v>
      </c>
      <c r="U36" s="57"/>
      <c r="V36" s="103">
        <v>0.01</v>
      </c>
      <c r="W36" s="68" t="s">
        <v>85</v>
      </c>
      <c r="X36" s="60">
        <f>+V36/SQRT(3)/2</f>
        <v>2.886751345948129E-3</v>
      </c>
      <c r="Y36" s="61" t="s">
        <v>80</v>
      </c>
      <c r="Z36" s="62" t="s">
        <v>80</v>
      </c>
      <c r="AA36" s="17"/>
    </row>
    <row r="37" spans="1:37" ht="20.25" customHeight="1" x14ac:dyDescent="0.2">
      <c r="A37" s="74" t="s">
        <v>87</v>
      </c>
      <c r="B37" s="167" t="s">
        <v>41</v>
      </c>
      <c r="C37" s="76">
        <f>+PRECISION!C5</f>
        <v>0.19109999999999999</v>
      </c>
      <c r="D37" s="77"/>
      <c r="E37" s="78" t="s">
        <v>89</v>
      </c>
      <c r="F37" s="79">
        <f>C37/SQRT(1)</f>
        <v>0.19109999999999999</v>
      </c>
      <c r="G37" s="80">
        <v>1</v>
      </c>
      <c r="H37" s="79">
        <f>+F37*G37</f>
        <v>0.19109999999999999</v>
      </c>
      <c r="I37" s="64"/>
      <c r="J37" s="74" t="s">
        <v>87</v>
      </c>
      <c r="K37" s="75" t="s">
        <v>41</v>
      </c>
      <c r="L37" s="76">
        <f>+C37</f>
        <v>0.19109999999999999</v>
      </c>
      <c r="M37" s="77"/>
      <c r="N37" s="78" t="s">
        <v>89</v>
      </c>
      <c r="O37" s="79">
        <f>L37/SQRT(1)</f>
        <v>0.19109999999999999</v>
      </c>
      <c r="P37" s="80">
        <v>1</v>
      </c>
      <c r="Q37" s="79">
        <f>+O37*P37</f>
        <v>0.19109999999999999</v>
      </c>
      <c r="R37" s="64"/>
      <c r="S37" s="74" t="s">
        <v>87</v>
      </c>
      <c r="T37" s="75" t="s">
        <v>41</v>
      </c>
      <c r="U37" s="76">
        <f>+C37</f>
        <v>0.19109999999999999</v>
      </c>
      <c r="V37" s="77"/>
      <c r="W37" s="78" t="s">
        <v>89</v>
      </c>
      <c r="X37" s="79">
        <f>U37/SQRT(1)</f>
        <v>0.19109999999999999</v>
      </c>
      <c r="Y37" s="80">
        <v>1</v>
      </c>
      <c r="Z37" s="79">
        <f>+X37*Y37</f>
        <v>0.19109999999999999</v>
      </c>
      <c r="AA37" s="64"/>
      <c r="AC37" s="41"/>
      <c r="AD37" s="45"/>
      <c r="AE37" s="45"/>
      <c r="AF37" s="45"/>
      <c r="AG37" s="45"/>
      <c r="AH37" s="44"/>
      <c r="AI37" s="45"/>
      <c r="AJ37" s="45"/>
      <c r="AK37" s="45"/>
    </row>
    <row r="38" spans="1:37" ht="20.25" customHeight="1" x14ac:dyDescent="0.2">
      <c r="A38" s="81" t="s">
        <v>90</v>
      </c>
      <c r="B38" s="82"/>
      <c r="C38" s="83"/>
      <c r="D38" s="83"/>
      <c r="E38" s="84"/>
      <c r="F38" s="83"/>
      <c r="G38" s="85"/>
      <c r="H38" s="13" t="e">
        <f>SQRT((H30*H30)+(H33*H33)+(H37*H37))</f>
        <v>#N/A</v>
      </c>
      <c r="I38" s="73"/>
      <c r="J38" s="81" t="s">
        <v>90</v>
      </c>
      <c r="K38" s="82"/>
      <c r="L38" s="83"/>
      <c r="M38" s="83"/>
      <c r="N38" s="84"/>
      <c r="O38" s="83"/>
      <c r="P38" s="85"/>
      <c r="Q38" s="13" t="e">
        <f>SQRT((Q30*Q30)+(Q33*Q33)+(Q37*Q37))</f>
        <v>#N/A</v>
      </c>
      <c r="R38" s="73"/>
      <c r="S38" s="81" t="s">
        <v>90</v>
      </c>
      <c r="T38" s="82"/>
      <c r="U38" s="83"/>
      <c r="V38" s="83"/>
      <c r="W38" s="84"/>
      <c r="X38" s="83"/>
      <c r="Y38" s="85"/>
      <c r="Z38" s="13" t="e">
        <f>SQRT((Z30*Z30)+(Z33*Z33)+(Z37*Z37))</f>
        <v>#N/A</v>
      </c>
      <c r="AA38" s="73"/>
      <c r="AC38" s="41"/>
      <c r="AD38" s="45"/>
      <c r="AE38" s="45"/>
      <c r="AF38" s="45"/>
      <c r="AG38" s="87"/>
      <c r="AH38" s="87"/>
      <c r="AI38" s="87"/>
      <c r="AJ38" s="87"/>
      <c r="AK38" s="87"/>
    </row>
    <row r="39" spans="1:37" ht="20.25" customHeight="1" x14ac:dyDescent="0.2">
      <c r="A39" s="81" t="s">
        <v>91</v>
      </c>
      <c r="B39" s="86"/>
      <c r="C39" s="86"/>
      <c r="D39" s="82"/>
      <c r="E39" s="86"/>
      <c r="F39" s="82"/>
      <c r="G39" s="136" t="s">
        <v>41</v>
      </c>
      <c r="H39" s="19" t="e">
        <f>+H38*2</f>
        <v>#N/A</v>
      </c>
      <c r="I39" s="135"/>
      <c r="J39" s="81" t="s">
        <v>91</v>
      </c>
      <c r="K39" s="86"/>
      <c r="L39" s="86"/>
      <c r="M39" s="82"/>
      <c r="N39" s="86"/>
      <c r="O39" s="82"/>
      <c r="P39" s="136" t="s">
        <v>41</v>
      </c>
      <c r="Q39" s="19" t="e">
        <f>+Q38*2</f>
        <v>#N/A</v>
      </c>
      <c r="R39" s="135"/>
      <c r="S39" s="81" t="s">
        <v>91</v>
      </c>
      <c r="T39" s="86"/>
      <c r="U39" s="86"/>
      <c r="V39" s="82"/>
      <c r="W39" s="86"/>
      <c r="X39" s="82"/>
      <c r="Y39" s="136" t="s">
        <v>41</v>
      </c>
      <c r="Z39" s="19" t="e">
        <f>+Z38*2</f>
        <v>#N/A</v>
      </c>
      <c r="AA39" s="135"/>
      <c r="AC39" s="41"/>
      <c r="AD39" s="45"/>
      <c r="AE39" s="45"/>
      <c r="AF39" s="45"/>
      <c r="AG39" s="87"/>
      <c r="AH39" s="87"/>
      <c r="AI39" s="87"/>
      <c r="AJ39" s="87"/>
      <c r="AK39" s="87"/>
    </row>
    <row r="40" spans="1:37" x14ac:dyDescent="0.2">
      <c r="AC40" s="41"/>
      <c r="AD40" s="45"/>
      <c r="AE40" s="45"/>
      <c r="AF40" s="45"/>
      <c r="AG40" s="87"/>
      <c r="AH40" s="87"/>
      <c r="AI40" s="87"/>
      <c r="AJ40" s="87"/>
      <c r="AK40" s="87"/>
    </row>
    <row r="41" spans="1:37" x14ac:dyDescent="0.2">
      <c r="AC41" s="41"/>
      <c r="AD41" s="45"/>
      <c r="AE41" s="45"/>
      <c r="AF41" s="45"/>
      <c r="AG41" s="67"/>
      <c r="AH41" s="17"/>
      <c r="AI41" s="64"/>
      <c r="AJ41" s="65"/>
      <c r="AK41" s="66"/>
    </row>
    <row r="42" spans="1:37" ht="20.100000000000001" customHeight="1" x14ac:dyDescent="0.2">
      <c r="A42" s="296" t="s">
        <v>234</v>
      </c>
      <c r="B42" s="295"/>
      <c r="C42" s="295"/>
      <c r="D42" s="295"/>
      <c r="AC42" s="41"/>
      <c r="AD42" s="45"/>
      <c r="AE42" s="45"/>
      <c r="AF42" s="45"/>
    </row>
    <row r="43" spans="1:37" ht="20.100000000000001" customHeight="1" x14ac:dyDescent="0.2">
      <c r="A43" s="415" t="s">
        <v>92</v>
      </c>
      <c r="B43" s="415"/>
      <c r="C43" s="88" t="s">
        <v>93</v>
      </c>
      <c r="D43" s="88" t="s">
        <v>88</v>
      </c>
      <c r="AC43" s="41"/>
      <c r="AD43" s="45"/>
      <c r="AE43" s="45"/>
      <c r="AF43" s="45"/>
    </row>
    <row r="44" spans="1:37" ht="20.100000000000001" customHeight="1" x14ac:dyDescent="0.2">
      <c r="A44" s="89"/>
      <c r="B44" s="90" t="str">
        <f>+A30</f>
        <v>Carga máxima</v>
      </c>
      <c r="C44" s="91">
        <f>+H30</f>
        <v>1.3531577213064778E+44</v>
      </c>
      <c r="D44" s="92" t="e">
        <f>+C44/C47</f>
        <v>#N/A</v>
      </c>
    </row>
    <row r="45" spans="1:37" ht="20.100000000000001" customHeight="1" x14ac:dyDescent="0.2">
      <c r="A45" s="305"/>
      <c r="B45" s="306" t="str">
        <f>+A33</f>
        <v>Diametro</v>
      </c>
      <c r="C45" s="307" t="e">
        <f>+H33</f>
        <v>#N/A</v>
      </c>
      <c r="D45" s="99" t="e">
        <f>+C45/C47</f>
        <v>#N/A</v>
      </c>
    </row>
    <row r="46" spans="1:37" ht="20.100000000000001" customHeight="1" x14ac:dyDescent="0.2">
      <c r="A46" s="95"/>
      <c r="B46" s="96" t="str">
        <f>+A37</f>
        <v xml:space="preserve">factor de presición </v>
      </c>
      <c r="C46" s="93">
        <f>+H37</f>
        <v>0.19109999999999999</v>
      </c>
      <c r="D46" s="94" t="e">
        <f>+C46/C47</f>
        <v>#N/A</v>
      </c>
    </row>
    <row r="47" spans="1:37" ht="20.100000000000001" customHeight="1" x14ac:dyDescent="0.2">
      <c r="A47" s="97"/>
      <c r="B47" s="98"/>
      <c r="C47" s="309" t="e">
        <f>SUM(C44:C46)</f>
        <v>#N/A</v>
      </c>
      <c r="D47" s="99" t="e">
        <f>+C47/C47</f>
        <v>#N/A</v>
      </c>
      <c r="I47" s="133"/>
    </row>
    <row r="50" spans="1:8" x14ac:dyDescent="0.2">
      <c r="C50" s="308" t="s">
        <v>194</v>
      </c>
      <c r="D50" s="308" t="s">
        <v>195</v>
      </c>
      <c r="E50" s="311">
        <f>+FORECAST(C30,D54:D55,C54:C55)</f>
        <v>-4.8800000000000008</v>
      </c>
      <c r="F50" s="311">
        <f>+FORECAST(L30,D54:D55,C54:C55)</f>
        <v>-4.8800000000000008</v>
      </c>
      <c r="G50" s="311">
        <f>+FORECAST(U30,D54:D55,C54:C55)</f>
        <v>-4.8800000000000008</v>
      </c>
    </row>
    <row r="51" spans="1:8" x14ac:dyDescent="0.2">
      <c r="C51" s="308">
        <v>200</v>
      </c>
      <c r="D51" s="308">
        <v>0.77</v>
      </c>
    </row>
    <row r="52" spans="1:8" x14ac:dyDescent="0.2">
      <c r="C52" s="308">
        <v>300</v>
      </c>
      <c r="D52" s="308">
        <v>0.64</v>
      </c>
    </row>
    <row r="53" spans="1:8" x14ac:dyDescent="0.2">
      <c r="C53" s="308">
        <v>400</v>
      </c>
      <c r="D53" s="308">
        <v>0.87</v>
      </c>
    </row>
    <row r="54" spans="1:8" x14ac:dyDescent="0.2">
      <c r="C54" s="308">
        <v>500</v>
      </c>
      <c r="D54" s="308">
        <v>0.52</v>
      </c>
    </row>
    <row r="55" spans="1:8" x14ac:dyDescent="0.2">
      <c r="C55" s="308">
        <v>600</v>
      </c>
      <c r="D55" s="308">
        <v>1.6</v>
      </c>
    </row>
    <row r="56" spans="1:8" x14ac:dyDescent="0.2">
      <c r="C56" s="308">
        <v>700</v>
      </c>
      <c r="D56" s="308">
        <v>1.7</v>
      </c>
    </row>
    <row r="57" spans="1:8" x14ac:dyDescent="0.2">
      <c r="C57" s="308">
        <v>800</v>
      </c>
      <c r="D57" s="308">
        <v>1.2</v>
      </c>
    </row>
    <row r="60" spans="1:8" x14ac:dyDescent="0.2">
      <c r="A60" s="388" t="s">
        <v>235</v>
      </c>
      <c r="B60" s="400" t="s">
        <v>236</v>
      </c>
      <c r="C60" s="401"/>
      <c r="D60" s="389"/>
      <c r="E60" s="402" t="s">
        <v>237</v>
      </c>
      <c r="F60" s="402"/>
      <c r="G60" s="403" t="s">
        <v>238</v>
      </c>
      <c r="H60" s="404"/>
    </row>
    <row r="61" spans="1:8" x14ac:dyDescent="0.2">
      <c r="A61" s="22"/>
      <c r="B61" s="22"/>
      <c r="C61" s="22"/>
      <c r="D61" s="22"/>
      <c r="E61" s="22"/>
      <c r="F61" s="22"/>
      <c r="G61" s="22"/>
      <c r="H61" s="22"/>
    </row>
    <row r="62" spans="1:8" x14ac:dyDescent="0.2">
      <c r="A62" s="390" t="s">
        <v>239</v>
      </c>
      <c r="B62" s="391">
        <v>45604</v>
      </c>
      <c r="C62" s="392"/>
      <c r="D62" s="22"/>
      <c r="E62" s="393" t="s">
        <v>240</v>
      </c>
      <c r="F62" s="393"/>
      <c r="G62" s="391">
        <v>45605</v>
      </c>
      <c r="H62" s="392"/>
    </row>
    <row r="63" spans="1:8" x14ac:dyDescent="0.2">
      <c r="A63" s="22"/>
      <c r="B63" s="22"/>
      <c r="C63" s="22"/>
      <c r="D63" s="22"/>
      <c r="E63" s="22"/>
      <c r="F63" s="22"/>
      <c r="G63" s="22"/>
      <c r="H63" s="22"/>
    </row>
  </sheetData>
  <sheetProtection algorithmName="SHA-512" hashValue="3atU1fucqlLVGpLNRRCCuZZi36H3/WHWIUsizFhUkzhwrCDBS18utDAgxgrGYaRs9uhTsG7LlBhQUsqhhi2AYA==" saltValue="bJxoIVZ76Igc3931zA86ow==" spinCount="100000" sheet="1" objects="1" scenarios="1"/>
  <mergeCells count="27">
    <mergeCell ref="A1:B4"/>
    <mergeCell ref="C1:H4"/>
    <mergeCell ref="B6:J6"/>
    <mergeCell ref="L15:N15"/>
    <mergeCell ref="L18:M18"/>
    <mergeCell ref="O15:Q15"/>
    <mergeCell ref="O18:P18"/>
    <mergeCell ref="O19:P19"/>
    <mergeCell ref="R15:T15"/>
    <mergeCell ref="A43:B43"/>
    <mergeCell ref="L19:M19"/>
    <mergeCell ref="B62:C62"/>
    <mergeCell ref="E62:F62"/>
    <mergeCell ref="G62:H62"/>
    <mergeCell ref="T1:V1"/>
    <mergeCell ref="T2:T4"/>
    <mergeCell ref="U2:U4"/>
    <mergeCell ref="V2:V4"/>
    <mergeCell ref="B60:C60"/>
    <mergeCell ref="E60:F60"/>
    <mergeCell ref="G60:H60"/>
    <mergeCell ref="R18:S18"/>
    <mergeCell ref="R19:S19"/>
    <mergeCell ref="V11:X11"/>
    <mergeCell ref="V12:V14"/>
    <mergeCell ref="W12:W14"/>
    <mergeCell ref="X12:X1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3353-8B18-4D3C-BF3A-B69B913A13A4}">
  <dimension ref="B2:X65"/>
  <sheetViews>
    <sheetView topLeftCell="A12" workbookViewId="0">
      <selection activeCell="F16" sqref="F16"/>
    </sheetView>
  </sheetViews>
  <sheetFormatPr baseColWidth="10" defaultColWidth="11.42578125" defaultRowHeight="12.75" x14ac:dyDescent="0.2"/>
  <cols>
    <col min="1" max="1" width="3" style="18" customWidth="1"/>
    <col min="2" max="2" width="13.85546875" style="18" customWidth="1"/>
    <col min="3" max="3" width="11.140625" style="18" customWidth="1"/>
    <col min="4" max="11" width="10.85546875" style="18" customWidth="1"/>
    <col min="12" max="12" width="2.42578125" style="18" customWidth="1"/>
    <col min="13" max="13" width="11.85546875" style="18" customWidth="1"/>
    <col min="14" max="14" width="11.140625" style="18" customWidth="1"/>
    <col min="15" max="16384" width="11.42578125" style="18"/>
  </cols>
  <sheetData>
    <row r="2" spans="2:19" ht="30.75" customHeight="1" x14ac:dyDescent="0.2">
      <c r="B2" s="499" t="s">
        <v>110</v>
      </c>
      <c r="C2" s="499"/>
      <c r="D2" s="499"/>
      <c r="E2" s="499"/>
      <c r="F2" s="499"/>
      <c r="G2" s="499"/>
      <c r="M2" s="500"/>
      <c r="N2" s="500"/>
      <c r="O2" s="500"/>
      <c r="P2" s="500"/>
      <c r="Q2" s="500"/>
      <c r="R2" s="500"/>
    </row>
    <row r="6" spans="2:19" x14ac:dyDescent="0.2">
      <c r="I6" s="24"/>
    </row>
    <row r="7" spans="2:19" x14ac:dyDescent="0.2">
      <c r="B7" s="104" t="s">
        <v>56</v>
      </c>
      <c r="C7" s="330">
        <v>-1.4899999999999999E-6</v>
      </c>
      <c r="D7" s="331"/>
      <c r="E7" s="331"/>
      <c r="F7" s="106"/>
      <c r="G7" s="106"/>
      <c r="H7" s="106"/>
      <c r="I7" s="110"/>
      <c r="J7" s="110"/>
      <c r="M7" s="108"/>
      <c r="N7" s="105"/>
      <c r="O7" s="106"/>
      <c r="P7" s="106"/>
    </row>
    <row r="8" spans="2:19" x14ac:dyDescent="0.2">
      <c r="B8" s="109" t="s">
        <v>111</v>
      </c>
      <c r="C8" s="332">
        <v>1.1399999999999999</v>
      </c>
      <c r="D8" s="333">
        <v>2.4800000000000002E-10</v>
      </c>
      <c r="E8" s="331"/>
      <c r="F8" s="106"/>
      <c r="G8" s="106"/>
      <c r="H8" s="106"/>
      <c r="I8" s="106"/>
      <c r="J8" s="106"/>
      <c r="M8" s="106"/>
      <c r="N8" s="108"/>
      <c r="O8" s="110"/>
      <c r="P8" s="106"/>
    </row>
    <row r="9" spans="2:19" x14ac:dyDescent="0.2">
      <c r="B9" s="109" t="s">
        <v>112</v>
      </c>
      <c r="C9" s="334" t="s">
        <v>213</v>
      </c>
      <c r="D9" s="335"/>
      <c r="E9" s="331"/>
      <c r="F9" s="110" t="s">
        <v>108</v>
      </c>
      <c r="G9" s="106"/>
      <c r="H9" s="106"/>
      <c r="I9" s="106"/>
      <c r="J9" s="106"/>
      <c r="M9" s="106"/>
      <c r="N9" s="111"/>
      <c r="O9" s="108"/>
      <c r="P9" s="106"/>
    </row>
    <row r="10" spans="2:19" x14ac:dyDescent="0.2">
      <c r="B10" s="109" t="s">
        <v>113</v>
      </c>
      <c r="C10" s="111">
        <v>1</v>
      </c>
      <c r="D10" s="108" t="s">
        <v>108</v>
      </c>
      <c r="E10" s="106"/>
      <c r="F10" s="106"/>
      <c r="G10" s="106"/>
      <c r="H10" s="106"/>
      <c r="I10" s="106"/>
      <c r="J10" s="106"/>
      <c r="M10" s="106"/>
      <c r="N10" s="111"/>
      <c r="O10" s="108"/>
    </row>
    <row r="11" spans="2:19" x14ac:dyDescent="0.2">
      <c r="B11" s="109" t="s">
        <v>114</v>
      </c>
      <c r="C11" s="108" t="s">
        <v>57</v>
      </c>
      <c r="D11" s="106"/>
      <c r="E11" s="106"/>
      <c r="F11" s="106"/>
      <c r="G11" s="106"/>
      <c r="H11" s="106"/>
      <c r="I11" s="106"/>
      <c r="J11" s="106"/>
      <c r="M11" s="106"/>
      <c r="N11" s="108"/>
      <c r="O11" s="106"/>
    </row>
    <row r="12" spans="2:19" x14ac:dyDescent="0.2">
      <c r="B12" s="109" t="s">
        <v>167</v>
      </c>
      <c r="C12" s="353">
        <v>46160</v>
      </c>
      <c r="D12" s="106"/>
      <c r="E12" s="106"/>
      <c r="F12" s="106"/>
      <c r="G12" s="106"/>
      <c r="H12" s="106"/>
      <c r="I12" s="106"/>
      <c r="J12" s="106"/>
    </row>
    <row r="13" spans="2:19" x14ac:dyDescent="0.2">
      <c r="B13" s="112" t="s">
        <v>115</v>
      </c>
      <c r="C13" s="113" t="s">
        <v>116</v>
      </c>
      <c r="D13" s="114">
        <v>500</v>
      </c>
      <c r="E13" s="114">
        <v>1000</v>
      </c>
      <c r="F13" s="114">
        <v>5000</v>
      </c>
      <c r="G13" s="114">
        <v>10000</v>
      </c>
      <c r="H13" s="114">
        <v>15000</v>
      </c>
      <c r="I13" s="115">
        <v>20000</v>
      </c>
      <c r="J13" s="115"/>
      <c r="M13" s="249"/>
      <c r="N13" s="250"/>
      <c r="O13" s="251"/>
      <c r="P13" s="251"/>
      <c r="Q13" s="252"/>
      <c r="R13" s="252"/>
      <c r="S13" s="252"/>
    </row>
    <row r="14" spans="2:19" ht="14.25" customHeight="1" x14ac:dyDescent="0.2">
      <c r="B14" s="303"/>
      <c r="C14" s="247"/>
      <c r="D14" s="117"/>
      <c r="E14" s="117"/>
      <c r="F14" s="117"/>
      <c r="G14" s="117"/>
      <c r="H14" s="117"/>
      <c r="I14" s="117"/>
      <c r="J14" s="118"/>
      <c r="M14" s="253"/>
      <c r="N14" s="254"/>
      <c r="O14" s="255"/>
      <c r="P14" s="255"/>
      <c r="Q14" s="256"/>
      <c r="R14" s="256"/>
      <c r="S14" s="256"/>
    </row>
    <row r="15" spans="2:19" ht="14.25" customHeight="1" x14ac:dyDescent="0.2">
      <c r="B15" s="303"/>
      <c r="C15" s="247"/>
      <c r="D15" s="117"/>
      <c r="E15" s="117"/>
      <c r="F15" s="117"/>
      <c r="G15" s="117"/>
      <c r="H15" s="117"/>
      <c r="I15" s="118"/>
      <c r="J15" s="118"/>
      <c r="M15" s="257"/>
      <c r="N15" s="258"/>
      <c r="O15" s="256"/>
      <c r="P15" s="256"/>
      <c r="Q15" s="256"/>
      <c r="R15" s="256"/>
      <c r="S15" s="256"/>
    </row>
    <row r="16" spans="2:19" x14ac:dyDescent="0.2">
      <c r="B16" s="303"/>
      <c r="C16" s="247"/>
      <c r="D16" s="106"/>
      <c r="E16" s="106"/>
      <c r="F16" s="106"/>
      <c r="G16" s="106"/>
      <c r="H16" s="106"/>
      <c r="I16" s="106"/>
      <c r="J16" s="106"/>
      <c r="M16" s="106"/>
      <c r="N16" s="106"/>
      <c r="O16" s="106"/>
      <c r="P16" s="106"/>
      <c r="Q16" s="106"/>
      <c r="R16" s="106"/>
    </row>
    <row r="17" spans="2:23" x14ac:dyDescent="0.2">
      <c r="B17" s="107"/>
      <c r="C17" s="116" t="s">
        <v>117</v>
      </c>
      <c r="D17" s="119">
        <v>0</v>
      </c>
      <c r="E17" s="119">
        <v>0</v>
      </c>
      <c r="F17" s="119">
        <v>0</v>
      </c>
      <c r="G17" s="119">
        <v>0</v>
      </c>
      <c r="H17" s="119">
        <v>0</v>
      </c>
      <c r="I17" s="119">
        <v>0</v>
      </c>
      <c r="J17" s="119"/>
      <c r="M17" s="110"/>
      <c r="N17" s="109"/>
      <c r="O17" s="120"/>
      <c r="P17" s="120"/>
      <c r="Q17" s="120"/>
      <c r="R17" s="120"/>
      <c r="S17" s="120"/>
    </row>
    <row r="18" spans="2:23" x14ac:dyDescent="0.2">
      <c r="B18" s="110"/>
      <c r="C18" s="109"/>
      <c r="D18" s="120"/>
      <c r="E18" s="120"/>
      <c r="F18" s="120"/>
      <c r="G18" s="120"/>
      <c r="H18" s="120"/>
      <c r="I18" s="120"/>
      <c r="J18" s="120"/>
      <c r="M18" s="110"/>
      <c r="N18" s="109"/>
      <c r="O18" s="120"/>
      <c r="P18" s="120"/>
      <c r="Q18" s="120"/>
      <c r="R18" s="120"/>
    </row>
    <row r="19" spans="2:23" x14ac:dyDescent="0.2">
      <c r="B19" s="121" t="s">
        <v>118</v>
      </c>
      <c r="C19" s="121"/>
      <c r="D19" s="121"/>
      <c r="E19" s="121"/>
      <c r="F19" s="106"/>
      <c r="G19" s="106"/>
      <c r="H19" s="106"/>
      <c r="I19" s="106"/>
      <c r="J19" s="106"/>
      <c r="K19" s="106"/>
      <c r="L19" s="106"/>
      <c r="M19" s="106"/>
    </row>
    <row r="20" spans="2:23" ht="15.75" customHeight="1" x14ac:dyDescent="0.2">
      <c r="D20" s="115">
        <f t="shared" ref="D20:I20" si="0">+D13</f>
        <v>500</v>
      </c>
      <c r="E20" s="115">
        <f t="shared" si="0"/>
        <v>1000</v>
      </c>
      <c r="F20" s="115">
        <f t="shared" si="0"/>
        <v>5000</v>
      </c>
      <c r="G20" s="115">
        <f t="shared" si="0"/>
        <v>10000</v>
      </c>
      <c r="H20" s="115">
        <f t="shared" si="0"/>
        <v>15000</v>
      </c>
      <c r="I20" s="115">
        <f t="shared" si="0"/>
        <v>20000</v>
      </c>
      <c r="J20" s="115"/>
      <c r="O20" s="252"/>
      <c r="P20" s="252"/>
      <c r="Q20" s="252"/>
      <c r="R20" s="252"/>
      <c r="S20" s="252"/>
    </row>
    <row r="21" spans="2:23" x14ac:dyDescent="0.2">
      <c r="D21" s="122">
        <f t="shared" ref="D21:I21" si="1">D17</f>
        <v>0</v>
      </c>
      <c r="E21" s="122">
        <f t="shared" si="1"/>
        <v>0</v>
      </c>
      <c r="F21" s="122">
        <f t="shared" si="1"/>
        <v>0</v>
      </c>
      <c r="G21" s="122">
        <f t="shared" si="1"/>
        <v>0</v>
      </c>
      <c r="H21" s="122">
        <f t="shared" si="1"/>
        <v>0</v>
      </c>
      <c r="I21" s="122">
        <f t="shared" si="1"/>
        <v>0</v>
      </c>
      <c r="J21" s="122"/>
      <c r="O21" s="120"/>
      <c r="P21" s="120"/>
      <c r="Q21" s="120"/>
      <c r="R21" s="120"/>
      <c r="S21" s="120"/>
    </row>
    <row r="22" spans="2:23" x14ac:dyDescent="0.2">
      <c r="B22" s="32"/>
      <c r="C22" s="32"/>
      <c r="G22" s="106"/>
      <c r="H22" s="106"/>
      <c r="I22" s="106"/>
      <c r="J22" s="106"/>
      <c r="K22" s="106"/>
      <c r="L22" s="106"/>
      <c r="M22" s="106"/>
    </row>
    <row r="23" spans="2:23" x14ac:dyDescent="0.2">
      <c r="B23" s="123" t="s">
        <v>119</v>
      </c>
      <c r="C23" s="32"/>
      <c r="G23" s="106"/>
      <c r="H23" s="106"/>
      <c r="I23" s="106"/>
      <c r="J23" s="106"/>
      <c r="M23" s="106"/>
      <c r="N23" s="123"/>
    </row>
    <row r="24" spans="2:23" ht="18.75" customHeight="1" x14ac:dyDescent="0.2">
      <c r="B24" s="124" t="s">
        <v>127</v>
      </c>
      <c r="C24" s="32"/>
      <c r="G24" s="106"/>
      <c r="H24" s="106"/>
      <c r="I24" s="106"/>
      <c r="J24" s="106"/>
      <c r="K24" s="106"/>
      <c r="L24" s="106"/>
      <c r="M24" s="106"/>
      <c r="N24" s="121"/>
      <c r="P24" s="127"/>
    </row>
    <row r="25" spans="2:23" ht="18.75" customHeight="1" x14ac:dyDescent="0.2">
      <c r="B25" s="137" t="s">
        <v>120</v>
      </c>
      <c r="C25" s="125"/>
      <c r="D25" s="290">
        <f>+DATOS!I30</f>
        <v>0</v>
      </c>
      <c r="E25" s="291">
        <f>IF(D25&lt;=$D$20,$D$21,IF(AND(D25&gt;$D$20,D25&lt;=$E$20),$E$21,IF(AND(D25&gt;$E$20,D25&lt;=$F$20),$F$21,IF(AND(D25&gt;$F$20,D25&lt;=$G$20),$G$21,IF(AND(D25&gt;$G$20,D25&lt;=$H$20),$H$21,$H$21)))))</f>
        <v>0</v>
      </c>
      <c r="G25" s="106"/>
      <c r="H25" s="106"/>
      <c r="I25" s="106"/>
      <c r="J25" s="106"/>
      <c r="K25" s="106"/>
      <c r="L25" s="120"/>
      <c r="N25" s="259"/>
      <c r="O25" s="130"/>
      <c r="P25" s="260"/>
      <c r="Q25" s="261"/>
      <c r="R25" s="128"/>
      <c r="S25" s="120"/>
      <c r="T25" s="128"/>
      <c r="U25" s="120"/>
      <c r="V25" s="128"/>
      <c r="W25" s="120"/>
    </row>
    <row r="26" spans="2:23" ht="18.75" customHeight="1" x14ac:dyDescent="0.2">
      <c r="B26" s="137" t="s">
        <v>121</v>
      </c>
      <c r="C26" s="126"/>
      <c r="D26" s="290">
        <f>+DATOS!I31</f>
        <v>0</v>
      </c>
      <c r="E26" s="291">
        <f>IF(D26&lt;=$D$20,$D$21,IF(AND(D26&gt;$D$20,D26&lt;=$E$20),$E$21,IF(AND(D26&gt;$E$20,D26&lt;=$F$20),$F$21,IF(AND(D26&gt;$F$20,D26&lt;=$G$20),$G$21,IF(AND(D26&gt;$G$20,D26&lt;=$H$20),$H$21,$H$21)))))</f>
        <v>0</v>
      </c>
      <c r="G26" s="106"/>
      <c r="H26" s="106"/>
      <c r="I26" s="106"/>
      <c r="J26" s="106"/>
      <c r="K26" s="106"/>
      <c r="L26" s="120"/>
      <c r="N26" s="259"/>
      <c r="P26" s="260"/>
      <c r="Q26" s="261"/>
      <c r="R26" s="128"/>
      <c r="S26" s="120"/>
      <c r="T26" s="128"/>
      <c r="U26" s="120"/>
      <c r="V26" s="128"/>
      <c r="W26" s="120"/>
    </row>
    <row r="27" spans="2:23" ht="18.75" customHeight="1" x14ac:dyDescent="0.2">
      <c r="B27" s="137" t="s">
        <v>190</v>
      </c>
      <c r="C27" s="125"/>
      <c r="D27" s="290">
        <f>+DATOS!I32</f>
        <v>0</v>
      </c>
      <c r="E27" s="291">
        <f>IF(D27&lt;=$D$20,$D$21,IF(AND(D27&gt;$D$20,D27&lt;=$E$20),$E$21,IF(AND(D27&gt;$E$20,D27&lt;=$F$20),$F$21,IF(AND(D27&gt;$F$20,D27&lt;=$G$20),$G$21,IF(AND(D27&gt;$G$20,D27&lt;=$H$20),$H$21,$H$21)))))</f>
        <v>0</v>
      </c>
      <c r="G27" s="106"/>
      <c r="H27" s="106"/>
      <c r="I27" s="106"/>
      <c r="J27" s="106"/>
      <c r="K27" s="106"/>
      <c r="N27" s="106"/>
      <c r="P27" s="128"/>
      <c r="Q27" s="120"/>
      <c r="R27" s="128"/>
      <c r="S27" s="120"/>
      <c r="T27" s="128"/>
      <c r="U27" s="120"/>
      <c r="V27" s="128"/>
      <c r="W27" s="120"/>
    </row>
    <row r="28" spans="2:23" ht="18.75" customHeight="1" x14ac:dyDescent="0.2">
      <c r="B28" s="121"/>
      <c r="D28" s="127"/>
      <c r="G28" s="106"/>
      <c r="H28" s="106"/>
      <c r="I28" s="106"/>
      <c r="J28" s="106"/>
      <c r="K28" s="106"/>
    </row>
    <row r="29" spans="2:23" ht="18.75" customHeight="1" x14ac:dyDescent="0.2">
      <c r="B29" s="106"/>
      <c r="D29" s="128"/>
      <c r="E29" s="120"/>
      <c r="F29" s="128"/>
      <c r="G29" s="120"/>
      <c r="H29" s="128"/>
      <c r="I29" s="120"/>
      <c r="J29" s="128"/>
      <c r="K29" s="120"/>
      <c r="L29" s="120"/>
    </row>
    <row r="30" spans="2:23" ht="18.75" customHeight="1" x14ac:dyDescent="0.2">
      <c r="B30" s="106"/>
      <c r="D30" s="128"/>
      <c r="E30" s="120"/>
      <c r="F30" s="128"/>
      <c r="G30" s="120"/>
      <c r="H30" s="128"/>
      <c r="I30" s="120"/>
      <c r="J30" s="128"/>
      <c r="K30" s="120"/>
      <c r="L30" s="120"/>
    </row>
    <row r="31" spans="2:23" ht="18.75" customHeight="1" x14ac:dyDescent="0.2">
      <c r="B31" s="106"/>
      <c r="D31" s="128"/>
      <c r="E31" s="120"/>
      <c r="F31" s="128"/>
      <c r="G31" s="120"/>
      <c r="H31" s="128"/>
      <c r="I31" s="120"/>
      <c r="J31" s="128"/>
      <c r="K31" s="120"/>
      <c r="L31" s="120"/>
    </row>
    <row r="33" spans="2:24" ht="15" customHeight="1" x14ac:dyDescent="0.2">
      <c r="B33" s="138"/>
      <c r="C33" s="138"/>
      <c r="D33" s="138"/>
      <c r="E33" s="138"/>
      <c r="F33" s="24"/>
    </row>
    <row r="34" spans="2:24" ht="15" customHeight="1" x14ac:dyDescent="0.2">
      <c r="B34" s="138"/>
      <c r="C34" s="138"/>
      <c r="D34" s="138"/>
      <c r="E34" s="138"/>
      <c r="H34" s="129"/>
      <c r="I34" s="129"/>
      <c r="J34" s="129"/>
    </row>
    <row r="35" spans="2:24" ht="15" customHeight="1" x14ac:dyDescent="0.2">
      <c r="B35" s="138"/>
      <c r="C35" s="138"/>
      <c r="D35" s="138"/>
      <c r="E35" s="138"/>
      <c r="F35" s="24"/>
    </row>
    <row r="36" spans="2:24" ht="15" customHeight="1" x14ac:dyDescent="0.2">
      <c r="B36" s="138"/>
      <c r="C36" s="138"/>
      <c r="D36" s="138"/>
      <c r="E36" s="138"/>
      <c r="F36" s="24"/>
    </row>
    <row r="37" spans="2:24" ht="15" customHeight="1" x14ac:dyDescent="0.2">
      <c r="B37" s="138"/>
      <c r="C37" s="138"/>
      <c r="D37" s="138"/>
      <c r="E37" s="138"/>
      <c r="F37" s="24"/>
    </row>
    <row r="38" spans="2:24" ht="15" customHeight="1" x14ac:dyDescent="0.2">
      <c r="B38" s="138"/>
      <c r="C38" s="138"/>
      <c r="D38" s="138"/>
      <c r="E38" s="138"/>
      <c r="F38" s="24"/>
    </row>
    <row r="39" spans="2:24" x14ac:dyDescent="0.2">
      <c r="B39" s="24"/>
      <c r="C39" s="24"/>
      <c r="D39" s="24"/>
      <c r="E39" s="24"/>
      <c r="F39" s="24"/>
    </row>
    <row r="41" spans="2:24" x14ac:dyDescent="0.2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</row>
    <row r="42" spans="2:24" x14ac:dyDescent="0.2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T42" s="121"/>
      <c r="U42" s="121"/>
      <c r="V42" s="121"/>
      <c r="W42" s="121"/>
      <c r="X42" s="106"/>
    </row>
    <row r="43" spans="2:24" x14ac:dyDescent="0.2"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T43" s="121"/>
      <c r="U43" s="121"/>
      <c r="V43" s="121"/>
      <c r="W43" s="121"/>
      <c r="X43" s="106"/>
    </row>
    <row r="44" spans="2:24" x14ac:dyDescent="0.2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T44" s="121"/>
      <c r="U44" s="121"/>
      <c r="V44" s="121"/>
      <c r="W44" s="121"/>
    </row>
    <row r="45" spans="2:24" x14ac:dyDescent="0.2">
      <c r="T45" s="121"/>
      <c r="U45" s="121"/>
      <c r="V45" s="121"/>
      <c r="W45" s="121"/>
    </row>
    <row r="46" spans="2:24" x14ac:dyDescent="0.2">
      <c r="T46" s="121"/>
      <c r="U46" s="121"/>
      <c r="V46" s="121"/>
      <c r="W46" s="121"/>
    </row>
    <row r="47" spans="2:24" x14ac:dyDescent="0.2">
      <c r="T47" s="131"/>
      <c r="U47" s="131"/>
      <c r="V47" s="131"/>
      <c r="W47" s="131"/>
      <c r="X47" s="131"/>
    </row>
    <row r="48" spans="2:24" x14ac:dyDescent="0.2">
      <c r="T48" s="131"/>
      <c r="U48" s="131"/>
      <c r="V48" s="131"/>
      <c r="W48" s="131"/>
      <c r="X48" s="131"/>
    </row>
    <row r="49" spans="20:24" x14ac:dyDescent="0.2">
      <c r="T49" s="131"/>
      <c r="U49" s="131"/>
      <c r="V49" s="131"/>
      <c r="W49" s="131"/>
      <c r="X49" s="131"/>
    </row>
    <row r="50" spans="20:24" x14ac:dyDescent="0.2">
      <c r="T50" s="131"/>
      <c r="U50" s="131"/>
      <c r="V50" s="131"/>
      <c r="W50" s="131"/>
      <c r="X50" s="131"/>
    </row>
    <row r="51" spans="20:24" x14ac:dyDescent="0.2">
      <c r="T51" s="131"/>
      <c r="U51" s="131"/>
      <c r="V51" s="131"/>
      <c r="W51" s="131"/>
      <c r="X51" s="131"/>
    </row>
    <row r="52" spans="20:24" x14ac:dyDescent="0.2">
      <c r="T52" s="131"/>
      <c r="U52" s="131"/>
      <c r="V52" s="131"/>
      <c r="W52" s="131"/>
      <c r="X52" s="131"/>
    </row>
    <row r="53" spans="20:24" x14ac:dyDescent="0.2">
      <c r="T53" s="131"/>
      <c r="U53" s="131"/>
      <c r="V53" s="131"/>
      <c r="W53" s="131"/>
      <c r="X53" s="131"/>
    </row>
    <row r="54" spans="20:24" x14ac:dyDescent="0.2">
      <c r="T54" s="131"/>
      <c r="U54" s="131"/>
      <c r="V54" s="131"/>
      <c r="W54" s="131"/>
      <c r="X54" s="131"/>
    </row>
    <row r="55" spans="20:24" x14ac:dyDescent="0.2">
      <c r="T55" s="121"/>
      <c r="U55" s="121"/>
      <c r="V55" s="121"/>
      <c r="W55" s="121"/>
    </row>
    <row r="56" spans="20:24" x14ac:dyDescent="0.2">
      <c r="T56" s="121"/>
      <c r="U56" s="121"/>
      <c r="V56" s="121"/>
      <c r="W56" s="121"/>
    </row>
    <row r="57" spans="20:24" x14ac:dyDescent="0.2">
      <c r="T57" s="121"/>
      <c r="U57" s="121"/>
      <c r="V57" s="121"/>
      <c r="W57" s="121"/>
    </row>
    <row r="58" spans="20:24" x14ac:dyDescent="0.2">
      <c r="T58" s="121"/>
      <c r="U58" s="121"/>
      <c r="V58" s="121"/>
      <c r="W58" s="121"/>
    </row>
    <row r="59" spans="20:24" x14ac:dyDescent="0.2">
      <c r="T59" s="121"/>
      <c r="U59" s="121"/>
      <c r="V59" s="121"/>
      <c r="W59" s="121"/>
    </row>
    <row r="60" spans="20:24" x14ac:dyDescent="0.2">
      <c r="T60" s="121"/>
      <c r="U60" s="121"/>
      <c r="V60" s="121"/>
      <c r="W60" s="121"/>
    </row>
    <row r="61" spans="20:24" x14ac:dyDescent="0.2">
      <c r="T61" s="132"/>
      <c r="U61" s="132"/>
      <c r="V61" s="132"/>
      <c r="W61" s="132"/>
    </row>
    <row r="62" spans="20:24" x14ac:dyDescent="0.2">
      <c r="T62" s="132"/>
      <c r="U62" s="132"/>
      <c r="V62" s="132"/>
      <c r="W62" s="132"/>
    </row>
    <row r="63" spans="20:24" x14ac:dyDescent="0.2">
      <c r="T63" s="132"/>
      <c r="U63" s="132"/>
      <c r="V63" s="132"/>
      <c r="W63" s="132"/>
    </row>
    <row r="64" spans="20:24" x14ac:dyDescent="0.2">
      <c r="T64" s="132"/>
      <c r="U64" s="132"/>
      <c r="V64" s="132"/>
      <c r="W64" s="132"/>
    </row>
    <row r="65" spans="20:23" x14ac:dyDescent="0.2">
      <c r="T65" s="132"/>
      <c r="U65" s="132"/>
      <c r="V65" s="132"/>
      <c r="W65" s="132"/>
    </row>
  </sheetData>
  <sheetProtection algorithmName="SHA-512" hashValue="4nrhgxDCj0IiCuoMbcCKzuxvQ5DNYiiRImLlDoGGrvpDGPk0supWI6NlsdFZw2ASdDYVAuqwmuIzfZGAQ/irOg==" saltValue="GnDV3yGzf8K33MXMfJN+qg==" spinCount="100000" sheet="1" objects="1" scenarios="1"/>
  <mergeCells count="2">
    <mergeCell ref="B2:G2"/>
    <mergeCell ref="M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4014-F6B2-4DCB-88E6-C5A7D762F151}">
  <dimension ref="A1:F77"/>
  <sheetViews>
    <sheetView workbookViewId="0">
      <selection activeCell="C14" sqref="C14"/>
    </sheetView>
  </sheetViews>
  <sheetFormatPr baseColWidth="10" defaultColWidth="11.42578125" defaultRowHeight="12" x14ac:dyDescent="0.2"/>
  <cols>
    <col min="1" max="1" width="6.85546875" style="17" customWidth="1"/>
    <col min="2" max="2" width="37.140625" style="17" customWidth="1"/>
    <col min="3" max="5" width="9.85546875" style="17" customWidth="1"/>
    <col min="6" max="6" width="13.5703125" style="17" customWidth="1"/>
    <col min="7" max="16384" width="11.42578125" style="17"/>
  </cols>
  <sheetData>
    <row r="1" spans="1:6" x14ac:dyDescent="0.2">
      <c r="B1" s="363"/>
      <c r="C1" s="363"/>
      <c r="D1" s="363"/>
      <c r="E1" s="363"/>
    </row>
    <row r="2" spans="1:6" ht="14.25" x14ac:dyDescent="0.2">
      <c r="B2" s="373" t="s">
        <v>227</v>
      </c>
      <c r="C2" s="24"/>
      <c r="D2" s="24"/>
      <c r="E2" s="24"/>
    </row>
    <row r="3" spans="1:6" ht="14.25" x14ac:dyDescent="0.2">
      <c r="A3" s="364"/>
      <c r="B3" s="373" t="s">
        <v>103</v>
      </c>
      <c r="C3" s="374">
        <v>46186</v>
      </c>
      <c r="D3" s="24"/>
      <c r="E3" s="24"/>
      <c r="F3" s="364"/>
    </row>
    <row r="4" spans="1:6" ht="15.75" customHeight="1" x14ac:dyDescent="0.2">
      <c r="A4" s="143"/>
      <c r="B4" s="373"/>
      <c r="C4" s="375"/>
      <c r="D4" s="24"/>
      <c r="E4" s="24"/>
      <c r="F4" s="366"/>
    </row>
    <row r="5" spans="1:6" ht="21" customHeight="1" x14ac:dyDescent="0.2">
      <c r="A5" s="143"/>
      <c r="B5" s="376" t="s">
        <v>225</v>
      </c>
      <c r="C5" s="503">
        <v>0.19109999999999999</v>
      </c>
      <c r="D5" s="503"/>
      <c r="E5" s="503"/>
      <c r="F5" s="366"/>
    </row>
    <row r="6" spans="1:6" ht="21" customHeight="1" x14ac:dyDescent="0.2">
      <c r="A6" s="143"/>
      <c r="B6" s="376" t="s">
        <v>226</v>
      </c>
      <c r="C6" s="503">
        <v>0.32485000000000003</v>
      </c>
      <c r="D6" s="503"/>
      <c r="E6" s="503"/>
      <c r="F6" s="366"/>
    </row>
    <row r="7" spans="1:6" ht="15.75" customHeight="1" x14ac:dyDescent="0.2">
      <c r="A7" s="143"/>
      <c r="B7" s="143"/>
      <c r="C7" s="143"/>
      <c r="D7" s="281"/>
      <c r="E7" s="365"/>
      <c r="F7" s="366"/>
    </row>
    <row r="8" spans="1:6" ht="15.75" customHeight="1" x14ac:dyDescent="0.2">
      <c r="A8" s="143"/>
      <c r="B8" s="143"/>
      <c r="C8" s="143"/>
      <c r="E8" s="365"/>
      <c r="F8" s="366"/>
    </row>
    <row r="9" spans="1:6" ht="15.75" customHeight="1" x14ac:dyDescent="0.2">
      <c r="A9" s="143"/>
      <c r="B9" s="143"/>
      <c r="C9" s="143"/>
      <c r="E9" s="365"/>
      <c r="F9" s="366"/>
    </row>
    <row r="10" spans="1:6" ht="15.75" customHeight="1" x14ac:dyDescent="0.2">
      <c r="A10" s="143"/>
      <c r="B10" s="143"/>
      <c r="C10" s="143"/>
      <c r="D10" s="281"/>
      <c r="E10" s="365"/>
      <c r="F10" s="366"/>
    </row>
    <row r="11" spans="1:6" ht="15.75" customHeight="1" x14ac:dyDescent="0.2">
      <c r="A11" s="143"/>
      <c r="B11" s="143"/>
      <c r="C11" s="143"/>
      <c r="D11" s="281"/>
      <c r="E11" s="365"/>
      <c r="F11" s="366"/>
    </row>
    <row r="12" spans="1:6" ht="15.75" customHeight="1" x14ac:dyDescent="0.2">
      <c r="A12" s="143"/>
      <c r="B12" s="143"/>
      <c r="C12" s="143"/>
      <c r="D12" s="281"/>
      <c r="E12" s="365"/>
      <c r="F12" s="366"/>
    </row>
    <row r="13" spans="1:6" ht="15.75" customHeight="1" x14ac:dyDescent="0.2">
      <c r="A13" s="143"/>
      <c r="B13" s="143"/>
      <c r="C13" s="143"/>
      <c r="D13" s="281"/>
      <c r="E13" s="365"/>
      <c r="F13" s="366"/>
    </row>
    <row r="14" spans="1:6" ht="15.75" customHeight="1" x14ac:dyDescent="0.2">
      <c r="A14" s="143"/>
      <c r="B14" s="143"/>
      <c r="C14" s="143"/>
      <c r="D14" s="281"/>
      <c r="E14" s="365"/>
      <c r="F14" s="366"/>
    </row>
    <row r="15" spans="1:6" ht="15.75" customHeight="1" x14ac:dyDescent="0.2">
      <c r="A15" s="143"/>
      <c r="B15" s="143"/>
      <c r="C15" s="143"/>
      <c r="D15" s="281"/>
      <c r="E15" s="365"/>
      <c r="F15" s="366"/>
    </row>
    <row r="16" spans="1:6" ht="12.75" x14ac:dyDescent="0.2">
      <c r="A16" s="143"/>
      <c r="B16" s="143"/>
      <c r="C16" s="143"/>
      <c r="D16" s="281"/>
      <c r="E16" s="365"/>
      <c r="F16" s="366"/>
    </row>
    <row r="17" spans="1:6" ht="12.75" x14ac:dyDescent="0.2">
      <c r="A17" s="143"/>
      <c r="B17" s="143"/>
      <c r="C17" s="143"/>
      <c r="D17" s="281"/>
      <c r="E17" s="365"/>
      <c r="F17" s="366"/>
    </row>
    <row r="18" spans="1:6" ht="12.75" x14ac:dyDescent="0.2">
      <c r="A18" s="143"/>
      <c r="B18" s="143"/>
      <c r="C18" s="143"/>
      <c r="D18" s="281"/>
      <c r="E18" s="365"/>
      <c r="F18" s="366"/>
    </row>
    <row r="19" spans="1:6" ht="12.75" x14ac:dyDescent="0.2">
      <c r="A19" s="143"/>
      <c r="B19" s="143"/>
      <c r="C19" s="143"/>
      <c r="D19" s="281"/>
      <c r="E19" s="365"/>
      <c r="F19" s="366"/>
    </row>
    <row r="20" spans="1:6" ht="12.75" x14ac:dyDescent="0.2">
      <c r="A20" s="143"/>
      <c r="B20" s="143"/>
      <c r="C20" s="143"/>
      <c r="E20" s="365"/>
      <c r="F20" s="366"/>
    </row>
    <row r="21" spans="1:6" ht="12.75" x14ac:dyDescent="0.2">
      <c r="A21" s="143"/>
      <c r="B21" s="143"/>
      <c r="C21" s="143"/>
      <c r="E21" s="365"/>
      <c r="F21" s="366"/>
    </row>
    <row r="22" spans="1:6" ht="12.75" x14ac:dyDescent="0.2">
      <c r="A22" s="143"/>
      <c r="B22" s="143"/>
      <c r="C22" s="143"/>
      <c r="D22" s="281"/>
      <c r="E22" s="365"/>
      <c r="F22" s="366"/>
    </row>
    <row r="23" spans="1:6" ht="12.75" x14ac:dyDescent="0.2">
      <c r="A23" s="143"/>
      <c r="B23" s="143"/>
      <c r="C23" s="143"/>
      <c r="D23" s="281"/>
      <c r="E23" s="365"/>
      <c r="F23" s="366"/>
    </row>
    <row r="24" spans="1:6" ht="12.75" x14ac:dyDescent="0.2">
      <c r="A24" s="143"/>
      <c r="B24" s="143"/>
      <c r="C24" s="143"/>
      <c r="D24" s="281"/>
      <c r="E24" s="365"/>
      <c r="F24" s="366"/>
    </row>
    <row r="25" spans="1:6" ht="12.75" x14ac:dyDescent="0.2">
      <c r="A25" s="143"/>
      <c r="B25" s="143"/>
      <c r="C25" s="143"/>
      <c r="D25" s="281"/>
      <c r="E25" s="365"/>
      <c r="F25" s="366"/>
    </row>
    <row r="26" spans="1:6" ht="12.75" x14ac:dyDescent="0.2">
      <c r="A26" s="143"/>
      <c r="B26" s="143"/>
      <c r="C26" s="143"/>
      <c r="D26" s="281"/>
      <c r="E26" s="365"/>
      <c r="F26" s="366"/>
    </row>
    <row r="27" spans="1:6" ht="12.75" x14ac:dyDescent="0.2">
      <c r="A27" s="143"/>
      <c r="B27" s="143"/>
      <c r="C27" s="143"/>
      <c r="D27" s="281"/>
      <c r="E27" s="365"/>
      <c r="F27" s="366"/>
    </row>
    <row r="28" spans="1:6" ht="12.75" x14ac:dyDescent="0.2">
      <c r="A28" s="143"/>
      <c r="B28" s="143"/>
      <c r="C28" s="143"/>
      <c r="D28" s="281"/>
      <c r="E28" s="365"/>
      <c r="F28" s="366"/>
    </row>
    <row r="29" spans="1:6" ht="12.75" x14ac:dyDescent="0.2">
      <c r="A29" s="143"/>
      <c r="B29" s="143"/>
      <c r="C29" s="143"/>
      <c r="D29" s="281"/>
      <c r="E29" s="365"/>
      <c r="F29" s="366"/>
    </row>
    <row r="30" spans="1:6" ht="12.75" x14ac:dyDescent="0.2">
      <c r="A30" s="143"/>
      <c r="B30" s="143"/>
      <c r="C30" s="143"/>
      <c r="D30" s="281"/>
      <c r="E30" s="365"/>
      <c r="F30" s="366"/>
    </row>
    <row r="31" spans="1:6" ht="12.75" x14ac:dyDescent="0.2">
      <c r="A31" s="143"/>
      <c r="B31" s="143"/>
      <c r="C31" s="143"/>
      <c r="D31" s="281"/>
      <c r="E31" s="365"/>
      <c r="F31" s="366"/>
    </row>
    <row r="32" spans="1:6" ht="12.75" x14ac:dyDescent="0.2">
      <c r="A32" s="143"/>
      <c r="B32" s="143"/>
      <c r="C32" s="143"/>
      <c r="D32" s="281"/>
      <c r="E32" s="365"/>
      <c r="F32" s="366"/>
    </row>
    <row r="33" spans="1:6" ht="12.75" x14ac:dyDescent="0.2">
      <c r="A33" s="143"/>
      <c r="B33" s="143"/>
      <c r="C33" s="143"/>
      <c r="D33" s="281"/>
      <c r="E33" s="365"/>
      <c r="F33" s="366"/>
    </row>
    <row r="34" spans="1:6" ht="12.75" x14ac:dyDescent="0.2">
      <c r="A34" s="143"/>
      <c r="B34" s="143"/>
      <c r="C34" s="143"/>
      <c r="D34" s="281"/>
      <c r="E34" s="365"/>
      <c r="F34" s="366"/>
    </row>
    <row r="35" spans="1:6" ht="12.75" x14ac:dyDescent="0.2">
      <c r="A35" s="143"/>
      <c r="B35" s="143"/>
      <c r="C35" s="143"/>
      <c r="D35" s="281"/>
      <c r="E35" s="365"/>
      <c r="F35" s="366"/>
    </row>
    <row r="36" spans="1:6" ht="12.75" x14ac:dyDescent="0.2">
      <c r="A36" s="143"/>
      <c r="B36" s="143"/>
      <c r="C36" s="143"/>
      <c r="D36" s="281"/>
      <c r="E36" s="365"/>
      <c r="F36" s="366"/>
    </row>
    <row r="37" spans="1:6" ht="12.75" x14ac:dyDescent="0.2">
      <c r="A37" s="143"/>
      <c r="B37" s="143"/>
      <c r="C37" s="143"/>
      <c r="D37" s="281"/>
      <c r="E37" s="365"/>
      <c r="F37" s="366"/>
    </row>
    <row r="38" spans="1:6" ht="12.75" x14ac:dyDescent="0.2">
      <c r="A38" s="143"/>
      <c r="B38" s="143"/>
      <c r="C38" s="143"/>
      <c r="D38" s="281"/>
      <c r="E38" s="365"/>
      <c r="F38" s="366"/>
    </row>
    <row r="39" spans="1:6" ht="12.75" x14ac:dyDescent="0.2">
      <c r="A39" s="143"/>
      <c r="B39" s="143"/>
      <c r="C39" s="143"/>
      <c r="D39" s="281"/>
      <c r="E39" s="365"/>
      <c r="F39" s="366"/>
    </row>
    <row r="40" spans="1:6" ht="12.75" x14ac:dyDescent="0.2">
      <c r="A40" s="143"/>
      <c r="B40" s="143"/>
      <c r="C40" s="143"/>
      <c r="D40" s="281"/>
      <c r="E40" s="365"/>
      <c r="F40" s="366"/>
    </row>
    <row r="41" spans="1:6" x14ac:dyDescent="0.2">
      <c r="A41" s="139"/>
      <c r="F41" s="139"/>
    </row>
    <row r="42" spans="1:6" x14ac:dyDescent="0.2">
      <c r="A42" s="139"/>
      <c r="B42" s="367"/>
      <c r="C42" s="367"/>
      <c r="D42" s="367"/>
      <c r="E42" s="367"/>
      <c r="F42" s="139"/>
    </row>
    <row r="43" spans="1:6" x14ac:dyDescent="0.2">
      <c r="A43" s="139"/>
      <c r="B43" s="367"/>
      <c r="C43" s="368"/>
      <c r="D43" s="369"/>
      <c r="E43" s="369"/>
      <c r="F43" s="139"/>
    </row>
    <row r="44" spans="1:6" x14ac:dyDescent="0.2">
      <c r="A44" s="139"/>
      <c r="B44" s="367"/>
      <c r="C44" s="368"/>
      <c r="D44" s="369"/>
      <c r="E44" s="369"/>
      <c r="F44" s="139"/>
    </row>
    <row r="45" spans="1:6" x14ac:dyDescent="0.2">
      <c r="A45" s="139"/>
      <c r="B45" s="367"/>
      <c r="C45" s="368"/>
      <c r="D45" s="369"/>
      <c r="E45" s="369"/>
      <c r="F45" s="139"/>
    </row>
    <row r="46" spans="1:6" x14ac:dyDescent="0.2">
      <c r="A46" s="139"/>
      <c r="B46" s="367"/>
      <c r="C46" s="368"/>
      <c r="D46" s="369"/>
      <c r="E46" s="369"/>
      <c r="F46" s="139"/>
    </row>
    <row r="47" spans="1:6" x14ac:dyDescent="0.2">
      <c r="A47" s="139"/>
      <c r="B47" s="367"/>
      <c r="C47" s="368"/>
      <c r="D47" s="369"/>
      <c r="E47" s="369"/>
      <c r="F47" s="139"/>
    </row>
    <row r="48" spans="1:6" x14ac:dyDescent="0.2">
      <c r="A48" s="139"/>
      <c r="B48" s="367"/>
      <c r="C48" s="368"/>
      <c r="D48" s="369"/>
      <c r="E48" s="369"/>
      <c r="F48" s="139"/>
    </row>
    <row r="49" spans="1:6" x14ac:dyDescent="0.2">
      <c r="A49" s="139"/>
      <c r="B49" s="139"/>
      <c r="C49" s="139"/>
      <c r="D49" s="139"/>
      <c r="E49" s="139"/>
      <c r="F49" s="139"/>
    </row>
    <row r="50" spans="1:6" x14ac:dyDescent="0.2">
      <c r="A50" s="139"/>
      <c r="B50" s="139"/>
      <c r="C50" s="139"/>
      <c r="D50" s="370"/>
      <c r="E50" s="371"/>
      <c r="F50" s="139"/>
    </row>
    <row r="51" spans="1:6" x14ac:dyDescent="0.2">
      <c r="A51" s="139"/>
      <c r="B51" s="139"/>
      <c r="C51" s="139"/>
      <c r="D51" s="370"/>
      <c r="E51" s="369"/>
      <c r="F51" s="139"/>
    </row>
    <row r="52" spans="1:6" x14ac:dyDescent="0.2">
      <c r="A52" s="139"/>
      <c r="B52" s="139"/>
      <c r="C52" s="139"/>
      <c r="D52" s="372"/>
      <c r="E52" s="369"/>
      <c r="F52" s="139"/>
    </row>
    <row r="55" spans="1:6" x14ac:dyDescent="0.2">
      <c r="B55" s="147" t="s">
        <v>199</v>
      </c>
    </row>
    <row r="57" spans="1:6" x14ac:dyDescent="0.2">
      <c r="A57" s="139" t="s">
        <v>101</v>
      </c>
    </row>
    <row r="58" spans="1:6" x14ac:dyDescent="0.2">
      <c r="A58" s="139" t="s">
        <v>102</v>
      </c>
    </row>
    <row r="59" spans="1:6" x14ac:dyDescent="0.2">
      <c r="A59" s="139" t="s">
        <v>103</v>
      </c>
      <c r="B59" s="140">
        <v>0</v>
      </c>
    </row>
    <row r="61" spans="1:6" x14ac:dyDescent="0.2">
      <c r="A61" s="139" t="s">
        <v>104</v>
      </c>
      <c r="D61" s="139"/>
    </row>
    <row r="62" spans="1:6" x14ac:dyDescent="0.2">
      <c r="A62" s="20" t="s">
        <v>122</v>
      </c>
      <c r="B62" s="154"/>
      <c r="C62" s="304" t="s">
        <v>196</v>
      </c>
      <c r="D62" s="304"/>
      <c r="E62" s="304"/>
    </row>
    <row r="63" spans="1:6" ht="12" customHeight="1" x14ac:dyDescent="0.2">
      <c r="A63" s="492" t="s">
        <v>105</v>
      </c>
      <c r="B63" s="494"/>
      <c r="C63" s="304">
        <v>100.02</v>
      </c>
      <c r="D63" s="304"/>
      <c r="E63" s="304"/>
    </row>
    <row r="64" spans="1:6" x14ac:dyDescent="0.2">
      <c r="A64" s="492"/>
      <c r="B64" s="494"/>
      <c r="C64" s="304">
        <v>100.01</v>
      </c>
      <c r="D64" s="304"/>
      <c r="E64" s="304"/>
    </row>
    <row r="65" spans="1:5" x14ac:dyDescent="0.2">
      <c r="A65" s="492"/>
      <c r="B65" s="494"/>
      <c r="C65" s="304">
        <v>100</v>
      </c>
      <c r="D65" s="304"/>
      <c r="E65" s="304"/>
    </row>
    <row r="66" spans="1:5" x14ac:dyDescent="0.2">
      <c r="A66" s="492"/>
      <c r="B66" s="494"/>
      <c r="C66" s="304">
        <v>100.02</v>
      </c>
      <c r="D66" s="304"/>
      <c r="E66" s="304"/>
    </row>
    <row r="67" spans="1:5" x14ac:dyDescent="0.2">
      <c r="A67" s="492"/>
      <c r="B67" s="494"/>
      <c r="C67" s="304">
        <v>100.01</v>
      </c>
      <c r="D67" s="304"/>
      <c r="E67" s="304"/>
    </row>
    <row r="68" spans="1:5" x14ac:dyDescent="0.2">
      <c r="A68" s="492"/>
      <c r="B68" s="494"/>
      <c r="C68" s="304">
        <v>100.01</v>
      </c>
      <c r="D68" s="304"/>
      <c r="E68" s="304"/>
    </row>
    <row r="69" spans="1:5" x14ac:dyDescent="0.2">
      <c r="A69" s="492"/>
      <c r="B69" s="494"/>
      <c r="C69" s="304">
        <v>100.01</v>
      </c>
      <c r="D69" s="304"/>
      <c r="E69" s="304"/>
    </row>
    <row r="70" spans="1:5" x14ac:dyDescent="0.2">
      <c r="A70" s="492"/>
      <c r="B70" s="494"/>
      <c r="C70" s="304">
        <v>100.01</v>
      </c>
      <c r="D70" s="304"/>
      <c r="E70" s="304"/>
    </row>
    <row r="71" spans="1:5" x14ac:dyDescent="0.2">
      <c r="A71" s="501" t="s">
        <v>106</v>
      </c>
      <c r="B71" s="502"/>
      <c r="C71" s="142">
        <f>COUNT(C63:C70)</f>
        <v>8</v>
      </c>
      <c r="D71" s="142">
        <f>COUNT(D63:D70)</f>
        <v>0</v>
      </c>
      <c r="E71" s="142">
        <f>COUNT(E63:E70)</f>
        <v>0</v>
      </c>
    </row>
    <row r="72" spans="1:5" x14ac:dyDescent="0.2">
      <c r="A72" s="501" t="s">
        <v>107</v>
      </c>
      <c r="B72" s="502"/>
      <c r="C72" s="141">
        <f>COUNTA(C62:E62)</f>
        <v>1</v>
      </c>
      <c r="D72" s="141">
        <f>COUNTA(C62:E62)</f>
        <v>1</v>
      </c>
      <c r="E72" s="141">
        <f>COUNTA(D62:E62)</f>
        <v>0</v>
      </c>
    </row>
    <row r="73" spans="1:5" x14ac:dyDescent="0.2">
      <c r="A73" s="143"/>
      <c r="C73" s="144"/>
      <c r="D73" s="144"/>
      <c r="E73" s="145"/>
    </row>
    <row r="74" spans="1:5" ht="13.5" x14ac:dyDescent="0.2">
      <c r="A74" s="172" t="s">
        <v>123</v>
      </c>
      <c r="B74" s="154"/>
      <c r="C74" s="146">
        <f>COUNT(C63:C70)</f>
        <v>8</v>
      </c>
      <c r="D74" s="146">
        <f>COUNT(D63:D70)</f>
        <v>0</v>
      </c>
      <c r="E74" s="146">
        <f>COUNT(E63:E70)</f>
        <v>0</v>
      </c>
    </row>
    <row r="75" spans="1:5" ht="13.5" x14ac:dyDescent="0.2">
      <c r="A75" s="310" t="s">
        <v>124</v>
      </c>
      <c r="C75" s="19">
        <f>AVERAGE(C63:C70)</f>
        <v>100.01124999999999</v>
      </c>
      <c r="D75" s="19" t="e">
        <f>AVERAGE(D63:D70)</f>
        <v>#DIV/0!</v>
      </c>
      <c r="E75" s="19" t="e">
        <f>AVERAGE(E63:E70)</f>
        <v>#DIV/0!</v>
      </c>
    </row>
    <row r="76" spans="1:5" ht="13.5" x14ac:dyDescent="0.2">
      <c r="A76" s="172" t="s">
        <v>125</v>
      </c>
      <c r="B76" s="154"/>
      <c r="C76" s="181">
        <f>STDEV(C63:C70)</f>
        <v>6.408699444614291E-3</v>
      </c>
      <c r="D76" s="181" t="e">
        <f>STDEV(D63:D70)</f>
        <v>#DIV/0!</v>
      </c>
      <c r="E76" s="181" t="e">
        <f>STDEV(E63:E70)</f>
        <v>#DIV/0!</v>
      </c>
    </row>
    <row r="77" spans="1:5" ht="13.5" x14ac:dyDescent="0.2">
      <c r="A77" s="172" t="s">
        <v>126</v>
      </c>
      <c r="B77" s="154"/>
      <c r="C77" s="181">
        <f>VAR(C63:C70)</f>
        <v>4.1071428571399527E-5</v>
      </c>
      <c r="D77" s="181" t="e">
        <f>VAR(D63:D70)</f>
        <v>#DIV/0!</v>
      </c>
      <c r="E77" s="181" t="e">
        <f>VAR(E63:E70)</f>
        <v>#DIV/0!</v>
      </c>
    </row>
  </sheetData>
  <sheetProtection algorithmName="SHA-512" hashValue="L330B4HzqelhA2ysO7ZrcCGHFrdDrRGwEGCgPWDvMGJiUeqI+s6Bf7hE3JuE+DM/pvQjpzQuC6Plr8gk9geKFg==" saltValue="ONa6QTcLKwEZop4cjGzeVA==" spinCount="100000" sheet="1" objects="1" scenarios="1"/>
  <mergeCells count="5">
    <mergeCell ref="A63:B70"/>
    <mergeCell ref="A71:B71"/>
    <mergeCell ref="A72:B72"/>
    <mergeCell ref="C5:E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806-6C16-4721-8741-4D35374ECC38}"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504" t="s">
        <v>10</v>
      </c>
      <c r="B2" s="504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</vt:lpstr>
      <vt:lpstr>COMPRESION</vt:lpstr>
      <vt:lpstr>Hoja2</vt:lpstr>
      <vt:lpstr>DATOS</vt:lpstr>
      <vt:lpstr>INCERTIDUMBRE</vt:lpstr>
      <vt:lpstr>Balanza</vt:lpstr>
      <vt:lpstr>PRECISION</vt:lpstr>
      <vt:lpstr>Hoja1</vt:lpstr>
      <vt:lpstr>COMPRESION!Área_de_impresión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GEOFAL SAC</cp:lastModifiedBy>
  <cp:lastPrinted>2026-07-01T23:12:03Z</cp:lastPrinted>
  <dcterms:created xsi:type="dcterms:W3CDTF">1999-11-07T15:11:55Z</dcterms:created>
  <dcterms:modified xsi:type="dcterms:W3CDTF">2026-07-02T14:09:00Z</dcterms:modified>
</cp:coreProperties>
</file>