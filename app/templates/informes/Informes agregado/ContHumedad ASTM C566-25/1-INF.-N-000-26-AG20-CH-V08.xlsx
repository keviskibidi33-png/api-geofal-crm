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charts/chart1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20" yWindow="-120" windowWidth="29040" windowHeight="15720" tabRatio="723" firstSheet="0" activeTab="2" autoFilterDateGrouping="1"/>
  </bookViews>
  <sheets>
    <sheet xmlns:r="http://schemas.openxmlformats.org/officeDocument/2006/relationships" name="FORMATO" sheetId="1" state="visible" r:id="rId1"/>
    <sheet xmlns:r="http://schemas.openxmlformats.org/officeDocument/2006/relationships" name="INFORME" sheetId="2" state="visible" r:id="rId2"/>
    <sheet xmlns:r="http://schemas.openxmlformats.org/officeDocument/2006/relationships" name="Datos ensayo" sheetId="3" state="visible" r:id="rId3"/>
    <sheet xmlns:r="http://schemas.openxmlformats.org/officeDocument/2006/relationships" name="Incertidumbre" sheetId="4" state="visible" r:id="rId4"/>
    <sheet xmlns:r="http://schemas.openxmlformats.org/officeDocument/2006/relationships" name="Balanza" sheetId="5" state="visible" r:id="rId5"/>
    <sheet xmlns:r="http://schemas.openxmlformats.org/officeDocument/2006/relationships" name="Precisión" sheetId="6" state="visible" r:id="rId6"/>
    <sheet xmlns:r="http://schemas.openxmlformats.org/officeDocument/2006/relationships" name="Hoja1" sheetId="7" state="hidden" r:id="rId7"/>
  </sheets>
  <externalReferences>
    <externalReference xmlns:r="http://schemas.openxmlformats.org/officeDocument/2006/relationships" r:id="rId8"/>
    <externalReference xmlns:r="http://schemas.openxmlformats.org/officeDocument/2006/relationships" r:id="rId9"/>
    <externalReference xmlns:r="http://schemas.openxmlformats.org/officeDocument/2006/relationships" r:id="rId10"/>
    <externalReference xmlns:r="http://schemas.openxmlformats.org/officeDocument/2006/relationships" r:id="rId11"/>
    <externalReference xmlns:r="http://schemas.openxmlformats.org/officeDocument/2006/relationships" r:id="rId12"/>
    <externalReference xmlns:r="http://schemas.openxmlformats.org/officeDocument/2006/relationships" r:id="rId13"/>
  </externalReferences>
  <definedNames>
    <definedName name="___CC2">[1]Sucs!$L$6</definedName>
    <definedName name="__CC2">[1]Sucs!$L$6</definedName>
    <definedName name="_CC1">[2]Sucs!$L$6</definedName>
    <definedName name="_CC2">[1]Sucs!$L$6</definedName>
    <definedName name="_CU1">[2]Sucs!$L$5</definedName>
    <definedName name="_IP1">[2]Sucs!$L$4</definedName>
    <definedName name="_L1">#REF!</definedName>
    <definedName name="_Ll1">[2]Sucs!$L$3</definedName>
    <definedName name="_W1">#REF!</definedName>
    <definedName name="Abra">[3]Sucs!$C$3</definedName>
    <definedName name="CC">#REF!</definedName>
    <definedName name="CCf">'[2]Sucs(Fino)'!$L$6</definedName>
    <definedName name="CCVB">[4]Sucs!$L$3</definedName>
    <definedName name="CM">[5]BGA!$H$9</definedName>
    <definedName name="CU">#REF!</definedName>
    <definedName name="CUf">'[2]Sucs(Fino)'!$L$5</definedName>
    <definedName name="hh">#REF!</definedName>
    <definedName name="IP">#REF!</definedName>
    <definedName name="IPf">'[2]Sucs(Fino)'!$L$4</definedName>
    <definedName name="L">#REF!</definedName>
    <definedName name="LIf">'[2]Sucs(Fino)'!$L$3</definedName>
    <definedName name="Ll">#REF!</definedName>
    <definedName name="MORA">[5]BGA!$H$13</definedName>
    <definedName name="N_10">#REF!</definedName>
    <definedName name="N_101">[2]Sucs!$C$5</definedName>
    <definedName name="N_10f">'[2]Sucs(Fino)'!$C$5</definedName>
    <definedName name="N_200">#REF!</definedName>
    <definedName name="N_2001">[2]Sucs!$C$3</definedName>
    <definedName name="N_200f">'[2]Sucs(Fino)'!$C$3</definedName>
    <definedName name="N_40">#REF!</definedName>
    <definedName name="N_401">[2]Sucs!$C$4</definedName>
    <definedName name="N_40f">'[2]Sucs(Fino)'!$C$4</definedName>
    <definedName name="PC">[4]Sucs!$C$5</definedName>
    <definedName name="TABLA">#REF!</definedName>
    <definedName name="tipodegranulometria">'[6]G-LL '!$X$2:$X$3</definedName>
    <definedName name="tipodemateria">'[6]G-LL '!$X$5:$X$6</definedName>
    <definedName name="W">#REF!</definedName>
    <definedName name="_xlnm.Print_Area" localSheetId="0">'FORMATO'!$A$1:$N$49</definedName>
    <definedName name="_xlnm.Print_Area" localSheetId="1">'INFORME'!$A$1:$N$50</definedName>
    <definedName name="_L1" localSheetId="3">#REF!</definedName>
    <definedName name="_W1" localSheetId="3">#REF!</definedName>
    <definedName name="CC" localSheetId="3">#REF!</definedName>
    <definedName name="CU" localSheetId="3">#REF!</definedName>
    <definedName name="hh" localSheetId="3">#REF!</definedName>
    <definedName name="IP" localSheetId="3">#REF!</definedName>
    <definedName name="L" localSheetId="3">#REF!</definedName>
    <definedName name="Ll" localSheetId="3">#REF!</definedName>
    <definedName name="N_10" localSheetId="3">#REF!</definedName>
    <definedName name="N_200" localSheetId="3">#REF!</definedName>
    <definedName name="N_40" localSheetId="3">#REF!</definedName>
    <definedName name="TABLA" localSheetId="3">#REF!</definedName>
    <definedName name="tipodegranulometria" localSheetId="3">'[6]G-LL '!$X$2:$X$3</definedName>
    <definedName name="tipodemateria" localSheetId="3">'[6]G-LL '!$X$5:$X$6</definedName>
    <definedName name="W" localSheetId="3">#REF!</definedName>
    <definedName name="_L1" localSheetId="4">#REF!</definedName>
    <definedName name="_W1" localSheetId="4">#REF!</definedName>
    <definedName name="CC" localSheetId="4">#REF!</definedName>
    <definedName name="CU" localSheetId="4">#REF!</definedName>
    <definedName name="hh" localSheetId="4">#REF!</definedName>
    <definedName name="IP" localSheetId="4">#REF!</definedName>
    <definedName name="L" localSheetId="4">#REF!</definedName>
    <definedName name="Ll" localSheetId="4">#REF!</definedName>
    <definedName name="N_10" localSheetId="4">#REF!</definedName>
    <definedName name="N_200" localSheetId="4">#REF!</definedName>
    <definedName name="N_40" localSheetId="4">#REF!</definedName>
    <definedName name="TABLA" localSheetId="4">#REF!</definedName>
    <definedName name="tipodegranulometria" localSheetId="4">'[6]G-LL '!$X$2:$X$3</definedName>
    <definedName name="tipodemateria" localSheetId="4">'[6]G-LL '!$X$5:$X$6</definedName>
    <definedName name="W" localSheetId="4">#REF!</definedName>
  </definedNames>
  <calcPr calcId="191029" fullCalcOnLoad="1"/>
</workbook>
</file>

<file path=xl/styles.xml><?xml version="1.0" encoding="utf-8"?>
<styleSheet xmlns="http://schemas.openxmlformats.org/spreadsheetml/2006/main">
  <numFmts count="17">
    <numFmt numFmtId="164" formatCode="0\ &quot;/ CO-06&quot;"/>
    <numFmt numFmtId="165" formatCode="000&quot;-AG-21&quot;"/>
    <numFmt numFmtId="166" formatCode="dd\-mm\-yy;@"/>
    <numFmt numFmtId="167" formatCode="\L\ \-\ 0000"/>
    <numFmt numFmtId="168" formatCode="000"/>
    <numFmt numFmtId="169" formatCode="0.0"/>
    <numFmt numFmtId="170" formatCode="dd\-mmm\-yyyy"/>
    <numFmt numFmtId="171" formatCode="&quot;0&quot;0"/>
    <numFmt numFmtId="172" formatCode="0.0000"/>
    <numFmt numFmtId="173" formatCode="0.000"/>
    <numFmt numFmtId="174" formatCode="0.00000"/>
    <numFmt numFmtId="175" formatCode="yyyy\-mm\-dd;@"/>
    <numFmt numFmtId="176" formatCode="000\-\ &quot;26&quot;"/>
    <numFmt numFmtId="177" formatCode="000&quot;-AG-26&quot;"/>
    <numFmt numFmtId="178" formatCode="#,##0.0"/>
    <numFmt numFmtId="179" formatCode="&quot;FORMATO F-LEM-P-AG-02.01&quot;"/>
    <numFmt numFmtId="180" formatCode="&quot;INFORME DE ENSAYO N°&quot;000&quot;-26 AG20&quot;"/>
  </numFmts>
  <fonts count="49">
    <font>
      <name val="Arial"/>
      <sz val="10"/>
    </font>
    <font>
      <name val="Calibri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sz val="10"/>
    </font>
    <font>
      <name val="Times New Roman"/>
      <family val="1"/>
      <sz val="10"/>
    </font>
    <font>
      <name val="Times New Roman"/>
      <family val="1"/>
      <sz val="9"/>
    </font>
    <font>
      <name val="Arial"/>
      <family val="2"/>
      <sz val="8"/>
    </font>
    <font>
      <name val="Arial"/>
      <family val="2"/>
      <sz val="9"/>
    </font>
    <font>
      <name val="Arial"/>
      <family val="2"/>
      <color rgb="FF0070C0"/>
      <sz val="10"/>
    </font>
    <font>
      <name val="Times New Roman"/>
      <family val="1"/>
      <b val="1"/>
      <color rgb="FF0070C0"/>
      <sz val="10"/>
    </font>
    <font>
      <name val="Arial"/>
      <family val="2"/>
      <b val="1"/>
      <sz val="8"/>
    </font>
    <font>
      <name val="Arial"/>
      <family val="2"/>
      <sz val="11"/>
    </font>
    <font>
      <name val="Arial"/>
      <family val="2"/>
      <color theme="1"/>
      <sz val="9"/>
    </font>
    <font>
      <name val="Arial"/>
      <family val="2"/>
      <b val="1"/>
      <sz val="8"/>
      <u val="single"/>
    </font>
    <font>
      <name val="Arial"/>
      <family val="2"/>
      <b val="1"/>
      <sz val="11"/>
      <u val="single"/>
    </font>
    <font>
      <name val="Arial"/>
      <family val="2"/>
      <sz val="7"/>
    </font>
    <font>
      <name val="Arial"/>
      <family val="2"/>
      <b val="1"/>
      <sz val="11"/>
    </font>
    <font>
      <name val="Arial"/>
      <family val="2"/>
      <b val="1"/>
      <sz val="9"/>
    </font>
    <font>
      <name val="Arial"/>
      <family val="2"/>
      <b val="1"/>
      <sz val="7"/>
    </font>
    <font>
      <name val="Arial"/>
      <family val="2"/>
      <color theme="1"/>
      <sz val="10"/>
    </font>
    <font>
      <name val="Arial"/>
      <family val="2"/>
      <b val="1"/>
      <i val="1"/>
      <color theme="1"/>
      <sz val="9"/>
      <u val="single"/>
    </font>
    <font>
      <name val="Times New Roman"/>
      <family val="1"/>
      <sz val="11"/>
    </font>
    <font>
      <name val="Arial"/>
      <family val="2"/>
      <b val="1"/>
      <color theme="1"/>
      <sz val="10"/>
    </font>
    <font>
      <name val="Arial"/>
      <family val="2"/>
      <color theme="1"/>
      <sz val="11"/>
    </font>
    <font>
      <name val="Arial"/>
      <family val="2"/>
      <b val="1"/>
      <sz val="10"/>
      <u val="single"/>
    </font>
    <font>
      <name val="Arial"/>
      <family val="2"/>
      <i val="1"/>
      <sz val="10"/>
    </font>
    <font>
      <name val="Arial"/>
      <family val="2"/>
      <i val="1"/>
      <sz val="10"/>
      <vertAlign val="subscript"/>
    </font>
    <font>
      <name val="Arial"/>
      <family val="2"/>
      <b val="1"/>
      <color rgb="FF0000FF"/>
      <sz val="10"/>
    </font>
    <font>
      <name val="Arial"/>
      <family val="2"/>
      <color rgb="FF0000FF"/>
      <sz val="10"/>
    </font>
    <font>
      <name val="Arial"/>
      <family val="2"/>
      <b val="1"/>
      <sz val="9"/>
      <u val="single"/>
    </font>
    <font>
      <name val="Arial"/>
      <family val="2"/>
      <b val="1"/>
      <color theme="1"/>
      <sz val="9"/>
    </font>
    <font>
      <name val="Arial"/>
      <family val="2"/>
      <color theme="1"/>
      <sz val="8"/>
    </font>
    <font>
      <name val="Arial"/>
      <family val="2"/>
      <color rgb="FF00B0F0"/>
      <sz val="10"/>
    </font>
    <font>
      <name val="Arial"/>
      <family val="2"/>
      <sz val="10"/>
      <vertAlign val="subscript"/>
    </font>
    <font>
      <name val="Arial"/>
      <family val="2"/>
      <color rgb="FF0000FF"/>
      <sz val="8"/>
    </font>
    <font>
      <name val="Arial"/>
      <family val="2"/>
      <b val="1"/>
      <color theme="1"/>
      <sz val="11"/>
    </font>
    <font>
      <name val="Arial"/>
      <family val="2"/>
      <sz val="10"/>
      <u val="single"/>
    </font>
    <font>
      <name val="Arial"/>
      <family val="2"/>
      <i val="1"/>
      <sz val="18"/>
    </font>
    <font>
      <name val="Arial"/>
      <family val="2"/>
      <b val="1"/>
      <sz val="12"/>
    </font>
    <font>
      <name val="Times New Roman"/>
      <family val="1"/>
      <b val="1"/>
      <sz val="11"/>
    </font>
    <font>
      <name val="Times New Roman"/>
      <family val="1"/>
      <b val="1"/>
      <sz val="11"/>
      <u val="single"/>
    </font>
    <font>
      <name val="Arial"/>
      <family val="2"/>
      <color rgb="FF000000"/>
      <sz val="9"/>
    </font>
    <font>
      <name val="Times New Roman"/>
      <family val="1"/>
      <b val="1"/>
      <sz val="9"/>
    </font>
    <font>
      <name val="Arial"/>
      <family val="2"/>
      <sz val="7.5"/>
    </font>
    <font>
      <name val="Times New Roman"/>
      <family val="1"/>
      <color theme="1"/>
      <sz val="9"/>
    </font>
    <font>
      <name val="Times New Roman"/>
      <family val="1"/>
      <color theme="1"/>
      <sz val="11"/>
    </font>
    <font>
      <name val="Times New Roman"/>
      <family val="1"/>
      <b val="1"/>
      <sz val="10"/>
    </font>
    <font>
      <name val="Arial"/>
      <family val="2"/>
      <color indexed="12"/>
      <sz val="10"/>
      <u val="single"/>
    </font>
    <font>
      <name val="Arial"/>
      <family val="2"/>
      <b val="1"/>
      <color theme="1"/>
      <sz val="10"/>
      <u val="single"/>
    </font>
  </fonts>
  <fills count="5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8" tint="0.7999816888943144"/>
        <bgColor indexed="64"/>
      </patternFill>
    </fill>
  </fills>
  <borders count="6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auto="1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auto="1"/>
      </bottom>
      <diagonal/>
    </border>
    <border>
      <left/>
      <right/>
      <top style="medium">
        <color indexed="64"/>
      </top>
      <bottom style="thin">
        <color auto="1"/>
      </bottom>
      <diagonal/>
    </border>
    <border>
      <left/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medium">
        <color indexed="64"/>
      </right>
      <top style="hair">
        <color indexed="64"/>
      </top>
      <bottom/>
      <diagonal/>
    </border>
    <border>
      <left/>
      <right/>
      <top/>
      <bottom style="hair">
        <color auto="1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auto="1"/>
      </left>
      <right style="thin">
        <color indexed="64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auto="1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hair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medium">
        <color indexed="64"/>
      </top>
      <bottom style="hair">
        <color indexed="64"/>
      </bottom>
      <diagonal/>
    </border>
  </borders>
  <cellStyleXfs count="9">
    <xf numFmtId="0" fontId="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1" fillId="0" borderId="0"/>
    <xf numFmtId="0" fontId="2" fillId="0" borderId="0"/>
    <xf numFmtId="0" fontId="47" fillId="0" borderId="0" applyAlignment="1" applyProtection="1">
      <alignment vertical="top"/>
      <protection locked="0" hidden="0"/>
    </xf>
  </cellStyleXfs>
  <cellXfs count="600">
    <xf numFmtId="0" fontId="0" fillId="0" borderId="0" pivotButton="0" quotePrefix="0" xfId="0"/>
    <xf numFmtId="0" fontId="0" fillId="0" borderId="1" pivotButton="0" quotePrefix="0" xfId="0"/>
    <xf numFmtId="2" fontId="4" fillId="2" borderId="1" applyAlignment="1" pivotButton="0" quotePrefix="0" xfId="0">
      <alignment vertical="center" wrapText="1"/>
    </xf>
    <xf numFmtId="10" fontId="5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1" pivotButton="0" quotePrefix="0" xfId="0"/>
    <xf numFmtId="0" fontId="6" fillId="0" borderId="1" applyAlignment="1" pivotButton="0" quotePrefix="0" xfId="0">
      <alignment horizontal="center"/>
    </xf>
    <xf numFmtId="0" fontId="8" fillId="0" borderId="1" pivotButton="0" quotePrefix="0" xfId="0"/>
    <xf numFmtId="16" fontId="8" fillId="0" borderId="1" pivotButton="0" quotePrefix="0" xfId="0"/>
    <xf numFmtId="2" fontId="8" fillId="0" borderId="1" pivotButton="0" quotePrefix="0" xfId="0"/>
    <xf numFmtId="2" fontId="9" fillId="2" borderId="1" applyAlignment="1" pivotButton="0" quotePrefix="0" xfId="0">
      <alignment vertical="center" wrapText="1"/>
    </xf>
    <xf numFmtId="164" fontId="6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2" fillId="2" borderId="0" pivotButton="0" quotePrefix="0" xfId="0"/>
    <xf numFmtId="0" fontId="2" fillId="2" borderId="12" pivotButton="0" quotePrefix="0" xfId="0"/>
    <xf numFmtId="0" fontId="2" fillId="2" borderId="11" pivotButton="0" quotePrefix="0" xfId="0"/>
    <xf numFmtId="0" fontId="23" fillId="2" borderId="11" applyAlignment="1" pivotButton="0" quotePrefix="0" xfId="0">
      <alignment vertical="center"/>
    </xf>
    <xf numFmtId="0" fontId="23" fillId="2" borderId="10" applyAlignment="1" pivotButton="0" quotePrefix="0" xfId="0">
      <alignment horizontal="left" vertical="center" indent="1"/>
    </xf>
    <xf numFmtId="0" fontId="2" fillId="2" borderId="0" pivotButton="0" quotePrefix="0" xfId="3"/>
    <xf numFmtId="0" fontId="0" fillId="2" borderId="0" pivotButton="0" quotePrefix="0" xfId="0"/>
    <xf numFmtId="165" fontId="6" fillId="0" borderId="7" applyAlignment="1" applyProtection="1" pivotButton="0" quotePrefix="0" xfId="0">
      <alignment horizontal="left" vertical="center"/>
      <protection locked="0" hidden="0"/>
    </xf>
    <xf numFmtId="166" fontId="6" fillId="0" borderId="7" applyAlignment="1" applyProtection="1" pivotButton="0" quotePrefix="0" xfId="0">
      <alignment horizontal="left" vertical="center"/>
      <protection locked="0" hidden="0"/>
    </xf>
    <xf numFmtId="0" fontId="6" fillId="0" borderId="0" applyAlignment="1" applyProtection="1" pivotButton="0" quotePrefix="0" xfId="0">
      <alignment vertical="center"/>
      <protection locked="0" hidden="0"/>
    </xf>
    <xf numFmtId="0" fontId="11" fillId="0" borderId="0" applyProtection="1" pivotButton="0" quotePrefix="0" xfId="0">
      <protection locked="0" hidden="0"/>
    </xf>
    <xf numFmtId="0" fontId="2" fillId="0" borderId="0" applyProtection="1" pivotButton="0" quotePrefix="0" xfId="0">
      <protection locked="0" hidden="0"/>
    </xf>
    <xf numFmtId="0" fontId="11" fillId="0" borderId="0" applyAlignment="1" applyProtection="1" pivotButton="0" quotePrefix="0" xfId="0">
      <alignment horizontal="left"/>
      <protection locked="0" hidden="0"/>
    </xf>
    <xf numFmtId="167" fontId="11" fillId="0" borderId="0" applyAlignment="1" applyProtection="1" pivotButton="0" quotePrefix="0" xfId="0">
      <alignment horizontal="left" vertical="center"/>
      <protection locked="0" hidden="0"/>
    </xf>
    <xf numFmtId="17" fontId="6" fillId="0" borderId="0" applyAlignment="1" applyProtection="1" pivotButton="0" quotePrefix="0" xfId="0">
      <alignment vertical="center"/>
      <protection locked="0" hidden="0"/>
    </xf>
    <xf numFmtId="0" fontId="6" fillId="0" borderId="2" applyAlignment="1" applyProtection="1" pivotButton="0" quotePrefix="0" xfId="0">
      <alignment vertical="center"/>
      <protection locked="0" hidden="0"/>
    </xf>
    <xf numFmtId="0" fontId="11" fillId="0" borderId="2" applyProtection="1" pivotButton="0" quotePrefix="0" xfId="0">
      <protection locked="0" hidden="0"/>
    </xf>
    <xf numFmtId="0" fontId="11" fillId="0" borderId="9" applyProtection="1" pivotButton="0" quotePrefix="0" xfId="0">
      <protection locked="0" hidden="0"/>
    </xf>
    <xf numFmtId="0" fontId="3" fillId="0" borderId="0" applyAlignment="1" applyProtection="1" pivotButton="0" quotePrefix="0" xfId="0">
      <alignment horizontal="center" vertical="center"/>
      <protection locked="0" hidden="0"/>
    </xf>
    <xf numFmtId="1" fontId="2" fillId="0" borderId="0" applyAlignment="1" applyProtection="1" pivotButton="0" quotePrefix="0" xfId="0">
      <alignment horizontal="center" vertical="center" wrapText="1"/>
      <protection locked="0" hidden="0"/>
    </xf>
    <xf numFmtId="0" fontId="19" fillId="0" borderId="0" applyProtection="1" pivotButton="0" quotePrefix="0" xfId="0">
      <protection locked="0" hidden="0"/>
    </xf>
    <xf numFmtId="0" fontId="16" fillId="0" borderId="0" applyAlignment="1" pivotButton="0" quotePrefix="0" xfId="0">
      <alignment vertical="center"/>
    </xf>
    <xf numFmtId="0" fontId="11" fillId="0" borderId="0" pivotButton="0" quotePrefix="0" xfId="0"/>
    <xf numFmtId="0" fontId="10" fillId="0" borderId="0" applyAlignment="1" pivotButton="0" quotePrefix="0" xfId="2">
      <alignment horizontal="center" vertical="center"/>
    </xf>
    <xf numFmtId="0" fontId="13" fillId="0" borderId="4" applyAlignment="1" pivotButton="0" quotePrefix="0" xfId="2">
      <alignment horizontal="left" vertical="center" wrapText="1"/>
    </xf>
    <xf numFmtId="0" fontId="13" fillId="0" borderId="3" applyAlignment="1" pivotButton="0" quotePrefix="0" xfId="2">
      <alignment horizontal="left" vertical="center" wrapText="1"/>
    </xf>
    <xf numFmtId="0" fontId="13" fillId="0" borderId="6" applyAlignment="1" pivotButton="0" quotePrefix="0" xfId="2">
      <alignment horizontal="left" vertical="center"/>
    </xf>
    <xf numFmtId="0" fontId="6" fillId="0" borderId="6" applyAlignment="1" pivotButton="0" quotePrefix="0" xfId="2">
      <alignment vertical="center"/>
    </xf>
    <xf numFmtId="0" fontId="6" fillId="0" borderId="8" applyAlignment="1" pivotButton="0" quotePrefix="0" xfId="2">
      <alignment vertical="center"/>
    </xf>
    <xf numFmtId="0" fontId="6" fillId="0" borderId="2" applyAlignment="1" pivotButton="0" quotePrefix="0" xfId="2">
      <alignment horizontal="center" vertical="center"/>
    </xf>
    <xf numFmtId="0" fontId="11" fillId="0" borderId="2" pivotButton="0" quotePrefix="0" xfId="0"/>
    <xf numFmtId="0" fontId="17" fillId="0" borderId="6" applyAlignment="1" pivotButton="0" quotePrefix="0" xfId="0">
      <alignment horizontal="center" vertical="center" wrapText="1"/>
    </xf>
    <xf numFmtId="0" fontId="17" fillId="0" borderId="7" applyAlignment="1" pivotButton="0" quotePrefix="0" xfId="0">
      <alignment horizontal="center" vertical="center" wrapText="1"/>
    </xf>
    <xf numFmtId="0" fontId="11" fillId="0" borderId="6" pivotButton="0" quotePrefix="0" xfId="0"/>
    <xf numFmtId="168" fontId="12" fillId="0" borderId="1" applyAlignment="1" pivotButton="0" quotePrefix="1" xfId="0">
      <alignment horizontal="center" vertical="center" wrapText="1"/>
    </xf>
    <xf numFmtId="168" fontId="7" fillId="0" borderId="1" applyAlignment="1" pivotButton="0" quotePrefix="1" xfId="0">
      <alignment horizontal="center" vertical="center"/>
    </xf>
    <xf numFmtId="3" fontId="7" fillId="0" borderId="7" applyAlignment="1" pivotButton="0" quotePrefix="0" xfId="0">
      <alignment horizontal="center" vertical="center" wrapText="1"/>
    </xf>
    <xf numFmtId="0" fontId="7" fillId="0" borderId="1" applyAlignment="1" pivotButton="0" quotePrefix="0" xfId="3">
      <alignment horizontal="center" vertical="center"/>
    </xf>
    <xf numFmtId="169" fontId="7" fillId="0" borderId="1" applyAlignment="1" pivotButton="0" quotePrefix="0" xfId="3">
      <alignment horizontal="center" vertical="center"/>
    </xf>
    <xf numFmtId="2" fontId="12" fillId="0" borderId="7" applyAlignment="1" pivotButton="0" quotePrefix="0" xfId="0">
      <alignment horizontal="center" vertical="center"/>
    </xf>
    <xf numFmtId="0" fontId="3" fillId="0" borderId="0" applyAlignment="1" pivotButton="0" quotePrefix="0" xfId="0">
      <alignment vertical="center"/>
    </xf>
    <xf numFmtId="0" fontId="3" fillId="0" borderId="7" applyAlignment="1" pivotButton="0" quotePrefix="0" xfId="0">
      <alignment vertical="center"/>
    </xf>
    <xf numFmtId="169" fontId="7" fillId="0" borderId="1" applyAlignment="1" pivotButton="0" quotePrefix="1" xfId="0">
      <alignment horizontal="center" vertical="center"/>
    </xf>
    <xf numFmtId="0" fontId="3" fillId="0" borderId="8" applyAlignment="1" pivotButton="0" quotePrefix="0" xfId="0">
      <alignment vertical="center"/>
    </xf>
    <xf numFmtId="0" fontId="6" fillId="0" borderId="11" applyAlignment="1" pivotButton="0" quotePrefix="0" xfId="0">
      <alignment vertical="center"/>
    </xf>
    <xf numFmtId="0" fontId="11" fillId="0" borderId="11" pivotButton="0" quotePrefix="0" xfId="0"/>
    <xf numFmtId="0" fontId="3" fillId="0" borderId="2" applyAlignment="1" pivotButton="0" quotePrefix="0" xfId="0">
      <alignment vertical="center"/>
    </xf>
    <xf numFmtId="0" fontId="3" fillId="0" borderId="9" applyAlignment="1" pivotButton="0" quotePrefix="0" xfId="0">
      <alignment vertical="center"/>
    </xf>
    <xf numFmtId="168" fontId="12" fillId="0" borderId="0" applyAlignment="1" pivotButton="0" quotePrefix="1" xfId="0">
      <alignment horizontal="center" vertical="center" wrapText="1"/>
    </xf>
    <xf numFmtId="169" fontId="3" fillId="0" borderId="0" applyAlignment="1" pivotButton="0" quotePrefix="0" xfId="0">
      <alignment horizontal="center" vertical="center"/>
    </xf>
    <xf numFmtId="0" fontId="7" fillId="0" borderId="0" pivotButton="0" quotePrefix="0" xfId="0"/>
    <xf numFmtId="0" fontId="7" fillId="0" borderId="0" applyAlignment="1" pivotButton="0" quotePrefix="0" xfId="0">
      <alignment vertical="center"/>
    </xf>
    <xf numFmtId="168" fontId="7" fillId="0" borderId="10" applyAlignment="1" pivotButton="0" quotePrefix="1" xfId="0">
      <alignment vertical="center"/>
    </xf>
    <xf numFmtId="0" fontId="6" fillId="0" borderId="0" applyAlignment="1" pivotButton="0" quotePrefix="0" xfId="2">
      <alignment horizontal="center" vertical="center"/>
    </xf>
    <xf numFmtId="0" fontId="6" fillId="0" borderId="0" applyAlignment="1" pivotButton="0" quotePrefix="0" xfId="0">
      <alignment vertical="center"/>
    </xf>
    <xf numFmtId="0" fontId="6" fillId="0" borderId="3" applyAlignment="1" pivotButton="0" quotePrefix="0" xfId="0">
      <alignment horizontal="left" vertical="center" wrapText="1"/>
    </xf>
    <xf numFmtId="0" fontId="10" fillId="0" borderId="3" applyAlignment="1" pivotButton="0" quotePrefix="0" xfId="2">
      <alignment horizontal="right" vertical="center"/>
    </xf>
    <xf numFmtId="0" fontId="10" fillId="0" borderId="3" applyAlignment="1" pivotButton="0" quotePrefix="0" xfId="2">
      <alignment horizontal="center" vertical="center"/>
    </xf>
    <xf numFmtId="17" fontId="6" fillId="0" borderId="5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170" fontId="11" fillId="0" borderId="0" applyAlignment="1" applyProtection="1" pivotButton="0" quotePrefix="0" xfId="0">
      <alignment horizontal="left"/>
      <protection locked="0" hidden="0"/>
    </xf>
    <xf numFmtId="0" fontId="21" fillId="0" borderId="0" applyProtection="1" pivotButton="0" quotePrefix="0" xfId="0">
      <protection locked="0" hidden="0"/>
    </xf>
    <xf numFmtId="0" fontId="7" fillId="0" borderId="0" applyAlignment="1" pivotButton="0" quotePrefix="0" xfId="2">
      <alignment horizontal="left" vertical="center" indent="1"/>
    </xf>
    <xf numFmtId="0" fontId="12" fillId="0" borderId="0" applyAlignment="1" pivotButton="0" quotePrefix="1" xfId="4">
      <alignment horizontal="left" vertical="center"/>
    </xf>
    <xf numFmtId="0" fontId="7" fillId="0" borderId="11" applyAlignment="1" pivotButton="0" quotePrefix="0" xfId="0">
      <alignment horizontal="center" vertical="center"/>
    </xf>
    <xf numFmtId="0" fontId="2" fillId="0" borderId="14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70" fontId="11" fillId="0" borderId="0" applyAlignment="1" applyProtection="1" pivotButton="0" quotePrefix="0" xfId="0">
      <alignment wrapText="1"/>
      <protection locked="0" hidden="0"/>
    </xf>
    <xf numFmtId="0" fontId="11" fillId="0" borderId="3" applyAlignment="1" applyProtection="1" pivotButton="0" quotePrefix="0" xfId="0">
      <alignment horizontal="left"/>
      <protection locked="0" hidden="0"/>
    </xf>
    <xf numFmtId="167" fontId="11" fillId="0" borderId="3" applyAlignment="1" applyProtection="1" pivotButton="0" quotePrefix="0" xfId="0">
      <alignment horizontal="left" vertical="center"/>
      <protection locked="0" hidden="0"/>
    </xf>
    <xf numFmtId="0" fontId="11" fillId="0" borderId="3" applyProtection="1" pivotButton="0" quotePrefix="0" xfId="0">
      <protection locked="0" hidden="0"/>
    </xf>
    <xf numFmtId="0" fontId="11" fillId="0" borderId="7" applyProtection="1" pivotButton="0" quotePrefix="0" xfId="0">
      <protection locked="0" hidden="0"/>
    </xf>
    <xf numFmtId="170" fontId="11" fillId="0" borderId="2" applyAlignment="1" applyProtection="1" pivotButton="0" quotePrefix="0" xfId="0">
      <alignment horizontal="left"/>
      <protection locked="0" hidden="0"/>
    </xf>
    <xf numFmtId="0" fontId="11" fillId="0" borderId="10" pivotButton="0" quotePrefix="0" xfId="0"/>
    <xf numFmtId="0" fontId="11" fillId="0" borderId="12" applyAlignment="1" pivotButton="0" quotePrefix="0" xfId="0">
      <alignment vertical="center"/>
    </xf>
    <xf numFmtId="0" fontId="2" fillId="0" borderId="10" applyAlignment="1" pivotButton="0" quotePrefix="0" xfId="0">
      <alignment vertical="center"/>
    </xf>
    <xf numFmtId="168" fontId="2" fillId="0" borderId="1" applyAlignment="1" pivotButton="0" quotePrefix="1" xfId="0">
      <alignment horizontal="center" vertical="center" wrapText="1"/>
    </xf>
    <xf numFmtId="169" fontId="2" fillId="0" borderId="1" applyAlignment="1" pivotButton="0" quotePrefix="0" xfId="0">
      <alignment horizontal="center"/>
    </xf>
    <xf numFmtId="169" fontId="2" fillId="0" borderId="1" applyAlignment="1" pivotButton="0" quotePrefix="1" xfId="0">
      <alignment horizontal="center" vertical="center"/>
    </xf>
    <xf numFmtId="0" fontId="2" fillId="0" borderId="11" applyAlignment="1" pivotButton="0" quotePrefix="0" xfId="0">
      <alignment horizontal="center" vertical="center"/>
    </xf>
    <xf numFmtId="12" fontId="2" fillId="0" borderId="1" applyAlignment="1" pivotButton="0" quotePrefix="0" xfId="0">
      <alignment horizontal="center" vertical="center"/>
    </xf>
    <xf numFmtId="0" fontId="2" fillId="0" borderId="12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/>
    </xf>
    <xf numFmtId="12" fontId="2" fillId="0" borderId="1" applyAlignment="1" pivotButton="0" quotePrefix="0" xfId="0">
      <alignment horizontal="center"/>
    </xf>
    <xf numFmtId="0" fontId="2" fillId="0" borderId="12" applyAlignment="1" pivotButton="0" quotePrefix="0" xfId="0">
      <alignment horizontal="right" vertical="center"/>
    </xf>
    <xf numFmtId="0" fontId="7" fillId="0" borderId="12" applyAlignment="1" pivotButton="0" quotePrefix="0" xfId="0">
      <alignment horizontal="right" vertical="center"/>
    </xf>
    <xf numFmtId="2" fontId="3" fillId="0" borderId="11" applyAlignment="1" pivotButton="0" quotePrefix="0" xfId="0">
      <alignment horizontal="right" vertical="center"/>
    </xf>
    <xf numFmtId="2" fontId="2" fillId="0" borderId="12" applyAlignment="1" pivotButton="0" quotePrefix="0" xfId="0">
      <alignment horizontal="right" vertical="center"/>
    </xf>
    <xf numFmtId="168" fontId="7" fillId="0" borderId="1" applyAlignment="1" pivotButton="0" quotePrefix="1" xfId="0">
      <alignment vertical="center"/>
    </xf>
    <xf numFmtId="0" fontId="15" fillId="0" borderId="0" pivotButton="0" quotePrefix="0" xfId="0"/>
    <xf numFmtId="0" fontId="6" fillId="0" borderId="2" applyAlignment="1" pivotButton="0" quotePrefix="0" xfId="2">
      <alignment vertical="center"/>
    </xf>
    <xf numFmtId="0" fontId="16" fillId="0" borderId="0" applyAlignment="1" pivotButton="0" quotePrefix="0" xfId="0">
      <alignment vertical="center" wrapText="1"/>
    </xf>
    <xf numFmtId="0" fontId="11" fillId="0" borderId="15" applyProtection="1" pivotButton="0" quotePrefix="0" xfId="0">
      <protection locked="0" hidden="0"/>
    </xf>
    <xf numFmtId="0" fontId="11" fillId="0" borderId="16" applyProtection="1" pivotButton="0" quotePrefix="0" xfId="0">
      <protection locked="0" hidden="0"/>
    </xf>
    <xf numFmtId="0" fontId="11" fillId="0" borderId="17" applyProtection="1" pivotButton="0" quotePrefix="0" xfId="0">
      <protection locked="0" hidden="0"/>
    </xf>
    <xf numFmtId="0" fontId="11" fillId="0" borderId="18" applyProtection="1" pivotButton="0" quotePrefix="0" xfId="0">
      <protection locked="0" hidden="0"/>
    </xf>
    <xf numFmtId="0" fontId="11" fillId="0" borderId="19" applyProtection="1" pivotButton="0" quotePrefix="0" xfId="0">
      <protection locked="0" hidden="0"/>
    </xf>
    <xf numFmtId="0" fontId="16" fillId="0" borderId="19" applyAlignment="1" pivotButton="0" quotePrefix="0" xfId="0">
      <alignment vertical="center" wrapText="1"/>
    </xf>
    <xf numFmtId="0" fontId="11" fillId="0" borderId="18" pivotButton="0" quotePrefix="0" xfId="0"/>
    <xf numFmtId="0" fontId="11" fillId="0" borderId="20" pivotButton="0" quotePrefix="0" xfId="0"/>
    <xf numFmtId="0" fontId="11" fillId="0" borderId="21" pivotButton="0" quotePrefix="0" xfId="0"/>
    <xf numFmtId="0" fontId="11" fillId="0" borderId="21" applyProtection="1" pivotButton="0" quotePrefix="0" xfId="0">
      <protection locked="0" hidden="0"/>
    </xf>
    <xf numFmtId="0" fontId="11" fillId="0" borderId="22" applyProtection="1" pivotButton="0" quotePrefix="0" xfId="0">
      <protection locked="0" hidden="0"/>
    </xf>
    <xf numFmtId="0" fontId="2" fillId="2" borderId="0" applyAlignment="1" pivotButton="0" quotePrefix="0" xfId="0">
      <alignment horizontal="center" vertical="center"/>
    </xf>
    <xf numFmtId="0" fontId="19" fillId="2" borderId="1" applyAlignment="1" pivotButton="0" quotePrefix="0" xfId="6">
      <alignment horizontal="center" vertical="center"/>
    </xf>
    <xf numFmtId="171" fontId="19" fillId="2" borderId="1" applyAlignment="1" pivotButton="0" quotePrefix="1" xfId="6">
      <alignment horizontal="center" vertical="center"/>
    </xf>
    <xf numFmtId="0" fontId="22" fillId="2" borderId="10" applyAlignment="1" pivotButton="0" quotePrefix="0" xfId="0">
      <alignment vertical="center"/>
    </xf>
    <xf numFmtId="0" fontId="22" fillId="2" borderId="10" applyAlignment="1" pivotButton="0" quotePrefix="0" xfId="0">
      <alignment vertical="center" wrapText="1"/>
    </xf>
    <xf numFmtId="0" fontId="2" fillId="2" borderId="10" applyAlignment="1" pivotButton="0" quotePrefix="0" xfId="0">
      <alignment horizontal="left" vertical="center"/>
    </xf>
    <xf numFmtId="0" fontId="7" fillId="2" borderId="0" pivotButton="0" quotePrefix="0" xfId="0"/>
    <xf numFmtId="0" fontId="17" fillId="2" borderId="10" applyAlignment="1" pivotButton="0" quotePrefix="0" xfId="0">
      <alignment vertical="center" wrapText="1"/>
    </xf>
    <xf numFmtId="0" fontId="7" fillId="2" borderId="11" applyAlignment="1" applyProtection="1" pivotButton="0" quotePrefix="0" xfId="3">
      <alignment horizontal="right" vertical="center" indent="1"/>
      <protection locked="1" hidden="1"/>
    </xf>
    <xf numFmtId="0" fontId="17" fillId="2" borderId="0" applyAlignment="1" pivotButton="0" quotePrefix="0" xfId="0">
      <alignment vertical="center" wrapText="1"/>
    </xf>
    <xf numFmtId="11" fontId="7" fillId="2" borderId="1" applyAlignment="1" applyProtection="1" pivotButton="0" quotePrefix="0" xfId="3">
      <alignment horizontal="center" vertical="center"/>
      <protection locked="1" hidden="1"/>
    </xf>
    <xf numFmtId="0" fontId="17" fillId="3" borderId="10" applyAlignment="1" pivotButton="0" quotePrefix="0" xfId="0">
      <alignment horizontal="right" vertical="center" wrapText="1"/>
    </xf>
    <xf numFmtId="0" fontId="3" fillId="3" borderId="12" applyAlignment="1" pivotButton="0" quotePrefix="0" xfId="0">
      <alignment horizontal="right" vertical="center"/>
    </xf>
    <xf numFmtId="0" fontId="3" fillId="3" borderId="1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 wrapText="1"/>
    </xf>
    <xf numFmtId="172" fontId="7" fillId="2" borderId="1" applyAlignment="1" applyProtection="1" pivotButton="0" quotePrefix="0" xfId="3">
      <alignment horizontal="center" vertical="center"/>
      <protection locked="1" hidden="1"/>
    </xf>
    <xf numFmtId="11" fontId="2" fillId="2" borderId="1" applyAlignment="1" pivotButton="0" quotePrefix="0" xfId="0">
      <alignment horizontal="center" vertical="center"/>
    </xf>
    <xf numFmtId="2" fontId="7" fillId="2" borderId="1" applyAlignment="1" pivotButton="0" quotePrefix="0" xfId="0">
      <alignment horizontal="center" vertical="center" wrapText="1"/>
    </xf>
    <xf numFmtId="0" fontId="3" fillId="2" borderId="0" pivotButton="0" quotePrefix="0" xfId="3"/>
    <xf numFmtId="2" fontId="2" fillId="2" borderId="12" applyAlignment="1" pivotButton="0" quotePrefix="0" xfId="0">
      <alignment horizontal="center" vertical="center"/>
    </xf>
    <xf numFmtId="0" fontId="2" fillId="2" borderId="12" applyAlignment="1" pivotButton="0" quotePrefix="0" xfId="3">
      <alignment horizontal="left" vertical="center"/>
    </xf>
    <xf numFmtId="0" fontId="2" fillId="2" borderId="12" applyAlignment="1" pivotButton="0" quotePrefix="0" xfId="0">
      <alignment horizontal="left" vertical="center"/>
    </xf>
    <xf numFmtId="0" fontId="2" fillId="2" borderId="10" applyAlignment="1" pivotButton="0" quotePrefix="0" xfId="3">
      <alignment horizontal="left" vertical="center"/>
    </xf>
    <xf numFmtId="0" fontId="7" fillId="2" borderId="29" applyAlignment="1" pivotButton="0" quotePrefix="0" xfId="0">
      <alignment vertical="center" wrapText="1"/>
    </xf>
    <xf numFmtId="0" fontId="7" fillId="2" borderId="30" applyAlignment="1" applyProtection="1" pivotButton="0" quotePrefix="0" xfId="0">
      <alignment horizontal="center" vertical="center"/>
      <protection locked="1" hidden="1"/>
    </xf>
    <xf numFmtId="2" fontId="7" fillId="2" borderId="30" applyAlignment="1" applyProtection="1" pivotButton="0" quotePrefix="0" xfId="0">
      <alignment vertical="center"/>
      <protection locked="1" hidden="1"/>
    </xf>
    <xf numFmtId="172" fontId="7" fillId="2" borderId="30" applyAlignment="1" applyProtection="1" pivotButton="0" quotePrefix="0" xfId="0">
      <alignment horizontal="center" vertical="center"/>
      <protection locked="1" hidden="1"/>
    </xf>
    <xf numFmtId="172" fontId="7" fillId="2" borderId="30" applyAlignment="1" applyProtection="1" pivotButton="0" quotePrefix="1" xfId="0">
      <alignment horizontal="center" vertical="center" wrapText="1"/>
      <protection locked="1" hidden="1"/>
    </xf>
    <xf numFmtId="172" fontId="7" fillId="2" borderId="31" applyAlignment="1" applyProtection="1" pivotButton="0" quotePrefix="1" xfId="0">
      <alignment horizontal="center" vertical="center" wrapText="1"/>
      <protection locked="1" hidden="1"/>
    </xf>
    <xf numFmtId="2" fontId="7" fillId="2" borderId="30" applyAlignment="1" applyProtection="1" pivotButton="0" quotePrefix="0" xfId="0">
      <alignment horizontal="left" vertical="center"/>
      <protection locked="1" hidden="1"/>
    </xf>
    <xf numFmtId="2" fontId="7" fillId="2" borderId="33" applyAlignment="1" applyProtection="1" pivotButton="0" quotePrefix="0" xfId="0">
      <alignment horizontal="center" vertical="center"/>
      <protection locked="1" hidden="1"/>
    </xf>
    <xf numFmtId="0" fontId="7" fillId="3" borderId="29" applyAlignment="1" pivotButton="0" quotePrefix="0" xfId="0">
      <alignment vertical="center" wrapText="1"/>
    </xf>
    <xf numFmtId="0" fontId="7" fillId="3" borderId="30" applyAlignment="1" applyProtection="1" pivotButton="0" quotePrefix="0" xfId="0">
      <alignment horizontal="center" vertical="center"/>
      <protection locked="1" hidden="1"/>
    </xf>
    <xf numFmtId="2" fontId="7" fillId="3" borderId="30" applyAlignment="1" applyProtection="1" pivotButton="0" quotePrefix="1" xfId="0">
      <alignment horizontal="center" vertical="center"/>
      <protection locked="1" hidden="1"/>
    </xf>
    <xf numFmtId="11" fontId="7" fillId="3" borderId="30" applyAlignment="1" applyProtection="1" pivotButton="0" quotePrefix="0" xfId="3">
      <alignment horizontal="center" vertical="center"/>
      <protection locked="1" hidden="1"/>
    </xf>
    <xf numFmtId="172" fontId="7" fillId="3" borderId="30" applyAlignment="1" applyProtection="1" pivotButton="0" quotePrefix="1" xfId="0">
      <alignment horizontal="center" vertical="center"/>
      <protection locked="1" hidden="1"/>
    </xf>
    <xf numFmtId="172" fontId="7" fillId="3" borderId="31" applyAlignment="1" applyProtection="1" pivotButton="0" quotePrefix="0" xfId="0">
      <alignment horizontal="center" vertical="center"/>
      <protection locked="1" hidden="1"/>
    </xf>
    <xf numFmtId="0" fontId="7" fillId="3" borderId="29" applyAlignment="1" pivotButton="0" quotePrefix="0" xfId="3">
      <alignment vertical="center" wrapText="1"/>
    </xf>
    <xf numFmtId="172" fontId="7" fillId="3" borderId="30" applyAlignment="1" applyProtection="1" pivotButton="0" quotePrefix="1" xfId="3">
      <alignment horizontal="center" vertical="center"/>
      <protection locked="1" hidden="1"/>
    </xf>
    <xf numFmtId="173" fontId="7" fillId="3" borderId="30" applyAlignment="1" applyProtection="1" pivotButton="0" quotePrefix="0" xfId="3">
      <alignment horizontal="center" vertical="center" wrapText="1"/>
      <protection locked="1" hidden="1"/>
    </xf>
    <xf numFmtId="173" fontId="7" fillId="3" borderId="31" applyAlignment="1" applyProtection="1" pivotButton="0" quotePrefix="0" xfId="3">
      <alignment horizontal="center" vertical="center" wrapText="1"/>
      <protection locked="1" hidden="1"/>
    </xf>
    <xf numFmtId="0" fontId="19" fillId="2" borderId="0" pivotButton="0" quotePrefix="0" xfId="0"/>
    <xf numFmtId="0" fontId="22" fillId="2" borderId="0" pivotButton="0" quotePrefix="0" xfId="0"/>
    <xf numFmtId="0" fontId="7" fillId="3" borderId="35" applyAlignment="1" pivotButton="0" quotePrefix="0" xfId="0">
      <alignment horizontal="left" vertical="center" wrapText="1"/>
    </xf>
    <xf numFmtId="0" fontId="7" fillId="3" borderId="36" applyAlignment="1" applyProtection="1" pivotButton="0" quotePrefix="0" xfId="0">
      <alignment horizontal="center" vertical="center"/>
      <protection locked="1" hidden="1"/>
    </xf>
    <xf numFmtId="2" fontId="7" fillId="3" borderId="36" applyAlignment="1" applyProtection="1" pivotButton="0" quotePrefix="0" xfId="0">
      <alignment vertical="center"/>
      <protection locked="1" hidden="1"/>
    </xf>
    <xf numFmtId="173" fontId="7" fillId="3" borderId="36" applyAlignment="1" applyProtection="1" pivotButton="0" quotePrefix="0" xfId="0">
      <alignment horizontal="center" vertical="center"/>
      <protection locked="1" hidden="1"/>
    </xf>
    <xf numFmtId="172" fontId="7" fillId="3" borderId="36" applyAlignment="1" applyProtection="1" pivotButton="0" quotePrefix="1" xfId="0">
      <alignment horizontal="center" vertical="center" wrapText="1"/>
      <protection locked="1" hidden="1"/>
    </xf>
    <xf numFmtId="172" fontId="7" fillId="3" borderId="37" applyAlignment="1" pivotButton="0" quotePrefix="0" xfId="0">
      <alignment horizontal="center" vertical="center"/>
    </xf>
    <xf numFmtId="0" fontId="29" fillId="0" borderId="0" applyAlignment="1" pivotButton="0" quotePrefix="0" xfId="0">
      <alignment vertical="center"/>
    </xf>
    <xf numFmtId="0" fontId="17" fillId="0" borderId="0" applyAlignment="1" pivotButton="0" quotePrefix="0" xfId="0">
      <alignment vertical="center"/>
    </xf>
    <xf numFmtId="0" fontId="12" fillId="0" borderId="0" applyAlignment="1" pivotButton="0" quotePrefix="0" xfId="4">
      <alignment vertical="center"/>
    </xf>
    <xf numFmtId="0" fontId="12" fillId="0" borderId="0" applyAlignment="1" pivotButton="0" quotePrefix="0" xfId="4">
      <alignment horizontal="center" vertical="center"/>
    </xf>
    <xf numFmtId="0" fontId="30" fillId="0" borderId="0" applyAlignment="1" pivotButton="0" quotePrefix="0" xfId="4">
      <alignment horizontal="center" vertical="center"/>
    </xf>
    <xf numFmtId="0" fontId="12" fillId="0" borderId="0" applyAlignment="1" pivotButton="0" quotePrefix="0" xfId="4">
      <alignment horizontal="left" vertical="center" indent="1"/>
    </xf>
    <xf numFmtId="0" fontId="7" fillId="0" borderId="0" applyAlignment="1" pivotButton="0" quotePrefix="0" xfId="0">
      <alignment horizontal="left" indent="1"/>
    </xf>
    <xf numFmtId="0" fontId="12" fillId="0" borderId="0" applyAlignment="1" pivotButton="0" quotePrefix="1" xfId="4">
      <alignment horizontal="left" vertical="center" indent="1"/>
    </xf>
    <xf numFmtId="0" fontId="12" fillId="0" borderId="1" applyAlignment="1" applyProtection="1" pivotButton="0" quotePrefix="0" xfId="4">
      <alignment horizontal="center" vertical="center" wrapText="1"/>
      <protection locked="0" hidden="0"/>
    </xf>
    <xf numFmtId="0" fontId="12" fillId="0" borderId="0" applyAlignment="1" applyProtection="1" pivotButton="0" quotePrefix="1" xfId="4">
      <alignment horizontal="left" vertical="center"/>
      <protection locked="0" hidden="0"/>
    </xf>
    <xf numFmtId="0" fontId="6" fillId="0" borderId="2" applyAlignment="1" applyProtection="1" pivotButton="0" quotePrefix="0" xfId="0">
      <alignment vertical="top"/>
      <protection locked="0" hidden="0"/>
    </xf>
    <xf numFmtId="0" fontId="31" fillId="0" borderId="0" applyAlignment="1" pivotButton="0" quotePrefix="0" xfId="4">
      <alignment horizontal="left" vertical="center"/>
    </xf>
    <xf numFmtId="0" fontId="3" fillId="0" borderId="1" applyAlignment="1" pivotButton="0" quotePrefix="0" xfId="0">
      <alignment horizontal="center"/>
    </xf>
    <xf numFmtId="12" fontId="3" fillId="0" borderId="1" applyAlignment="1" pivotButton="0" quotePrefix="0" xfId="0">
      <alignment horizontal="center"/>
    </xf>
    <xf numFmtId="0" fontId="10" fillId="0" borderId="0" applyAlignment="1" pivotButton="0" quotePrefix="0" xfId="2">
      <alignment horizontal="right" vertical="center" indent="1"/>
    </xf>
    <xf numFmtId="0" fontId="10" fillId="0" borderId="0" applyAlignment="1" pivotButton="0" quotePrefix="0" xfId="2">
      <alignment vertical="center"/>
    </xf>
    <xf numFmtId="0" fontId="10" fillId="0" borderId="0" applyAlignment="1" pivotButton="0" quotePrefix="0" xfId="2">
      <alignment horizontal="left" vertical="center"/>
    </xf>
    <xf numFmtId="0" fontId="21" fillId="0" borderId="38" applyProtection="1" pivotButton="0" quotePrefix="0" xfId="0">
      <protection locked="0" hidden="0"/>
    </xf>
    <xf numFmtId="168" fontId="7" fillId="0" borderId="4" applyAlignment="1" applyProtection="1" pivotButton="0" quotePrefix="1" xfId="0">
      <alignment vertical="center"/>
      <protection locked="0" hidden="0"/>
    </xf>
    <xf numFmtId="168" fontId="7" fillId="0" borderId="6" applyAlignment="1" applyProtection="1" pivotButton="0" quotePrefix="1" xfId="0">
      <alignment vertical="center"/>
      <protection locked="0" hidden="0"/>
    </xf>
    <xf numFmtId="168" fontId="7" fillId="0" borderId="8" applyAlignment="1" applyProtection="1" pivotButton="0" quotePrefix="1" xfId="0">
      <alignment vertical="center"/>
      <protection locked="0" hidden="0"/>
    </xf>
    <xf numFmtId="0" fontId="2" fillId="0" borderId="1" applyAlignment="1" pivotButton="0" quotePrefix="1" xfId="3">
      <alignment horizontal="center" vertical="center"/>
    </xf>
    <xf numFmtId="2" fontId="2" fillId="0" borderId="10" applyAlignment="1" pivotButton="0" quotePrefix="0" xfId="0">
      <alignment horizontal="center" vertical="center"/>
    </xf>
    <xf numFmtId="169" fontId="32" fillId="0" borderId="1" applyAlignment="1" pivotButton="0" quotePrefix="0" xfId="0">
      <alignment horizontal="center" vertical="center"/>
    </xf>
    <xf numFmtId="0" fontId="2" fillId="0" borderId="0" applyAlignment="1" pivotButton="0" quotePrefix="0" xfId="3">
      <alignment horizontal="center"/>
    </xf>
    <xf numFmtId="14" fontId="2" fillId="0" borderId="2" applyAlignment="1" pivotButton="0" quotePrefix="0" xfId="3">
      <alignment horizontal="center"/>
    </xf>
    <xf numFmtId="0" fontId="27" fillId="3" borderId="1" applyAlignment="1" applyProtection="1" pivotButton="0" quotePrefix="0" xfId="3">
      <alignment horizontal="center" vertical="center"/>
      <protection locked="0" hidden="0"/>
    </xf>
    <xf numFmtId="0" fontId="17" fillId="3" borderId="1" applyAlignment="1" applyProtection="1" pivotButton="0" quotePrefix="0" xfId="0">
      <alignment horizontal="center" vertical="center"/>
      <protection locked="0" hidden="0"/>
    </xf>
    <xf numFmtId="0" fontId="3" fillId="3" borderId="1" applyAlignment="1" applyProtection="1" pivotButton="0" quotePrefix="0" xfId="0">
      <alignment horizontal="center" vertical="center"/>
      <protection locked="0" hidden="0"/>
    </xf>
    <xf numFmtId="0" fontId="27" fillId="3" borderId="1" applyAlignment="1" applyProtection="1" pivotButton="0" quotePrefix="0" xfId="0">
      <alignment horizontal="center" vertical="center"/>
      <protection locked="0" hidden="0"/>
    </xf>
    <xf numFmtId="0" fontId="3" fillId="3" borderId="1" applyAlignment="1" applyProtection="1" pivotButton="0" quotePrefix="0" xfId="0">
      <alignment horizontal="center"/>
      <protection locked="0" hidden="0"/>
    </xf>
    <xf numFmtId="169" fontId="7" fillId="3" borderId="30" applyAlignment="1" applyProtection="1" pivotButton="0" quotePrefix="0" xfId="3">
      <alignment horizontal="center" vertical="center" wrapText="1"/>
      <protection locked="1" hidden="1"/>
    </xf>
    <xf numFmtId="169" fontId="7" fillId="0" borderId="30" applyAlignment="1" applyProtection="1" pivotButton="0" quotePrefix="0" xfId="3">
      <alignment horizontal="center" vertical="center" wrapText="1"/>
      <protection locked="1" hidden="1"/>
    </xf>
    <xf numFmtId="173" fontId="7" fillId="0" borderId="30" applyAlignment="1" applyProtection="1" pivotButton="0" quotePrefix="0" xfId="3">
      <alignment horizontal="center" vertical="center" wrapText="1"/>
      <protection locked="1" hidden="1"/>
    </xf>
    <xf numFmtId="0" fontId="7" fillId="2" borderId="39" applyAlignment="1" pivotButton="0" quotePrefix="0" xfId="0">
      <alignment vertical="center" wrapText="1"/>
    </xf>
    <xf numFmtId="169" fontId="7" fillId="0" borderId="40" applyAlignment="1" applyProtection="1" pivotButton="0" quotePrefix="0" xfId="3">
      <alignment horizontal="center" vertical="center" wrapText="1"/>
      <protection locked="1" hidden="1"/>
    </xf>
    <xf numFmtId="173" fontId="7" fillId="0" borderId="40" applyAlignment="1" applyProtection="1" pivotButton="0" quotePrefix="0" xfId="3">
      <alignment horizontal="center" vertical="center" wrapText="1"/>
      <protection locked="1" hidden="1"/>
    </xf>
    <xf numFmtId="0" fontId="7" fillId="2" borderId="40" applyAlignment="1" pivotButton="0" quotePrefix="1" xfId="0">
      <alignment horizontal="center" vertical="center" wrapText="1"/>
    </xf>
    <xf numFmtId="0" fontId="7" fillId="2" borderId="41" applyAlignment="1" pivotButton="0" quotePrefix="1" xfId="0">
      <alignment horizontal="center" vertical="center" wrapText="1"/>
    </xf>
    <xf numFmtId="0" fontId="2" fillId="3" borderId="42" applyAlignment="1" pivotButton="0" quotePrefix="0" xfId="0">
      <alignment horizontal="center" vertical="center"/>
    </xf>
    <xf numFmtId="0" fontId="2" fillId="3" borderId="43" applyAlignment="1" pivotButton="0" quotePrefix="0" xfId="0">
      <alignment horizontal="center" vertical="center"/>
    </xf>
    <xf numFmtId="0" fontId="2" fillId="3" borderId="43" applyAlignment="1" pivotButton="0" quotePrefix="0" xfId="0">
      <alignment horizontal="center" vertical="center" wrapText="1"/>
    </xf>
    <xf numFmtId="0" fontId="2" fillId="3" borderId="44" applyAlignment="1" pivotButton="0" quotePrefix="0" xfId="0">
      <alignment horizontal="center" vertical="center" wrapText="1"/>
    </xf>
    <xf numFmtId="0" fontId="2" fillId="3" borderId="45" applyAlignment="1" pivotButton="0" quotePrefix="0" xfId="0">
      <alignment horizontal="center" vertical="center" wrapText="1"/>
    </xf>
    <xf numFmtId="0" fontId="2" fillId="3" borderId="46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left" vertical="center" wrapText="1"/>
    </xf>
    <xf numFmtId="168" fontId="7" fillId="0" borderId="0" applyAlignment="1" pivotButton="0" quotePrefix="1" xfId="0">
      <alignment horizontal="left" vertical="center"/>
    </xf>
    <xf numFmtId="0" fontId="17" fillId="0" borderId="0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/>
    </xf>
    <xf numFmtId="2" fontId="7" fillId="2" borderId="27" applyAlignment="1" pivotButton="0" quotePrefix="0" xfId="0">
      <alignment horizontal="center" vertical="center"/>
    </xf>
    <xf numFmtId="2" fontId="2" fillId="2" borderId="1" applyAlignment="1" pivotButton="0" quotePrefix="0" xfId="0">
      <alignment horizontal="center" vertical="center"/>
    </xf>
    <xf numFmtId="174" fontId="2" fillId="2" borderId="1" applyAlignment="1" pivotButton="0" quotePrefix="0" xfId="0">
      <alignment horizontal="center" vertical="center"/>
    </xf>
    <xf numFmtId="15" fontId="3" fillId="2" borderId="0" applyAlignment="1" applyProtection="1" pivotButton="0" quotePrefix="0" xfId="0">
      <alignment horizontal="center"/>
      <protection locked="0" hidden="0"/>
    </xf>
    <xf numFmtId="0" fontId="36" fillId="2" borderId="0" pivotButton="0" quotePrefix="0" xfId="3"/>
    <xf numFmtId="0" fontId="2" fillId="2" borderId="0" applyAlignment="1" pivotButton="0" quotePrefix="0" xfId="3">
      <alignment horizontal="left" indent="1"/>
    </xf>
    <xf numFmtId="0" fontId="37" fillId="2" borderId="0" pivotButton="0" quotePrefix="0" xfId="0"/>
    <xf numFmtId="0" fontId="12" fillId="0" borderId="0" applyAlignment="1" applyProtection="1" pivotButton="0" quotePrefix="0" xfId="4">
      <alignment horizontal="center" vertical="center" wrapText="1"/>
      <protection locked="0" hidden="0"/>
    </xf>
    <xf numFmtId="0" fontId="2" fillId="0" borderId="1" applyAlignment="1" applyProtection="1" pivotButton="0" quotePrefix="0" xfId="0">
      <alignment horizontal="center"/>
      <protection locked="0" hidden="0"/>
    </xf>
    <xf numFmtId="169" fontId="32" fillId="0" borderId="11" applyAlignment="1" pivotButton="0" quotePrefix="0" xfId="0">
      <alignment horizontal="center" vertical="center"/>
    </xf>
    <xf numFmtId="0" fontId="27" fillId="0" borderId="0" applyAlignment="1" applyProtection="1" pivotButton="0" quotePrefix="0" xfId="3">
      <alignment horizontal="center" vertical="center"/>
      <protection locked="0" hidden="0"/>
    </xf>
    <xf numFmtId="169" fontId="2" fillId="0" borderId="0" applyAlignment="1" pivotButton="0" quotePrefix="0" xfId="0">
      <alignment horizontal="center"/>
    </xf>
    <xf numFmtId="169" fontId="27" fillId="0" borderId="0" applyAlignment="1" applyProtection="1" pivotButton="0" quotePrefix="0" xfId="3">
      <alignment horizontal="center" vertical="center"/>
      <protection locked="0" hidden="0"/>
    </xf>
    <xf numFmtId="169" fontId="2" fillId="0" borderId="0" applyAlignment="1" pivotButton="0" quotePrefix="1" xfId="0">
      <alignment horizontal="center" vertical="center"/>
    </xf>
    <xf numFmtId="2" fontId="2" fillId="0" borderId="0" applyAlignment="1" pivotButton="0" quotePrefix="0" xfId="0">
      <alignment horizontal="center" vertical="center"/>
    </xf>
    <xf numFmtId="169" fontId="32" fillId="0" borderId="0" applyAlignment="1" pivotButton="0" quotePrefix="0" xfId="0">
      <alignment horizontal="center" vertical="center"/>
    </xf>
    <xf numFmtId="169" fontId="27" fillId="3" borderId="1" applyAlignment="1" applyProtection="1" pivotButton="0" quotePrefix="0" xfId="3">
      <alignment horizontal="center" vertical="center"/>
      <protection locked="0" hidden="0"/>
    </xf>
    <xf numFmtId="0" fontId="29" fillId="0" borderId="4" applyAlignment="1" applyProtection="1" pivotButton="0" quotePrefix="0" xfId="0">
      <alignment vertical="center"/>
      <protection locked="0" hidden="0"/>
    </xf>
    <xf numFmtId="0" fontId="2" fillId="0" borderId="3" applyProtection="1" pivotButton="0" quotePrefix="0" xfId="0">
      <protection locked="0" hidden="0"/>
    </xf>
    <xf numFmtId="0" fontId="2" fillId="0" borderId="5" applyProtection="1" pivotButton="0" quotePrefix="0" xfId="0">
      <protection locked="0" hidden="0"/>
    </xf>
    <xf numFmtId="0" fontId="12" fillId="0" borderId="6" applyAlignment="1" applyProtection="1" pivotButton="0" quotePrefix="0" xfId="4">
      <alignment horizontal="left" vertical="center" indent="1"/>
      <protection locked="0" hidden="0"/>
    </xf>
    <xf numFmtId="0" fontId="12" fillId="0" borderId="8" applyAlignment="1" applyProtection="1" pivotButton="0" quotePrefix="0" xfId="4">
      <alignment horizontal="left" vertical="center" indent="1"/>
      <protection locked="0" hidden="0"/>
    </xf>
    <xf numFmtId="0" fontId="2" fillId="0" borderId="2" applyProtection="1" pivotButton="0" quotePrefix="0" xfId="0">
      <protection locked="0" hidden="0"/>
    </xf>
    <xf numFmtId="169" fontId="32" fillId="0" borderId="12" applyAlignment="1" pivotButton="0" quotePrefix="0" xfId="0">
      <alignment horizontal="left" vertical="center"/>
    </xf>
    <xf numFmtId="0" fontId="3" fillId="2" borderId="1" applyAlignment="1" applyProtection="1" pivotButton="0" quotePrefix="0" xfId="3">
      <alignment vertical="center"/>
      <protection locked="0" hidden="0"/>
    </xf>
    <xf numFmtId="0" fontId="0" fillId="2" borderId="0" applyAlignment="1" pivotButton="0" quotePrefix="0" xfId="0">
      <alignment vertical="center"/>
    </xf>
    <xf numFmtId="0" fontId="24" fillId="2" borderId="0" applyAlignment="1" pivotButton="0" quotePrefix="0" xfId="3">
      <alignment horizontal="left" vertical="center"/>
    </xf>
    <xf numFmtId="0" fontId="24" fillId="2" borderId="0" applyAlignment="1" pivotButton="0" quotePrefix="0" xfId="3">
      <alignment vertical="center"/>
    </xf>
    <xf numFmtId="0" fontId="2" fillId="2" borderId="0" applyAlignment="1" pivotButton="0" quotePrefix="0" xfId="3">
      <alignment vertical="center"/>
    </xf>
    <xf numFmtId="0" fontId="3" fillId="2" borderId="0" applyAlignment="1" pivotButton="0" quotePrefix="0" xfId="3">
      <alignment horizontal="left" vertical="center"/>
    </xf>
    <xf numFmtId="11" fontId="2" fillId="2" borderId="0" applyAlignment="1" pivotButton="0" quotePrefix="0" xfId="3">
      <alignment horizontal="center" vertical="center"/>
    </xf>
    <xf numFmtId="0" fontId="3" fillId="2" borderId="0" applyAlignment="1" pivotButton="0" quotePrefix="0" xfId="3">
      <alignment vertical="center"/>
    </xf>
    <xf numFmtId="0" fontId="3" fillId="2" borderId="1" applyAlignment="1" pivotButton="0" quotePrefix="0" xfId="3">
      <alignment vertical="center"/>
    </xf>
    <xf numFmtId="0" fontId="34" fillId="2" borderId="1" applyAlignment="1" applyProtection="1" pivotButton="0" quotePrefix="0" xfId="3">
      <alignment horizontal="center" vertical="center"/>
      <protection locked="0" hidden="0"/>
    </xf>
    <xf numFmtId="0" fontId="3" fillId="2" borderId="1" applyAlignment="1" pivotButton="0" quotePrefix="0" xfId="3">
      <alignment horizontal="center" vertical="center"/>
    </xf>
    <xf numFmtId="0" fontId="28" fillId="2" borderId="1" applyAlignment="1" applyProtection="1" pivotButton="0" quotePrefix="0" xfId="3">
      <alignment horizontal="center" vertical="center"/>
      <protection locked="0" hidden="0"/>
    </xf>
    <xf numFmtId="166" fontId="28" fillId="2" borderId="1" applyAlignment="1" applyProtection="1" pivotButton="0" quotePrefix="0" xfId="3">
      <alignment horizontal="center" vertical="center"/>
      <protection locked="0" hidden="0"/>
    </xf>
    <xf numFmtId="169" fontId="28" fillId="2" borderId="1" applyAlignment="1" applyProtection="1" pivotButton="0" quotePrefix="0" xfId="3">
      <alignment horizontal="center" vertical="center"/>
      <protection locked="0" hidden="0"/>
    </xf>
    <xf numFmtId="0" fontId="2" fillId="2" borderId="1" applyAlignment="1" pivotButton="0" quotePrefix="0" xfId="3">
      <alignment horizontal="center" vertical="center"/>
    </xf>
    <xf numFmtId="174" fontId="2" fillId="2" borderId="1" applyAlignment="1" pivotButton="0" quotePrefix="0" xfId="3">
      <alignment horizontal="center" vertical="center"/>
    </xf>
    <xf numFmtId="0" fontId="0" fillId="2" borderId="6" applyAlignment="1" pivotButton="0" quotePrefix="0" xfId="0">
      <alignment vertical="center"/>
    </xf>
    <xf numFmtId="0" fontId="0" fillId="2" borderId="9" applyAlignment="1" pivotButton="0" quotePrefix="0" xfId="0">
      <alignment vertical="center"/>
    </xf>
    <xf numFmtId="0" fontId="0" fillId="2" borderId="5" applyAlignment="1" pivotButton="0" quotePrefix="0" xfId="0">
      <alignment vertical="center"/>
    </xf>
    <xf numFmtId="0" fontId="0" fillId="2" borderId="7" applyAlignment="1" pivotButton="0" quotePrefix="0" xfId="0">
      <alignment vertical="center"/>
    </xf>
    <xf numFmtId="2" fontId="0" fillId="2" borderId="0" applyAlignment="1" pivotButton="0" quotePrefix="0" xfId="0">
      <alignment vertical="center"/>
    </xf>
    <xf numFmtId="0" fontId="0" fillId="2" borderId="8" applyAlignment="1" pivotButton="0" quotePrefix="0" xfId="0">
      <alignment vertical="center"/>
    </xf>
    <xf numFmtId="0" fontId="0" fillId="2" borderId="2" applyAlignment="1" pivotButton="0" quotePrefix="0" xfId="0">
      <alignment vertical="center"/>
    </xf>
    <xf numFmtId="175" fontId="6" fillId="0" borderId="0" applyAlignment="1" applyProtection="1" pivotButton="0" quotePrefix="0" xfId="0">
      <alignment horizontal="left" vertical="center"/>
      <protection locked="0" hidden="1"/>
    </xf>
    <xf numFmtId="169" fontId="28" fillId="2" borderId="1" applyAlignment="1" applyProtection="1" pivotButton="0" quotePrefix="0" xfId="3">
      <alignment horizontal="center"/>
      <protection locked="0" hidden="0"/>
    </xf>
    <xf numFmtId="0" fontId="2" fillId="2" borderId="0" applyAlignment="1" pivotButton="0" quotePrefix="0" xfId="3">
      <alignment horizontal="left"/>
    </xf>
    <xf numFmtId="11" fontId="2" fillId="2" borderId="0" applyAlignment="1" pivotButton="0" quotePrefix="0" xfId="3">
      <alignment horizontal="center"/>
    </xf>
    <xf numFmtId="0" fontId="2" fillId="2" borderId="0" applyAlignment="1" pivotButton="0" quotePrefix="1" xfId="3">
      <alignment horizontal="left"/>
    </xf>
    <xf numFmtId="0" fontId="27" fillId="4" borderId="1" applyAlignment="1" applyProtection="1" pivotButton="0" quotePrefix="0" xfId="3">
      <alignment vertical="center"/>
      <protection locked="0" hidden="0"/>
    </xf>
    <xf numFmtId="0" fontId="13" fillId="0" borderId="0" applyAlignment="1" pivotButton="0" quotePrefix="0" xfId="2">
      <alignment horizontal="left" vertical="center"/>
    </xf>
    <xf numFmtId="0" fontId="13" fillId="0" borderId="0" applyAlignment="1" pivotButton="0" quotePrefix="0" xfId="2">
      <alignment horizontal="left" vertical="center" wrapText="1"/>
    </xf>
    <xf numFmtId="0" fontId="13" fillId="0" borderId="0" applyAlignment="1" applyProtection="1" pivotButton="0" quotePrefix="0" xfId="2">
      <alignment vertical="center"/>
      <protection locked="0" hidden="0"/>
    </xf>
    <xf numFmtId="0" fontId="6" fillId="0" borderId="0" applyAlignment="1" applyProtection="1" pivotButton="0" quotePrefix="0" xfId="2">
      <alignment horizontal="right" vertical="center"/>
      <protection locked="0" hidden="0"/>
    </xf>
    <xf numFmtId="0" fontId="6" fillId="0" borderId="0" applyAlignment="1" pivotButton="0" quotePrefix="0" xfId="2">
      <alignment vertical="center"/>
    </xf>
    <xf numFmtId="0" fontId="7" fillId="0" borderId="0" applyAlignment="1" applyProtection="1" pivotButton="0" quotePrefix="0" xfId="2">
      <alignment horizontal="center" vertical="center"/>
      <protection locked="0" hidden="0"/>
    </xf>
    <xf numFmtId="0" fontId="6" fillId="0" borderId="0" applyAlignment="1" pivotButton="0" quotePrefix="0" xfId="2">
      <alignment horizontal="right" vertical="center"/>
    </xf>
    <xf numFmtId="0" fontId="11" fillId="0" borderId="0" applyAlignment="1" pivotButton="0" quotePrefix="0" xfId="0">
      <alignment vertical="center"/>
    </xf>
    <xf numFmtId="0" fontId="7" fillId="0" borderId="0" applyAlignment="1" applyProtection="1" pivotButton="0" quotePrefix="0" xfId="0">
      <alignment vertical="center"/>
      <protection locked="0" hidden="0"/>
    </xf>
    <xf numFmtId="175" fontId="6" fillId="0" borderId="7" applyAlignment="1" applyProtection="1" pivotButton="0" quotePrefix="0" xfId="0">
      <alignment horizontal="left" vertical="center"/>
      <protection locked="0" hidden="1"/>
    </xf>
    <xf numFmtId="176" fontId="6" fillId="0" borderId="0" applyAlignment="1" applyProtection="1" pivotButton="0" quotePrefix="0" xfId="0">
      <alignment horizontal="left" vertical="center"/>
      <protection locked="0" hidden="0"/>
    </xf>
    <xf numFmtId="177" fontId="6" fillId="0" borderId="7" applyAlignment="1" applyProtection="1" pivotButton="0" quotePrefix="0" xfId="0">
      <alignment horizontal="left" vertical="center"/>
      <protection locked="0" hidden="1"/>
    </xf>
    <xf numFmtId="0" fontId="3" fillId="2" borderId="47" applyAlignment="1" pivotButton="0" quotePrefix="0" xfId="0">
      <alignment vertical="center"/>
    </xf>
    <xf numFmtId="0" fontId="3" fillId="2" borderId="48" applyAlignment="1" pivotButton="0" quotePrefix="0" xfId="0">
      <alignment vertical="center"/>
    </xf>
    <xf numFmtId="0" fontId="38" fillId="2" borderId="48" applyAlignment="1" pivotButton="0" quotePrefix="0" xfId="0">
      <alignment vertical="center"/>
    </xf>
    <xf numFmtId="0" fontId="21" fillId="2" borderId="48" applyProtection="1" pivotButton="0" quotePrefix="0" xfId="0">
      <protection locked="1" hidden="1"/>
    </xf>
    <xf numFmtId="0" fontId="21" fillId="2" borderId="49" applyProtection="1" pivotButton="0" quotePrefix="0" xfId="0">
      <protection locked="1" hidden="1"/>
    </xf>
    <xf numFmtId="0" fontId="3" fillId="2" borderId="5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38" fillId="2" borderId="0" applyAlignment="1" pivotButton="0" quotePrefix="0" xfId="0">
      <alignment vertical="center"/>
    </xf>
    <xf numFmtId="0" fontId="21" fillId="2" borderId="0" applyProtection="1" pivotButton="0" quotePrefix="0" xfId="0">
      <protection locked="1" hidden="1"/>
    </xf>
    <xf numFmtId="0" fontId="21" fillId="2" borderId="51" applyProtection="1" pivotButton="0" quotePrefix="0" xfId="0">
      <protection locked="1" hidden="1"/>
    </xf>
    <xf numFmtId="0" fontId="39" fillId="2" borderId="52" applyAlignment="1" pivotButton="0" quotePrefix="0" xfId="0">
      <alignment vertical="center"/>
    </xf>
    <xf numFmtId="0" fontId="39" fillId="2" borderId="53" applyAlignment="1" pivotButton="0" quotePrefix="0" xfId="0">
      <alignment vertical="center"/>
    </xf>
    <xf numFmtId="0" fontId="39" fillId="2" borderId="54" applyAlignment="1" pivotButton="0" quotePrefix="0" xfId="0">
      <alignment vertical="center"/>
    </xf>
    <xf numFmtId="0" fontId="39" fillId="2" borderId="0" applyAlignment="1" pivotButton="0" quotePrefix="0" xfId="0">
      <alignment vertical="center"/>
    </xf>
    <xf numFmtId="0" fontId="40" fillId="2" borderId="0" applyAlignment="1" pivotButton="0" quotePrefix="0" xfId="0">
      <alignment horizontal="center" vertical="center"/>
    </xf>
    <xf numFmtId="0" fontId="41" fillId="2" borderId="1" applyAlignment="1" pivotButton="0" quotePrefix="0" xfId="0">
      <alignment horizontal="center" vertical="center"/>
    </xf>
    <xf numFmtId="0" fontId="17" fillId="2" borderId="1" applyAlignment="1" pivotButton="0" quotePrefix="0" xfId="2">
      <alignment vertical="center"/>
    </xf>
    <xf numFmtId="0" fontId="10" fillId="2" borderId="0" applyAlignment="1" pivotButton="0" quotePrefix="0" xfId="2">
      <alignment horizontal="center" vertical="center"/>
    </xf>
    <xf numFmtId="0" fontId="10" fillId="2" borderId="0" applyAlignment="1" pivotButton="0" quotePrefix="0" xfId="0">
      <alignment vertical="center"/>
    </xf>
    <xf numFmtId="0" fontId="10" fillId="2" borderId="0" applyAlignment="1" pivotButton="0" quotePrefix="0" xfId="2">
      <alignment vertical="center"/>
    </xf>
    <xf numFmtId="0" fontId="6" fillId="2" borderId="0" applyAlignment="1" pivotButton="0" quotePrefix="0" xfId="0">
      <alignment horizontal="left" vertical="center" wrapText="1"/>
    </xf>
    <xf numFmtId="0" fontId="10" fillId="2" borderId="0" applyAlignment="1" pivotButton="0" quotePrefix="0" xfId="2">
      <alignment horizontal="right" vertical="center"/>
    </xf>
    <xf numFmtId="17" fontId="6" fillId="2" borderId="0" applyAlignment="1" pivotButton="0" quotePrefix="0" xfId="0">
      <alignment vertical="center"/>
    </xf>
    <xf numFmtId="0" fontId="10" fillId="2" borderId="3" applyAlignment="1" pivotButton="0" quotePrefix="0" xfId="2">
      <alignment vertical="center"/>
    </xf>
    <xf numFmtId="0" fontId="10" fillId="2" borderId="3" applyAlignment="1" pivotButton="0" quotePrefix="0" xfId="2">
      <alignment horizontal="center" vertical="center"/>
    </xf>
    <xf numFmtId="0" fontId="6" fillId="2" borderId="3" applyAlignment="1" pivotButton="0" quotePrefix="0" xfId="0">
      <alignment horizontal="left" vertical="center" wrapText="1"/>
    </xf>
    <xf numFmtId="0" fontId="10" fillId="2" borderId="3" applyAlignment="1" pivotButton="0" quotePrefix="0" xfId="2">
      <alignment horizontal="right" vertical="center"/>
    </xf>
    <xf numFmtId="17" fontId="6" fillId="2" borderId="3" applyAlignment="1" pivotButton="0" quotePrefix="0" xfId="0">
      <alignment vertical="center"/>
    </xf>
    <xf numFmtId="0" fontId="42" fillId="2" borderId="4" applyAlignment="1" pivotButton="0" quotePrefix="0" xfId="0">
      <alignment horizontal="center" vertical="center" wrapText="1"/>
    </xf>
    <xf numFmtId="0" fontId="21" fillId="2" borderId="3" applyProtection="1" pivotButton="0" quotePrefix="0" xfId="0">
      <protection locked="1" hidden="1"/>
    </xf>
    <xf numFmtId="0" fontId="42" fillId="2" borderId="3" applyAlignment="1" pivotButton="0" quotePrefix="0" xfId="0">
      <alignment horizontal="center" vertical="center" wrapText="1"/>
    </xf>
    <xf numFmtId="0" fontId="42" fillId="2" borderId="5" applyAlignment="1" pivotButton="0" quotePrefix="0" xfId="0">
      <alignment horizontal="center" vertical="center" wrapText="1"/>
    </xf>
    <xf numFmtId="0" fontId="42" fillId="2" borderId="6" applyAlignment="1" pivotButton="0" quotePrefix="0" xfId="0">
      <alignment horizontal="center" vertical="center" wrapText="1"/>
    </xf>
    <xf numFmtId="0" fontId="10" fillId="2" borderId="1" applyAlignment="1" applyProtection="1" pivotButton="0" quotePrefix="0" xfId="0">
      <alignment horizontal="center" vertical="center"/>
      <protection locked="1" hidden="1"/>
    </xf>
    <xf numFmtId="0" fontId="10" fillId="2" borderId="0" applyAlignment="1" applyProtection="1" pivotButton="0" quotePrefix="0" xfId="0">
      <alignment vertical="center"/>
      <protection locked="1" hidden="1"/>
    </xf>
    <xf numFmtId="0" fontId="42" fillId="2" borderId="0" applyAlignment="1" pivotButton="0" quotePrefix="0" xfId="0">
      <alignment horizontal="center" vertical="center" wrapText="1"/>
    </xf>
    <xf numFmtId="0" fontId="42" fillId="2" borderId="7" applyAlignment="1" pivotButton="0" quotePrefix="0" xfId="0">
      <alignment horizontal="center" vertical="center" wrapText="1"/>
    </xf>
    <xf numFmtId="0" fontId="21" fillId="2" borderId="6" applyProtection="1" pivotButton="0" quotePrefix="0" xfId="0">
      <protection locked="1" hidden="1"/>
    </xf>
    <xf numFmtId="0" fontId="12" fillId="2" borderId="10" applyAlignment="1" pivotButton="0" quotePrefix="0" xfId="0">
      <alignment horizontal="center" vertical="center"/>
    </xf>
    <xf numFmtId="168" fontId="7" fillId="2" borderId="10" applyAlignment="1" pivotButton="0" quotePrefix="1" xfId="0">
      <alignment horizontal="left" vertical="center" indent="1"/>
    </xf>
    <xf numFmtId="168" fontId="7" fillId="2" borderId="11" applyAlignment="1" pivotButton="0" quotePrefix="1" xfId="0">
      <alignment vertical="center"/>
    </xf>
    <xf numFmtId="168" fontId="7" fillId="2" borderId="12" applyAlignment="1" pivotButton="0" quotePrefix="1" xfId="0">
      <alignment vertical="center"/>
    </xf>
    <xf numFmtId="168" fontId="12" fillId="2" borderId="12" applyAlignment="1" pivotButton="0" quotePrefix="1" xfId="0">
      <alignment horizontal="center" vertical="center" wrapText="1"/>
    </xf>
    <xf numFmtId="168" fontId="7" fillId="2" borderId="0" applyAlignment="1" pivotButton="0" quotePrefix="1" xfId="0">
      <alignment vertical="center"/>
    </xf>
    <xf numFmtId="0" fontId="43" fillId="2" borderId="0" applyAlignment="1" pivotButton="0" quotePrefix="0" xfId="2">
      <alignment vertical="center"/>
    </xf>
    <xf numFmtId="3" fontId="5" fillId="2" borderId="0" applyAlignment="1" pivotButton="0" quotePrefix="0" xfId="0">
      <alignment vertical="center" wrapText="1"/>
    </xf>
    <xf numFmtId="3" fontId="5" fillId="2" borderId="7" applyAlignment="1" pivotButton="0" quotePrefix="0" xfId="0">
      <alignment horizontal="center" vertical="center" wrapText="1"/>
    </xf>
    <xf numFmtId="0" fontId="12" fillId="2" borderId="14" applyAlignment="1" pivotButton="0" quotePrefix="0" xfId="0">
      <alignment horizontal="center" vertical="center"/>
    </xf>
    <xf numFmtId="0" fontId="2" fillId="2" borderId="8" applyAlignment="1" pivotButton="0" quotePrefix="0" xfId="3">
      <alignment horizontal="left" vertical="center" indent="1"/>
    </xf>
    <xf numFmtId="0" fontId="2" fillId="2" borderId="2" applyAlignment="1" pivotButton="0" quotePrefix="0" xfId="3">
      <alignment vertical="center"/>
    </xf>
    <xf numFmtId="0" fontId="2" fillId="2" borderId="9" applyAlignment="1" pivotButton="0" quotePrefix="0" xfId="3">
      <alignment vertical="center"/>
    </xf>
    <xf numFmtId="168" fontId="12" fillId="2" borderId="14" applyAlignment="1" pivotButton="0" quotePrefix="1" xfId="0">
      <alignment horizontal="center" vertical="center" wrapText="1"/>
    </xf>
    <xf numFmtId="0" fontId="12" fillId="2" borderId="0" applyAlignment="1" pivotButton="0" quotePrefix="0" xfId="0">
      <alignment horizontal="center" vertical="center"/>
    </xf>
    <xf numFmtId="0" fontId="43" fillId="2" borderId="0" applyAlignment="1" pivotButton="0" quotePrefix="0" xfId="0">
      <alignment vertical="center"/>
    </xf>
    <xf numFmtId="178" fontId="44" fillId="2" borderId="0" applyAlignment="1" pivotButton="0" quotePrefix="0" xfId="0">
      <alignment vertical="center" wrapText="1"/>
    </xf>
    <xf numFmtId="2" fontId="44" fillId="2" borderId="7" applyAlignment="1" pivotButton="0" quotePrefix="0" xfId="0">
      <alignment horizontal="center" vertical="center"/>
    </xf>
    <xf numFmtId="0" fontId="12" fillId="2" borderId="1" applyAlignment="1" pivotButton="0" quotePrefix="0" xfId="0">
      <alignment horizontal="center" vertical="center"/>
    </xf>
    <xf numFmtId="0" fontId="2" fillId="2" borderId="10" applyAlignment="1" pivotButton="0" quotePrefix="0" xfId="3">
      <alignment horizontal="left" vertical="center" indent="1"/>
    </xf>
    <xf numFmtId="0" fontId="2" fillId="2" borderId="11" applyAlignment="1" pivotButton="0" quotePrefix="0" xfId="3">
      <alignment vertical="center"/>
    </xf>
    <xf numFmtId="0" fontId="2" fillId="2" borderId="12" applyAlignment="1" pivotButton="0" quotePrefix="0" xfId="3">
      <alignment vertical="center"/>
    </xf>
    <xf numFmtId="168" fontId="12" fillId="2" borderId="1" applyAlignment="1" pivotButton="0" quotePrefix="1" xfId="0">
      <alignment horizontal="center" vertical="center" wrapText="1"/>
    </xf>
    <xf numFmtId="0" fontId="45" fillId="2" borderId="0" applyProtection="1" pivotButton="0" quotePrefix="0" xfId="0">
      <protection locked="1" hidden="1"/>
    </xf>
    <xf numFmtId="0" fontId="46" fillId="2" borderId="0" applyAlignment="1" applyProtection="1" pivotButton="0" quotePrefix="0" xfId="0">
      <alignment vertical="center"/>
      <protection locked="1" hidden="1"/>
    </xf>
    <xf numFmtId="0" fontId="46" fillId="2" borderId="7" applyAlignment="1" applyProtection="1" pivotButton="0" quotePrefix="0" xfId="0">
      <alignment vertical="center"/>
      <protection locked="1" hidden="1"/>
    </xf>
    <xf numFmtId="2" fontId="12" fillId="2" borderId="0" applyAlignment="1" pivotButton="0" quotePrefix="0" xfId="0">
      <alignment horizontal="center" vertical="center"/>
    </xf>
    <xf numFmtId="0" fontId="46" fillId="2" borderId="6" applyAlignment="1" applyProtection="1" pivotButton="0" quotePrefix="0" xfId="0">
      <alignment vertical="center"/>
      <protection locked="1" hidden="1"/>
    </xf>
    <xf numFmtId="2" fontId="42" fillId="2" borderId="0" applyAlignment="1" pivotButton="0" quotePrefix="0" xfId="0">
      <alignment vertical="center"/>
    </xf>
    <xf numFmtId="0" fontId="6" fillId="2" borderId="0" applyAlignment="1" applyProtection="1" pivotButton="0" quotePrefix="0" xfId="0">
      <alignment vertical="top"/>
      <protection locked="1" hidden="1"/>
    </xf>
    <xf numFmtId="0" fontId="29" fillId="2" borderId="0" applyAlignment="1" pivotButton="0" quotePrefix="0" xfId="2">
      <alignment vertical="center"/>
    </xf>
    <xf numFmtId="0" fontId="21" fillId="2" borderId="7" applyProtection="1" pivotButton="0" quotePrefix="0" xfId="0">
      <protection locked="1" hidden="1"/>
    </xf>
    <xf numFmtId="0" fontId="12" fillId="2" borderId="0" applyAlignment="1" pivotButton="0" quotePrefix="0" xfId="2">
      <alignment vertical="center"/>
    </xf>
    <xf numFmtId="0" fontId="21" fillId="2" borderId="0" applyAlignment="1" applyProtection="1" pivotButton="0" quotePrefix="0" xfId="0">
      <alignment vertical="center"/>
      <protection locked="1" hidden="1"/>
    </xf>
    <xf numFmtId="0" fontId="7" fillId="2" borderId="10" applyAlignment="1" applyProtection="1" pivotButton="0" quotePrefix="0" xfId="0">
      <alignment horizontal="left" vertical="center"/>
      <protection locked="1" hidden="1"/>
    </xf>
    <xf numFmtId="0" fontId="7" fillId="2" borderId="12" applyAlignment="1" applyProtection="1" pivotButton="0" quotePrefix="0" xfId="0">
      <alignment horizontal="center" vertical="center"/>
      <protection locked="1" hidden="1"/>
    </xf>
    <xf numFmtId="0" fontId="7" fillId="2" borderId="0" applyAlignment="1" applyProtection="1" pivotButton="0" quotePrefix="0" xfId="0">
      <alignment vertical="center"/>
      <protection locked="1" hidden="1"/>
    </xf>
    <xf numFmtId="0" fontId="7" fillId="2" borderId="0" applyAlignment="1" applyProtection="1" pivotButton="0" quotePrefix="0" xfId="0">
      <alignment horizontal="left" vertical="center" indent="1"/>
      <protection locked="1" hidden="1"/>
    </xf>
    <xf numFmtId="0" fontId="21" fillId="2" borderId="0" applyAlignment="1" applyProtection="1" pivotButton="0" quotePrefix="0" xfId="0">
      <alignment horizontal="right"/>
      <protection locked="1" hidden="1"/>
    </xf>
    <xf numFmtId="0" fontId="6" fillId="2" borderId="8" applyAlignment="1" applyProtection="1" pivotButton="0" quotePrefix="0" xfId="0">
      <alignment horizontal="left" indent="1"/>
      <protection locked="1" hidden="1"/>
    </xf>
    <xf numFmtId="0" fontId="2" fillId="2" borderId="2" applyAlignment="1" applyProtection="1" pivotButton="0" quotePrefix="0" xfId="0">
      <alignment horizontal="left" indent="1"/>
      <protection locked="1" hidden="1"/>
    </xf>
    <xf numFmtId="0" fontId="21" fillId="2" borderId="2" applyProtection="1" pivotButton="0" quotePrefix="0" xfId="0">
      <protection locked="1" hidden="1"/>
    </xf>
    <xf numFmtId="0" fontId="46" fillId="2" borderId="2" applyAlignment="1" applyProtection="1" pivotButton="0" quotePrefix="0" xfId="0">
      <alignment vertical="center"/>
      <protection locked="1" hidden="1"/>
    </xf>
    <xf numFmtId="0" fontId="46" fillId="2" borderId="9" applyAlignment="1" applyProtection="1" pivotButton="0" quotePrefix="0" xfId="0">
      <alignment vertical="center"/>
      <protection locked="1" hidden="1"/>
    </xf>
    <xf numFmtId="0" fontId="6" fillId="2" borderId="3" applyAlignment="1" applyProtection="1" pivotButton="0" quotePrefix="0" xfId="0">
      <alignment horizontal="left" indent="1"/>
      <protection locked="1" hidden="1"/>
    </xf>
    <xf numFmtId="0" fontId="2" fillId="2" borderId="3" applyAlignment="1" applyProtection="1" pivotButton="0" quotePrefix="0" xfId="0">
      <alignment horizontal="left" indent="1"/>
      <protection locked="1" hidden="1"/>
    </xf>
    <xf numFmtId="0" fontId="46" fillId="2" borderId="3" applyAlignment="1" applyProtection="1" pivotButton="0" quotePrefix="0" xfId="0">
      <alignment vertical="center"/>
      <protection locked="1" hidden="1"/>
    </xf>
    <xf numFmtId="0" fontId="3" fillId="2" borderId="0" applyAlignment="1" applyProtection="1" pivotButton="0" quotePrefix="0" xfId="0">
      <alignment horizontal="left" vertical="center"/>
      <protection locked="1" hidden="1"/>
    </xf>
    <xf numFmtId="0" fontId="2" fillId="2" borderId="0" applyAlignment="1" applyProtection="1" pivotButton="0" quotePrefix="0" xfId="0">
      <alignment horizontal="left" indent="1"/>
      <protection locked="1" hidden="1"/>
    </xf>
    <xf numFmtId="0" fontId="4" fillId="2" borderId="0" applyProtection="1" pivotButton="0" quotePrefix="0" xfId="0">
      <protection locked="1" hidden="1"/>
    </xf>
    <xf numFmtId="0" fontId="6" fillId="2" borderId="0" applyAlignment="1" applyProtection="1" pivotButton="0" quotePrefix="0" xfId="0">
      <alignment horizontal="left" vertical="center" indent="2"/>
      <protection locked="1" hidden="1"/>
    </xf>
    <xf numFmtId="0" fontId="3" fillId="2" borderId="0" applyAlignment="1" applyProtection="1" pivotButton="0" quotePrefix="0" xfId="0">
      <alignment vertical="center"/>
      <protection locked="1" hidden="1"/>
    </xf>
    <xf numFmtId="0" fontId="3" fillId="2" borderId="0" applyProtection="1" pivotButton="0" quotePrefix="0" xfId="0">
      <protection locked="1" hidden="1"/>
    </xf>
    <xf numFmtId="0" fontId="6" fillId="2" borderId="0" applyAlignment="1" applyProtection="1" pivotButton="0" quotePrefix="0" xfId="0">
      <alignment horizontal="left" indent="1"/>
      <protection locked="1" hidden="1"/>
    </xf>
    <xf numFmtId="0" fontId="6" fillId="2" borderId="0" applyAlignment="1" applyProtection="1" pivotButton="0" quotePrefix="0" xfId="0">
      <alignment vertical="center"/>
      <protection locked="1" hidden="1"/>
    </xf>
    <xf numFmtId="0" fontId="7" fillId="0" borderId="0" applyAlignment="1" applyProtection="1" pivotButton="0" quotePrefix="0" xfId="0">
      <alignment horizontal="left" vertical="center"/>
      <protection locked="0" hidden="0"/>
    </xf>
    <xf numFmtId="0" fontId="3" fillId="2" borderId="0" applyAlignment="1" pivotButton="0" quotePrefix="0" xfId="3">
      <alignment horizontal="left"/>
    </xf>
    <xf numFmtId="175" fontId="2" fillId="2" borderId="0" applyAlignment="1" pivotButton="0" quotePrefix="0" xfId="3">
      <alignment horizontal="center" vertical="center"/>
    </xf>
    <xf numFmtId="0" fontId="2" fillId="0" borderId="13" applyAlignment="1" pivotButton="0" quotePrefix="0" xfId="0">
      <alignment horizontal="left" indent="1"/>
    </xf>
    <xf numFmtId="0" fontId="2" fillId="0" borderId="55" applyAlignment="1" pivotButton="0" quotePrefix="0" xfId="0">
      <alignment horizontal="left" indent="1"/>
    </xf>
    <xf numFmtId="0" fontId="3" fillId="0" borderId="0" pivotButton="0" quotePrefix="0" xfId="0"/>
    <xf numFmtId="0" fontId="0" fillId="0" borderId="55" applyAlignment="1" pivotButton="0" quotePrefix="0" xfId="0">
      <alignment horizontal="left" indent="1"/>
    </xf>
    <xf numFmtId="0" fontId="10" fillId="0" borderId="0" applyAlignment="1" pivotButton="0" quotePrefix="0" xfId="2">
      <alignment horizontal="right" vertical="center"/>
    </xf>
    <xf numFmtId="16" fontId="0" fillId="0" borderId="55" applyAlignment="1" pivotButton="0" quotePrefix="0" xfId="0">
      <alignment horizontal="left" indent="1"/>
    </xf>
    <xf numFmtId="0" fontId="6" fillId="0" borderId="55" applyAlignment="1" pivotButton="0" quotePrefix="0" xfId="2">
      <alignment horizontal="left" vertical="center" indent="1"/>
    </xf>
    <xf numFmtId="0" fontId="6" fillId="0" borderId="14" applyAlignment="1" pivotButton="0" quotePrefix="0" xfId="2">
      <alignment horizontal="left" vertical="center" indent="1"/>
    </xf>
    <xf numFmtId="0" fontId="6" fillId="0" borderId="0" applyAlignment="1" applyProtection="1" pivotButton="0" quotePrefix="0" xfId="0">
      <alignment horizontal="left" vertical="center"/>
      <protection locked="0" hidden="0"/>
    </xf>
    <xf numFmtId="0" fontId="48" fillId="0" borderId="0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0" fontId="3" fillId="2" borderId="0" applyAlignment="1" pivotButton="0" quotePrefix="0" xfId="3">
      <alignment horizontal="center" vertical="center"/>
    </xf>
    <xf numFmtId="175" fontId="19" fillId="2" borderId="1" applyAlignment="1" pivotButton="0" quotePrefix="0" xfId="6">
      <alignment horizontal="center" vertical="center"/>
    </xf>
    <xf numFmtId="0" fontId="3" fillId="2" borderId="0" applyAlignment="1" applyProtection="1" pivotButton="0" quotePrefix="1" xfId="3">
      <alignment horizontal="center" vertical="center"/>
      <protection locked="1" hidden="1"/>
    </xf>
    <xf numFmtId="0" fontId="10" fillId="0" borderId="0" applyAlignment="1" pivotButton="0" quotePrefix="0" xfId="2">
      <alignment horizontal="right" vertical="center" wrapText="1" indent="1"/>
    </xf>
    <xf numFmtId="0" fontId="21" fillId="2" borderId="1" applyAlignment="1" applyProtection="1" pivotButton="0" quotePrefix="0" xfId="0">
      <alignment horizontal="center"/>
      <protection locked="1" hidden="1"/>
    </xf>
    <xf numFmtId="0" fontId="10" fillId="2" borderId="0" applyAlignment="1" pivotButton="0" quotePrefix="0" xfId="2">
      <alignment horizontal="center" vertical="center"/>
    </xf>
    <xf numFmtId="0" fontId="7" fillId="2" borderId="0" applyAlignment="1" pivotButton="0" quotePrefix="0" xfId="8">
      <alignment horizontal="center" vertical="center" wrapText="1"/>
    </xf>
    <xf numFmtId="0" fontId="7" fillId="2" borderId="0" applyAlignment="1" pivotButton="0" quotePrefix="0" xfId="2">
      <alignment horizontal="left" vertical="center" wrapText="1"/>
    </xf>
    <xf numFmtId="0" fontId="7" fillId="2" borderId="7" applyAlignment="1" pivotButton="0" quotePrefix="0" xfId="2">
      <alignment horizontal="left" vertical="center" wrapText="1"/>
    </xf>
    <xf numFmtId="0" fontId="7" fillId="2" borderId="10" applyAlignment="1" applyProtection="1" pivotButton="0" quotePrefix="0" xfId="0">
      <alignment horizontal="center" vertical="center"/>
      <protection locked="1" hidden="1"/>
    </xf>
    <xf numFmtId="0" fontId="7" fillId="2" borderId="11" applyAlignment="1" applyProtection="1" pivotButton="0" quotePrefix="0" xfId="0">
      <alignment horizontal="center" vertical="center"/>
      <protection locked="1" hidden="1"/>
    </xf>
    <xf numFmtId="0" fontId="7" fillId="2" borderId="12" applyAlignment="1" applyProtection="1" pivotButton="0" quotePrefix="0" xfId="0">
      <alignment horizontal="center" vertical="center"/>
      <protection locked="1" hidden="1"/>
    </xf>
    <xf numFmtId="0" fontId="10" fillId="2" borderId="1" applyAlignment="1" applyProtection="1" pivotButton="0" quotePrefix="0" xfId="0">
      <alignment horizontal="center" vertical="center"/>
      <protection locked="1" hidden="1"/>
    </xf>
    <xf numFmtId="168" fontId="6" fillId="2" borderId="0" applyAlignment="1" pivotButton="0" quotePrefix="1" xfId="0">
      <alignment horizontal="left" vertical="center" wrapText="1" indent="1"/>
    </xf>
    <xf numFmtId="168" fontId="6" fillId="2" borderId="7" applyAlignment="1" pivotButton="0" quotePrefix="1" xfId="0">
      <alignment horizontal="left" vertical="center" wrapText="1" indent="1"/>
    </xf>
    <xf numFmtId="0" fontId="4" fillId="2" borderId="1" applyAlignment="1" applyProtection="1" pivotButton="0" quotePrefix="0" xfId="0">
      <alignment horizontal="center"/>
      <protection locked="1" hidden="1"/>
    </xf>
    <xf numFmtId="0" fontId="17" fillId="2" borderId="10" applyAlignment="1" applyProtection="1" pivotButton="0" quotePrefix="0" xfId="0">
      <alignment horizontal="center" vertical="center"/>
      <protection locked="1" hidden="1"/>
    </xf>
    <xf numFmtId="0" fontId="17" fillId="2" borderId="12" applyAlignment="1" applyProtection="1" pivotButton="0" quotePrefix="0" xfId="0">
      <alignment horizontal="center" vertical="center"/>
      <protection locked="1" hidden="1"/>
    </xf>
    <xf numFmtId="0" fontId="17" fillId="2" borderId="11" applyAlignment="1" applyProtection="1" pivotButton="0" quotePrefix="0" xfId="0">
      <alignment horizontal="center" vertical="center"/>
      <protection locked="1" hidden="1"/>
    </xf>
    <xf numFmtId="0" fontId="3" fillId="2" borderId="4" applyAlignment="1" applyProtection="1" pivotButton="0" quotePrefix="0" xfId="0">
      <alignment horizontal="center" vertical="center" wrapText="1"/>
      <protection locked="1" hidden="1"/>
    </xf>
    <xf numFmtId="0" fontId="3" fillId="2" borderId="3" applyAlignment="1" applyProtection="1" pivotButton="0" quotePrefix="0" xfId="0">
      <alignment horizontal="center" vertical="center" wrapText="1"/>
      <protection locked="1" hidden="1"/>
    </xf>
    <xf numFmtId="0" fontId="3" fillId="2" borderId="5" applyAlignment="1" applyProtection="1" pivotButton="0" quotePrefix="0" xfId="0">
      <alignment horizontal="center" vertical="center" wrapText="1"/>
      <protection locked="1" hidden="1"/>
    </xf>
    <xf numFmtId="0" fontId="3" fillId="2" borderId="8" applyAlignment="1" applyProtection="1" pivotButton="0" quotePrefix="0" xfId="0">
      <alignment horizontal="center" vertical="center" wrapText="1"/>
      <protection locked="1" hidden="1"/>
    </xf>
    <xf numFmtId="0" fontId="3" fillId="2" borderId="2" applyAlignment="1" applyProtection="1" pivotButton="0" quotePrefix="0" xfId="0">
      <alignment horizontal="center" vertical="center" wrapText="1"/>
      <protection locked="1" hidden="1"/>
    </xf>
    <xf numFmtId="0" fontId="3" fillId="2" borderId="9" applyAlignment="1" applyProtection="1" pivotButton="0" quotePrefix="0" xfId="0">
      <alignment horizontal="center" vertical="center" wrapText="1"/>
      <protection locked="1" hidden="1"/>
    </xf>
    <xf numFmtId="0" fontId="42" fillId="2" borderId="3" applyAlignment="1" pivotButton="0" quotePrefix="0" xfId="0">
      <alignment horizontal="center" vertical="center" wrapText="1"/>
    </xf>
    <xf numFmtId="0" fontId="17" fillId="2" borderId="1" applyAlignment="1" pivotButton="0" quotePrefix="0" xfId="2">
      <alignment horizontal="center" vertical="center"/>
    </xf>
    <xf numFmtId="0" fontId="14" fillId="2" borderId="0" applyAlignment="1" pivotButton="0" quotePrefix="0" xfId="0">
      <alignment horizontal="center" vertical="center"/>
    </xf>
    <xf numFmtId="179" fontId="14" fillId="2" borderId="0" applyAlignment="1" applyProtection="1" pivotButton="0" quotePrefix="0" xfId="0">
      <alignment horizontal="center"/>
      <protection locked="1" hidden="1"/>
    </xf>
    <xf numFmtId="0" fontId="41" fillId="2" borderId="1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8" fontId="7" fillId="0" borderId="1" applyAlignment="1" pivotButton="0" quotePrefix="1" xfId="0">
      <alignment horizontal="left" vertical="center"/>
    </xf>
    <xf numFmtId="180" fontId="14" fillId="0" borderId="0" applyAlignment="1" applyProtection="1" pivotButton="0" quotePrefix="0" xfId="0">
      <alignment horizontal="center"/>
      <protection locked="0" hidden="0"/>
    </xf>
    <xf numFmtId="0" fontId="17" fillId="0" borderId="0" applyAlignment="1" pivotButton="0" quotePrefix="0" xfId="0">
      <alignment horizontal="center" vertical="center" wrapText="1"/>
    </xf>
    <xf numFmtId="3" fontId="7" fillId="0" borderId="0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center" wrapText="1"/>
    </xf>
    <xf numFmtId="0" fontId="16" fillId="0" borderId="3" applyAlignment="1" pivotButton="0" quotePrefix="0" xfId="0">
      <alignment horizontal="center" vertical="center" wrapText="1"/>
    </xf>
    <xf numFmtId="0" fontId="16" fillId="0" borderId="5" applyAlignment="1" pivotButton="0" quotePrefix="0" xfId="0">
      <alignment horizontal="center" vertical="center" wrapText="1"/>
    </xf>
    <xf numFmtId="0" fontId="16" fillId="0" borderId="8" applyAlignment="1" pivotButton="0" quotePrefix="0" xfId="0">
      <alignment horizontal="center" vertical="center" wrapText="1"/>
    </xf>
    <xf numFmtId="0" fontId="16" fillId="0" borderId="2" applyAlignment="1" pivotButton="0" quotePrefix="0" xfId="0">
      <alignment horizontal="center" vertical="center" wrapText="1"/>
    </xf>
    <xf numFmtId="0" fontId="16" fillId="0" borderId="9" applyAlignment="1" pivotButton="0" quotePrefix="0" xfId="0">
      <alignment horizontal="center" vertical="center" wrapText="1"/>
    </xf>
    <xf numFmtId="0" fontId="17" fillId="0" borderId="1" applyAlignment="1" pivotButton="0" quotePrefix="0" xfId="0">
      <alignment horizontal="center" vertical="center" wrapText="1"/>
    </xf>
    <xf numFmtId="0" fontId="7" fillId="0" borderId="0" applyAlignment="1" applyProtection="1" pivotButton="0" quotePrefix="0" xfId="0">
      <alignment horizontal="left" vertical="center"/>
      <protection locked="0" hidden="0"/>
    </xf>
    <xf numFmtId="0" fontId="6" fillId="0" borderId="0" applyAlignment="1" applyProtection="1" pivotButton="0" quotePrefix="0" xfId="0">
      <alignment horizontal="left" vertical="center" wrapText="1"/>
      <protection locked="0" hidden="0"/>
    </xf>
    <xf numFmtId="0" fontId="20" fillId="0" borderId="0" applyAlignment="1" pivotButton="0" quotePrefix="0" xfId="4">
      <alignment horizontal="right" vertical="center"/>
    </xf>
    <xf numFmtId="178" fontId="12" fillId="0" borderId="0" applyAlignment="1" pivotButton="0" quotePrefix="0" xfId="0">
      <alignment horizontal="center" vertical="center" wrapText="1"/>
    </xf>
    <xf numFmtId="168" fontId="7" fillId="0" borderId="0" applyAlignment="1" pivotButton="0" quotePrefix="1" xfId="0">
      <alignment horizontal="left" vertical="center"/>
    </xf>
    <xf numFmtId="0" fontId="7" fillId="0" borderId="0" applyAlignment="1" pivotButton="0" quotePrefix="1" xfId="4">
      <alignment horizontal="left" vertical="center" wrapText="1"/>
    </xf>
    <xf numFmtId="0" fontId="12" fillId="0" borderId="0" applyAlignment="1" pivotButton="0" quotePrefix="1" xfId="4">
      <alignment horizontal="left" vertical="center" wrapText="1"/>
    </xf>
    <xf numFmtId="0" fontId="7" fillId="0" borderId="0" applyAlignment="1" pivotButton="0" quotePrefix="1" xfId="4">
      <alignment horizontal="left" vertical="center"/>
    </xf>
    <xf numFmtId="0" fontId="7" fillId="0" borderId="1" applyAlignment="1" pivotButton="0" quotePrefix="0" xfId="0">
      <alignment horizontal="center" vertical="center"/>
    </xf>
    <xf numFmtId="0" fontId="2" fillId="0" borderId="10" applyAlignment="1" pivotButton="0" quotePrefix="0" xfId="3">
      <alignment horizontal="center"/>
    </xf>
    <xf numFmtId="0" fontId="2" fillId="0" borderId="11" applyAlignment="1" pivotButton="0" quotePrefix="0" xfId="3">
      <alignment horizontal="center"/>
    </xf>
    <xf numFmtId="0" fontId="2" fillId="0" borderId="12" applyAlignment="1" pivotButton="0" quotePrefix="0" xfId="3">
      <alignment horizontal="center"/>
    </xf>
    <xf numFmtId="0" fontId="17" fillId="0" borderId="4" applyAlignment="1" pivotButton="0" quotePrefix="0" xfId="0">
      <alignment horizontal="center" vertical="center" wrapText="1"/>
    </xf>
    <xf numFmtId="0" fontId="17" fillId="0" borderId="5" applyAlignment="1" pivotButton="0" quotePrefix="0" xfId="0">
      <alignment horizontal="center" vertical="center" wrapText="1"/>
    </xf>
    <xf numFmtId="0" fontId="17" fillId="0" borderId="8" applyAlignment="1" pivotButton="0" quotePrefix="0" xfId="0">
      <alignment horizontal="center" vertical="center" wrapText="1"/>
    </xf>
    <xf numFmtId="0" fontId="17" fillId="0" borderId="9" applyAlignment="1" pivotButton="0" quotePrefix="0" xfId="0">
      <alignment horizontal="center" vertical="center" wrapText="1"/>
    </xf>
    <xf numFmtId="0" fontId="17" fillId="0" borderId="13" applyAlignment="1" pivotButton="0" quotePrefix="0" xfId="0">
      <alignment horizontal="center" wrapText="1"/>
    </xf>
    <xf numFmtId="0" fontId="17" fillId="0" borderId="14" applyAlignment="1" pivotButton="0" quotePrefix="0" xfId="0">
      <alignment horizontal="center" wrapText="1"/>
    </xf>
    <xf numFmtId="0" fontId="18" fillId="0" borderId="13" applyAlignment="1" pivotButton="0" quotePrefix="0" xfId="0">
      <alignment horizontal="center" vertical="center" wrapText="1"/>
    </xf>
    <xf numFmtId="0" fontId="18" fillId="0" borderId="14" applyAlignment="1" pivotButton="0" quotePrefix="0" xfId="0">
      <alignment horizontal="center" vertical="center" wrapText="1"/>
    </xf>
    <xf numFmtId="0" fontId="2" fillId="0" borderId="1" applyAlignment="1" pivotButton="0" quotePrefix="0" xfId="3">
      <alignment horizontal="center" vertical="center"/>
    </xf>
    <xf numFmtId="0" fontId="3" fillId="0" borderId="1" applyAlignment="1" pivotButton="0" quotePrefix="0" xfId="3">
      <alignment horizontal="center"/>
    </xf>
    <xf numFmtId="0" fontId="19" fillId="0" borderId="10" applyAlignment="1" pivotButton="0" quotePrefix="0" xfId="0">
      <alignment horizontal="center" vertical="center"/>
    </xf>
    <xf numFmtId="0" fontId="19" fillId="0" borderId="12" applyAlignment="1" pivotButton="0" quotePrefix="0" xfId="0">
      <alignment horizontal="center" vertical="center"/>
    </xf>
    <xf numFmtId="0" fontId="22" fillId="0" borderId="0" applyAlignment="1" pivotButton="0" quotePrefix="0" xfId="0">
      <alignment horizontal="center" vertical="center"/>
    </xf>
    <xf numFmtId="175" fontId="19" fillId="0" borderId="10" applyAlignment="1" pivotButton="0" quotePrefix="0" xfId="0">
      <alignment horizontal="center" vertical="center"/>
    </xf>
    <xf numFmtId="175" fontId="19" fillId="0" borderId="12" applyAlignment="1" pivotButton="0" quotePrefix="0" xfId="0">
      <alignment horizontal="center" vertical="center"/>
    </xf>
    <xf numFmtId="175" fontId="2" fillId="2" borderId="10" applyAlignment="1" pivotButton="0" quotePrefix="0" xfId="3">
      <alignment horizontal="center" vertical="center"/>
    </xf>
    <xf numFmtId="175" fontId="2" fillId="2" borderId="12" applyAlignment="1" pivotButton="0" quotePrefix="0" xfId="3">
      <alignment horizontal="center" vertical="center"/>
    </xf>
    <xf numFmtId="0" fontId="3" fillId="2" borderId="0" applyAlignment="1" pivotButton="0" quotePrefix="0" xfId="3">
      <alignment horizontal="center" vertical="center"/>
    </xf>
    <xf numFmtId="0" fontId="23" fillId="2" borderId="4" applyAlignment="1" pivotButton="0" quotePrefix="0" xfId="6">
      <alignment horizontal="center"/>
    </xf>
    <xf numFmtId="0" fontId="23" fillId="2" borderId="5" applyAlignment="1" pivotButton="0" quotePrefix="0" xfId="6">
      <alignment horizontal="center"/>
    </xf>
    <xf numFmtId="0" fontId="23" fillId="2" borderId="6" applyAlignment="1" pivotButton="0" quotePrefix="0" xfId="6">
      <alignment horizontal="center"/>
    </xf>
    <xf numFmtId="0" fontId="23" fillId="2" borderId="7" applyAlignment="1" pivotButton="0" quotePrefix="0" xfId="6">
      <alignment horizontal="center"/>
    </xf>
    <xf numFmtId="0" fontId="23" fillId="2" borderId="8" applyAlignment="1" pivotButton="0" quotePrefix="0" xfId="6">
      <alignment horizontal="center"/>
    </xf>
    <xf numFmtId="0" fontId="23" fillId="2" borderId="9" applyAlignment="1" pivotButton="0" quotePrefix="0" xfId="6">
      <alignment horizontal="center"/>
    </xf>
    <xf numFmtId="0" fontId="35" fillId="2" borderId="4" applyAlignment="1" pivotButton="0" quotePrefix="0" xfId="6">
      <alignment horizontal="center" vertical="center" wrapText="1"/>
    </xf>
    <xf numFmtId="0" fontId="35" fillId="2" borderId="3" applyAlignment="1" pivotButton="0" quotePrefix="0" xfId="6">
      <alignment horizontal="center" vertical="center" wrapText="1"/>
    </xf>
    <xf numFmtId="0" fontId="35" fillId="2" borderId="5" applyAlignment="1" pivotButton="0" quotePrefix="0" xfId="6">
      <alignment horizontal="center" vertical="center" wrapText="1"/>
    </xf>
    <xf numFmtId="0" fontId="35" fillId="2" borderId="6" applyAlignment="1" pivotButton="0" quotePrefix="0" xfId="6">
      <alignment horizontal="center" vertical="center" wrapText="1"/>
    </xf>
    <xf numFmtId="0" fontId="35" fillId="2" borderId="0" applyAlignment="1" pivotButton="0" quotePrefix="0" xfId="6">
      <alignment horizontal="center" vertical="center" wrapText="1"/>
    </xf>
    <xf numFmtId="0" fontId="35" fillId="2" borderId="7" applyAlignment="1" pivotButton="0" quotePrefix="0" xfId="6">
      <alignment horizontal="center" vertical="center" wrapText="1"/>
    </xf>
    <xf numFmtId="0" fontId="35" fillId="2" borderId="8" applyAlignment="1" pivotButton="0" quotePrefix="0" xfId="6">
      <alignment horizontal="center" vertical="center" wrapText="1"/>
    </xf>
    <xf numFmtId="0" fontId="35" fillId="2" borderId="2" applyAlignment="1" pivotButton="0" quotePrefix="0" xfId="6">
      <alignment horizontal="center" vertical="center" wrapText="1"/>
    </xf>
    <xf numFmtId="0" fontId="35" fillId="2" borderId="9" applyAlignment="1" pivotButton="0" quotePrefix="0" xfId="6">
      <alignment horizontal="center" vertical="center" wrapText="1"/>
    </xf>
    <xf numFmtId="173" fontId="7" fillId="2" borderId="33" applyAlignment="1" applyProtection="1" pivotButton="0" quotePrefix="0" xfId="0">
      <alignment horizontal="center" vertical="center"/>
      <protection locked="1" hidden="1"/>
    </xf>
    <xf numFmtId="173" fontId="7" fillId="2" borderId="34" applyAlignment="1" applyProtection="1" pivotButton="0" quotePrefix="0" xfId="0">
      <alignment horizontal="center" vertical="center"/>
      <protection locked="1" hidden="1"/>
    </xf>
    <xf numFmtId="0" fontId="11" fillId="3" borderId="23" applyAlignment="1" pivotButton="0" quotePrefix="0" xfId="5">
      <alignment horizontal="center" vertical="center" wrapText="1"/>
    </xf>
    <xf numFmtId="0" fontId="11" fillId="3" borderId="24" applyAlignment="1" pivotButton="0" quotePrefix="0" xfId="5">
      <alignment horizontal="center" vertical="center" wrapText="1"/>
    </xf>
    <xf numFmtId="0" fontId="11" fillId="3" borderId="25" applyAlignment="1" pivotButton="0" quotePrefix="0" xfId="5">
      <alignment horizontal="center" vertical="center" wrapText="1"/>
    </xf>
    <xf numFmtId="173" fontId="7" fillId="2" borderId="27" applyAlignment="1" pivotButton="0" quotePrefix="0" xfId="0">
      <alignment horizontal="center" vertical="center"/>
    </xf>
    <xf numFmtId="173" fontId="7" fillId="2" borderId="28" applyAlignment="1" pivotButton="0" quotePrefix="0" xfId="0">
      <alignment horizontal="center" vertical="center"/>
    </xf>
    <xf numFmtId="2" fontId="7" fillId="2" borderId="26" applyAlignment="1" pivotButton="0" quotePrefix="0" xfId="0">
      <alignment horizontal="center" vertical="center"/>
    </xf>
    <xf numFmtId="2" fontId="7" fillId="2" borderId="27" applyAlignment="1" pivotButton="0" quotePrefix="0" xfId="0">
      <alignment horizontal="center" vertical="center"/>
    </xf>
    <xf numFmtId="2" fontId="7" fillId="2" borderId="32" applyAlignment="1" pivotButton="0" quotePrefix="0" xfId="0">
      <alignment horizontal="center" vertical="center"/>
    </xf>
    <xf numFmtId="2" fontId="7" fillId="2" borderId="33" applyAlignment="1" pivotButton="0" quotePrefix="0" xfId="0">
      <alignment horizontal="center" vertical="center"/>
    </xf>
    <xf numFmtId="0" fontId="24" fillId="2" borderId="0" applyAlignment="1" pivotButton="0" quotePrefix="0" xfId="3">
      <alignment horizontal="center" vertical="center"/>
    </xf>
    <xf numFmtId="0" fontId="24" fillId="2" borderId="1" applyAlignment="1" pivotButton="0" quotePrefix="0" xfId="3">
      <alignment horizontal="center" vertical="center"/>
    </xf>
    <xf numFmtId="174" fontId="7" fillId="0" borderId="1" applyAlignment="1" pivotButton="0" quotePrefix="0" xfId="0">
      <alignment horizontal="center" vertical="center"/>
    </xf>
    <xf numFmtId="0" fontId="22" fillId="2" borderId="10" applyAlignment="1" pivotButton="0" quotePrefix="0" xfId="0">
      <alignment horizontal="center" vertical="center"/>
    </xf>
    <xf numFmtId="0" fontId="22" fillId="2" borderId="11" applyAlignment="1" pivotButton="0" quotePrefix="0" xfId="0">
      <alignment horizontal="center" vertical="center"/>
    </xf>
    <xf numFmtId="0" fontId="22" fillId="2" borderId="12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/>
    </xf>
    <xf numFmtId="179" fontId="14" fillId="2" borderId="0" applyAlignment="1" applyProtection="1" pivotButton="0" quotePrefix="0" xfId="0">
      <alignment horizontal="center"/>
      <protection locked="1" hidden="1"/>
    </xf>
    <xf numFmtId="0" fontId="0" fillId="0" borderId="0" applyProtection="1" pivotButton="0" quotePrefix="0" xfId="0">
      <protection locked="1" hidden="1"/>
    </xf>
    <xf numFmtId="0" fontId="0" fillId="0" borderId="57" pivotButton="0" quotePrefix="0" xfId="0"/>
    <xf numFmtId="0" fontId="0" fillId="0" borderId="58" pivotButton="0" quotePrefix="0" xfId="0"/>
    <xf numFmtId="0" fontId="3" fillId="2" borderId="13" applyAlignment="1" applyProtection="1" pivotButton="0" quotePrefix="0" xfId="0">
      <alignment horizontal="center" vertical="center" wrapText="1"/>
      <protection locked="1" hidden="1"/>
    </xf>
    <xf numFmtId="0" fontId="0" fillId="0" borderId="56" applyProtection="1" pivotButton="0" quotePrefix="0" xfId="0">
      <protection locked="1" hidden="1"/>
    </xf>
    <xf numFmtId="0" fontId="0" fillId="0" borderId="5" applyProtection="1" pivotButton="0" quotePrefix="0" xfId="0">
      <protection locked="1" hidden="1"/>
    </xf>
    <xf numFmtId="0" fontId="3" fillId="2" borderId="14" applyAlignment="1" applyProtection="1" pivotButton="0" quotePrefix="0" xfId="0">
      <alignment horizontal="center" vertical="center" wrapText="1"/>
      <protection locked="1" hidden="1"/>
    </xf>
    <xf numFmtId="0" fontId="0" fillId="0" borderId="2" applyProtection="1" pivotButton="0" quotePrefix="0" xfId="0">
      <protection locked="1" hidden="1"/>
    </xf>
    <xf numFmtId="0" fontId="0" fillId="0" borderId="9" applyProtection="1" pivotButton="0" quotePrefix="0" xfId="0">
      <protection locked="1" hidden="1"/>
    </xf>
    <xf numFmtId="0" fontId="0" fillId="0" borderId="3" pivotButton="0" quotePrefix="0" xfId="0"/>
    <xf numFmtId="0" fontId="0" fillId="0" borderId="58" applyProtection="1" pivotButton="0" quotePrefix="0" xfId="0">
      <protection locked="1" hidden="1"/>
    </xf>
    <xf numFmtId="0" fontId="0" fillId="0" borderId="57" applyProtection="1" pivotButton="0" quotePrefix="0" xfId="0">
      <protection locked="1" hidden="1"/>
    </xf>
    <xf numFmtId="168" fontId="7" fillId="2" borderId="10" applyAlignment="1" pivotButton="0" quotePrefix="1" xfId="0">
      <alignment horizontal="left" vertical="center" indent="1"/>
    </xf>
    <xf numFmtId="168" fontId="7" fillId="2" borderId="11" applyAlignment="1" pivotButton="0" quotePrefix="1" xfId="0">
      <alignment vertical="center"/>
    </xf>
    <xf numFmtId="168" fontId="7" fillId="2" borderId="12" applyAlignment="1" pivotButton="0" quotePrefix="1" xfId="0">
      <alignment vertical="center"/>
    </xf>
    <xf numFmtId="168" fontId="12" fillId="2" borderId="12" applyAlignment="1" pivotButton="0" quotePrefix="1" xfId="0">
      <alignment horizontal="center" vertical="center" wrapText="1"/>
    </xf>
    <xf numFmtId="168" fontId="7" fillId="2" borderId="0" applyAlignment="1" pivotButton="0" quotePrefix="1" xfId="0">
      <alignment vertical="center"/>
    </xf>
    <xf numFmtId="168" fontId="12" fillId="2" borderId="14" applyAlignment="1" pivotButton="0" quotePrefix="1" xfId="0">
      <alignment horizontal="center" vertical="center" wrapText="1"/>
    </xf>
    <xf numFmtId="178" fontId="44" fillId="2" borderId="0" applyAlignment="1" pivotButton="0" quotePrefix="0" xfId="0">
      <alignment vertical="center" wrapText="1"/>
    </xf>
    <xf numFmtId="168" fontId="12" fillId="2" borderId="1" applyAlignment="1" pivotButton="0" quotePrefix="1" xfId="0">
      <alignment horizontal="center" vertical="center" wrapText="1"/>
    </xf>
    <xf numFmtId="168" fontId="6" fillId="2" borderId="7" applyAlignment="1" pivotButton="0" quotePrefix="1" xfId="0">
      <alignment horizontal="left" vertical="center" wrapText="1" indent="1"/>
    </xf>
    <xf numFmtId="0" fontId="0" fillId="0" borderId="7" pivotButton="0" quotePrefix="0" xfId="0"/>
    <xf numFmtId="0" fontId="17" fillId="2" borderId="59" applyAlignment="1" applyProtection="1" pivotButton="0" quotePrefix="0" xfId="0">
      <alignment horizontal="center" vertical="center"/>
      <protection locked="1" hidden="1"/>
    </xf>
    <xf numFmtId="0" fontId="0" fillId="0" borderId="12" applyProtection="1" pivotButton="0" quotePrefix="0" xfId="0">
      <protection locked="1" hidden="1"/>
    </xf>
    <xf numFmtId="0" fontId="0" fillId="0" borderId="11" applyProtection="1" pivotButton="0" quotePrefix="0" xfId="0">
      <protection locked="1" hidden="1"/>
    </xf>
    <xf numFmtId="0" fontId="7" fillId="2" borderId="59" applyAlignment="1" applyProtection="1" pivotButton="0" quotePrefix="0" xfId="0">
      <alignment horizontal="center" vertical="center"/>
      <protection locked="1" hidden="1"/>
    </xf>
    <xf numFmtId="180" fontId="14" fillId="0" borderId="0" applyAlignment="1" applyProtection="1" pivotButton="0" quotePrefix="0" xfId="0">
      <alignment horizontal="center"/>
      <protection locked="0" hidden="0"/>
    </xf>
    <xf numFmtId="0" fontId="0" fillId="0" borderId="0" applyProtection="1" pivotButton="0" quotePrefix="0" xfId="0">
      <protection locked="0" hidden="0"/>
    </xf>
    <xf numFmtId="176" fontId="6" fillId="0" borderId="0" applyAlignment="1" applyProtection="1" pivotButton="0" quotePrefix="0" xfId="0">
      <alignment horizontal="left" vertical="center"/>
      <protection locked="0" hidden="0"/>
    </xf>
    <xf numFmtId="175" fontId="6" fillId="0" borderId="0" applyAlignment="1" applyProtection="1" pivotButton="0" quotePrefix="0" xfId="0">
      <alignment horizontal="left" vertical="center"/>
      <protection locked="0" hidden="1"/>
    </xf>
    <xf numFmtId="0" fontId="16" fillId="0" borderId="13" applyAlignment="1" pivotButton="0" quotePrefix="0" xfId="0">
      <alignment horizontal="center" vertical="center" wrapText="1"/>
    </xf>
    <xf numFmtId="0" fontId="0" fillId="0" borderId="56" pivotButton="0" quotePrefix="0" xfId="0"/>
    <xf numFmtId="0" fontId="0" fillId="0" borderId="5" pivotButton="0" quotePrefix="0" xfId="0"/>
    <xf numFmtId="0" fontId="16" fillId="0" borderId="14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9" pivotButton="0" quotePrefix="0" xfId="0"/>
    <xf numFmtId="165" fontId="6" fillId="0" borderId="7" applyAlignment="1" applyProtection="1" pivotButton="0" quotePrefix="0" xfId="0">
      <alignment horizontal="left" vertical="center"/>
      <protection locked="0" hidden="0"/>
    </xf>
    <xf numFmtId="177" fontId="6" fillId="0" borderId="7" applyAlignment="1" applyProtection="1" pivotButton="0" quotePrefix="0" xfId="0">
      <alignment horizontal="left" vertical="center"/>
      <protection locked="0" hidden="1"/>
    </xf>
    <xf numFmtId="175" fontId="6" fillId="0" borderId="7" applyAlignment="1" applyProtection="1" pivotButton="0" quotePrefix="0" xfId="0">
      <alignment horizontal="left" vertical="center"/>
      <protection locked="0" hidden="1"/>
    </xf>
    <xf numFmtId="166" fontId="6" fillId="0" borderId="7" applyAlignment="1" applyProtection="1" pivotButton="0" quotePrefix="0" xfId="0">
      <alignment horizontal="left" vertical="center"/>
      <protection locked="0" hidden="0"/>
    </xf>
    <xf numFmtId="168" fontId="7" fillId="0" borderId="1" applyAlignment="1" pivotButton="0" quotePrefix="1" xfId="0">
      <alignment horizontal="left" vertical="center"/>
    </xf>
    <xf numFmtId="168" fontId="12" fillId="0" borderId="1" applyAlignment="1" pivotButton="0" quotePrefix="1" xfId="0">
      <alignment horizontal="center" vertical="center" wrapText="1"/>
    </xf>
    <xf numFmtId="168" fontId="7" fillId="0" borderId="1" applyAlignment="1" pivotButton="0" quotePrefix="1" xfId="0">
      <alignment horizontal="center" vertical="center"/>
    </xf>
    <xf numFmtId="169" fontId="7" fillId="0" borderId="1" applyAlignment="1" pivotButton="0" quotePrefix="0" xfId="3">
      <alignment horizontal="center" vertical="center"/>
    </xf>
    <xf numFmtId="178" fontId="12" fillId="0" borderId="0" applyAlignment="1" pivotButton="0" quotePrefix="0" xfId="0">
      <alignment horizontal="center" vertical="center" wrapText="1"/>
    </xf>
    <xf numFmtId="169" fontId="7" fillId="0" borderId="1" applyAlignment="1" pivotButton="0" quotePrefix="1" xfId="0">
      <alignment horizontal="center" vertical="center"/>
    </xf>
    <xf numFmtId="168" fontId="7" fillId="0" borderId="0" applyAlignment="1" pivotButton="0" quotePrefix="1" xfId="0">
      <alignment horizontal="left" vertical="center"/>
    </xf>
    <xf numFmtId="168" fontId="12" fillId="0" borderId="0" applyAlignment="1" pivotButton="0" quotePrefix="1" xfId="0">
      <alignment horizontal="center" vertical="center" wrapText="1"/>
    </xf>
    <xf numFmtId="169" fontId="3" fillId="0" borderId="0" applyAlignment="1" pivotButton="0" quotePrefix="0" xfId="0">
      <alignment horizontal="center" vertical="center"/>
    </xf>
    <xf numFmtId="0" fontId="2" fillId="0" borderId="59" applyAlignment="1" pivotButton="0" quotePrefix="0" xfId="3">
      <alignment horizontal="center"/>
    </xf>
    <xf numFmtId="0" fontId="0" fillId="0" borderId="11" pivotButton="0" quotePrefix="0" xfId="0"/>
    <xf numFmtId="0" fontId="0" fillId="0" borderId="12" pivotButton="0" quotePrefix="0" xfId="0"/>
    <xf numFmtId="168" fontId="7" fillId="0" borderId="4" applyAlignment="1" applyProtection="1" pivotButton="0" quotePrefix="1" xfId="0">
      <alignment vertical="center"/>
      <protection locked="0" hidden="0"/>
    </xf>
    <xf numFmtId="167" fontId="11" fillId="0" borderId="3" applyAlignment="1" applyProtection="1" pivotButton="0" quotePrefix="0" xfId="0">
      <alignment horizontal="left" vertical="center"/>
      <protection locked="0" hidden="0"/>
    </xf>
    <xf numFmtId="168" fontId="7" fillId="0" borderId="6" applyAlignment="1" applyProtection="1" pivotButton="0" quotePrefix="1" xfId="0">
      <alignment vertical="center"/>
      <protection locked="0" hidden="0"/>
    </xf>
    <xf numFmtId="167" fontId="11" fillId="0" borderId="0" applyAlignment="1" applyProtection="1" pivotButton="0" quotePrefix="0" xfId="0">
      <alignment horizontal="left" vertical="center"/>
      <protection locked="0" hidden="0"/>
    </xf>
    <xf numFmtId="170" fontId="11" fillId="0" borderId="0" applyAlignment="1" applyProtection="1" pivotButton="0" quotePrefix="0" xfId="0">
      <alignment wrapText="1"/>
      <protection locked="0" hidden="0"/>
    </xf>
    <xf numFmtId="170" fontId="11" fillId="0" borderId="0" applyAlignment="1" applyProtection="1" pivotButton="0" quotePrefix="0" xfId="0">
      <alignment horizontal="left"/>
      <protection locked="0" hidden="0"/>
    </xf>
    <xf numFmtId="168" fontId="7" fillId="0" borderId="8" applyAlignment="1" applyProtection="1" pivotButton="0" quotePrefix="1" xfId="0">
      <alignment vertical="center"/>
      <protection locked="0" hidden="0"/>
    </xf>
    <xf numFmtId="170" fontId="11" fillId="0" borderId="2" applyAlignment="1" applyProtection="1" pivotButton="0" quotePrefix="0" xfId="0">
      <alignment horizontal="left"/>
      <protection locked="0" hidden="0"/>
    </xf>
    <xf numFmtId="168" fontId="7" fillId="0" borderId="10" applyAlignment="1" pivotButton="0" quotePrefix="1" xfId="0">
      <alignment vertical="center"/>
    </xf>
    <xf numFmtId="168" fontId="2" fillId="0" borderId="1" applyAlignment="1" pivotButton="0" quotePrefix="1" xfId="0">
      <alignment horizontal="center" vertical="center" wrapText="1"/>
    </xf>
    <xf numFmtId="168" fontId="7" fillId="0" borderId="1" applyAlignment="1" pivotButton="0" quotePrefix="1" xfId="0">
      <alignment vertical="center"/>
    </xf>
    <xf numFmtId="0" fontId="0" fillId="0" borderId="14" pivotButton="0" quotePrefix="0" xfId="0"/>
    <xf numFmtId="169" fontId="2" fillId="0" borderId="1" applyAlignment="1" pivotButton="0" quotePrefix="0" xfId="0">
      <alignment horizontal="center"/>
    </xf>
    <xf numFmtId="169" fontId="2" fillId="0" borderId="0" applyAlignment="1" pivotButton="0" quotePrefix="0" xfId="0">
      <alignment horizontal="center"/>
    </xf>
    <xf numFmtId="169" fontId="27" fillId="3" borderId="1" applyAlignment="1" applyProtection="1" pivotButton="0" quotePrefix="0" xfId="3">
      <alignment horizontal="center" vertical="center"/>
      <protection locked="0" hidden="0"/>
    </xf>
    <xf numFmtId="169" fontId="27" fillId="0" borderId="0" applyAlignment="1" applyProtection="1" pivotButton="0" quotePrefix="0" xfId="3">
      <alignment horizontal="center" vertical="center"/>
      <protection locked="0" hidden="0"/>
    </xf>
    <xf numFmtId="169" fontId="2" fillId="0" borderId="1" applyAlignment="1" pivotButton="0" quotePrefix="1" xfId="0">
      <alignment horizontal="center" vertical="center"/>
    </xf>
    <xf numFmtId="169" fontId="2" fillId="0" borderId="0" applyAlignment="1" pivotButton="0" quotePrefix="1" xfId="0">
      <alignment horizontal="center" vertical="center"/>
    </xf>
    <xf numFmtId="169" fontId="32" fillId="0" borderId="11" applyAlignment="1" pivotButton="0" quotePrefix="0" xfId="0">
      <alignment horizontal="center" vertical="center"/>
    </xf>
    <xf numFmtId="169" fontId="32" fillId="0" borderId="1" applyAlignment="1" pivotButton="0" quotePrefix="0" xfId="0">
      <alignment horizontal="center" vertical="center"/>
    </xf>
    <xf numFmtId="169" fontId="32" fillId="0" borderId="0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wrapText="1"/>
    </xf>
    <xf numFmtId="0" fontId="18" fillId="0" borderId="1" applyAlignment="1" pivotButton="0" quotePrefix="0" xfId="0">
      <alignment horizontal="center" vertical="center" wrapText="1"/>
    </xf>
    <xf numFmtId="0" fontId="0" fillId="0" borderId="8" pivotButton="0" quotePrefix="0" xfId="0"/>
    <xf numFmtId="0" fontId="0" fillId="0" borderId="55" pivotButton="0" quotePrefix="0" xfId="0"/>
    <xf numFmtId="169" fontId="32" fillId="0" borderId="12" applyAlignment="1" pivotButton="0" quotePrefix="0" xfId="0">
      <alignment horizontal="left" vertical="center"/>
    </xf>
    <xf numFmtId="0" fontId="23" fillId="2" borderId="1" applyAlignment="1" pivotButton="0" quotePrefix="0" xfId="6">
      <alignment horizontal="center"/>
    </xf>
    <xf numFmtId="0" fontId="35" fillId="2" borderId="1" applyAlignment="1" pivotButton="0" quotePrefix="0" xfId="6">
      <alignment horizontal="center" vertical="center" wrapText="1"/>
    </xf>
    <xf numFmtId="0" fontId="0" fillId="0" borderId="6" pivotButton="0" quotePrefix="0" xfId="0"/>
    <xf numFmtId="171" fontId="19" fillId="2" borderId="1" applyAlignment="1" pivotButton="0" quotePrefix="1" xfId="6">
      <alignment horizontal="center" vertical="center"/>
    </xf>
    <xf numFmtId="175" fontId="19" fillId="2" borderId="1" applyAlignment="1" pivotButton="0" quotePrefix="0" xfId="6">
      <alignment horizontal="center" vertical="center"/>
    </xf>
    <xf numFmtId="0" fontId="11" fillId="3" borderId="65" applyAlignment="1" pivotButton="0" quotePrefix="0" xfId="5">
      <alignment horizontal="center" vertical="center" wrapText="1"/>
    </xf>
    <xf numFmtId="0" fontId="0" fillId="0" borderId="24" pivotButton="0" quotePrefix="0" xfId="0"/>
    <xf numFmtId="0" fontId="0" fillId="0" borderId="25" pivotButton="0" quotePrefix="0" xfId="0"/>
    <xf numFmtId="169" fontId="7" fillId="0" borderId="40" applyAlignment="1" applyProtection="1" pivotButton="0" quotePrefix="0" xfId="3">
      <alignment horizontal="center" vertical="center" wrapText="1"/>
      <protection locked="1" hidden="1"/>
    </xf>
    <xf numFmtId="169" fontId="7" fillId="3" borderId="30" applyAlignment="1" applyProtection="1" pivotButton="0" quotePrefix="0" xfId="3">
      <alignment horizontal="center" vertical="center" wrapText="1"/>
      <protection locked="1" hidden="1"/>
    </xf>
    <xf numFmtId="169" fontId="7" fillId="0" borderId="30" applyAlignment="1" applyProtection="1" pivotButton="0" quotePrefix="0" xfId="3">
      <alignment horizontal="center" vertical="center" wrapText="1"/>
      <protection locked="1" hidden="1"/>
    </xf>
    <xf numFmtId="0" fontId="0" fillId="0" borderId="67" pivotButton="0" quotePrefix="0" xfId="0"/>
    <xf numFmtId="0" fontId="0" fillId="0" borderId="68" pivotButton="0" quotePrefix="0" xfId="0"/>
    <xf numFmtId="0" fontId="0" fillId="0" borderId="63" pivotButton="0" quotePrefix="0" xfId="0"/>
    <xf numFmtId="0" fontId="0" fillId="0" borderId="64" pivotButton="0" quotePrefix="0" xfId="0"/>
    <xf numFmtId="0" fontId="0" fillId="0" borderId="63" applyProtection="1" pivotButton="0" quotePrefix="0" xfId="0">
      <protection locked="1" hidden="1"/>
    </xf>
    <xf numFmtId="0" fontId="0" fillId="0" borderId="64" applyProtection="1" pivotButton="0" quotePrefix="0" xfId="0">
      <protection locked="1" hidden="1"/>
    </xf>
    <xf numFmtId="0" fontId="19" fillId="0" borderId="59" applyAlignment="1" pivotButton="0" quotePrefix="0" xfId="0">
      <alignment horizontal="center" vertical="center"/>
    </xf>
    <xf numFmtId="175" fontId="19" fillId="0" borderId="59" applyAlignment="1" pivotButton="0" quotePrefix="0" xfId="0">
      <alignment horizontal="center" vertical="center"/>
    </xf>
    <xf numFmtId="175" fontId="2" fillId="2" borderId="59" applyAlignment="1" pivotButton="0" quotePrefix="0" xfId="3">
      <alignment horizontal="center" vertical="center"/>
    </xf>
    <xf numFmtId="175" fontId="2" fillId="2" borderId="0" applyAlignment="1" pivotButton="0" quotePrefix="0" xfId="3">
      <alignment horizontal="center" vertical="center"/>
    </xf>
    <xf numFmtId="166" fontId="28" fillId="2" borderId="1" applyAlignment="1" applyProtection="1" pivotButton="0" quotePrefix="0" xfId="3">
      <alignment horizontal="center" vertical="center"/>
      <protection locked="0" hidden="0"/>
    </xf>
    <xf numFmtId="169" fontId="28" fillId="2" borderId="1" applyAlignment="1" applyProtection="1" pivotButton="0" quotePrefix="0" xfId="3">
      <alignment horizontal="center"/>
      <protection locked="0" hidden="0"/>
    </xf>
    <xf numFmtId="169" fontId="28" fillId="2" borderId="1" applyAlignment="1" applyProtection="1" pivotButton="0" quotePrefix="0" xfId="3">
      <alignment horizontal="center" vertical="center"/>
      <protection locked="0" hidden="0"/>
    </xf>
    <xf numFmtId="174" fontId="2" fillId="2" borderId="1" applyAlignment="1" pivotButton="0" quotePrefix="0" xfId="3">
      <alignment horizontal="center" vertical="center"/>
    </xf>
    <xf numFmtId="174" fontId="2" fillId="2" borderId="1" applyAlignment="1" pivotButton="0" quotePrefix="0" xfId="0">
      <alignment horizontal="center" vertical="center"/>
    </xf>
    <xf numFmtId="0" fontId="22" fillId="2" borderId="59" applyAlignment="1" pivotButton="0" quotePrefix="0" xfId="0">
      <alignment horizontal="center" vertical="center"/>
    </xf>
    <xf numFmtId="174" fontId="7" fillId="0" borderId="1" applyAlignment="1" pivotButton="0" quotePrefix="0" xfId="0">
      <alignment horizontal="center" vertical="center"/>
    </xf>
    <xf numFmtId="164" fontId="6" fillId="0" borderId="1" applyAlignment="1" pivotButton="0" quotePrefix="0" xfId="0">
      <alignment horizontal="center"/>
    </xf>
  </cellXfs>
  <cellStyles count="9">
    <cellStyle name="Normal" xfId="0" builtinId="0"/>
    <cellStyle name="Normal 4" xfId="1"/>
    <cellStyle name="Normal_ENSAYOS" xfId="2"/>
    <cellStyle name="Normal 2" xfId="3"/>
    <cellStyle name="Normal 2 2" xfId="4"/>
    <cellStyle name="Normal_Produc. 07-09-99 2" xfId="5"/>
    <cellStyle name="Normal 6" xfId="6"/>
    <cellStyle name="Normal 7" xfId="7"/>
    <cellStyle name="Hipervínculo" xfId="8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8080FF"/>
      <rgbColor rgb="00802060"/>
      <rgbColor rgb="00FFFFC0"/>
      <rgbColor rgb="00A0E0E0"/>
      <rgbColor rgb="00600080"/>
      <rgbColor rgb="00FF8080"/>
      <rgbColor rgb="000080C0"/>
      <rgbColor rgb="00C0C0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69FFFF"/>
      <rgbColor rgb="00CCFFCC"/>
      <rgbColor rgb="00FFFF99"/>
      <rgbColor rgb="00A6CAF0"/>
      <rgbColor rgb="00CC9CCC"/>
      <rgbColor rgb="00CC99FF"/>
      <rgbColor rgb="00E3E3E3"/>
      <rgbColor rgb="003366FF"/>
      <rgbColor rgb="0033CCCC"/>
      <rgbColor rgb="00339933"/>
      <rgbColor rgb="00999933"/>
      <rgbColor rgb="00996633"/>
      <rgbColor rgb="00996666"/>
      <rgbColor rgb="00666699"/>
      <rgbColor rgb="00969696"/>
      <rgbColor rgb="003333CC"/>
      <rgbColor rgb="00336666"/>
      <rgbColor rgb="00003300"/>
      <rgbColor rgb="00333300"/>
      <rgbColor rgb="00663300"/>
      <rgbColor rgb="00993366"/>
      <rgbColor rgb="00333399"/>
      <rgbColor rgb="00424242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externalLink" Target="/xl/externalLinks/externalLink1.xml" Id="rId8"/><Relationship Type="http://schemas.openxmlformats.org/officeDocument/2006/relationships/externalLink" Target="/xl/externalLinks/externalLink2.xml" Id="rId9"/><Relationship Type="http://schemas.openxmlformats.org/officeDocument/2006/relationships/externalLink" Target="/xl/externalLinks/externalLink3.xml" Id="rId10"/><Relationship Type="http://schemas.openxmlformats.org/officeDocument/2006/relationships/externalLink" Target="/xl/externalLinks/externalLink4.xml" Id="rId11"/><Relationship Type="http://schemas.openxmlformats.org/officeDocument/2006/relationships/externalLink" Target="/xl/externalLinks/externalLink5.xml" Id="rId12"/><Relationship Type="http://schemas.openxmlformats.org/officeDocument/2006/relationships/externalLink" Target="/xl/externalLinks/externalLink6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50" b="1" u="sng"/>
            </a:pPr>
            <a:r>
              <a:rPr lang="en-US" sz="1050" b="1" u="sng"/>
              <a:t>Grafico</a:t>
            </a:r>
            <a:r>
              <a:rPr lang="en-US" sz="1050" b="1" u="sng" baseline="0"/>
              <a:t xml:space="preserve"> de Contribución</a:t>
            </a:r>
            <a:endParaRPr lang="en-US" sz="1050" b="1" u="sng"/>
          </a:p>
        </rich>
      </tx>
      <layout>
        <manualLayout>
          <xMode val="edge"/>
          <yMode val="edge"/>
          <wMode val="factor"/>
          <hMode val="factor"/>
          <x val="0.1508497840036284"/>
          <y val="0.05106382978723404"/>
        </manualLayout>
      </layout>
      <overlay val="0"/>
    </title>
    <plotArea>
      <layout/>
      <barChart>
        <barDir val="bar"/>
        <grouping val="clustered"/>
        <varyColors val="0"/>
        <ser>
          <idx val="0"/>
          <order val="0"/>
          <spPr>
            <a:ln xmlns:a="http://schemas.openxmlformats.org/drawingml/2006/main">
              <a:prstDash val="solid"/>
            </a:ln>
          </spPr>
          <invertIfNegative val="0"/>
          <cat>
            <strRef>
              <f>Incertidumbre!$B$52:$B$54</f>
              <strCache>
                <ptCount val="3"/>
                <pt idx="0">
                  <v>Masa Humeda</v>
                </pt>
                <pt idx="1">
                  <v>Masa Seca</v>
                </pt>
                <pt idx="2">
                  <v>factor de presición</v>
                </pt>
              </strCache>
            </strRef>
          </cat>
          <val>
            <numRef>
              <f>Incertidumbre!$D$52:$D$54</f>
              <numCache>
                <formatCode>0.00</formatCode>
                <ptCount val="3"/>
                <pt idx="0">
                  <v>0</v>
                </pt>
                <pt idx="1">
                  <v>0</v>
                </pt>
                <pt idx="2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42004608"/>
        <axId val="142006912"/>
      </barChart>
      <catAx>
        <axId val="142004608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900" b="1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/>
            </a:r>
            <a:endParaRPr lang="es-PE"/>
          </a:p>
        </txPr>
        <crossAx val="142006912"/>
        <crosses val="autoZero"/>
        <auto val="1"/>
        <lblAlgn val="ctr"/>
        <lblOffset val="100"/>
        <noMultiLvlLbl val="0"/>
      </catAx>
      <valAx>
        <axId val="142006912"/>
        <scaling>
          <orientation val="minMax"/>
          <max val="100"/>
          <min val="0"/>
        </scaling>
        <delete val="0"/>
        <axPos val="b"/>
        <majorGridlines/>
        <numFmt formatCode="0.00" sourceLinked="0"/>
        <majorTickMark val="none"/>
        <minorTickMark val="none"/>
        <tickLblPos val="nextTo"/>
        <txPr>
          <a:bodyPr xmlns:a="http://schemas.openxmlformats.org/drawingml/2006/main" rot="0" vert="horz"/>
          <a:lstStyle xmlns:a="http://schemas.openxmlformats.org/drawingml/2006/main"/>
          <a:p xmlns:a="http://schemas.openxmlformats.org/drawingml/2006/main">
            <a:pPr>
              <a:defRPr sz="1000" b="0" i="0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r>
              <a:t/>
            </a:r>
            <a:endParaRPr lang="es-PE"/>
          </a:p>
        </txPr>
        <crossAx val="142004608"/>
        <crosses val="autoZero"/>
        <crossBetween val="between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/Relationships>
</file>

<file path=xl/drawings/_rels/drawing2.xml.rels><Relationships xmlns="http://schemas.openxmlformats.org/package/2006/relationships"><Relationship Type="http://schemas.openxmlformats.org/officeDocument/2006/relationships/image" Target="/xl/media/image4.png" Id="rId1"/><Relationship Type="http://schemas.openxmlformats.org/officeDocument/2006/relationships/image" Target="/xl/media/image5.jpeg" Id="rId2"/><Relationship Type="http://schemas.openxmlformats.org/officeDocument/2006/relationships/image" Target="/xl/media/image6.png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7.png" Id="rId2"/><Relationship Type="http://schemas.openxmlformats.org/officeDocument/2006/relationships/image" Target="/xl/media/image8.png" Id="rId3"/><Relationship Type="http://schemas.openxmlformats.org/officeDocument/2006/relationships/image" Target="/xl/media/image9.png" Id="rId4"/></Relationships>
</file>

<file path=xl/drawings/_rels/drawing4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11.png" Id="rId1"/></Relationships>
</file>

<file path=xl/drawings/drawing1.xml><?xml version="1.0" encoding="utf-8"?>
<wsDr xmlns="http://schemas.openxmlformats.org/drawingml/2006/spreadsheetDrawing">
  <twoCellAnchor>
    <from>
      <col>5</col>
      <colOff>76200</colOff>
      <row>0</row>
      <rowOff>171450</rowOff>
    </from>
    <to>
      <col>6</col>
      <colOff>905754</colOff>
      <row>4</row>
      <rowOff>76200</rowOff>
    </to>
    <pic>
      <nvPicPr>
        <cNvPr id="17" name="Imagen 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3209925" y="171450"/>
          <a:ext cx="1181979" cy="70485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  <twoCellAnchor editAs="oneCell">
    <from>
      <col>8</col>
      <colOff>47624</colOff>
      <row>18</row>
      <rowOff>133350</rowOff>
    </from>
    <to>
      <col>10</col>
      <colOff>592124</colOff>
      <row>26</row>
      <rowOff>67950</rowOff>
    </to>
    <pic>
      <nvPicPr>
        <cNvPr id="18" name="Imagen 17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5200649" y="3724275"/>
          <a:ext cx="1573200" cy="22968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10</col>
      <colOff>590550</colOff>
      <row>18</row>
      <rowOff>123825</rowOff>
    </from>
    <to>
      <col>13</col>
      <colOff>916350</colOff>
      <row>26</row>
      <rowOff>58425</rowOff>
    </to>
    <pic>
      <nvPicPr>
        <cNvPr id="19" name="Imagen 18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3"/>
        <a:stretch xmlns:a="http://schemas.openxmlformats.org/drawingml/2006/main">
          <a:fillRect/>
        </a:stretch>
      </blipFill>
      <spPr>
        <a:xfrm xmlns:a="http://schemas.openxmlformats.org/drawingml/2006/main">
          <a:off x="6772275" y="3714750"/>
          <a:ext cx="1468800" cy="2296800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2.xml><?xml version="1.0" encoding="utf-8"?>
<wsDr xmlns="http://schemas.openxmlformats.org/drawingml/2006/spreadsheetDrawing">
  <twoCellAnchor editAs="oneCell">
    <from>
      <col>7</col>
      <colOff>422910</colOff>
      <row>45</row>
      <rowOff>62865</rowOff>
    </from>
    <to>
      <col>9</col>
      <colOff>456300</colOff>
      <row>47</row>
      <rowOff>182433</rowOff>
    </to>
    <pic>
      <nvPicPr>
        <cNvPr id="6" name="Imagen 5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1"/>
        <a:srcRect xmlns:a="http://schemas.openxmlformats.org/drawingml/2006/main" l="21550" t="18437" r="19247" b="17812"/>
        <a:stretch xmlns:a="http://schemas.openxmlformats.org/drawingml/2006/main">
          <a:fillRect/>
        </a:stretch>
      </blipFill>
      <spPr>
        <a:xfrm xmlns:a="http://schemas.openxmlformats.org/drawingml/2006/main" rot="60000">
          <a:off x="3288030" y="9572625"/>
          <a:ext cx="1374510" cy="1079688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9</col>
      <colOff>647700</colOff>
      <row>45</row>
      <rowOff>91440</rowOff>
    </from>
    <to>
      <col>11</col>
      <colOff>449633</colOff>
      <row>48</row>
      <rowOff>36293</rowOff>
    </to>
    <pic>
      <nvPicPr>
        <cNvPr id="8" name="Imagen 7"/>
        <cNvPicPr>
          <a:picLocks xmlns:a="http://schemas.openxmlformats.org/drawingml/2006/main" noChangeAspect="1" noChangeArrowheads="1"/>
        </cNvPicPr>
      </nvPicPr>
      <blipFill rotWithShape="1">
        <a:blip xmlns:a="http://schemas.openxmlformats.org/drawingml/2006/main" xmlns:r="http://schemas.openxmlformats.org/officeDocument/2006/relationships" cstate="print" r:embed="rId2"/>
        <a:srcRect xmlns:a="http://schemas.openxmlformats.org/drawingml/2006/main" l="10875" t="14008" r="10875" b="9598"/>
        <a:stretch xmlns:a="http://schemas.openxmlformats.org/drawingml/2006/main">
          <a:fillRect/>
        </a:stretch>
      </blipFill>
      <spPr bwMode="auto">
        <a:xfrm xmlns:a="http://schemas.openxmlformats.org/drawingml/2006/main">
          <a:off x="4853940" y="9601200"/>
          <a:ext cx="1097333" cy="109547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  <twoCellAnchor editAs="oneCell">
    <from>
      <col>15</col>
      <colOff>335280</colOff>
      <row>44</row>
      <rowOff>114300</rowOff>
    </from>
    <to>
      <col>19</col>
      <colOff>414111</colOff>
      <row>48</row>
      <rowOff>83514</rowOff>
    </to>
    <pic>
      <nvPicPr>
        <cNvPr id="5" name="Imagen 4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3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8039100" y="9433560"/>
          <a:ext cx="2646771" cy="1310334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prstDash val="solid"/>
        </a:ln>
      </spPr>
    </pic>
    <clientData/>
  </twoCellAnchor>
</wsDr>
</file>

<file path=xl/drawings/drawing3.xml><?xml version="1.0" encoding="utf-8"?>
<wsDr xmlns="http://schemas.openxmlformats.org/drawingml/2006/spreadsheetDrawing">
  <twoCellAnchor>
    <from>
      <col>4</col>
      <colOff>109007</colOff>
      <row>49</row>
      <rowOff>200025</rowOff>
    </from>
    <to>
      <col>7</col>
      <colOff>898525</colOff>
      <row>55</row>
      <rowOff>152399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0</col>
      <colOff>93570</colOff>
      <row>23</row>
      <rowOff>16808</rowOff>
    </from>
    <to>
      <col>3</col>
      <colOff>134470</colOff>
      <row>33</row>
      <rowOff>111803</rowOff>
    </to>
    <pic>
      <nvPicPr>
        <cNvPr id="11" name="Imagen 10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2"/>
        <a:stretch xmlns:a="http://schemas.openxmlformats.org/drawingml/2006/main">
          <a:fillRect/>
        </a:stretch>
      </blipFill>
      <spPr>
        <a:xfrm xmlns:a="http://schemas.openxmlformats.org/drawingml/2006/main">
          <a:off x="93570" y="4342279"/>
          <a:ext cx="3413871" cy="2089642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 editAs="oneCell">
    <from>
      <col>4</col>
      <colOff>616323</colOff>
      <row>11</row>
      <rowOff>134471</rowOff>
    </from>
    <to>
      <col>6</col>
      <colOff>605118</colOff>
      <row>13</row>
      <rowOff>85902</rowOff>
    </to>
    <pic>
      <nvPicPr>
        <cNvPr id="3" name="Imagen 2"/>
        <cNvPicPr>
          <a:picLocks xmlns:a="http://schemas.openxmlformats.org/drawingml/2006/main" noChangeAspect="1"/>
        </cNvPicPr>
      </nvPicPr>
      <blipFill rotWithShape="1">
        <a:blip xmlns:a="http://schemas.openxmlformats.org/drawingml/2006/main" xmlns:r="http://schemas.openxmlformats.org/officeDocument/2006/relationships" r:embed="rId3"/>
        <a:srcRect xmlns:a="http://schemas.openxmlformats.org/drawingml/2006/main" t="13158" b="17105"/>
        <a:stretch xmlns:a="http://schemas.openxmlformats.org/drawingml/2006/main">
          <a:fillRect/>
        </a:stretch>
      </blipFill>
      <spPr>
        <a:xfrm xmlns:a="http://schemas.openxmlformats.org/drawingml/2006/main">
          <a:off x="4930588" y="2577353"/>
          <a:ext cx="1871383" cy="265196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  <twoCellAnchor>
    <from>
      <col>0</col>
      <colOff>739588</colOff>
      <row>0</row>
      <rowOff>33618</rowOff>
    </from>
    <to>
      <col>1</col>
      <colOff>201706</colOff>
      <row>3</row>
      <rowOff>137713</rowOff>
    </to>
    <pic>
      <nvPicPr>
        <cNvPr id="4" name="Imagen 7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cstate="print" r:embed="rId4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739588" y="33618"/>
          <a:ext cx="952500" cy="574742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drawings/drawing4.xml><?xml version="1.0" encoding="utf-8"?>
<wsDr xmlns="http://schemas.openxmlformats.org/drawingml/2006/spreadsheetDrawing">
  <twoCellAnchor editAs="oneCell">
    <from>
      <col>0</col>
      <colOff>238125</colOff>
      <row>1</row>
      <rowOff>38100</rowOff>
    </from>
    <to>
      <col>8</col>
      <colOff>28575</colOff>
      <row>5</row>
      <rowOff>18924</rowOff>
    </to>
    <pic>
      <nvPicPr>
        <cNvPr id="3" name="Imagen 2"/>
        <cNvPicPr>
          <a:picLocks xmlns:a="http://schemas.openxmlformats.org/drawingml/2006/main" noChangeAspect="1"/>
        </cNvPicPr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238125" y="200025"/>
          <a:ext cx="5810250" cy="628524"/>
        </a:xfrm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twoCellAnchor>
</wsDr>
</file>

<file path=xl/drawings/drawing5.xml><?xml version="1.0" encoding="utf-8"?>
<wsDr xmlns="http://schemas.openxmlformats.org/drawingml/2006/spreadsheetDrawing">
  <twoCellAnchor editAs="oneCell">
    <from>
      <col>2</col>
      <colOff>99060</colOff>
      <row>10</row>
      <rowOff>121920</rowOff>
    </from>
    <to>
      <col>8</col>
      <colOff>259080</colOff>
      <row>22</row>
      <rowOff>7620</rowOff>
    </to>
    <pic>
      <nvPicPr>
        <cNvPr id="252341" name="24 Imagen"/>
        <cNvPicPr>
          <a:picLocks xmlns:a="http://schemas.openxmlformats.org/drawingml/2006/main" noChangeAspect="1" noChangeArrowheads="1"/>
        </cNvPicPr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1531620" y="2301240"/>
          <a:ext cx="6019800" cy="1897380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externalLinks/_rels/externalLink1.xml.rels><Relationships xmlns="http://schemas.openxmlformats.org/package/2006/relationships"><Relationship Type="http://schemas.openxmlformats.org/officeDocument/2006/relationships/externalLinkPath" Target="file:///\\Conirsa-sa\Construccion-2006\BG\Cantera%20Mapacho_Vicho_BG_6.xls" TargetMode="External" Id="rId1"/></Relationships>
</file>

<file path=xl/externalLinks/_rels/externalLink2.xml.rels><Relationships xmlns="http://schemas.openxmlformats.org/package/2006/relationships"><Relationship Type="http://schemas.openxmlformats.org/officeDocument/2006/relationships/externalLinkPath" Target="file:///\\FABIAN\geofal\2016\1.-%20Trabajos%202016\1.2.-%20Estudio%20de%20Suelos\EMS-103-16%20Tedagua\C-2\Users\NetSend\AppData\Local\Temp\Rar$DI01.037\PTF-00%20Km%20F.xls" TargetMode="External" Id="rId1"/></Relationships>
</file>

<file path=xl/externalLinks/_rels/externalLink3.xml.rels><Relationships xmlns="http://schemas.openxmlformats.org/package/2006/relationships"><Relationship Type="http://schemas.openxmlformats.org/officeDocument/2006/relationships/externalLinkPath" Target="file:///\\FABIAN\geofal\2016\1.-%20Trabajos%202016\1.2.-%20Estudio%20de%20Suelos\EMS-103-16%20Tedagua\C-2\GEOFAL\2013\09-SETIEMBRE\Maquinarias%20e%20Ingenieros%20S.A.C\2-Afirmado\CBR%20-%20EA.xls" TargetMode="External" Id="rId1"/></Relationships>
</file>

<file path=xl/externalLinks/_rels/externalLink4.xml.rels><Relationships xmlns="http://schemas.openxmlformats.org/package/2006/relationships"><Relationship Type="http://schemas.openxmlformats.org/officeDocument/2006/relationships/externalLinkPath" Target="file:///\\FABIAN\geofal\2016\1.-%20Trabajos%202016\1.2.-%20Estudio%20de%20Suelos\EMS-103-16%20Tedagua\C-2\GEOFAL\2013\07-JULIO\ARENAS%20CONSTRUCTORA\DISE&#209;O%20DE%20MEZCLA\AGREGADO\Grava.xlsx" TargetMode="External" Id="rId1"/></Relationships>
</file>

<file path=xl/externalLinks/_rels/externalLink5.xml.rels><Relationships xmlns="http://schemas.openxmlformats.org/package/2006/relationships"><Relationship Type="http://schemas.openxmlformats.org/officeDocument/2006/relationships/externalLinkPath" Target="file:///\\Vicus\D\Marcona\BASE%20GRANULAR%20PATRON.xls" TargetMode="External" Id="rId1"/></Relationships>
</file>

<file path=xl/externalLinks/_rels/externalLink6.xml.rels><Relationships xmlns="http://schemas.openxmlformats.org/package/2006/relationships"><Relationship Type="http://schemas.openxmlformats.org/officeDocument/2006/relationships/externalLinkPath" Target="https://d.docs.live.net/Users/PC%206/Desktop/GR-686-19-SU%2002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-------"/>
      <sheetName val="G_LL"/>
      <sheetName val="Pr"/>
      <sheetName val="CBR_Dat"/>
      <sheetName val="CBR_Graf"/>
      <sheetName val="Apoyo"/>
      <sheetName val="E_A"/>
      <sheetName val="G_E"/>
      <sheetName val="SST"/>
      <sheetName val="D_S"/>
      <sheetName val="D_M"/>
      <sheetName val="I_O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  <sheetName val="Densidades 1a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6">
          <cell r="L6">
            <v>1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 refreshError="1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datos de ecuacion del anillo"/>
      <sheetName val="P1"/>
      <sheetName val="Gran-LLyLP"/>
      <sheetName val="Gran-LLyLP(Fino)"/>
      <sheetName val="Sucs(Fino)"/>
      <sheetName val="Aashto(Fino)"/>
      <sheetName val="Sucs"/>
      <sheetName val="Aashto"/>
      <sheetName val="Apoyo 2"/>
      <sheetName val="DATOS DE CONSOLIDACION"/>
      <sheetName val="Proctor"/>
      <sheetName val="CONO(D.NAT.)"/>
      <sheetName val="DATOS DE DEF"/>
      <sheetName val="informe"/>
      <sheetName val="gráficos"/>
      <sheetName val="ESP"/>
      <sheetName val="COEF.PERM_DNat."/>
      <sheetName val="COEF.PERM_95MDS."/>
    </sheetNames>
    <sheetDataSet>
      <sheetData sheetId="0" refreshError="1"/>
      <sheetData sheetId="1" refreshError="1"/>
      <sheetData sheetId="2">
        <row r="8">
          <cell r="C8" t="str">
            <v>Km. 92+715</v>
          </cell>
        </row>
      </sheetData>
      <sheetData sheetId="3" refreshError="1"/>
      <sheetData sheetId="4">
        <row r="3">
          <cell r="C3" t="e">
            <v>#REF!</v>
          </cell>
          <cell r="L3" t="e">
            <v>#DIV/0!</v>
          </cell>
        </row>
        <row r="4">
          <cell r="C4">
            <v>100</v>
          </cell>
          <cell r="L4" t="e">
            <v>#DIV/0!</v>
          </cell>
        </row>
        <row r="5">
          <cell r="C5" t="e">
            <v>#DIV/0!</v>
          </cell>
          <cell r="L5" t="str">
            <v>---</v>
          </cell>
        </row>
        <row r="6">
          <cell r="L6" t="str">
            <v>---</v>
          </cell>
        </row>
      </sheetData>
      <sheetData sheetId="5" refreshError="1"/>
      <sheetData sheetId="6">
        <row r="3">
          <cell r="C3">
            <v>2.8</v>
          </cell>
          <cell r="L3">
            <v>0</v>
          </cell>
        </row>
        <row r="4">
          <cell r="C4">
            <v>42.2</v>
          </cell>
          <cell r="L4">
            <v>0</v>
          </cell>
        </row>
        <row r="5">
          <cell r="C5" t="str">
            <v>NP</v>
          </cell>
          <cell r="L5" t="str">
            <v>---</v>
          </cell>
        </row>
        <row r="6">
          <cell r="L6" t="str">
            <v>---</v>
          </cell>
        </row>
      </sheetData>
      <sheetData sheetId="7" refreshError="1"/>
      <sheetData sheetId="8" refreshError="1"/>
      <sheetData sheetId="9" refreshError="1"/>
      <sheetData sheetId="10" refreshError="1"/>
      <sheetData sheetId="11"/>
      <sheetData sheetId="12"/>
      <sheetData sheetId="13">
        <row r="25">
          <cell r="B25">
            <v>0.51020408163265307</v>
          </cell>
        </row>
      </sheetData>
      <sheetData sheetId="14" refreshError="1"/>
      <sheetData sheetId="15" refreshError="1"/>
      <sheetData sheetId="16" refreshError="1"/>
      <sheetData sheetId="17" refreshError="1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-------"/>
      <sheetName val="Gran-LLyLP"/>
      <sheetName val="Proctor"/>
      <sheetName val="Datos"/>
      <sheetName val="Grafico CBR"/>
      <sheetName val="Apoyo"/>
      <sheetName val="E_A"/>
      <sheetName val="ABRASION"/>
      <sheetName val="G_E"/>
      <sheetName val="Sucs"/>
      <sheetName val="Aashto"/>
      <sheetName val="Apoyo 2"/>
      <sheetName val="Sedimentación"/>
      <sheetName val="H.N"/>
      <sheetName val="Caras Fracturadas"/>
      <sheetName val="Chatas y Alarga."/>
      <sheetName val="% que pasa # 200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3">
          <cell r="C3">
            <v>5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</sheetDataSet>
  </externalBook>
</externalLink>
</file>

<file path=xl/externalLinks/externalLink4.xml><?xml version="1.0" encoding="utf-8"?>
<externalLink xmlns="http://schemas.openxmlformats.org/spreadsheetml/2006/main">
  <externalBook xmlns:r="http://schemas.openxmlformats.org/officeDocument/2006/relationships" r:id="rId1">
    <sheetNames>
      <sheetName val="-------"/>
      <sheetName val="PU-C"/>
      <sheetName val="G_LL"/>
      <sheetName val="PU-S"/>
      <sheetName val="% que pasa # 200"/>
      <sheetName val="D_S"/>
      <sheetName val="D_M"/>
      <sheetName val="CHATAS"/>
      <sheetName val="Sucs"/>
      <sheetName val="Aashto"/>
      <sheetName val="Apoyo 2"/>
      <sheetName val="Sedimentación"/>
      <sheetName val="H.N"/>
      <sheetName val="Caras Fracturadas"/>
      <sheetName val="Chatas y Alarga.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3">
          <cell r="L3">
            <v>0</v>
          </cell>
        </row>
        <row r="5">
          <cell r="C5" t="str">
            <v>NP</v>
          </cell>
        </row>
      </sheetData>
      <sheetData sheetId="9"/>
      <sheetData sheetId="10"/>
      <sheetData sheetId="11"/>
      <sheetData sheetId="12"/>
      <sheetData sheetId="13"/>
      <sheetData sheetId="14"/>
    </sheetDataSet>
  </externalBook>
</externalLink>
</file>

<file path=xl/externalLinks/externalLink5.xml><?xml version="1.0" encoding="utf-8"?>
<externalLink xmlns="http://schemas.openxmlformats.org/spreadsheetml/2006/main">
  <externalBook xmlns:r="http://schemas.openxmlformats.org/officeDocument/2006/relationships" r:id="rId1">
    <sheetNames>
      <sheetName val="BGA"/>
      <sheetName val="BGB"/>
      <sheetName val="BGC"/>
      <sheetName val="Hoja1"/>
      <sheetName val="Límites"/>
    </sheetNames>
    <sheetDataSet>
      <sheetData sheetId="0">
        <row r="9">
          <cell r="H9">
            <v>10215</v>
          </cell>
        </row>
        <row r="13">
          <cell r="H13" t="e">
            <v>#DIV/0!</v>
          </cell>
        </row>
      </sheetData>
      <sheetData sheetId="1"/>
      <sheetData sheetId="2"/>
      <sheetData sheetId="3"/>
      <sheetData sheetId="4" refreshError="1"/>
    </sheetDataSet>
  </externalBook>
</externalLink>
</file>

<file path=xl/externalLinks/externalLink6.xml><?xml version="1.0" encoding="utf-8"?>
<externalLink xmlns="http://schemas.openxmlformats.org/spreadsheetml/2006/main">
  <externalBook xmlns:r="http://schemas.openxmlformats.org/officeDocument/2006/relationships" r:id="rId1">
    <sheetNames>
      <sheetName val="-------"/>
      <sheetName val="G-LL "/>
      <sheetName val="LL-LP"/>
      <sheetName val="Sucs "/>
      <sheetName val="Aashto"/>
    </sheetNames>
    <sheetDataSet>
      <sheetData sheetId="0" refreshError="1"/>
      <sheetData sheetId="1">
        <row r="2">
          <cell r="X2" t="str">
            <v>Gruesa</v>
          </cell>
        </row>
        <row r="3">
          <cell r="X3" t="str">
            <v>Fina</v>
          </cell>
        </row>
        <row r="5">
          <cell r="X5" t="str">
            <v>Plastico</v>
          </cell>
        </row>
        <row r="6">
          <cell r="X6" t="str">
            <v>No Plastico</v>
          </cell>
        </row>
      </sheetData>
      <sheetData sheetId="2"/>
      <sheetData sheetId="3" refreshError="1"/>
      <sheetData sheetId="4"/>
    </sheetDataSet>
  </externalBook>
</externalLink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28575" cap="flat" cmpd="sng" algn="ctr">
          <a:solidFill>
            <a:srgbClr val="FF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49"/>
  <sheetViews>
    <sheetView showGridLines="0" topLeftCell="A7" zoomScaleNormal="100" zoomScaleSheetLayoutView="100" workbookViewId="0">
      <selection activeCell="Q24" sqref="Q24"/>
    </sheetView>
  </sheetViews>
  <sheetFormatPr baseColWidth="10" defaultRowHeight="12.75"/>
  <cols>
    <col width="1.85546875" customWidth="1" min="1" max="1"/>
    <col width="3" customWidth="1" min="2" max="2"/>
    <col width="17.42578125" customWidth="1" min="5" max="5"/>
    <col width="5.28515625" customWidth="1" min="6" max="6"/>
    <col width="13.85546875" customWidth="1" min="7" max="7"/>
    <col width="3.28515625" customWidth="1" min="8" max="8"/>
    <col width="5.7109375" customWidth="1" min="9" max="9"/>
    <col width="9.7109375" customWidth="1" min="10" max="10"/>
    <col width="10.28515625" customWidth="1" min="11" max="11"/>
    <col width="1.5703125" customWidth="1" min="12" max="12"/>
    <col width="5.28515625" customWidth="1" min="13" max="13"/>
    <col width="14.42578125" customWidth="1" min="14" max="14"/>
  </cols>
  <sheetData>
    <row r="1" ht="15.75" customHeight="1" thickTop="1">
      <c r="A1" s="280" t="n"/>
      <c r="B1" s="281" t="n"/>
      <c r="C1" s="281" t="n"/>
      <c r="D1" s="281" t="n"/>
      <c r="E1" s="282" t="n"/>
      <c r="F1" s="282" t="n"/>
      <c r="G1" s="282" t="n"/>
      <c r="H1" s="282" t="n"/>
      <c r="I1" s="282" t="n"/>
      <c r="J1" s="282" t="n"/>
      <c r="K1" s="283" t="n"/>
      <c r="L1" s="283" t="n"/>
      <c r="M1" s="283" t="n"/>
      <c r="N1" s="284" t="n"/>
    </row>
    <row r="2" ht="15.75" customHeight="1">
      <c r="A2" s="285" t="n"/>
      <c r="B2" s="286" t="n"/>
      <c r="C2" s="286" t="n"/>
      <c r="D2" s="286" t="n"/>
      <c r="E2" s="287" t="n"/>
      <c r="F2" s="287" t="n"/>
      <c r="G2" s="287" t="n"/>
      <c r="H2" s="287" t="n"/>
      <c r="I2" s="287" t="n"/>
      <c r="J2" s="287" t="n"/>
      <c r="K2" s="288" t="n"/>
      <c r="L2" s="288" t="n"/>
      <c r="M2" s="288" t="n"/>
      <c r="N2" s="289" t="n"/>
      <c r="P2" s="180" t="inlineStr">
        <is>
          <t>CLIENTE</t>
        </is>
      </c>
      <c r="Q2" s="376" t="n"/>
    </row>
    <row r="3" ht="15.75" customHeight="1">
      <c r="A3" s="285" t="n"/>
      <c r="B3" s="286" t="n"/>
      <c r="C3" s="286" t="n"/>
      <c r="D3" s="286" t="n"/>
      <c r="E3" s="287" t="n"/>
      <c r="F3" s="287" t="n"/>
      <c r="G3" s="287" t="n"/>
      <c r="H3" s="287" t="n"/>
      <c r="I3" s="287" t="n"/>
      <c r="J3" s="287" t="n"/>
      <c r="K3" s="288" t="n"/>
      <c r="L3" s="288" t="n"/>
      <c r="M3" s="288" t="n"/>
      <c r="N3" s="289" t="n"/>
      <c r="P3" s="180" t="inlineStr">
        <is>
          <t>DIRECCIÓN **</t>
        </is>
      </c>
      <c r="Q3" s="377" t="n"/>
    </row>
    <row r="4" ht="15.75" customHeight="1">
      <c r="A4" s="285" t="n"/>
      <c r="B4" s="286" t="n"/>
      <c r="C4" s="286" t="n"/>
      <c r="D4" s="286" t="n"/>
      <c r="E4" s="287" t="n"/>
      <c r="F4" s="287" t="n"/>
      <c r="G4" s="287" t="n"/>
      <c r="H4" s="287" t="n"/>
      <c r="I4" s="287" t="n"/>
      <c r="J4" s="287" t="n"/>
      <c r="K4" s="288" t="n"/>
      <c r="L4" s="288" t="n"/>
      <c r="M4" s="288" t="n"/>
      <c r="N4" s="289" t="n"/>
      <c r="P4" s="180" t="inlineStr">
        <is>
          <t>PROYECTO **</t>
        </is>
      </c>
      <c r="Q4" s="377" t="n"/>
    </row>
    <row r="5" ht="15.75" customHeight="1" thickBot="1">
      <c r="A5" s="290" t="n"/>
      <c r="B5" s="291" t="n"/>
      <c r="C5" s="291" t="n"/>
      <c r="D5" s="291" t="n"/>
      <c r="E5" s="291" t="n"/>
      <c r="F5" s="291" t="n"/>
      <c r="G5" s="291" t="n"/>
      <c r="H5" s="291" t="n"/>
      <c r="I5" s="291" t="n"/>
      <c r="J5" s="291" t="n"/>
      <c r="K5" s="291" t="n"/>
      <c r="L5" s="291" t="n"/>
      <c r="M5" s="291" t="n"/>
      <c r="N5" s="292" t="n"/>
      <c r="P5" s="180" t="inlineStr">
        <is>
          <t>UBICACIÓN **</t>
        </is>
      </c>
      <c r="Q5" s="377" t="n"/>
    </row>
    <row r="6" ht="15.95" customHeight="1" thickTop="1">
      <c r="A6" s="293" t="n"/>
      <c r="B6" s="293" t="n"/>
      <c r="C6" s="293" t="n"/>
      <c r="D6" s="293" t="n"/>
      <c r="E6" s="293" t="n"/>
      <c r="F6" s="293" t="n"/>
      <c r="G6" s="293" t="n"/>
      <c r="H6" s="293" t="n"/>
      <c r="I6" s="293" t="n"/>
      <c r="J6" s="293" t="n"/>
      <c r="K6" s="293" t="n"/>
      <c r="L6" s="293" t="n"/>
      <c r="M6" s="293" t="n"/>
      <c r="N6" s="293" t="n"/>
      <c r="P6" s="378" t="n"/>
      <c r="Q6" s="379" t="n"/>
    </row>
    <row r="7" ht="15.95" customHeight="1">
      <c r="A7" s="414" t="inlineStr">
        <is>
          <t>LABORATORIO DE ENSAYO DE MATERIALES</t>
        </is>
      </c>
      <c r="P7" s="380" t="inlineStr">
        <is>
          <t>RECEPCIÓN N°</t>
        </is>
      </c>
      <c r="Q7" s="379" t="n"/>
    </row>
    <row r="8" ht="15.95" customHeight="1">
      <c r="A8" s="492" t="inlineStr">
        <is>
          <t>FORMATO N° F-LEM-P-AG-20.01</t>
        </is>
      </c>
      <c r="B8" s="493" t="n"/>
      <c r="C8" s="493" t="n"/>
      <c r="D8" s="493" t="n"/>
      <c r="E8" s="493" t="n"/>
      <c r="F8" s="493" t="n"/>
      <c r="G8" s="493" t="n"/>
      <c r="H8" s="493" t="n"/>
      <c r="I8" s="493" t="n"/>
      <c r="J8" s="493" t="n"/>
      <c r="K8" s="493" t="n"/>
      <c r="L8" s="493" t="n"/>
      <c r="M8" s="493" t="n"/>
      <c r="N8" s="493" t="n"/>
      <c r="P8" s="380" t="inlineStr">
        <is>
          <t>F. EMISIÓN</t>
        </is>
      </c>
      <c r="Q8" s="381" t="n"/>
    </row>
    <row r="9" ht="15.95" customHeight="1">
      <c r="A9" s="294" t="n"/>
      <c r="B9" s="294" t="n"/>
      <c r="C9" s="294" t="n"/>
      <c r="D9" s="294" t="n"/>
      <c r="E9" s="294" t="n"/>
      <c r="F9" s="294" t="n"/>
      <c r="G9" s="294" t="n"/>
      <c r="H9" s="294" t="n"/>
      <c r="I9" s="294" t="n"/>
      <c r="J9" s="294" t="n"/>
      <c r="K9" s="294" t="n"/>
      <c r="L9" s="294" t="n"/>
      <c r="M9" s="294" t="n"/>
      <c r="N9" s="294" t="n"/>
      <c r="P9" s="380" t="inlineStr">
        <is>
          <t>OT N°</t>
        </is>
      </c>
      <c r="Q9" s="379" t="n"/>
    </row>
    <row r="10" ht="15.95" customHeight="1">
      <c r="A10" s="294" t="n"/>
      <c r="B10" s="294" t="n"/>
      <c r="C10" s="294" t="n"/>
      <c r="D10" s="294" t="n"/>
      <c r="E10" s="416" t="inlineStr">
        <is>
          <t>MUESTRA</t>
        </is>
      </c>
      <c r="F10" s="494" t="n"/>
      <c r="G10" s="416" t="inlineStr">
        <is>
          <t>N° OT</t>
        </is>
      </c>
      <c r="H10" s="416" t="inlineStr">
        <is>
          <t>FECHA DE ENSAYO</t>
        </is>
      </c>
      <c r="I10" s="495" t="n"/>
      <c r="J10" s="494" t="n"/>
      <c r="K10" s="416" t="inlineStr">
        <is>
          <t>REALIZADO</t>
        </is>
      </c>
      <c r="L10" s="495" t="n"/>
      <c r="M10" s="494" t="n"/>
      <c r="N10" s="294" t="n"/>
      <c r="P10" s="378" t="n"/>
      <c r="Q10" s="379" t="n"/>
    </row>
    <row r="11" ht="20.25" customHeight="1">
      <c r="A11" s="294" t="n"/>
      <c r="B11" s="294" t="n"/>
      <c r="C11" s="294" t="n"/>
      <c r="D11" s="294" t="n"/>
      <c r="E11" s="413" t="n"/>
      <c r="F11" s="494" t="n"/>
      <c r="G11" s="413" t="n"/>
      <c r="H11" s="413" t="n"/>
      <c r="I11" s="495" t="n"/>
      <c r="J11" s="494" t="n"/>
      <c r="K11" s="413" t="n"/>
      <c r="L11" s="495" t="n"/>
      <c r="M11" s="494" t="n"/>
      <c r="N11" s="294" t="n"/>
      <c r="P11" s="380" t="inlineStr">
        <is>
          <t>CÓDIGO DE LA MUESTRA</t>
        </is>
      </c>
      <c r="Q11" s="379" t="n"/>
    </row>
    <row r="12" ht="15.95" customHeight="1">
      <c r="A12" s="288" t="n"/>
      <c r="B12" s="392" t="n"/>
      <c r="F12" s="392" t="n"/>
      <c r="J12" s="392" t="n"/>
      <c r="M12" s="392" t="n"/>
      <c r="N12" s="298" t="n"/>
      <c r="P12" s="380" t="inlineStr">
        <is>
          <t>FECHA DE RECEPCIÓN</t>
        </is>
      </c>
      <c r="Q12" s="381" t="n"/>
    </row>
    <row r="13" ht="15.95" customHeight="1">
      <c r="A13" s="299" t="n"/>
      <c r="B13" s="392" t="n"/>
      <c r="C13" s="392" t="n"/>
      <c r="D13" s="300" t="n"/>
      <c r="E13" s="300" t="n"/>
      <c r="F13" s="300" t="n"/>
      <c r="G13" s="300" t="n"/>
      <c r="H13" s="300" t="n"/>
      <c r="I13" s="300" t="n"/>
      <c r="J13" s="300" t="n"/>
      <c r="K13" s="301" t="n"/>
      <c r="L13" s="392" t="n"/>
      <c r="M13" s="392" t="n"/>
      <c r="N13" s="302" t="n"/>
      <c r="P13" s="380" t="inlineStr">
        <is>
          <t>FECHA DE EJECUCIÓN</t>
        </is>
      </c>
      <c r="Q13" s="381" t="n"/>
    </row>
    <row r="14" ht="15" customHeight="1">
      <c r="A14" s="496" t="inlineStr">
        <is>
          <t>Standard Test Method for Total Evaporable Moisture Content of Aggregate by Drying</t>
        </is>
      </c>
      <c r="B14" s="497" t="n"/>
      <c r="C14" s="497" t="n"/>
      <c r="D14" s="497" t="n"/>
      <c r="E14" s="497" t="n"/>
      <c r="F14" s="497" t="n"/>
      <c r="G14" s="497" t="n"/>
      <c r="H14" s="497" t="n"/>
      <c r="I14" s="497" t="n"/>
      <c r="J14" s="497" t="n"/>
      <c r="K14" s="497" t="n"/>
      <c r="L14" s="497" t="n"/>
      <c r="M14" s="497" t="n"/>
      <c r="N14" s="498" t="n"/>
      <c r="P14" s="378" t="n"/>
      <c r="Q14" s="379" t="n"/>
    </row>
    <row r="15" ht="18" customHeight="1">
      <c r="A15" s="499" t="inlineStr">
        <is>
          <t>ASTM C566-25</t>
        </is>
      </c>
      <c r="B15" s="500" t="n"/>
      <c r="C15" s="500" t="n"/>
      <c r="D15" s="500" t="n"/>
      <c r="E15" s="500" t="n"/>
      <c r="F15" s="500" t="n"/>
      <c r="G15" s="500" t="n"/>
      <c r="H15" s="500" t="n"/>
      <c r="I15" s="500" t="n"/>
      <c r="J15" s="500" t="n"/>
      <c r="K15" s="500" t="n"/>
      <c r="L15" s="500" t="n"/>
      <c r="M15" s="500" t="n"/>
      <c r="N15" s="501" t="n"/>
      <c r="P15" s="380" t="inlineStr">
        <is>
          <t>CANTERA/SONDAJE **</t>
        </is>
      </c>
      <c r="Q15" s="382" t="n"/>
    </row>
    <row r="16" ht="11.25" customHeight="1">
      <c r="A16" s="303" t="n"/>
      <c r="B16" s="304" t="n"/>
      <c r="C16" s="304" t="n"/>
      <c r="D16" s="305" t="n"/>
      <c r="E16" s="305" t="n"/>
      <c r="F16" s="305" t="n"/>
      <c r="G16" s="305" t="n"/>
      <c r="H16" s="305" t="n"/>
      <c r="I16" s="305" t="n"/>
      <c r="J16" s="305" t="n"/>
      <c r="K16" s="306" t="n"/>
      <c r="L16" s="304" t="n"/>
      <c r="M16" s="304" t="n"/>
      <c r="N16" s="307" t="n"/>
      <c r="P16" s="380" t="inlineStr">
        <is>
          <t>N° MUESTRA **</t>
        </is>
      </c>
      <c r="Q16" s="382" t="n"/>
    </row>
    <row r="17" ht="12" customHeight="1">
      <c r="A17" s="308" t="n"/>
      <c r="B17" s="309" t="n"/>
      <c r="C17" s="309" t="n"/>
      <c r="D17" s="309" t="n"/>
      <c r="E17" s="309" t="n"/>
      <c r="F17" s="309" t="n"/>
      <c r="G17" s="309" t="n"/>
      <c r="H17" s="309" t="n"/>
      <c r="I17" s="309" t="n"/>
      <c r="J17" s="309" t="n"/>
      <c r="K17" s="412" t="n"/>
      <c r="L17" s="502" t="n"/>
      <c r="M17" s="412" t="n"/>
      <c r="N17" s="311" t="n"/>
      <c r="P17" s="380" t="inlineStr">
        <is>
          <t>TIPO DE MUESTRA**</t>
        </is>
      </c>
      <c r="Q17" s="383" t="n"/>
    </row>
    <row r="18" ht="17.25" customHeight="1">
      <c r="A18" s="312" t="n"/>
      <c r="B18" s="399" t="inlineStr">
        <is>
          <t>Descripción</t>
        </is>
      </c>
      <c r="C18" s="503" t="n"/>
      <c r="D18" s="503" t="n"/>
      <c r="E18" s="504" t="n"/>
      <c r="F18" s="399" t="inlineStr">
        <is>
          <t>Und</t>
        </is>
      </c>
      <c r="G18" s="399" t="inlineStr">
        <is>
          <t xml:space="preserve">Ensayo </t>
        </is>
      </c>
      <c r="H18" s="504" t="n"/>
      <c r="I18" s="314" t="n"/>
      <c r="J18" s="288" t="n"/>
      <c r="K18" s="315" t="n"/>
      <c r="L18" s="315" t="n"/>
      <c r="M18" s="315" t="n"/>
      <c r="N18" s="316" t="n"/>
    </row>
    <row r="19" ht="23.45" customHeight="1">
      <c r="A19" s="317" t="n"/>
      <c r="B19" s="318" t="n">
        <v>1</v>
      </c>
      <c r="C19" s="505" t="inlineStr">
        <is>
          <t>N° de ensayo</t>
        </is>
      </c>
      <c r="D19" s="506" t="n"/>
      <c r="E19" s="507" t="n"/>
      <c r="F19" s="508" t="inlineStr">
        <is>
          <t>N°</t>
        </is>
      </c>
      <c r="G19" s="399" t="n"/>
      <c r="H19" s="504" t="n"/>
      <c r="I19" s="509" t="n"/>
      <c r="J19" s="324" t="n"/>
      <c r="K19" s="324" t="n"/>
      <c r="L19" s="325" t="n"/>
      <c r="M19" s="325" t="n"/>
      <c r="N19" s="326" t="n"/>
    </row>
    <row r="20" ht="23.45" customHeight="1">
      <c r="A20" s="317" t="n"/>
      <c r="B20" s="327" t="n">
        <v>2</v>
      </c>
      <c r="C20" s="328" t="inlineStr">
        <is>
          <t>Recipiente Nº</t>
        </is>
      </c>
      <c r="D20" s="329" t="n"/>
      <c r="E20" s="330" t="n"/>
      <c r="F20" s="510" t="inlineStr">
        <is>
          <t>N°</t>
        </is>
      </c>
      <c r="G20" s="399" t="n"/>
      <c r="H20" s="504" t="n"/>
      <c r="I20" s="509" t="n"/>
      <c r="J20" s="332" t="n"/>
      <c r="K20" s="333" t="n"/>
      <c r="L20" s="511" t="n"/>
      <c r="M20" s="511" t="n"/>
      <c r="N20" s="335" t="n"/>
    </row>
    <row r="21" ht="23.45" customHeight="1">
      <c r="A21" s="317" t="n"/>
      <c r="B21" s="336" t="n">
        <v>3</v>
      </c>
      <c r="C21" s="337" t="inlineStr">
        <is>
          <t>Masa de recipiente + muestra húmedo</t>
        </is>
      </c>
      <c r="D21" s="338" t="n"/>
      <c r="E21" s="339" t="n"/>
      <c r="F21" s="512" t="inlineStr">
        <is>
          <t>g</t>
        </is>
      </c>
      <c r="G21" s="399" t="n"/>
      <c r="H21" s="504" t="n"/>
      <c r="I21" s="509" t="n"/>
      <c r="J21" s="341" t="n"/>
      <c r="K21" s="333" t="n"/>
      <c r="L21" s="342" t="n"/>
      <c r="M21" s="342" t="n"/>
      <c r="N21" s="343" t="n"/>
    </row>
    <row r="22" ht="23.45" customHeight="1">
      <c r="A22" s="317" t="n"/>
      <c r="B22" s="336" t="n">
        <v>4</v>
      </c>
      <c r="C22" s="337" t="inlineStr">
        <is>
          <t>Masa de recipiente + muestra seco</t>
        </is>
      </c>
      <c r="D22" s="338" t="n"/>
      <c r="E22" s="339" t="n"/>
      <c r="F22" s="512" t="inlineStr">
        <is>
          <t>g</t>
        </is>
      </c>
      <c r="G22" s="399" t="n"/>
      <c r="H22" s="504" t="n"/>
      <c r="I22" s="509" t="n"/>
      <c r="J22" s="332" t="n"/>
      <c r="K22" s="332" t="n"/>
      <c r="L22" s="342" t="n"/>
      <c r="M22" s="342" t="n"/>
      <c r="N22" s="343" t="n"/>
    </row>
    <row r="23" ht="23.45" customHeight="1">
      <c r="A23" s="317" t="n"/>
      <c r="B23" s="336" t="n">
        <v>5</v>
      </c>
      <c r="C23" s="337" t="inlineStr">
        <is>
          <t>Masa de recipiente + muestra seco (constante)</t>
        </is>
      </c>
      <c r="D23" s="338" t="n"/>
      <c r="E23" s="339" t="n"/>
      <c r="F23" s="512" t="inlineStr">
        <is>
          <t>g</t>
        </is>
      </c>
      <c r="G23" s="399" t="n"/>
      <c r="H23" s="504" t="n"/>
      <c r="I23" s="509" t="n"/>
      <c r="J23" s="332" t="n"/>
      <c r="K23" s="332" t="n"/>
      <c r="L23" s="342" t="n"/>
      <c r="M23" s="342" t="n"/>
      <c r="N23" s="343" t="n"/>
    </row>
    <row r="24" ht="23.45" customHeight="1">
      <c r="A24" s="317" t="n"/>
      <c r="B24" s="336" t="n">
        <v>6</v>
      </c>
      <c r="C24" s="337" t="inlineStr">
        <is>
          <t>Masa de agua (3-4)</t>
        </is>
      </c>
      <c r="D24" s="338" t="n"/>
      <c r="E24" s="339" t="n"/>
      <c r="F24" s="512" t="inlineStr">
        <is>
          <t>g</t>
        </is>
      </c>
      <c r="G24" s="399" t="n"/>
      <c r="H24" s="504" t="n"/>
      <c r="I24" s="509" t="n"/>
      <c r="J24" s="288" t="n"/>
      <c r="K24" s="344" t="n"/>
      <c r="L24" s="342" t="n"/>
      <c r="M24" s="342" t="n"/>
      <c r="N24" s="343" t="n"/>
    </row>
    <row r="25" ht="23.45" customHeight="1">
      <c r="A25" s="345" t="n"/>
      <c r="B25" s="336" t="n">
        <v>7</v>
      </c>
      <c r="C25" s="337" t="inlineStr">
        <is>
          <t>Masa de recipiente</t>
        </is>
      </c>
      <c r="D25" s="338" t="n"/>
      <c r="E25" s="339" t="n"/>
      <c r="F25" s="512" t="inlineStr">
        <is>
          <t>g</t>
        </is>
      </c>
      <c r="G25" s="399" t="n"/>
      <c r="H25" s="504" t="n"/>
      <c r="I25" s="509" t="n"/>
      <c r="J25" s="288" t="n"/>
      <c r="K25" s="342" t="n"/>
      <c r="L25" s="342" t="n"/>
      <c r="M25" s="342" t="n"/>
      <c r="N25" s="343" t="n"/>
    </row>
    <row r="26" ht="23.45" customHeight="1">
      <c r="A26" s="317" t="n"/>
      <c r="B26" s="336" t="n">
        <v>8</v>
      </c>
      <c r="C26" s="337" t="inlineStr">
        <is>
          <t>Masa de muestra seco (5-7)</t>
        </is>
      </c>
      <c r="D26" s="338" t="n"/>
      <c r="E26" s="339" t="n"/>
      <c r="F26" s="512" t="inlineStr">
        <is>
          <t>g</t>
        </is>
      </c>
      <c r="G26" s="399" t="n"/>
      <c r="H26" s="504" t="n"/>
      <c r="I26" s="509" t="n"/>
      <c r="J26" s="288" t="n"/>
      <c r="K26" s="346" t="n"/>
      <c r="L26" s="342" t="n"/>
      <c r="M26" s="342" t="n"/>
      <c r="N26" s="343" t="n"/>
    </row>
    <row r="27" ht="23.45" customHeight="1">
      <c r="A27" s="317" t="n"/>
      <c r="B27" s="336" t="n">
        <v>9</v>
      </c>
      <c r="C27" s="337" t="inlineStr">
        <is>
          <t>Contenido de Humedad de la muestra (6/8*100)</t>
        </is>
      </c>
      <c r="D27" s="338" t="n"/>
      <c r="E27" s="339" t="n"/>
      <c r="F27" s="512" t="inlineStr">
        <is>
          <t>%</t>
        </is>
      </c>
      <c r="G27" s="399" t="n"/>
      <c r="H27" s="504" t="n"/>
      <c r="I27" s="513" t="inlineStr">
        <is>
          <t>Fuente: Elaboración propia basada en la Norma ASTM C566-25.</t>
        </is>
      </c>
      <c r="N27" s="514" t="n"/>
    </row>
    <row r="28" ht="18.75" customHeight="1">
      <c r="A28" s="317" t="n"/>
      <c r="B28" s="347" t="inlineStr">
        <is>
          <t>* Reporte al 0.1%, indicado por la Norma de ensayo.</t>
        </is>
      </c>
      <c r="C28" s="347" t="n"/>
      <c r="D28" s="288" t="n"/>
      <c r="E28" s="288" t="n"/>
      <c r="F28" s="288" t="n"/>
      <c r="G28" s="288" t="n"/>
      <c r="H28" s="288" t="n"/>
      <c r="N28" s="514" t="n"/>
    </row>
    <row r="29" ht="23.25" customHeight="1">
      <c r="A29" s="317" t="n"/>
      <c r="B29" s="348" t="inlineStr">
        <is>
          <t>Descripción de la muestra</t>
        </is>
      </c>
      <c r="C29" s="288" t="n"/>
      <c r="D29" s="288" t="n"/>
      <c r="E29" s="288" t="n"/>
      <c r="F29" s="288" t="n"/>
      <c r="G29" s="288" t="n"/>
      <c r="H29" s="288" t="n"/>
      <c r="I29" s="288" t="n"/>
      <c r="J29" s="288" t="n"/>
      <c r="K29" s="288" t="n"/>
      <c r="L29" s="288" t="n"/>
      <c r="M29" s="288" t="n"/>
      <c r="N29" s="349" t="n"/>
    </row>
    <row r="30" ht="21.75" customHeight="1">
      <c r="A30" s="317" t="n"/>
      <c r="B30" s="350" t="inlineStr">
        <is>
          <t>* Tipo de muestra</t>
        </is>
      </c>
      <c r="C30" s="351" t="n"/>
      <c r="D30" s="351" t="n"/>
      <c r="E30" s="351" t="n"/>
      <c r="F30" s="402" t="n"/>
      <c r="G30" s="504" t="n"/>
      <c r="H30" s="288" t="n"/>
      <c r="I30" s="515" t="inlineStr">
        <is>
          <t>Equipos utilizados</t>
        </is>
      </c>
      <c r="J30" s="516" t="n"/>
      <c r="K30" s="515" t="inlineStr">
        <is>
          <t>Códigos</t>
        </is>
      </c>
      <c r="L30" s="517" t="n"/>
      <c r="M30" s="516" t="n"/>
      <c r="N30" s="349" t="n"/>
    </row>
    <row r="31" ht="21.75" customHeight="1">
      <c r="A31" s="317" t="n"/>
      <c r="B31" s="350" t="inlineStr">
        <is>
          <t>* Tamaño máximo de la muestra (Visual) (in)</t>
        </is>
      </c>
      <c r="C31" s="351" t="n"/>
      <c r="D31" s="351" t="n"/>
      <c r="E31" s="351" t="n"/>
      <c r="F31" s="391" t="n"/>
      <c r="G31" s="504" t="n"/>
      <c r="H31" s="288" t="n"/>
      <c r="I31" s="352" t="inlineStr">
        <is>
          <t>Balanza 0.1 g</t>
        </is>
      </c>
      <c r="J31" s="398" t="n"/>
      <c r="K31" s="518" t="n"/>
      <c r="L31" s="517" t="n"/>
      <c r="M31" s="516" t="n"/>
      <c r="N31" s="349" t="n"/>
    </row>
    <row r="32" ht="21.75" customHeight="1">
      <c r="A32" s="317" t="n"/>
      <c r="B32" s="395" t="inlineStr">
        <is>
          <t>* La masa de la muestra cumple con lo requerido por la norma</t>
        </is>
      </c>
      <c r="E32" s="514" t="n"/>
      <c r="F32" s="391" t="n"/>
      <c r="G32" s="504" t="n"/>
      <c r="H32" s="288" t="n"/>
      <c r="I32" s="352" t="inlineStr">
        <is>
          <t>Horno 110ºC</t>
        </is>
      </c>
      <c r="J32" s="398" t="n"/>
      <c r="K32" s="518" t="n"/>
      <c r="L32" s="517" t="n"/>
      <c r="M32" s="516" t="n"/>
      <c r="N32" s="349" t="n"/>
    </row>
    <row r="33" ht="21.75" customHeight="1">
      <c r="A33" s="317" t="n"/>
      <c r="B33" s="354" t="inlineStr">
        <is>
          <t>* Se excluyó algún material de la muestra de ensayo</t>
        </is>
      </c>
      <c r="C33" s="351" t="n"/>
      <c r="D33" s="351" t="n"/>
      <c r="E33" s="351" t="n"/>
      <c r="F33" s="391" t="n"/>
      <c r="G33" s="504" t="n"/>
      <c r="H33" s="288" t="n"/>
      <c r="I33" s="288" t="n"/>
      <c r="J33" s="288" t="n"/>
      <c r="K33" s="288" t="n"/>
      <c r="L33" s="288" t="n"/>
      <c r="M33" s="288" t="n"/>
      <c r="N33" s="349" t="n"/>
    </row>
    <row r="34" ht="29.25" customHeight="1">
      <c r="A34" s="317" t="n"/>
      <c r="B34" s="355" t="inlineStr">
        <is>
          <t>Descripción del material excluido:</t>
        </is>
      </c>
      <c r="C34" s="351" t="n"/>
      <c r="D34" s="351" t="n"/>
      <c r="E34" s="351" t="n"/>
      <c r="F34" s="288" t="n"/>
      <c r="G34" s="356" t="inlineStr"/>
      <c r="H34" s="288" t="n"/>
      <c r="I34" s="288" t="n"/>
      <c r="J34" s="288" t="n"/>
      <c r="K34" s="288" t="n"/>
      <c r="L34" s="288" t="n"/>
      <c r="M34" s="288" t="n"/>
      <c r="N34" s="349" t="n"/>
    </row>
    <row r="35" ht="10.5" customHeight="1">
      <c r="A35" s="357" t="n"/>
      <c r="B35" s="358" t="n"/>
      <c r="C35" s="358" t="n"/>
      <c r="D35" s="359" t="n"/>
      <c r="E35" s="359" t="n"/>
      <c r="F35" s="359" t="n"/>
      <c r="G35" s="359" t="n"/>
      <c r="H35" s="359" t="n"/>
      <c r="I35" s="359" t="n"/>
      <c r="J35" s="359" t="n"/>
      <c r="K35" s="360" t="n"/>
      <c r="L35" s="360" t="n"/>
      <c r="M35" s="360" t="n"/>
      <c r="N35" s="361" t="n"/>
    </row>
    <row r="36" ht="15" customHeight="1">
      <c r="A36" s="362" t="n"/>
      <c r="B36" s="363" t="n"/>
      <c r="C36" s="363" t="n"/>
      <c r="D36" s="309" t="n"/>
      <c r="E36" s="309" t="n"/>
      <c r="F36" s="309" t="n"/>
      <c r="G36" s="309" t="n"/>
      <c r="H36" s="309" t="n"/>
      <c r="I36" s="309" t="n"/>
      <c r="J36" s="309" t="n"/>
      <c r="K36" s="364" t="n"/>
      <c r="L36" s="364" t="n"/>
      <c r="M36" s="364" t="n"/>
      <c r="N36" s="364" t="n"/>
    </row>
    <row r="37" ht="23.25" customHeight="1">
      <c r="A37" s="365" t="inlineStr">
        <is>
          <t xml:space="preserve">Observaciones: </t>
        </is>
      </c>
      <c r="B37" s="366" t="n"/>
      <c r="C37" s="366" t="n"/>
      <c r="D37" s="367" t="n"/>
      <c r="E37" s="367" t="inlineStr">
        <is>
          <t>….....................................................................................................................................................................................................</t>
        </is>
      </c>
      <c r="F37" s="367" t="n"/>
      <c r="G37" s="367" t="n"/>
      <c r="H37" s="367" t="n"/>
      <c r="I37" s="367" t="n"/>
      <c r="J37" s="288" t="n"/>
      <c r="K37" s="288" t="n"/>
      <c r="L37" s="288" t="n"/>
      <c r="M37" s="288" t="n"/>
      <c r="N37" s="288" t="n"/>
    </row>
    <row r="38" ht="32.25" customHeight="1">
      <c r="A38" s="366" t="inlineStr">
        <is>
          <t>…..................................................................................................................................................................................................................</t>
        </is>
      </c>
      <c r="B38" s="366" t="n"/>
      <c r="C38" s="366" t="n"/>
      <c r="D38" s="367" t="n"/>
      <c r="E38" s="367" t="n"/>
      <c r="F38" s="367" t="n"/>
      <c r="G38" s="367" t="n"/>
      <c r="H38" s="367" t="n"/>
      <c r="I38" s="367" t="n"/>
      <c r="J38" s="288" t="n"/>
      <c r="K38" s="288" t="n"/>
      <c r="L38" s="288" t="n"/>
      <c r="M38" s="288" t="n"/>
      <c r="N38" s="288" t="n"/>
    </row>
    <row r="39">
      <c r="A39" s="368" t="n"/>
      <c r="B39" s="369" t="n"/>
      <c r="C39" s="369" t="n"/>
      <c r="D39" s="369" t="n"/>
      <c r="E39" s="369" t="n"/>
      <c r="F39" s="369" t="n"/>
      <c r="G39" s="369" t="n"/>
      <c r="H39" s="369" t="n"/>
      <c r="I39" s="369" t="n"/>
      <c r="J39" s="342" t="n"/>
      <c r="K39" s="342" t="n"/>
      <c r="L39" s="342" t="n"/>
      <c r="M39" s="342" t="n"/>
      <c r="N39" s="342" t="n"/>
    </row>
    <row r="40" ht="11.25" customHeight="1">
      <c r="A40" s="370" t="n"/>
      <c r="B40" s="369" t="n"/>
      <c r="C40" s="369" t="n"/>
      <c r="D40" s="369" t="n"/>
      <c r="E40" s="369" t="n"/>
      <c r="F40" s="369" t="n"/>
      <c r="G40" s="369" t="n"/>
      <c r="H40" s="369" t="n"/>
      <c r="I40" s="369" t="n"/>
      <c r="J40" s="342" t="n"/>
      <c r="K40" s="342" t="n"/>
      <c r="L40" s="342" t="n"/>
      <c r="M40" s="342" t="n"/>
      <c r="N40" s="342" t="n"/>
    </row>
    <row r="41" ht="23.25" customHeight="1">
      <c r="A41" s="370" t="n"/>
      <c r="B41" s="369" t="n"/>
      <c r="C41" s="369" t="n"/>
      <c r="D41" s="369" t="n"/>
      <c r="E41" s="369" t="n"/>
      <c r="F41" s="369" t="n"/>
      <c r="G41" s="369" t="n"/>
      <c r="H41" s="369" t="n"/>
      <c r="I41" s="369" t="n"/>
      <c r="J41" s="342" t="n"/>
      <c r="K41" s="342" t="n"/>
      <c r="L41" s="342" t="n"/>
      <c r="M41" s="342" t="n"/>
      <c r="N41" s="342" t="n"/>
    </row>
    <row r="42" ht="23.25" customHeight="1">
      <c r="A42" s="370" t="n"/>
      <c r="B42" s="369" t="n"/>
      <c r="C42" s="369" t="n"/>
      <c r="D42" s="369" t="n"/>
      <c r="E42" s="369" t="n"/>
      <c r="F42" s="369" t="n"/>
      <c r="G42" s="369" t="n"/>
      <c r="H42" s="369" t="n"/>
      <c r="I42" s="369" t="n"/>
      <c r="J42" s="342" t="n"/>
      <c r="K42" s="342" t="n"/>
      <c r="L42" s="342" t="n"/>
      <c r="M42" s="342" t="n"/>
      <c r="N42" s="342" t="n"/>
    </row>
    <row r="43" ht="23.25" customHeight="1">
      <c r="A43" s="371" t="n"/>
      <c r="B43" s="369" t="n"/>
      <c r="C43" s="369" t="n"/>
      <c r="D43" s="288" t="n"/>
      <c r="E43" s="288" t="n"/>
      <c r="F43" s="288" t="n"/>
      <c r="G43" s="288" t="n"/>
      <c r="H43" s="288" t="n"/>
      <c r="I43" s="288" t="n"/>
      <c r="J43" s="288" t="n"/>
      <c r="K43" s="342" t="n"/>
      <c r="L43" s="342" t="n"/>
      <c r="M43" s="342" t="n"/>
      <c r="N43" s="342" t="n"/>
    </row>
    <row r="44" ht="23.25" customHeight="1">
      <c r="A44" s="368" t="n"/>
      <c r="B44" s="369" t="n"/>
      <c r="C44" s="369" t="n"/>
      <c r="D44" s="369" t="n"/>
      <c r="E44" s="369" t="n"/>
      <c r="F44" s="369" t="n"/>
      <c r="G44" s="369" t="n"/>
      <c r="H44" s="369" t="n"/>
      <c r="I44" s="369" t="n"/>
      <c r="J44" s="342" t="n"/>
      <c r="K44" s="342" t="n"/>
      <c r="L44" s="342" t="n"/>
      <c r="M44" s="342" t="n"/>
      <c r="N44" s="342" t="n"/>
    </row>
    <row r="45" ht="23.25" customHeight="1">
      <c r="A45" s="288" t="n"/>
      <c r="B45" s="392" t="n"/>
      <c r="F45" s="392" t="n"/>
      <c r="J45" s="392" t="n"/>
      <c r="M45" s="392" t="n"/>
      <c r="N45" s="342" t="n"/>
    </row>
    <row r="46" ht="18" customHeight="1">
      <c r="A46" s="372" t="inlineStr">
        <is>
          <t>Página 1 de 1</t>
        </is>
      </c>
      <c r="B46" s="369" t="n"/>
      <c r="C46" s="369" t="n"/>
      <c r="D46" s="369" t="n"/>
      <c r="E46" s="369" t="n"/>
      <c r="F46" s="369" t="n"/>
      <c r="G46" s="369" t="n"/>
      <c r="H46" s="369" t="n"/>
      <c r="I46" s="369" t="n"/>
      <c r="J46" s="342" t="n"/>
      <c r="K46" s="342" t="n"/>
      <c r="L46" s="342" t="n"/>
      <c r="M46" s="342" t="n"/>
      <c r="N46" s="342" t="n"/>
    </row>
    <row r="47" ht="18" customHeight="1">
      <c r="A47" s="372" t="inlineStr">
        <is>
          <t>Versión: 04 (2026-02-12)</t>
        </is>
      </c>
      <c r="B47" s="342" t="n"/>
      <c r="C47" s="342" t="n"/>
      <c r="D47" s="342" t="n"/>
      <c r="E47" s="288" t="n"/>
      <c r="F47" s="372" t="inlineStr">
        <is>
          <t>Prohibido reproducir sin  autorización</t>
        </is>
      </c>
      <c r="G47" s="342" t="n"/>
      <c r="H47" s="342" t="n"/>
      <c r="I47" s="342" t="n"/>
      <c r="J47" s="342" t="n"/>
      <c r="K47" s="342" t="n"/>
      <c r="L47" s="342" t="n"/>
      <c r="M47" s="342" t="n"/>
      <c r="N47" s="342" t="n"/>
    </row>
    <row r="48" ht="8.25" customHeight="1">
      <c r="A48" s="288" t="n"/>
      <c r="B48" s="288" t="n"/>
      <c r="C48" s="288" t="n"/>
      <c r="D48" s="288" t="n"/>
      <c r="E48" s="288" t="n"/>
      <c r="F48" s="288" t="n"/>
      <c r="G48" s="288" t="n"/>
      <c r="H48" s="288" t="n"/>
      <c r="I48" s="288" t="n"/>
      <c r="J48" s="288" t="n"/>
      <c r="K48" s="288" t="n"/>
      <c r="L48" s="288" t="n"/>
      <c r="M48" s="288" t="n"/>
      <c r="N48" s="288" t="n"/>
    </row>
    <row r="49" ht="30.75" customHeight="1">
      <c r="A49" s="393" t="inlineStr">
        <is>
          <t>WEB: www.geofal.com.pe, E-MAIL: laboratorio@geofal.com.pe                                                                                                                                                                           Av. Marañon 763, Los Olivos-Lima / Teléfono: 01 522-1851</t>
        </is>
      </c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kGFq1o2+4sMRy0cFC5vQJA==" formatRows="1" sort="1" spinCount="100000" hashValue="w1vl+vEjAtd8PhMkrP3wy2fn0tyF73b+R9UYCJzZUsz+xBZyT1FXTpLlkkyENiLui5lLbEiRmQlWsxzqarVT9A=="/>
  <mergeCells count="39">
    <mergeCell ref="I30:J30"/>
    <mergeCell ref="G21:H21"/>
    <mergeCell ref="K32:M32"/>
    <mergeCell ref="G27:H27"/>
    <mergeCell ref="A15:N15"/>
    <mergeCell ref="K31:M31"/>
    <mergeCell ref="J45:L45"/>
    <mergeCell ref="G23:H23"/>
    <mergeCell ref="A49:N49"/>
    <mergeCell ref="H11:J11"/>
    <mergeCell ref="B32:E32"/>
    <mergeCell ref="B45:E45"/>
    <mergeCell ref="F30:G30"/>
    <mergeCell ref="E10:F10"/>
    <mergeCell ref="I27:N28"/>
    <mergeCell ref="A7:N7"/>
    <mergeCell ref="G19:H19"/>
    <mergeCell ref="F33:G33"/>
    <mergeCell ref="F32:G32"/>
    <mergeCell ref="J12:L12"/>
    <mergeCell ref="G18:H18"/>
    <mergeCell ref="B18:E18"/>
    <mergeCell ref="K10:M10"/>
    <mergeCell ref="G24:H24"/>
    <mergeCell ref="B12:E12"/>
    <mergeCell ref="E11:F11"/>
    <mergeCell ref="F12:I12"/>
    <mergeCell ref="F31:G31"/>
    <mergeCell ref="A14:N14"/>
    <mergeCell ref="G26:H26"/>
    <mergeCell ref="K17:L17"/>
    <mergeCell ref="K30:M30"/>
    <mergeCell ref="F45:I45"/>
    <mergeCell ref="A8:N8"/>
    <mergeCell ref="H10:J10"/>
    <mergeCell ref="G20:H20"/>
    <mergeCell ref="G25:H25"/>
    <mergeCell ref="G22:H22"/>
    <mergeCell ref="K11:M11"/>
  </mergeCells>
  <pageMargins left="0.7" right="0.7" top="0.75" bottom="0.75" header="0.3" footer="0.3"/>
  <pageSetup orientation="portrait" paperSize="9" scale="70" horizontalDpi="360" verticalDpi="3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 codeName="Hoja2">
    <outlinePr summaryBelow="1" summaryRight="1"/>
    <pageSetUpPr/>
  </sheetPr>
  <dimension ref="A1:P54"/>
  <sheetViews>
    <sheetView showGridLines="0" view="pageBreakPreview" topLeftCell="A16" zoomScaleNormal="100" zoomScaleSheetLayoutView="100" workbookViewId="0">
      <selection activeCell="L8" sqref="L8"/>
    </sheetView>
  </sheetViews>
  <sheetFormatPr baseColWidth="10" defaultColWidth="10.28515625" defaultRowHeight="14.25"/>
  <cols>
    <col width="1.85546875" customWidth="1" style="23" min="1" max="1"/>
    <col width="9" customWidth="1" style="23" min="2" max="2"/>
    <col width="2.85546875" customWidth="1" style="23" min="3" max="3"/>
    <col width="5.140625" customWidth="1" style="23" min="4" max="4"/>
    <col width="2.28515625" customWidth="1" style="23" min="5" max="5"/>
    <col width="10.85546875" customWidth="1" style="23" min="6" max="6"/>
    <col width="9.7109375" customWidth="1" style="23" min="7" max="7"/>
    <col width="8" customWidth="1" style="23" min="8" max="8"/>
    <col width="11.5703125" customWidth="1" style="23" min="9" max="9"/>
    <col width="9.7109375" customWidth="1" style="23" min="10" max="10"/>
    <col width="9.28515625" customWidth="1" style="23" min="11" max="11"/>
    <col width="13.28515625" customWidth="1" style="23" min="12" max="12"/>
    <col width="1" customWidth="1" style="23" min="13" max="13"/>
    <col width="13.5703125" customWidth="1" style="23" min="14" max="14"/>
    <col width="6.42578125" customWidth="1" style="23" min="15" max="16"/>
    <col width="10.28515625" customWidth="1" style="23" min="17" max="16384"/>
  </cols>
  <sheetData>
    <row r="1" ht="34.5" customHeight="1">
      <c r="A1" s="34" t="n"/>
      <c r="B1" s="34" t="n"/>
      <c r="C1" s="34" t="n"/>
      <c r="D1" s="34" t="n"/>
      <c r="E1" s="34" t="n"/>
      <c r="F1" s="34" t="n"/>
      <c r="G1" s="34" t="n"/>
      <c r="H1" s="34" t="n"/>
      <c r="I1" s="34" t="n"/>
      <c r="J1" s="34" t="n"/>
      <c r="K1" s="34" t="n"/>
      <c r="L1" s="34" t="n"/>
      <c r="M1" s="34" t="n"/>
      <c r="N1" s="34" t="n"/>
    </row>
    <row r="2" ht="15.95" customHeight="1">
      <c r="A2" s="417" t="inlineStr">
        <is>
          <t>LABORATORIO DE ENSAYO DE MATERIALES</t>
        </is>
      </c>
    </row>
    <row r="3" ht="15.95" customHeight="1">
      <c r="A3" s="519" t="n">
        <v>0</v>
      </c>
      <c r="B3" s="520" t="n"/>
      <c r="C3" s="520" t="n"/>
      <c r="D3" s="520" t="n"/>
      <c r="E3" s="520" t="n"/>
      <c r="F3" s="520" t="n"/>
      <c r="G3" s="520" t="n"/>
      <c r="H3" s="520" t="n"/>
      <c r="I3" s="520" t="n"/>
      <c r="J3" s="520" t="n"/>
      <c r="K3" s="520" t="n"/>
      <c r="L3" s="520" t="n"/>
      <c r="M3" s="520" t="n"/>
      <c r="N3" s="520" t="n"/>
    </row>
    <row r="4" ht="15.95" customHeight="1"/>
    <row r="5" ht="16.5" customHeight="1">
      <c r="A5" s="181" t="inlineStr">
        <is>
          <t>CLIENTE</t>
        </is>
      </c>
      <c r="B5" s="180" t="n"/>
      <c r="C5" s="66" t="inlineStr">
        <is>
          <t>:</t>
        </is>
      </c>
      <c r="D5" s="430">
        <f>+FORMATO!Q2</f>
        <v/>
      </c>
      <c r="E5" s="520" t="n"/>
      <c r="F5" s="520" t="n"/>
      <c r="G5" s="520" t="n"/>
      <c r="H5" s="520" t="n"/>
      <c r="I5" s="520" t="n"/>
      <c r="J5" s="520" t="n"/>
      <c r="K5" s="520" t="n"/>
      <c r="L5" s="179" t="inlineStr">
        <is>
          <t xml:space="preserve">                 CÓDIGO</t>
        </is>
      </c>
      <c r="M5" s="72" t="inlineStr">
        <is>
          <t>:</t>
        </is>
      </c>
      <c r="N5" s="67" t="inlineStr">
        <is>
          <t>F-LEM-P-AG.20.02</t>
        </is>
      </c>
    </row>
    <row r="6" ht="16.5" customHeight="1">
      <c r="A6" s="181" t="inlineStr">
        <is>
          <t>DIRECCIÓN **</t>
        </is>
      </c>
      <c r="B6" s="180" t="n"/>
      <c r="C6" s="66" t="inlineStr">
        <is>
          <t>:</t>
        </is>
      </c>
      <c r="D6" s="430">
        <f>+FORMATO!Q3</f>
        <v/>
      </c>
      <c r="E6" s="520" t="n"/>
      <c r="F6" s="520" t="n"/>
      <c r="G6" s="520" t="n"/>
      <c r="H6" s="520" t="n"/>
      <c r="I6" s="520" t="n"/>
      <c r="J6" s="520" t="n"/>
      <c r="K6" s="520" t="n"/>
      <c r="L6" s="390" t="inlineStr">
        <is>
          <t>RECEPCIÓN N°</t>
        </is>
      </c>
      <c r="M6" s="66" t="inlineStr">
        <is>
          <t>:</t>
        </is>
      </c>
      <c r="N6" s="521">
        <f>+FORMATO!Q7</f>
        <v/>
      </c>
      <c r="O6" s="24" t="n"/>
      <c r="P6" s="24" t="n"/>
    </row>
    <row r="7" ht="16.5" customHeight="1">
      <c r="A7" s="181" t="inlineStr">
        <is>
          <t>PROYECTO **</t>
        </is>
      </c>
      <c r="B7" s="180" t="n"/>
      <c r="C7" s="66" t="inlineStr">
        <is>
          <t>:</t>
        </is>
      </c>
      <c r="D7" s="430">
        <f>+FORMATO!Q4</f>
        <v/>
      </c>
      <c r="E7" s="520" t="n"/>
      <c r="F7" s="520" t="n"/>
      <c r="G7" s="520" t="n"/>
      <c r="H7" s="520" t="n"/>
      <c r="I7" s="520" t="n"/>
      <c r="J7" s="520" t="n"/>
      <c r="K7" s="520" t="n"/>
      <c r="L7" s="179" t="inlineStr">
        <is>
          <t>OT N°</t>
        </is>
      </c>
      <c r="M7" s="66" t="inlineStr">
        <is>
          <t>:</t>
        </is>
      </c>
      <c r="N7" s="521">
        <f>+FORMATO!Q9</f>
        <v/>
      </c>
      <c r="O7" s="24" t="n"/>
      <c r="P7" s="24" t="n"/>
    </row>
    <row r="8" ht="18.6" customHeight="1">
      <c r="A8" s="181" t="inlineStr">
        <is>
          <t>UBICACIÓN **</t>
        </is>
      </c>
      <c r="B8" s="180" t="n"/>
      <c r="C8" s="66" t="inlineStr">
        <is>
          <t>:</t>
        </is>
      </c>
      <c r="D8" s="430">
        <f>+FORMATO!Q5</f>
        <v/>
      </c>
      <c r="E8" s="520" t="n"/>
      <c r="F8" s="520" t="n"/>
      <c r="G8" s="520" t="n"/>
      <c r="H8" s="520" t="n"/>
      <c r="I8" s="520" t="n"/>
      <c r="J8" s="520" t="n"/>
      <c r="K8" s="520" t="n"/>
      <c r="L8" s="390" t="inlineStr">
        <is>
          <t>FECHA EMISIÓN</t>
        </is>
      </c>
      <c r="M8" s="66" t="inlineStr">
        <is>
          <t>:</t>
        </is>
      </c>
      <c r="N8" s="522">
        <f>+FORMATO!Q8</f>
        <v/>
      </c>
      <c r="O8" s="24" t="n"/>
      <c r="P8" s="24" t="n"/>
    </row>
    <row r="9" ht="16.5" customHeight="1">
      <c r="A9" s="176" t="inlineStr">
        <is>
          <t>** Datos proporcionados por el cliente</t>
        </is>
      </c>
      <c r="B9" s="102" t="n"/>
      <c r="C9" s="102" t="n"/>
      <c r="D9" s="175" t="n"/>
      <c r="E9" s="175" t="n"/>
      <c r="F9" s="175" t="n"/>
      <c r="G9" s="175" t="n"/>
      <c r="H9" s="175" t="n"/>
      <c r="I9" s="175" t="n"/>
      <c r="J9" s="175" t="n"/>
      <c r="K9" s="175" t="n"/>
      <c r="L9" s="175" t="n"/>
      <c r="M9" s="36" t="n"/>
      <c r="N9" s="27" t="n"/>
      <c r="O9" s="24" t="n"/>
      <c r="P9" s="24" t="n"/>
    </row>
    <row r="10" ht="16.5" customHeight="1">
      <c r="A10" s="523" t="inlineStr">
        <is>
          <t>Standard Test Method for Total Evaporable Moisture Content of Aggregate by Drying</t>
        </is>
      </c>
      <c r="B10" s="524" t="n"/>
      <c r="C10" s="524" t="n"/>
      <c r="D10" s="524" t="n"/>
      <c r="E10" s="524" t="n"/>
      <c r="F10" s="524" t="n"/>
      <c r="G10" s="524" t="n"/>
      <c r="H10" s="524" t="n"/>
      <c r="I10" s="524" t="n"/>
      <c r="J10" s="524" t="n"/>
      <c r="K10" s="524" t="n"/>
      <c r="L10" s="524" t="n"/>
      <c r="M10" s="524" t="n"/>
      <c r="N10" s="525" t="n"/>
      <c r="O10" s="24" t="n"/>
      <c r="P10" s="24" t="n"/>
    </row>
    <row r="11" ht="16.5" customHeight="1">
      <c r="A11" s="526" t="inlineStr">
        <is>
          <t>ASTM C566-25</t>
        </is>
      </c>
      <c r="B11" s="527" t="n"/>
      <c r="C11" s="527" t="n"/>
      <c r="D11" s="527" t="n"/>
      <c r="E11" s="527" t="n"/>
      <c r="F11" s="527" t="n"/>
      <c r="G11" s="527" t="n"/>
      <c r="H11" s="527" t="n"/>
      <c r="I11" s="527" t="n"/>
      <c r="J11" s="527" t="n"/>
      <c r="K11" s="527" t="n"/>
      <c r="L11" s="527" t="n"/>
      <c r="M11" s="527" t="n"/>
      <c r="N11" s="528" t="n"/>
      <c r="O11" s="24" t="n"/>
      <c r="P11" s="24" t="n"/>
    </row>
    <row r="12" ht="11.25" customHeight="1">
      <c r="A12" s="37" t="n"/>
      <c r="B12" s="38" t="n"/>
      <c r="C12" s="38" t="n"/>
      <c r="D12" s="38" t="n"/>
      <c r="E12" s="38" t="n"/>
      <c r="F12" s="68" t="n"/>
      <c r="G12" s="68" t="n"/>
      <c r="H12" s="68" t="n"/>
      <c r="I12" s="68" t="n"/>
      <c r="J12" s="68" t="n"/>
      <c r="K12" s="68" t="n"/>
      <c r="L12" s="69" t="n"/>
      <c r="M12" s="70" t="n"/>
      <c r="N12" s="71" t="n"/>
      <c r="O12" s="24" t="n"/>
      <c r="P12" s="24" t="n"/>
    </row>
    <row r="13" ht="16.5" customHeight="1">
      <c r="A13" s="39" t="inlineStr">
        <is>
          <t>DATOS DE LA MUESTRA</t>
        </is>
      </c>
      <c r="B13" s="268" t="n"/>
      <c r="C13" s="268" t="n"/>
      <c r="D13" s="268" t="n"/>
      <c r="E13" s="269" t="n"/>
      <c r="F13" s="270" t="n"/>
      <c r="G13" s="270" t="n"/>
      <c r="H13" s="270" t="n"/>
      <c r="I13" s="270" t="n"/>
      <c r="J13" s="270" t="n"/>
      <c r="K13" s="270" t="n"/>
      <c r="L13" s="271" t="n"/>
      <c r="M13" s="270" t="n"/>
      <c r="N13" s="529" t="n"/>
      <c r="P13" s="24" t="n"/>
    </row>
    <row r="14" ht="16.5" customHeight="1">
      <c r="A14" s="40" t="inlineStr">
        <is>
          <t>CANTERA / SONDAJE **</t>
        </is>
      </c>
      <c r="B14" s="272" t="n"/>
      <c r="C14" s="272" t="n"/>
      <c r="D14" s="272" t="n"/>
      <c r="E14" s="36" t="inlineStr">
        <is>
          <t>:</t>
        </is>
      </c>
      <c r="F14" s="384">
        <f>+FORMATO!Q15</f>
        <v/>
      </c>
      <c r="G14" s="273" t="n"/>
      <c r="I14" s="22" t="n"/>
      <c r="J14" s="22" t="n"/>
      <c r="K14" s="35" t="n"/>
      <c r="L14" s="274" t="inlineStr">
        <is>
          <t>CÓDIGO DE LA MUESTRA</t>
        </is>
      </c>
      <c r="M14" s="275" t="inlineStr">
        <is>
          <t>:</t>
        </is>
      </c>
      <c r="N14" s="530">
        <f>+FORMATO!Q11</f>
        <v/>
      </c>
      <c r="P14" s="24" t="n"/>
    </row>
    <row r="15" ht="16.5" customHeight="1">
      <c r="A15" s="40" t="inlineStr">
        <is>
          <t>N° MUESTRA **</t>
        </is>
      </c>
      <c r="B15" s="272" t="n"/>
      <c r="C15" s="272" t="n"/>
      <c r="D15" s="272" t="n"/>
      <c r="E15" s="36" t="inlineStr">
        <is>
          <t>:</t>
        </is>
      </c>
      <c r="F15" s="429">
        <f>+FORMATO!Q16</f>
        <v/>
      </c>
      <c r="G15" s="273" t="n"/>
      <c r="I15" s="22" t="n"/>
      <c r="J15" s="22" t="n"/>
      <c r="K15" s="35" t="n"/>
      <c r="L15" s="274" t="inlineStr">
        <is>
          <t>FECHA DE RECEPCIÓN</t>
        </is>
      </c>
      <c r="M15" s="275" t="inlineStr">
        <is>
          <t>:</t>
        </is>
      </c>
      <c r="N15" s="531">
        <f>+FORMATO!Q12</f>
        <v/>
      </c>
      <c r="P15" s="24" t="n"/>
    </row>
    <row r="16" ht="16.5" customHeight="1">
      <c r="A16" s="40" t="inlineStr">
        <is>
          <t>TIPO DE MUESTRA</t>
        </is>
      </c>
      <c r="B16" s="272" t="n"/>
      <c r="C16" s="272" t="n"/>
      <c r="D16" s="272" t="n"/>
      <c r="E16" s="36" t="inlineStr">
        <is>
          <t>:</t>
        </is>
      </c>
      <c r="F16" s="429">
        <f>+FORMATO!Q17</f>
        <v/>
      </c>
      <c r="G16" s="520" t="n"/>
      <c r="H16" s="22" t="n"/>
      <c r="I16" s="22" t="n"/>
      <c r="J16" s="22" t="n"/>
      <c r="K16" s="35" t="n"/>
      <c r="L16" s="274" t="inlineStr">
        <is>
          <t>FECHA DE EJECUCIÓN</t>
        </is>
      </c>
      <c r="M16" s="275" t="inlineStr">
        <is>
          <t>:</t>
        </is>
      </c>
      <c r="N16" s="531">
        <f>+FORMATO!Q13</f>
        <v/>
      </c>
      <c r="O16" s="23">
        <f>+FORMATO!H11</f>
        <v/>
      </c>
      <c r="P16" s="24" t="n"/>
    </row>
    <row r="17" ht="16.5" customHeight="1">
      <c r="A17" s="40" t="inlineStr">
        <is>
          <t>LUGAR DE ENSAYO</t>
        </is>
      </c>
      <c r="B17" s="272" t="n"/>
      <c r="C17" s="272" t="n"/>
      <c r="D17" s="272" t="n"/>
      <c r="E17" s="36" t="inlineStr">
        <is>
          <t>:</t>
        </is>
      </c>
      <c r="F17" s="276" t="inlineStr">
        <is>
          <t>Laboratorio de ensayo de Materiales</t>
        </is>
      </c>
      <c r="G17" s="276" t="n"/>
      <c r="H17" s="276" t="n"/>
      <c r="I17" s="276" t="n"/>
      <c r="J17" s="276" t="n"/>
      <c r="K17" s="35" t="n"/>
      <c r="L17" s="274" t="n"/>
      <c r="M17" s="275" t="n"/>
      <c r="N17" s="532" t="n"/>
      <c r="P17" s="24" t="n"/>
    </row>
    <row r="18" ht="8.25" customHeight="1">
      <c r="A18" s="41" t="n"/>
      <c r="B18" s="103" t="n"/>
      <c r="C18" s="103" t="n"/>
      <c r="D18" s="103" t="n"/>
      <c r="E18" s="42" t="n"/>
      <c r="F18" s="28" t="n"/>
      <c r="G18" s="29" t="n"/>
      <c r="H18" s="29" t="n"/>
      <c r="I18" s="29" t="n"/>
      <c r="J18" s="29" t="n"/>
      <c r="K18" s="29" t="n"/>
      <c r="L18" s="29" t="n"/>
      <c r="M18" s="29" t="n"/>
      <c r="N18" s="30" t="n"/>
      <c r="P18" s="24" t="n"/>
    </row>
    <row r="19" ht="16.5" customHeight="1">
      <c r="A19" s="44" t="n"/>
      <c r="B19" s="420" t="n"/>
      <c r="C19" s="420" t="n"/>
      <c r="D19" s="420" t="n"/>
      <c r="E19" s="420" t="n"/>
      <c r="G19" s="420" t="n"/>
      <c r="H19" s="420" t="n"/>
      <c r="I19" s="420" t="n"/>
      <c r="J19" s="420" t="n"/>
      <c r="K19" s="420" t="n"/>
      <c r="L19" s="420" t="n"/>
      <c r="N19" s="45" t="n"/>
      <c r="O19" s="24" t="n"/>
      <c r="P19" s="31" t="n"/>
    </row>
    <row r="20" ht="16.5" customHeight="1">
      <c r="A20" s="44" t="n"/>
      <c r="B20" s="420" t="n"/>
      <c r="C20" s="420" t="n"/>
      <c r="D20" s="420" t="n"/>
      <c r="E20" s="420" t="n"/>
      <c r="F20" s="428" t="inlineStr">
        <is>
          <t>Descripción</t>
        </is>
      </c>
      <c r="G20" s="495" t="n"/>
      <c r="H20" s="495" t="n"/>
      <c r="I20" s="494" t="n"/>
      <c r="J20" s="428" t="inlineStr">
        <is>
          <t>Und</t>
        </is>
      </c>
      <c r="K20" s="428" t="inlineStr">
        <is>
          <t>Datos</t>
        </is>
      </c>
      <c r="L20" s="420" t="n"/>
      <c r="M20" s="420" t="n"/>
      <c r="N20" s="45" t="n"/>
      <c r="O20" s="24" t="n"/>
      <c r="P20" s="31" t="n"/>
    </row>
    <row r="21" ht="20.25" customHeight="1">
      <c r="A21" s="46" t="n"/>
      <c r="B21" s="35" t="n"/>
      <c r="C21" s="35" t="n"/>
      <c r="D21" s="35" t="n"/>
      <c r="E21" s="35" t="n"/>
      <c r="F21" s="533" t="inlineStr">
        <is>
          <t>N° de ensayo</t>
        </is>
      </c>
      <c r="G21" s="495" t="n"/>
      <c r="H21" s="495" t="n"/>
      <c r="I21" s="494" t="n"/>
      <c r="J21" s="534" t="inlineStr">
        <is>
          <t>N°</t>
        </is>
      </c>
      <c r="K21" s="535">
        <f>+'Datos ensayo'!D13</f>
        <v/>
      </c>
      <c r="L21" s="421" t="n"/>
      <c r="N21" s="49" t="n"/>
      <c r="O21" s="24" t="n"/>
      <c r="P21" s="32" t="n"/>
    </row>
    <row r="22" ht="20.25" customHeight="1">
      <c r="A22" s="46" t="n"/>
      <c r="B22" s="35" t="n"/>
      <c r="C22" s="35" t="n"/>
      <c r="D22" s="35" t="n"/>
      <c r="E22" s="35" t="n"/>
      <c r="F22" s="533" t="inlineStr">
        <is>
          <t>Recipiente Nº</t>
        </is>
      </c>
      <c r="G22" s="495" t="n"/>
      <c r="H22" s="495" t="n"/>
      <c r="I22" s="494" t="n"/>
      <c r="J22" s="534" t="inlineStr">
        <is>
          <t>N°</t>
        </is>
      </c>
      <c r="K22" s="50">
        <f>+'Datos ensayo'!D14</f>
        <v/>
      </c>
      <c r="L22" s="421" t="n"/>
      <c r="N22" s="49" t="n"/>
      <c r="O22" s="24" t="n"/>
      <c r="P22" s="32" t="n"/>
    </row>
    <row r="23" ht="20.25" customHeight="1">
      <c r="A23" s="46" t="n"/>
      <c r="B23" s="35" t="n"/>
      <c r="C23" s="35" t="n"/>
      <c r="D23" s="35" t="n"/>
      <c r="E23" s="35" t="n"/>
      <c r="F23" s="533" t="inlineStr">
        <is>
          <t>Masa de recipiente + muestra húmedo</t>
        </is>
      </c>
      <c r="G23" s="495" t="n"/>
      <c r="H23" s="495" t="n"/>
      <c r="I23" s="494" t="n"/>
      <c r="J23" s="534" t="inlineStr">
        <is>
          <t>g</t>
        </is>
      </c>
      <c r="K23" s="536">
        <f>+'Datos ensayo'!E15</f>
        <v/>
      </c>
      <c r="L23" s="537" t="n"/>
      <c r="N23" s="52" t="n"/>
      <c r="O23" s="33" t="n"/>
      <c r="P23" s="32" t="n"/>
    </row>
    <row r="24" ht="20.25" customHeight="1">
      <c r="A24" s="46" t="n"/>
      <c r="B24" s="35" t="n"/>
      <c r="C24" s="35" t="n"/>
      <c r="D24" s="35" t="n"/>
      <c r="E24" s="35" t="n"/>
      <c r="F24" s="533" t="inlineStr">
        <is>
          <t xml:space="preserve">Masa de recipiente + muestra seca </t>
        </is>
      </c>
      <c r="G24" s="495" t="n"/>
      <c r="H24" s="495" t="n"/>
      <c r="I24" s="494" t="n"/>
      <c r="J24" s="534" t="inlineStr">
        <is>
          <t>g</t>
        </is>
      </c>
      <c r="K24" s="536">
        <f>+'Datos ensayo'!E17</f>
        <v/>
      </c>
      <c r="L24" s="53" t="n"/>
      <c r="M24" s="53" t="n"/>
      <c r="N24" s="54" t="n"/>
      <c r="O24" s="24" t="n"/>
      <c r="P24" s="24" t="n"/>
    </row>
    <row r="25" ht="20.25" customHeight="1">
      <c r="A25" s="46" t="n"/>
      <c r="B25" s="35" t="n"/>
      <c r="C25" s="35" t="n"/>
      <c r="D25" s="35" t="n"/>
      <c r="E25" s="35" t="n"/>
      <c r="F25" s="533" t="inlineStr">
        <is>
          <t>Masa de agua</t>
        </is>
      </c>
      <c r="G25" s="495" t="n"/>
      <c r="H25" s="495" t="n"/>
      <c r="I25" s="494" t="n"/>
      <c r="J25" s="534" t="inlineStr">
        <is>
          <t>g</t>
        </is>
      </c>
      <c r="K25" s="538">
        <f>+'Datos ensayo'!E19</f>
        <v/>
      </c>
      <c r="L25" s="53" t="n"/>
      <c r="M25" s="53" t="n"/>
      <c r="N25" s="54" t="n"/>
      <c r="O25" s="24" t="n"/>
      <c r="P25" s="24" t="n"/>
    </row>
    <row r="26" ht="20.25" customHeight="1">
      <c r="A26" s="46" t="n"/>
      <c r="B26" s="35" t="n"/>
      <c r="C26" s="35" t="n"/>
      <c r="D26" s="35" t="n"/>
      <c r="E26" s="35" t="n"/>
      <c r="F26" s="533" t="inlineStr">
        <is>
          <t>Masa de recipiente</t>
        </is>
      </c>
      <c r="G26" s="495" t="n"/>
      <c r="H26" s="495" t="n"/>
      <c r="I26" s="494" t="n"/>
      <c r="J26" s="534" t="inlineStr">
        <is>
          <t>g</t>
        </is>
      </c>
      <c r="K26" s="536">
        <f>+'Datos ensayo'!E18</f>
        <v/>
      </c>
      <c r="L26" s="53" t="n"/>
      <c r="M26" s="53" t="n"/>
      <c r="N26" s="54" t="n"/>
      <c r="O26" s="24" t="n"/>
      <c r="P26" s="24" t="n"/>
    </row>
    <row r="27" ht="20.25" customHeight="1">
      <c r="A27" s="46" t="n"/>
      <c r="B27" s="35" t="n"/>
      <c r="C27" s="35" t="n"/>
      <c r="D27" s="35" t="n"/>
      <c r="E27" s="35" t="n"/>
      <c r="F27" s="533" t="inlineStr">
        <is>
          <t>Masa de muestra seca</t>
        </is>
      </c>
      <c r="G27" s="495" t="n"/>
      <c r="H27" s="495" t="n"/>
      <c r="I27" s="494" t="n"/>
      <c r="J27" s="534" t="inlineStr">
        <is>
          <t>g</t>
        </is>
      </c>
      <c r="K27" s="538">
        <f>+'Datos ensayo'!E20</f>
        <v/>
      </c>
      <c r="L27" s="53" t="n"/>
      <c r="M27" s="53" t="n"/>
      <c r="N27" s="54" t="n"/>
      <c r="O27" s="24" t="n"/>
      <c r="P27" s="24" t="n"/>
    </row>
    <row r="28" ht="20.25" customHeight="1">
      <c r="A28" s="46" t="n"/>
      <c r="B28" s="35" t="n"/>
      <c r="C28" s="35" t="n"/>
      <c r="D28" s="35" t="n"/>
      <c r="E28" s="35" t="n"/>
      <c r="F28" s="533" t="inlineStr">
        <is>
          <t>Contenido de Humedad de la muestra*</t>
        </is>
      </c>
      <c r="G28" s="495" t="n"/>
      <c r="H28" s="495" t="n"/>
      <c r="I28" s="494" t="n"/>
      <c r="J28" s="534" t="inlineStr">
        <is>
          <t>%</t>
        </is>
      </c>
      <c r="K28" s="538">
        <f>+'Datos ensayo'!E21</f>
        <v/>
      </c>
      <c r="L28" s="53" t="n"/>
      <c r="M28" s="53" t="n"/>
      <c r="N28" s="54" t="n"/>
      <c r="O28" s="24" t="n"/>
      <c r="P28" s="24" t="n"/>
    </row>
    <row r="29" ht="16.5" customHeight="1">
      <c r="A29" s="56" t="n"/>
      <c r="B29" s="59" t="n"/>
      <c r="C29" s="59" t="n"/>
      <c r="D29" s="59" t="n"/>
      <c r="E29" s="43" t="n"/>
      <c r="F29" s="57" t="n"/>
      <c r="G29" s="58" t="n"/>
      <c r="H29" s="43" t="n"/>
      <c r="I29" s="43" t="n"/>
      <c r="J29" s="59" t="n"/>
      <c r="K29" s="59" t="n"/>
      <c r="L29" s="59" t="n"/>
      <c r="M29" s="59" t="n"/>
      <c r="N29" s="60" t="n"/>
      <c r="O29" s="24" t="n"/>
      <c r="P29" s="24" t="n"/>
    </row>
    <row r="30" ht="9" customHeight="1">
      <c r="A30" s="35" t="n"/>
      <c r="B30" s="35" t="n"/>
      <c r="C30" s="35" t="n"/>
      <c r="D30" s="35" t="n"/>
      <c r="E30" s="35" t="n"/>
      <c r="F30" s="539" t="n"/>
      <c r="J30" s="540" t="n"/>
      <c r="K30" s="541" t="n"/>
      <c r="L30" s="53" t="n"/>
      <c r="M30" s="53" t="n"/>
      <c r="N30" s="53" t="n"/>
      <c r="O30" s="24" t="n"/>
      <c r="P30" s="24" t="n"/>
    </row>
    <row r="31" ht="15" customHeight="1">
      <c r="A31" s="165" t="inlineStr">
        <is>
          <t xml:space="preserve">Condiciones del ensayo </t>
        </is>
      </c>
      <c r="B31" s="166" t="n"/>
      <c r="C31" s="166" t="n"/>
      <c r="D31" s="167" t="n"/>
      <c r="E31" s="168" t="n"/>
      <c r="F31" s="167" t="n"/>
      <c r="G31" s="169" t="n"/>
      <c r="H31" s="539" t="n"/>
      <c r="I31" s="539" t="n"/>
      <c r="J31" s="540" t="n"/>
      <c r="K31" s="541" t="n"/>
      <c r="L31" s="53" t="n"/>
      <c r="M31" s="53" t="n"/>
      <c r="N31" s="53" t="n"/>
      <c r="O31" s="24" t="n"/>
      <c r="P31" s="24" t="n"/>
    </row>
    <row r="32" ht="18" customHeight="1">
      <c r="A32" s="172" t="inlineStr">
        <is>
          <t>- Se excluyó algún material de la muestra de ensayo (Si/No)</t>
        </is>
      </c>
      <c r="B32" s="170" t="n"/>
      <c r="C32" s="170" t="n"/>
      <c r="D32" s="170" t="n"/>
      <c r="E32" s="170" t="n"/>
      <c r="F32" s="171" t="n"/>
      <c r="H32" s="539" t="n"/>
      <c r="I32" s="173">
        <f>+FORMATO!F33</f>
        <v/>
      </c>
      <c r="K32" s="541" t="n"/>
      <c r="L32" s="53" t="n"/>
      <c r="M32" s="53" t="n"/>
      <c r="N32" s="53" t="n"/>
      <c r="O32" s="24" t="n"/>
      <c r="P32" s="24" t="n"/>
    </row>
    <row r="33" ht="9" customHeight="1">
      <c r="A33" s="172" t="n"/>
      <c r="B33" s="170" t="n"/>
      <c r="C33" s="170" t="n"/>
      <c r="D33" s="170" t="n"/>
      <c r="E33" s="170" t="n"/>
      <c r="F33" s="171" t="n"/>
      <c r="H33" s="539" t="n"/>
      <c r="I33" s="222" t="n"/>
      <c r="K33" s="541" t="n"/>
      <c r="L33" s="53" t="n"/>
      <c r="M33" s="53" t="n"/>
      <c r="N33" s="53" t="n"/>
      <c r="O33" s="24" t="n"/>
      <c r="P33" s="24" t="n"/>
    </row>
    <row r="34" ht="19.5" customHeight="1">
      <c r="A34" s="165" t="inlineStr">
        <is>
          <t>Descripción de la muestra:</t>
        </is>
      </c>
      <c r="B34" s="170" t="n"/>
      <c r="C34" s="170" t="n"/>
      <c r="D34" s="170" t="n"/>
      <c r="E34" s="170" t="n"/>
      <c r="F34" s="171" t="n"/>
      <c r="H34" s="539" t="n"/>
      <c r="I34" s="222" t="n"/>
      <c r="K34" s="541" t="n"/>
      <c r="L34" s="53" t="n"/>
      <c r="M34" s="53" t="n"/>
      <c r="N34" s="53" t="n"/>
      <c r="O34" s="24" t="n"/>
      <c r="P34" s="24" t="n"/>
    </row>
    <row r="35" ht="18" customHeight="1">
      <c r="A35" s="170" t="inlineStr">
        <is>
          <t>Tamaño máximo nominal (in)</t>
        </is>
      </c>
      <c r="B35" s="170" t="n"/>
      <c r="C35" s="170" t="n"/>
      <c r="D35" s="170" t="n"/>
      <c r="E35" s="170" t="n"/>
      <c r="F35" s="171" t="n"/>
      <c r="H35" s="539" t="n"/>
      <c r="I35" s="173">
        <f>+'Datos ensayo'!I14</f>
        <v/>
      </c>
      <c r="K35" s="541" t="n"/>
      <c r="L35" s="53" t="n"/>
      <c r="M35" s="53" t="n"/>
      <c r="N35" s="53" t="n"/>
      <c r="O35" s="24" t="n"/>
      <c r="P35" s="24" t="n"/>
    </row>
    <row r="36" ht="18" customHeight="1">
      <c r="A36" s="170" t="inlineStr">
        <is>
          <t>Forma de la particula</t>
        </is>
      </c>
      <c r="B36" s="35" t="n"/>
      <c r="C36" s="35" t="n"/>
      <c r="D36" s="35" t="n"/>
      <c r="E36" s="35" t="n"/>
      <c r="F36" s="539" t="n"/>
      <c r="G36" s="539" t="n"/>
      <c r="H36" s="539" t="n"/>
      <c r="I36" s="535">
        <f>+'Datos ensayo'!I15</f>
        <v/>
      </c>
      <c r="J36" s="540" t="n"/>
      <c r="K36" s="541" t="n"/>
      <c r="L36" s="53" t="n"/>
      <c r="M36" s="53" t="n"/>
      <c r="N36" s="53" t="n"/>
      <c r="O36" s="24" t="n"/>
      <c r="P36" s="24" t="n"/>
    </row>
    <row r="37" ht="9" customHeight="1">
      <c r="A37" s="170" t="n"/>
      <c r="B37" s="35" t="n"/>
      <c r="C37" s="35" t="n"/>
      <c r="D37" s="35" t="n"/>
      <c r="E37" s="35" t="n"/>
      <c r="F37" s="539" t="n"/>
      <c r="G37" s="539" t="n"/>
      <c r="H37" s="539" t="n"/>
      <c r="I37" s="539" t="n"/>
      <c r="J37" s="540" t="n"/>
      <c r="K37" s="541" t="n"/>
      <c r="L37" s="53" t="n"/>
      <c r="M37" s="53" t="n"/>
      <c r="N37" s="53" t="n"/>
      <c r="O37" s="24" t="n"/>
      <c r="P37" s="24" t="n"/>
    </row>
    <row r="38" ht="15" customHeight="1">
      <c r="A38" s="165" t="inlineStr">
        <is>
          <t>Nota:</t>
        </is>
      </c>
      <c r="B38" s="75" t="n"/>
      <c r="C38" s="63" t="n"/>
      <c r="D38" s="63" t="n"/>
      <c r="E38" s="63" t="n"/>
      <c r="F38" s="53" t="n"/>
      <c r="G38" s="53" t="n"/>
      <c r="H38" s="64" t="n"/>
      <c r="I38" s="35" t="n"/>
      <c r="J38" s="35" t="n"/>
      <c r="K38" s="35" t="n"/>
      <c r="L38" s="35" t="n"/>
      <c r="O38" s="24" t="n"/>
      <c r="P38" s="24" t="n"/>
    </row>
    <row r="39" ht="15.75" customHeight="1">
      <c r="A39" s="436" t="inlineStr">
        <is>
          <t>- El cliente es responsable de los datos de identificación de los puntos de ensayo brindados.</t>
        </is>
      </c>
      <c r="O39" s="24" t="n"/>
      <c r="P39" s="24" t="n"/>
    </row>
    <row r="40" ht="28.9" customHeight="1">
      <c r="A40" s="434" t="inlineStr">
        <is>
          <t>- Los resultados expresados se refieren únicamente al ensayo realizado en dicho momento y en las condiciones especificadas en este documento, por lo que GEOFAL S.A.C. no será responsable por los ensayos realizados con la presente muestra en condiciones distintas a las aquí señaladas.</t>
        </is>
      </c>
    </row>
    <row r="41" ht="19.15" customHeight="1">
      <c r="A41" s="434" t="inlineStr">
        <is>
          <t>- GEOFAL S.A.C. no se hace responsable por el uso incorrecto o inadecuado del presente informe.</t>
        </is>
      </c>
    </row>
    <row r="42" ht="27" customHeight="1">
      <c r="A42" s="434" t="inlineStr">
        <is>
          <t>- Los resultados de los ensayos realizados no deben ser utilizados como una certificación de conformidad con normas de producto o como certificado del sistema de calidad de la entidad que lo produce.</t>
        </is>
      </c>
    </row>
    <row r="43" ht="23.25" customHeight="1">
      <c r="A43" s="435" t="inlineStr">
        <is>
          <t>- De conformidad con lo dispuesto por el artículo 1321 del Código Civil, queda establecido que en ningún caso la responsabilidad de GEOFAL S.A.C. será mayor al valor del servicio prestado.</t>
        </is>
      </c>
    </row>
    <row r="44" ht="9" customHeight="1">
      <c r="B44" s="76" t="n"/>
      <c r="C44" s="74" t="n"/>
      <c r="D44" s="74" t="n"/>
      <c r="E44" s="74" t="n"/>
      <c r="F44" s="74" t="n"/>
      <c r="G44" s="74" t="n"/>
      <c r="H44" s="74" t="n"/>
      <c r="I44" s="74" t="n"/>
      <c r="J44" s="74" t="n"/>
      <c r="K44" s="74" t="n"/>
      <c r="L44" s="74" t="n"/>
    </row>
    <row r="45" ht="15" customHeight="1">
      <c r="A45" s="165" t="inlineStr">
        <is>
          <t>Observaciones:</t>
        </is>
      </c>
      <c r="B45" s="76" t="n"/>
      <c r="C45" s="174" t="n"/>
      <c r="D45" s="182" t="n"/>
      <c r="E45" s="182" t="n"/>
      <c r="F45" s="182" t="n"/>
      <c r="G45" s="182" t="n"/>
      <c r="H45" s="182" t="n"/>
      <c r="I45" s="182" t="n"/>
      <c r="J45" s="182" t="n"/>
      <c r="K45" s="182" t="n"/>
      <c r="L45" s="182" t="n"/>
      <c r="M45" s="182" t="n"/>
      <c r="N45" s="182" t="n"/>
    </row>
    <row r="46" ht="60.75" customHeight="1">
      <c r="D46" s="35" t="n"/>
      <c r="E46" s="35" t="n"/>
      <c r="F46" s="35" t="n"/>
      <c r="G46" s="35" t="n"/>
      <c r="H46" s="35" t="n"/>
      <c r="I46" s="35" t="n"/>
      <c r="J46" s="35" t="n"/>
    </row>
    <row r="47" ht="15" customHeight="1">
      <c r="D47" s="35" t="n"/>
      <c r="E47" s="35" t="n"/>
      <c r="F47" s="35" t="n"/>
      <c r="G47" s="35" t="n"/>
      <c r="H47" s="35" t="n"/>
      <c r="I47" s="35" t="n"/>
      <c r="J47" s="35" t="n"/>
      <c r="K47" s="431" t="n"/>
    </row>
    <row r="48" ht="15" customHeight="1">
      <c r="A48" s="64" t="n"/>
      <c r="D48" s="35" t="n"/>
      <c r="E48" s="35" t="n"/>
      <c r="F48" s="35" t="n"/>
      <c r="G48" s="35" t="n"/>
      <c r="H48" s="35" t="n"/>
      <c r="I48" s="35" t="n"/>
      <c r="J48" s="35" t="n"/>
    </row>
    <row r="49" ht="12.75" customHeight="1">
      <c r="A49" s="64" t="inlineStr">
        <is>
          <t>Página 1 de 1</t>
        </is>
      </c>
      <c r="D49" s="35" t="n"/>
      <c r="E49" s="35" t="n"/>
      <c r="F49" s="35" t="n"/>
      <c r="G49" s="35" t="n"/>
      <c r="H49" s="35" t="n"/>
      <c r="I49" s="35" t="n"/>
      <c r="J49" s="35" t="n"/>
    </row>
    <row r="50" ht="13.5" customHeight="1">
      <c r="A50" s="64" t="inlineStr">
        <is>
          <t>Versión: 08 (2026-06-15)</t>
        </is>
      </c>
      <c r="B50" s="76" t="n"/>
      <c r="C50" s="76" t="n"/>
      <c r="D50" s="35" t="n"/>
      <c r="E50" s="35" t="n"/>
      <c r="F50" s="35" t="n"/>
      <c r="G50" s="35" t="n"/>
      <c r="H50" s="35" t="n"/>
      <c r="I50" s="35" t="n"/>
      <c r="J50" s="35" t="n"/>
      <c r="K50" s="431" t="inlineStr">
        <is>
          <t>Fin del Informe</t>
        </is>
      </c>
    </row>
    <row r="51" ht="15" customHeight="1">
      <c r="A51" s="64" t="n"/>
      <c r="B51" s="76" t="n"/>
      <c r="C51" s="76" t="n"/>
      <c r="D51" s="76" t="n"/>
      <c r="E51" s="74" t="n"/>
      <c r="G51" s="35" t="n"/>
      <c r="H51" s="35" t="n"/>
      <c r="I51" s="35" t="n"/>
      <c r="J51" s="35" t="n"/>
      <c r="K51" s="35" t="n"/>
      <c r="L51" s="35" t="n"/>
      <c r="M51" s="35" t="n"/>
      <c r="N51" s="35" t="n"/>
    </row>
    <row r="52" ht="15" customHeight="1">
      <c r="A52" s="64" t="n"/>
      <c r="B52" s="64" t="n"/>
      <c r="C52" s="64" t="n"/>
      <c r="D52" s="64" t="n"/>
      <c r="E52" s="35" t="n"/>
      <c r="F52" s="35" t="n"/>
      <c r="G52" s="35" t="n"/>
      <c r="H52" s="35" t="n"/>
      <c r="I52" s="35" t="n"/>
      <c r="J52" s="35" t="n"/>
      <c r="K52" s="35" t="n"/>
      <c r="L52" s="35" t="n"/>
      <c r="M52" s="35" t="n"/>
      <c r="N52" s="35" t="n"/>
    </row>
    <row r="53" ht="15" customHeight="1">
      <c r="A53" s="64" t="n"/>
      <c r="B53" s="64" t="n"/>
      <c r="C53" s="64" t="n"/>
      <c r="D53" s="64" t="n"/>
      <c r="E53" s="35" t="n"/>
      <c r="F53" s="35" t="n"/>
      <c r="G53" s="35" t="n"/>
      <c r="H53" s="35" t="n"/>
      <c r="I53" s="35" t="n"/>
      <c r="J53" s="35" t="n"/>
    </row>
    <row r="54">
      <c r="A54" s="35" t="n"/>
      <c r="B54" s="35" t="n"/>
      <c r="C54" s="35" t="n"/>
      <c r="D54" s="35" t="n"/>
      <c r="E54" s="35" t="n"/>
      <c r="F54" s="35" t="n"/>
      <c r="G54" s="35" t="n"/>
      <c r="H54" s="35" t="n"/>
      <c r="I54" s="35" t="n"/>
      <c r="J54" s="35" t="n"/>
      <c r="K54" s="35" t="n"/>
      <c r="L54" s="35" t="n"/>
      <c r="M54" s="35" t="n"/>
      <c r="N54" s="35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LAzxgemv8QgIKifmvtEmtQ==" formatRows="1" sort="1" spinCount="100000" hashValue="x3BFs7mdqsnx2M2YraLXdNNVH6g+kcDZ8pY0xUnh6hitaQ+nfHjxr/q5PX8J+Rtr0w7Rg4o0Ew4zZN+snR+eMg=="/>
  <mergeCells count="31">
    <mergeCell ref="A40:N40"/>
    <mergeCell ref="F27:I27"/>
    <mergeCell ref="A39:N39"/>
    <mergeCell ref="F16:G16"/>
    <mergeCell ref="L19:M19"/>
    <mergeCell ref="A11:N11"/>
    <mergeCell ref="F22:I22"/>
    <mergeCell ref="D6:K6"/>
    <mergeCell ref="E19:F19"/>
    <mergeCell ref="A41:N41"/>
    <mergeCell ref="L23:M23"/>
    <mergeCell ref="F25:I25"/>
    <mergeCell ref="A3:N3"/>
    <mergeCell ref="D7:K7"/>
    <mergeCell ref="A2:N2"/>
    <mergeCell ref="F24:I24"/>
    <mergeCell ref="F30:I30"/>
    <mergeCell ref="F21:I21"/>
    <mergeCell ref="K47:N47"/>
    <mergeCell ref="A42:N42"/>
    <mergeCell ref="F20:I20"/>
    <mergeCell ref="L22:M22"/>
    <mergeCell ref="K50:N50"/>
    <mergeCell ref="F26:I26"/>
    <mergeCell ref="L21:M21"/>
    <mergeCell ref="D8:K8"/>
    <mergeCell ref="A43:N43"/>
    <mergeCell ref="D5:K5"/>
    <mergeCell ref="A10:N10"/>
    <mergeCell ref="F23:I23"/>
    <mergeCell ref="F28:I28"/>
  </mergeCells>
  <dataValidations disablePrompts="1" count="1">
    <dataValidation sqref="I33" showDropDown="0" showInputMessage="1" showErrorMessage="1" allowBlank="0" type="list">
      <formula1>"-,Si,No"</formula1>
    </dataValidation>
  </dataValidations>
  <printOptions horizontalCentered="1"/>
  <pageMargins left="0" right="0" top="1.062992125984252" bottom="0.3937007874015748" header="0" footer="0"/>
  <pageSetup orientation="portrait" paperSize="274" scale="84"/>
  <headerFooter scaleWithDoc="0">
    <oddHeader>&amp;C&amp;G</oddHeader>
    <oddFooter/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42"/>
  <sheetViews>
    <sheetView showGridLines="0" tabSelected="1" zoomScaleNormal="100" zoomScaleSheetLayoutView="100" workbookViewId="0">
      <selection activeCell="I25" sqref="I25"/>
    </sheetView>
  </sheetViews>
  <sheetFormatPr baseColWidth="10" defaultColWidth="10.28515625" defaultRowHeight="14.25"/>
  <cols>
    <col width="5" customWidth="1" style="23" min="1" max="1"/>
    <col width="40.140625" customWidth="1" style="23" min="2" max="2"/>
    <col width="10.28515625" customWidth="1" style="23" min="3" max="3"/>
    <col width="10.28515625" customWidth="1" style="23" min="4" max="4"/>
    <col width="13.5703125" customWidth="1" style="23" min="5" max="5"/>
    <col width="12.28515625" customWidth="1" style="23" min="6" max="6"/>
    <col width="13.42578125" customWidth="1" style="23" min="7" max="7"/>
    <col width="3" customWidth="1" style="23" min="8" max="8"/>
    <col width="10.7109375" customWidth="1" style="23" min="9" max="13"/>
    <col width="10.28515625" customWidth="1" style="23" min="14" max="16384"/>
  </cols>
  <sheetData>
    <row r="1">
      <c r="A1" s="105" t="n"/>
      <c r="B1" s="106" t="n"/>
      <c r="C1" s="106" t="n"/>
      <c r="D1" s="106" t="n"/>
      <c r="E1" s="106" t="n"/>
      <c r="F1" s="106" t="n"/>
      <c r="G1" s="106" t="n"/>
      <c r="H1" s="106" t="n"/>
      <c r="I1" s="106" t="n"/>
      <c r="J1" s="106" t="n"/>
      <c r="K1" s="106" t="n"/>
      <c r="L1" s="106" t="n"/>
      <c r="M1" s="107" t="n"/>
    </row>
    <row r="2" ht="17.45" customHeight="1">
      <c r="A2" s="108" t="n"/>
      <c r="B2" s="542" t="inlineStr">
        <is>
          <t>DATOS DEL ENSAYO</t>
        </is>
      </c>
      <c r="C2" s="543" t="n"/>
      <c r="D2" s="543" t="n"/>
      <c r="E2" s="543" t="n"/>
      <c r="F2" s="543" t="n"/>
      <c r="G2" s="544" t="n"/>
      <c r="M2" s="109" t="n"/>
    </row>
    <row r="3" ht="8.25" customHeight="1">
      <c r="A3" s="108" t="n"/>
      <c r="M3" s="109" t="n"/>
    </row>
    <row r="4" ht="17.45" customHeight="1">
      <c r="A4" s="108" t="n"/>
      <c r="B4" s="450" t="inlineStr">
        <is>
          <t>Standard Test Method for Total Evaporable Moisture Content of Aggregate by Drying</t>
        </is>
      </c>
      <c r="C4" s="495" t="n"/>
      <c r="D4" s="495" t="n"/>
      <c r="E4" s="495" t="n"/>
      <c r="F4" s="495" t="n"/>
      <c r="G4" s="494" t="n"/>
      <c r="H4" s="104" t="n"/>
      <c r="I4" s="104" t="n"/>
      <c r="J4" s="104" t="n"/>
      <c r="K4" s="104" t="n"/>
      <c r="L4" s="104" t="n"/>
      <c r="M4" s="110" t="n"/>
      <c r="N4" s="104" t="n"/>
      <c r="O4" s="104" t="n"/>
      <c r="P4" s="104" t="n"/>
    </row>
    <row r="5" ht="17.45" customHeight="1">
      <c r="A5" s="108" t="n"/>
      <c r="B5" s="450" t="inlineStr">
        <is>
          <t>ASTM C566-25</t>
        </is>
      </c>
      <c r="C5" s="495" t="n"/>
      <c r="D5" s="495" t="n"/>
      <c r="E5" s="495" t="n"/>
      <c r="F5" s="495" t="n"/>
      <c r="G5" s="494" t="n"/>
      <c r="H5" s="104" t="n"/>
      <c r="I5" s="104" t="n"/>
      <c r="J5" s="104" t="n"/>
      <c r="K5" s="104" t="n"/>
      <c r="L5" s="104" t="n"/>
      <c r="M5" s="110" t="n"/>
      <c r="N5" s="104" t="n"/>
      <c r="O5" s="104" t="n"/>
      <c r="P5" s="104" t="n"/>
    </row>
    <row r="6" ht="5.25" customHeight="1">
      <c r="A6" s="108" t="n"/>
      <c r="M6" s="109" t="n"/>
    </row>
    <row r="7" ht="21" customHeight="1">
      <c r="A7" s="108" t="n"/>
      <c r="B7" s="545" t="inlineStr">
        <is>
          <t>Informacion para la Correccion por Certificado de Calibración:</t>
        </is>
      </c>
      <c r="C7" s="81" t="n"/>
      <c r="D7" s="546" t="n"/>
      <c r="E7" s="83" t="n"/>
      <c r="F7" s="83" t="n"/>
      <c r="G7" s="239" t="inlineStr">
        <is>
          <t>OPERADORES</t>
        </is>
      </c>
      <c r="M7" s="109" t="n"/>
    </row>
    <row r="8" ht="17.45" customHeight="1">
      <c r="A8" s="108" t="n"/>
      <c r="B8" s="547" t="inlineStr">
        <is>
          <t>Precision Balanza al 0.1g</t>
        </is>
      </c>
      <c r="C8" s="25" t="n"/>
      <c r="D8" s="548" t="n"/>
      <c r="G8" s="267" t="inlineStr">
        <is>
          <t>-</t>
        </is>
      </c>
      <c r="H8" s="23">
        <f>+FORMATO!K11</f>
        <v/>
      </c>
      <c r="M8" s="109" t="n"/>
    </row>
    <row r="9" ht="17.45" customHeight="1">
      <c r="A9" s="108" t="n"/>
      <c r="B9" s="547" t="inlineStr">
        <is>
          <t>Correccion</t>
        </is>
      </c>
      <c r="C9" s="549" t="n"/>
      <c r="D9" s="245">
        <f>+Balanza!C6</f>
        <v/>
      </c>
      <c r="G9" s="84" t="n"/>
      <c r="M9" s="109" t="n"/>
    </row>
    <row r="10" ht="15.95" customHeight="1">
      <c r="A10" s="108" t="n"/>
      <c r="B10" s="547" t="inlineStr">
        <is>
          <t>Codigo balanza</t>
        </is>
      </c>
      <c r="C10" s="550" t="n"/>
      <c r="D10" s="189">
        <f>+Balanza!C10</f>
        <v/>
      </c>
      <c r="G10" s="84" t="n"/>
      <c r="M10" s="109" t="n"/>
    </row>
    <row r="11">
      <c r="A11" s="108" t="n"/>
      <c r="B11" s="551" t="inlineStr">
        <is>
          <t>Fecha de calibración</t>
        </is>
      </c>
      <c r="C11" s="552" t="n"/>
      <c r="D11" s="190">
        <f>+Balanza!D11</f>
        <v/>
      </c>
      <c r="E11" s="29" t="n"/>
      <c r="F11" s="29" t="n"/>
      <c r="G11" s="30" t="n"/>
      <c r="M11" s="109" t="n"/>
    </row>
    <row r="12" ht="7.5" customHeight="1">
      <c r="A12" s="108" t="n"/>
      <c r="C12" s="550" t="n"/>
      <c r="D12" s="550" t="n"/>
      <c r="M12" s="109" t="n"/>
    </row>
    <row r="13" ht="18.75" customHeight="1">
      <c r="A13" s="223" t="n">
        <v>1</v>
      </c>
      <c r="B13" s="553" t="inlineStr">
        <is>
          <t>N° de ensayo</t>
        </is>
      </c>
      <c r="C13" s="554" t="inlineStr">
        <is>
          <t>N°</t>
        </is>
      </c>
      <c r="D13" s="186" t="n">
        <v>1</v>
      </c>
      <c r="E13" s="449" t="inlineStr">
        <is>
          <t>CORRECCION</t>
        </is>
      </c>
      <c r="F13" s="232" t="inlineStr">
        <is>
          <t>Descripción de la muestra:</t>
        </is>
      </c>
      <c r="G13" s="233" t="n"/>
      <c r="H13" s="233" t="n"/>
      <c r="I13" s="234" t="n"/>
      <c r="M13" s="109" t="n"/>
    </row>
    <row r="14" ht="18.75" customHeight="1">
      <c r="A14" s="223" t="n">
        <v>2</v>
      </c>
      <c r="B14" s="555" t="inlineStr">
        <is>
          <t>Recipiente Nº</t>
        </is>
      </c>
      <c r="C14" s="554" t="inlineStr">
        <is>
          <t>N°</t>
        </is>
      </c>
      <c r="D14" s="191">
        <f>+FORMATO!G20</f>
        <v/>
      </c>
      <c r="E14" s="556" t="n"/>
      <c r="F14" s="235" t="inlineStr">
        <is>
          <t>Tamaño máximo nominal (in)</t>
        </is>
      </c>
      <c r="G14" s="24" t="n"/>
      <c r="H14" s="24" t="n"/>
      <c r="I14" s="194" t="n">
        <v>0</v>
      </c>
      <c r="M14" s="109" t="n"/>
    </row>
    <row r="15" ht="18.75" customHeight="1">
      <c r="A15" s="223" t="n">
        <v>3</v>
      </c>
      <c r="B15" s="555" t="inlineStr">
        <is>
          <t>Masa de la recipiente + muestra húmedo</t>
        </is>
      </c>
      <c r="C15" s="554" t="inlineStr">
        <is>
          <t>g</t>
        </is>
      </c>
      <c r="D15" s="191">
        <f>+FORMATO!G21</f>
        <v/>
      </c>
      <c r="E15" s="557">
        <f>D15+($D$9*D15)</f>
        <v/>
      </c>
      <c r="F15" s="236" t="inlineStr">
        <is>
          <t>Forma de la particula</t>
        </is>
      </c>
      <c r="G15" s="237" t="n"/>
      <c r="H15" s="237" t="n"/>
      <c r="I15" s="194" t="n">
        <v>0</v>
      </c>
      <c r="M15" s="109" t="n"/>
    </row>
    <row r="16" ht="18.75" customHeight="1">
      <c r="A16" s="223" t="n">
        <v>4</v>
      </c>
      <c r="B16" s="555" t="inlineStr">
        <is>
          <t>Masa de la recipiente + muestra seca</t>
        </is>
      </c>
      <c r="C16" s="554" t="inlineStr">
        <is>
          <t>g</t>
        </is>
      </c>
      <c r="D16" s="191">
        <f>+FORMATO!G22</f>
        <v/>
      </c>
      <c r="E16" s="557">
        <f>D16+($D$9*D16)</f>
        <v/>
      </c>
      <c r="F16" s="225" t="n"/>
      <c r="G16" s="558" t="n"/>
      <c r="M16" s="109" t="n"/>
    </row>
    <row r="17" ht="18.75" customHeight="1">
      <c r="A17" s="223" t="n">
        <v>5</v>
      </c>
      <c r="B17" s="555" t="inlineStr">
        <is>
          <t>Masa de la recipiente + muestra seca (constante)</t>
        </is>
      </c>
      <c r="C17" s="554" t="inlineStr">
        <is>
          <t>g</t>
        </is>
      </c>
      <c r="D17" s="191">
        <f>+FORMATO!G23</f>
        <v/>
      </c>
      <c r="E17" s="557">
        <f>D17+($D$9*D17)</f>
        <v/>
      </c>
      <c r="F17" s="225" t="n"/>
      <c r="G17" s="558" t="n"/>
      <c r="M17" s="109" t="n"/>
    </row>
    <row r="18" ht="18.75" customHeight="1">
      <c r="A18" s="223" t="n">
        <v>6</v>
      </c>
      <c r="B18" s="555" t="inlineStr">
        <is>
          <t>Masa de recipiente</t>
        </is>
      </c>
      <c r="C18" s="554" t="inlineStr">
        <is>
          <t>g</t>
        </is>
      </c>
      <c r="D18" s="559">
        <f>+FORMATO!G25</f>
        <v/>
      </c>
      <c r="E18" s="557">
        <f>D18+($D$9*D18)</f>
        <v/>
      </c>
      <c r="F18" s="560" t="n"/>
      <c r="G18" s="558" t="n"/>
      <c r="M18" s="109" t="n"/>
    </row>
    <row r="19" ht="18.75" customHeight="1">
      <c r="A19" s="223" t="n">
        <v>7</v>
      </c>
      <c r="B19" s="555" t="inlineStr">
        <is>
          <t>Masa de agua</t>
        </is>
      </c>
      <c r="C19" s="554" t="inlineStr">
        <is>
          <t>g</t>
        </is>
      </c>
      <c r="D19" s="561">
        <f>+D15-D17</f>
        <v/>
      </c>
      <c r="E19" s="561">
        <f>+E15-E17</f>
        <v/>
      </c>
      <c r="F19" s="562" t="n"/>
      <c r="G19" s="562" t="n"/>
      <c r="M19" s="109" t="n"/>
    </row>
    <row r="20" ht="18.75" customHeight="1">
      <c r="A20" s="223" t="n">
        <v>8</v>
      </c>
      <c r="B20" s="555" t="inlineStr">
        <is>
          <t>Masa de muestra seca</t>
        </is>
      </c>
      <c r="C20" s="554" t="inlineStr">
        <is>
          <t>g</t>
        </is>
      </c>
      <c r="D20" s="561">
        <f>+D17-D18</f>
        <v/>
      </c>
      <c r="E20" s="561">
        <f>+E17-E18</f>
        <v/>
      </c>
      <c r="F20" s="562" t="n"/>
      <c r="G20" s="562" t="n"/>
      <c r="M20" s="109" t="n"/>
    </row>
    <row r="21" ht="18.75" customHeight="1">
      <c r="A21" s="223" t="n">
        <v>9</v>
      </c>
      <c r="B21" s="555" t="inlineStr">
        <is>
          <t>Contenido de Humedad de la muestra*</t>
        </is>
      </c>
      <c r="C21" s="554" t="inlineStr">
        <is>
          <t>%</t>
        </is>
      </c>
      <c r="D21" s="561">
        <f>+D19/D20*100</f>
        <v/>
      </c>
      <c r="E21" s="561">
        <f>+E19/E20*100</f>
        <v/>
      </c>
      <c r="F21" s="562" t="n"/>
      <c r="G21" s="562" t="n"/>
      <c r="M21" s="109" t="n"/>
    </row>
    <row r="22" ht="15.75" customHeight="1">
      <c r="A22" s="108" t="n"/>
      <c r="B22" s="35" t="n"/>
      <c r="C22" s="35" t="n"/>
      <c r="D22" s="35" t="n"/>
      <c r="E22" s="563" t="inlineStr">
        <is>
          <t>* Reporte al 0.1%</t>
        </is>
      </c>
      <c r="M22" s="109" t="n"/>
    </row>
    <row r="23" ht="18" customHeight="1">
      <c r="A23" s="108" t="n"/>
      <c r="B23" s="88" t="inlineStr">
        <is>
          <t>Perdida de masa seca adicional (Tiene que ser menor al 0.1%)</t>
        </is>
      </c>
      <c r="C23" s="87" t="n"/>
      <c r="D23" s="187">
        <f>(D16-D17)/D17*100</f>
        <v/>
      </c>
      <c r="E23" s="564">
        <f>IF(D23&lt;0.1, "cumple", "no cumple")</f>
        <v/>
      </c>
      <c r="F23" s="229" t="n"/>
      <c r="G23" s="565" t="n"/>
      <c r="M23" s="109" t="n"/>
    </row>
    <row r="24" ht="10.5" customHeight="1">
      <c r="A24" s="108" t="n"/>
      <c r="B24" s="35" t="n"/>
      <c r="C24" s="35" t="n"/>
      <c r="D24" s="35" t="n"/>
      <c r="E24" s="35" t="n"/>
      <c r="M24" s="109" t="n"/>
    </row>
    <row r="25" ht="25.5" customHeight="1">
      <c r="A25" s="108" t="n"/>
      <c r="B25" s="428" t="inlineStr">
        <is>
          <t>TABLA  MASA MÍNIMA HUMEDAD</t>
        </is>
      </c>
      <c r="C25" s="525" t="n"/>
      <c r="D25" s="566" t="inlineStr">
        <is>
          <t xml:space="preserve">Peso mínimo             (kg)
</t>
        </is>
      </c>
      <c r="E25" s="567" t="inlineStr">
        <is>
          <t xml:space="preserve">MARCA CON X </t>
        </is>
      </c>
      <c r="M25" s="109" t="n"/>
    </row>
    <row r="26" ht="21" customHeight="1">
      <c r="A26" s="108" t="n"/>
      <c r="B26" s="568" t="n"/>
      <c r="C26" s="528" t="n"/>
      <c r="D26" s="556" t="n"/>
      <c r="E26" s="556" t="n"/>
      <c r="M26" s="109" t="n"/>
    </row>
    <row r="27" ht="13.9" customHeight="1">
      <c r="A27" s="108" t="n"/>
      <c r="B27" s="437" t="inlineStr">
        <is>
          <t>Arena</t>
        </is>
      </c>
      <c r="C27" s="92" t="inlineStr">
        <is>
          <t>No 4</t>
        </is>
      </c>
      <c r="D27" s="79" t="n">
        <v>0.5</v>
      </c>
      <c r="E27" s="192" t="n"/>
      <c r="M27" s="109" t="n"/>
    </row>
    <row r="28" ht="13.9" customHeight="1">
      <c r="A28" s="108" t="n"/>
      <c r="B28" s="437" t="inlineStr">
        <is>
          <t>Piedra</t>
        </is>
      </c>
      <c r="C28" s="93" t="inlineStr">
        <is>
          <t>3/8 in.</t>
        </is>
      </c>
      <c r="D28" s="94" t="n">
        <v>1.5</v>
      </c>
      <c r="E28" s="193" t="n"/>
      <c r="M28" s="109" t="n"/>
    </row>
    <row r="29" ht="13.9" customHeight="1">
      <c r="A29" s="108" t="n"/>
      <c r="B29" s="569" t="n"/>
      <c r="C29" s="93" t="inlineStr">
        <is>
          <t>1/2 in.</t>
        </is>
      </c>
      <c r="D29" s="94" t="n">
        <v>2</v>
      </c>
      <c r="E29" s="193" t="n"/>
      <c r="M29" s="109" t="n"/>
    </row>
    <row r="30" ht="13.9" customHeight="1">
      <c r="A30" s="108" t="n"/>
      <c r="B30" s="569" t="n"/>
      <c r="C30" s="93" t="inlineStr">
        <is>
          <t>3/4 in.</t>
        </is>
      </c>
      <c r="D30" s="94" t="n">
        <v>3</v>
      </c>
      <c r="E30" s="193" t="n"/>
      <c r="M30" s="109" t="n"/>
    </row>
    <row r="31" ht="13.9" customHeight="1">
      <c r="A31" s="108" t="n"/>
      <c r="B31" s="569" t="n"/>
      <c r="C31" s="93" t="inlineStr">
        <is>
          <t>1 in.</t>
        </is>
      </c>
      <c r="D31" s="94" t="n">
        <v>4</v>
      </c>
      <c r="E31" s="193" t="n"/>
      <c r="M31" s="109" t="n"/>
    </row>
    <row r="32" ht="13.9" customHeight="1">
      <c r="A32" s="108" t="n"/>
      <c r="B32" s="569" t="n"/>
      <c r="C32" s="93" t="inlineStr">
        <is>
          <t>1 1/2 in.</t>
        </is>
      </c>
      <c r="D32" s="94" t="n">
        <v>6</v>
      </c>
      <c r="E32" s="194" t="n"/>
      <c r="M32" s="109" t="n"/>
    </row>
    <row r="33" ht="13.9" customHeight="1">
      <c r="A33" s="108" t="n"/>
      <c r="B33" s="569" t="n"/>
      <c r="C33" s="95" t="inlineStr">
        <is>
          <t>2 in.</t>
        </is>
      </c>
      <c r="D33" s="95" t="n">
        <v>8</v>
      </c>
      <c r="E33" s="195" t="n"/>
      <c r="M33" s="109" t="n"/>
    </row>
    <row r="34" ht="13.9" customHeight="1">
      <c r="A34" s="108" t="n"/>
      <c r="B34" s="569" t="n"/>
      <c r="C34" s="178" t="inlineStr">
        <is>
          <t>2 1/2 in.</t>
        </is>
      </c>
      <c r="D34" s="491" t="n">
        <v>10</v>
      </c>
      <c r="E34" s="195" t="n"/>
      <c r="M34" s="109" t="n"/>
    </row>
    <row r="35" ht="13.9" customHeight="1">
      <c r="A35" s="108" t="n"/>
      <c r="B35" s="569" t="n"/>
      <c r="C35" s="95" t="inlineStr">
        <is>
          <t>3 in.</t>
        </is>
      </c>
      <c r="D35" s="95" t="n">
        <v>13</v>
      </c>
      <c r="E35" s="195" t="n"/>
      <c r="M35" s="109" t="n"/>
    </row>
    <row r="36" ht="13.9" customHeight="1">
      <c r="A36" s="108" t="n"/>
      <c r="B36" s="569" t="n"/>
      <c r="C36" s="96" t="inlineStr">
        <is>
          <t>3 1/2 in.</t>
        </is>
      </c>
      <c r="D36" s="95" t="n">
        <v>16</v>
      </c>
      <c r="E36" s="195" t="n"/>
      <c r="M36" s="109" t="n"/>
    </row>
    <row r="37" ht="13.9" customHeight="1">
      <c r="A37" s="108" t="n"/>
      <c r="B37" s="569" t="n"/>
      <c r="C37" s="95" t="inlineStr">
        <is>
          <t>4 in.</t>
        </is>
      </c>
      <c r="D37" s="95" t="n">
        <v>25</v>
      </c>
      <c r="E37" s="195" t="n"/>
      <c r="M37" s="109" t="n"/>
    </row>
    <row r="38" ht="13.9" customHeight="1">
      <c r="A38" s="108" t="n"/>
      <c r="B38" s="556" t="n"/>
      <c r="C38" s="95" t="inlineStr">
        <is>
          <t>6 in.</t>
        </is>
      </c>
      <c r="D38" s="95" t="n">
        <v>50</v>
      </c>
      <c r="E38" s="195" t="n"/>
      <c r="M38" s="109" t="n"/>
    </row>
    <row r="39" ht="15" customHeight="1">
      <c r="A39" s="111" t="n"/>
      <c r="B39" s="86" t="n"/>
      <c r="C39" s="77" t="n"/>
      <c r="D39" s="97" t="inlineStr">
        <is>
          <t>TMN =</t>
        </is>
      </c>
      <c r="E39" s="78">
        <f>IF(AND(E27="",E28="",E29="",E30="",E31="",E32="",E33="",,E34="",E35=""),"",IF(E27&lt;&gt;"","N°4",IF(E28&lt;&gt;"","3/8",IF(E29&lt;&gt;"","1/2",IF(E30&lt;&gt;"","3/4",IF(E31&lt;&gt;"","1",IF(E32&lt;&gt;"","1 1/2",IF(E33&lt;&gt;"","2",IF(E34&lt;&gt;"","2 1/2",IF(E35&lt;&gt;"","3","3 1/2"))))))))))</f>
        <v/>
      </c>
      <c r="M39" s="109" t="n"/>
    </row>
    <row r="40" ht="15" customHeight="1">
      <c r="A40" s="111" t="n"/>
      <c r="B40" s="86" t="n"/>
      <c r="C40" s="77" t="n"/>
      <c r="D40" s="98" t="inlineStr">
        <is>
          <t xml:space="preserve"> Aproximación 0.1% (g)=</t>
        </is>
      </c>
      <c r="E40" s="79">
        <f>IF(E39="","",IF(E39="3",13000,IF(E39="2 1/2",10000,IF(E39="2",8000,IF(E39="1 1/2",6000,IF(E39="1",4000,IF(E39="3/4",3000,IF(E39="1/2",2000,IF(E39="3/8",1500,500)))))))))</f>
        <v/>
      </c>
      <c r="M40" s="109" t="n"/>
    </row>
    <row r="41" ht="15" customHeight="1">
      <c r="A41" s="111" t="n"/>
      <c r="B41" s="86" t="n"/>
      <c r="C41" s="99" t="n"/>
      <c r="D41" s="100" t="inlineStr">
        <is>
          <t xml:space="preserve">Verificacion si cumple el peso minimo al método </t>
        </is>
      </c>
      <c r="E41" s="570">
        <f>IF(D15="","",IF(AND(E27="",E28="",E29="",E30="",E31="",E32="",E33="",E34="",E35=""),"Falta Especificar Tmax",IF(D15="","",IF(D15-D18&gt;=E40,"Cumple",IF(D15-D18&gt;E40,"Cumple","No cumple")))))</f>
        <v/>
      </c>
      <c r="M41" s="109" t="n"/>
    </row>
    <row r="42" ht="5.25" customHeight="1" thickBot="1">
      <c r="A42" s="112" t="n"/>
      <c r="B42" s="113" t="n"/>
      <c r="C42" s="113" t="n"/>
      <c r="D42" s="113" t="n"/>
      <c r="E42" s="113" t="n"/>
      <c r="F42" s="114" t="n"/>
      <c r="G42" s="114" t="n"/>
      <c r="H42" s="114" t="n"/>
      <c r="I42" s="114" t="n"/>
      <c r="J42" s="114" t="n"/>
      <c r="K42" s="114" t="n"/>
      <c r="L42" s="114" t="n"/>
      <c r="M42" s="115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2UVy8Mrfo8BamFEQkfJ3Og==" formatRows="1" sort="1" spinCount="100000" hashValue="+LfOkTLKi7ImQiCbk0hHKwO+Ra5piWbdpM/q5eJeOE46tMU/kjw8Xggxf4ui3qEm8Vks5DVWK5HaRxF06Aqsqw=="/>
  <mergeCells count="8">
    <mergeCell ref="B2:G2"/>
    <mergeCell ref="B28:B38"/>
    <mergeCell ref="E25:E26"/>
    <mergeCell ref="B5:G5"/>
    <mergeCell ref="B25:C26"/>
    <mergeCell ref="E13:E14"/>
    <mergeCell ref="D25:D26"/>
    <mergeCell ref="B4:G4"/>
  </mergeCells>
  <dataValidations count="1">
    <dataValidation sqref="G8" showDropDown="0" showInputMessage="1" showErrorMessage="1" allowBlank="0" type="list">
      <formula1>"-, DEIVY, BEATRIZ, IVAN"</formula1>
    </dataValidation>
  </dataValidations>
  <printOptions horizontalCentered="1"/>
  <pageMargins left="0" right="0" top="1.062992125984252" bottom="0.3937007874015748" header="0.1181102362204725" footer="0"/>
  <pageSetup orientation="portrait" paperSize="274" scale="90"/>
  <headerFooter scaleWithDoc="0">
    <oddHeader>&amp;C&amp;G</oddHeader>
    <oddFooter/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61"/>
  <sheetViews>
    <sheetView topLeftCell="A52" zoomScale="85" zoomScaleNormal="85" workbookViewId="0">
      <selection activeCell="A48" sqref="A48:D48"/>
    </sheetView>
  </sheetViews>
  <sheetFormatPr baseColWidth="10" defaultColWidth="11.42578125" defaultRowHeight="12.75"/>
  <cols>
    <col width="22.42578125" customWidth="1" style="13" min="1" max="1"/>
    <col width="14.140625" customWidth="1" style="13" min="2" max="8"/>
    <col width="9.85546875" customWidth="1" style="13" min="9" max="9"/>
    <col width="14.42578125" customWidth="1" style="13" min="10" max="10"/>
    <col width="11.42578125" customWidth="1" style="13" min="11" max="16384"/>
  </cols>
  <sheetData>
    <row r="1" ht="12.75" customHeight="1">
      <c r="A1" s="571" t="n"/>
      <c r="B1" s="525" t="n"/>
      <c r="C1" s="572" t="inlineStr">
        <is>
          <t>INFORME DE ESTIMACIÓN DE INCERTIDUMBRE</t>
        </is>
      </c>
      <c r="D1" s="524" t="n"/>
      <c r="E1" s="524" t="n"/>
      <c r="F1" s="524" t="n"/>
      <c r="G1" s="524" t="n"/>
      <c r="H1" s="525" t="n"/>
      <c r="I1" s="117" t="inlineStr">
        <is>
          <t>Código:</t>
        </is>
      </c>
      <c r="J1" s="117" t="inlineStr">
        <is>
          <t>F-LEM-P-10.01</t>
        </is>
      </c>
    </row>
    <row r="2" ht="12.75" customHeight="1">
      <c r="A2" s="573" t="n"/>
      <c r="B2" s="514" t="n"/>
      <c r="C2" s="573" t="n"/>
      <c r="H2" s="514" t="n"/>
      <c r="I2" s="117" t="inlineStr">
        <is>
          <t>Versión:</t>
        </is>
      </c>
      <c r="J2" s="574" t="n">
        <v>3</v>
      </c>
    </row>
    <row r="3" ht="12.75" customHeight="1">
      <c r="A3" s="573" t="n"/>
      <c r="B3" s="514" t="n"/>
      <c r="C3" s="573" t="n"/>
      <c r="H3" s="514" t="n"/>
      <c r="I3" s="117" t="inlineStr">
        <is>
          <t>Fecha:</t>
        </is>
      </c>
      <c r="J3" s="575" t="n">
        <v>46146</v>
      </c>
    </row>
    <row r="4" ht="12.75" customHeight="1">
      <c r="A4" s="568" t="n"/>
      <c r="B4" s="528" t="n"/>
      <c r="C4" s="568" t="n"/>
      <c r="D4" s="527" t="n"/>
      <c r="E4" s="527" t="n"/>
      <c r="F4" s="527" t="n"/>
      <c r="G4" s="527" t="n"/>
      <c r="H4" s="528" t="n"/>
      <c r="I4" s="117" t="inlineStr">
        <is>
          <t>Página:</t>
        </is>
      </c>
      <c r="J4" s="117" t="inlineStr">
        <is>
          <t>1 de 1</t>
        </is>
      </c>
    </row>
    <row r="6" ht="17.25" customHeight="1">
      <c r="A6" s="119" t="inlineStr">
        <is>
          <t>Método:</t>
        </is>
      </c>
      <c r="B6" s="17" t="inlineStr">
        <is>
          <t>Standard Test Method for Total Evaporable Moisture Content of Aggregate by Drying</t>
        </is>
      </c>
      <c r="C6" s="16" t="n"/>
      <c r="D6" s="16" t="n"/>
      <c r="E6" s="16" t="n"/>
      <c r="F6" s="15" t="n"/>
      <c r="G6" s="15" t="n"/>
      <c r="H6" s="15" t="n"/>
      <c r="I6" s="15" t="n"/>
      <c r="J6" s="14" t="n"/>
    </row>
    <row r="7" ht="17.25" customHeight="1">
      <c r="A7" s="119" t="inlineStr">
        <is>
          <t>Norma:</t>
        </is>
      </c>
      <c r="B7" s="17" t="inlineStr">
        <is>
          <t>ASTM C566-19</t>
        </is>
      </c>
      <c r="C7" s="16" t="n"/>
      <c r="D7" s="16" t="n"/>
      <c r="E7" s="16" t="n"/>
      <c r="F7" s="15" t="n"/>
      <c r="G7" s="15" t="n"/>
      <c r="H7" s="15" t="n"/>
      <c r="I7" s="15" t="n"/>
      <c r="J7" s="14" t="n"/>
    </row>
    <row r="8" ht="17.25" customHeight="1">
      <c r="A8" s="119" t="inlineStr">
        <is>
          <t>Matriz:</t>
        </is>
      </c>
      <c r="B8" s="17" t="inlineStr">
        <is>
          <t>Agregado</t>
        </is>
      </c>
      <c r="C8" s="16" t="n"/>
      <c r="D8" s="16" t="n"/>
      <c r="E8" s="16" t="n"/>
      <c r="F8" s="15" t="n"/>
      <c r="G8" s="15" t="n"/>
      <c r="H8" s="15" t="n"/>
      <c r="I8" s="15" t="n"/>
      <c r="J8" s="14" t="n"/>
    </row>
    <row r="9" ht="18" customHeight="1">
      <c r="A9" s="120" t="inlineStr">
        <is>
          <t>Mensurando</t>
        </is>
      </c>
      <c r="B9" s="17" t="inlineStr">
        <is>
          <t>Agua presente en la matriz de Agregado</t>
        </is>
      </c>
      <c r="C9" s="16" t="n"/>
      <c r="D9" s="16" t="n"/>
      <c r="E9" s="16" t="n"/>
      <c r="F9" s="15" t="n"/>
      <c r="G9" s="15" t="n"/>
      <c r="H9" s="15" t="n"/>
      <c r="I9" s="15" t="n"/>
      <c r="J9" s="14" t="n"/>
      <c r="M9" s="221" t="n"/>
    </row>
    <row r="10" ht="12" customHeight="1"/>
    <row r="11" ht="12" customHeight="1">
      <c r="A11" s="134" t="inlineStr">
        <is>
          <t>Paso 1. Definicion del proceso de medición</t>
        </is>
      </c>
      <c r="B11" s="18" t="n"/>
      <c r="C11" s="18" t="n"/>
      <c r="D11" s="18" t="n"/>
      <c r="E11" s="18" t="n"/>
      <c r="F11" s="18" t="n"/>
      <c r="G11" s="18" t="n"/>
      <c r="H11" s="18" t="n"/>
      <c r="I11" s="18" t="n"/>
      <c r="J11" s="18" t="n"/>
      <c r="K11" s="18" t="n"/>
    </row>
    <row r="12" ht="12" customHeight="1">
      <c r="A12" s="18" t="n"/>
      <c r="B12" s="18" t="n"/>
      <c r="C12" s="18" t="n"/>
      <c r="D12" s="18" t="n"/>
      <c r="E12" s="18" t="n"/>
      <c r="F12" s="18" t="n"/>
      <c r="G12" s="18" t="n"/>
      <c r="H12" s="18" t="n"/>
      <c r="I12" s="18" t="n"/>
      <c r="J12" s="18" t="n"/>
      <c r="K12" s="18" t="n"/>
    </row>
    <row r="13" ht="12" customHeight="1">
      <c r="A13" s="219" t="inlineStr">
        <is>
          <t>Variables:</t>
        </is>
      </c>
      <c r="B13" s="18" t="n"/>
      <c r="C13" s="18" t="n"/>
      <c r="D13" s="18" t="n"/>
      <c r="E13" s="219" t="inlineStr">
        <is>
          <t>Fórmula:</t>
        </is>
      </c>
      <c r="F13" s="18" t="n"/>
      <c r="G13" s="18" t="n"/>
      <c r="H13" s="18" t="n"/>
      <c r="I13" s="18" t="n"/>
      <c r="J13" s="18" t="n"/>
      <c r="K13" s="18" t="n"/>
    </row>
    <row r="14" ht="12" customHeight="1">
      <c r="A14" s="18" t="n"/>
      <c r="B14" s="18" t="n"/>
      <c r="C14" s="18" t="n"/>
      <c r="D14" s="18" t="n"/>
      <c r="E14" s="18" t="n"/>
      <c r="F14" s="18" t="n"/>
      <c r="G14" s="18" t="n"/>
      <c r="H14" s="18" t="n"/>
      <c r="I14" s="18" t="n"/>
      <c r="J14" s="18" t="n"/>
      <c r="K14" s="18" t="n"/>
    </row>
    <row r="15" ht="12" customHeight="1">
      <c r="A15" s="220" t="inlineStr">
        <is>
          <t>Masa humeda (W)</t>
        </is>
      </c>
      <c r="B15" s="18" t="n"/>
      <c r="C15" s="18" t="n"/>
      <c r="D15" s="18" t="n"/>
      <c r="E15" s="18" t="n"/>
      <c r="F15" s="18" t="n"/>
      <c r="G15" s="19" t="n"/>
      <c r="H15" s="18" t="n"/>
      <c r="I15" s="18" t="n"/>
      <c r="J15" s="18" t="n"/>
      <c r="K15" s="18" t="n"/>
    </row>
    <row r="16" ht="12" customHeight="1">
      <c r="A16" s="220" t="inlineStr">
        <is>
          <t>Masa seca ( D)</t>
        </is>
      </c>
      <c r="B16" s="18" t="n"/>
      <c r="C16" s="18" t="n"/>
      <c r="D16" s="18" t="n"/>
      <c r="E16" s="18" t="n"/>
      <c r="F16" s="18" t="n"/>
      <c r="G16" s="19" t="n"/>
      <c r="H16" s="18" t="n"/>
      <c r="I16" s="18" t="n"/>
      <c r="J16" s="18" t="n"/>
      <c r="K16" s="18" t="n"/>
    </row>
    <row r="17" ht="12" customHeight="1">
      <c r="A17" s="18" t="n"/>
      <c r="B17" s="18" t="n"/>
      <c r="C17" s="18" t="n"/>
      <c r="D17" s="18" t="n"/>
      <c r="E17" s="18" t="n"/>
      <c r="F17" s="18" t="n"/>
      <c r="G17" s="19" t="n"/>
      <c r="H17" s="18" t="n"/>
      <c r="I17" s="18" t="n"/>
      <c r="J17" s="18" t="n"/>
      <c r="K17" s="18" t="n"/>
    </row>
    <row r="18" ht="12" customHeight="1">
      <c r="A18" s="219" t="inlineStr">
        <is>
          <t>Equipos a utilizar:</t>
        </is>
      </c>
      <c r="B18" s="18" t="n"/>
      <c r="C18" s="18" t="n"/>
      <c r="D18" s="18" t="n"/>
      <c r="E18" s="18" t="n"/>
      <c r="F18" s="18" t="n"/>
      <c r="G18" s="19" t="n"/>
      <c r="H18" s="18" t="n"/>
      <c r="I18" s="18" t="n"/>
      <c r="J18" s="18" t="n"/>
      <c r="K18" s="18" t="n"/>
    </row>
    <row r="19" ht="12" customHeight="1">
      <c r="A19" s="18" t="n"/>
      <c r="B19" s="18" t="n"/>
      <c r="C19" s="18" t="n"/>
      <c r="D19" s="18" t="n"/>
      <c r="E19" s="18" t="n"/>
      <c r="F19" s="18" t="n"/>
      <c r="G19" s="19" t="n"/>
      <c r="H19" s="18" t="n"/>
      <c r="I19" s="18" t="n"/>
      <c r="J19" s="18" t="n"/>
      <c r="K19" s="18" t="n"/>
    </row>
    <row r="20" ht="12" customHeight="1">
      <c r="A20" s="220" t="inlineStr">
        <is>
          <t xml:space="preserve">Balanza con resulución de lectura de 0.1g </t>
        </is>
      </c>
      <c r="B20" s="18" t="n"/>
      <c r="C20" s="18" t="n"/>
      <c r="D20" s="18" t="n"/>
      <c r="E20" s="18" t="n"/>
      <c r="F20" s="18" t="n"/>
      <c r="G20" s="19" t="n"/>
      <c r="H20" s="18" t="n"/>
      <c r="I20" s="18" t="n"/>
      <c r="J20" s="18" t="n"/>
      <c r="K20" s="18" t="n"/>
    </row>
    <row r="21" ht="12" customHeight="1">
      <c r="A21" s="18" t="n"/>
      <c r="B21" s="18" t="n"/>
      <c r="C21" s="18" t="n"/>
      <c r="D21" s="18" t="n"/>
      <c r="E21" s="18" t="n"/>
      <c r="F21" s="18" t="n"/>
      <c r="G21" s="18" t="n"/>
      <c r="H21" s="18" t="n"/>
      <c r="I21" s="18" t="n"/>
      <c r="J21" s="18" t="n"/>
      <c r="K21" s="18" t="n"/>
    </row>
    <row r="22" ht="12" customHeight="1">
      <c r="A22" s="134" t="inlineStr">
        <is>
          <t>Paso 2. Definición de las variables aleatorias</t>
        </is>
      </c>
      <c r="B22" s="18" t="n"/>
      <c r="C22" s="18" t="n"/>
      <c r="D22" s="18" t="n"/>
      <c r="E22" s="18" t="n"/>
      <c r="F22" s="18" t="n"/>
      <c r="G22" s="18" t="n"/>
      <c r="H22" s="18" t="n"/>
      <c r="I22" s="18" t="n"/>
      <c r="J22" s="18" t="n"/>
      <c r="K22" s="18" t="n"/>
    </row>
    <row r="23" ht="12" customHeight="1">
      <c r="A23" s="18" t="n"/>
      <c r="B23" s="18" t="n"/>
      <c r="C23" s="18" t="n"/>
      <c r="D23" s="18" t="n"/>
      <c r="E23" s="18" t="n"/>
      <c r="F23" s="18" t="n"/>
      <c r="G23" s="18" t="n"/>
      <c r="H23" s="18" t="n"/>
      <c r="I23" s="18" t="n"/>
      <c r="J23" s="18" t="n"/>
      <c r="K23" s="18" t="n"/>
    </row>
    <row r="24" ht="12" customHeight="1">
      <c r="A24" s="18" t="n"/>
      <c r="B24" s="18" t="n"/>
      <c r="C24" s="18" t="n"/>
      <c r="D24" s="18" t="n"/>
      <c r="E24" s="18" t="n"/>
      <c r="F24" s="18" t="n"/>
      <c r="G24" s="18" t="n"/>
      <c r="H24" s="18" t="n"/>
      <c r="I24" s="18" t="n"/>
      <c r="J24" s="18" t="n"/>
      <c r="K24" s="18" t="n"/>
    </row>
    <row r="25" ht="12" customHeight="1">
      <c r="A25" s="18" t="n"/>
      <c r="B25" s="18" t="n"/>
      <c r="C25" s="18" t="n"/>
      <c r="D25" s="18" t="n"/>
      <c r="E25" s="18" t="n"/>
      <c r="F25" s="18" t="n"/>
      <c r="G25" s="18" t="n"/>
      <c r="H25" s="18" t="n"/>
      <c r="I25" s="18" t="n"/>
      <c r="J25" s="18" t="n"/>
      <c r="K25" s="18" t="n"/>
    </row>
    <row r="26" ht="12" customHeight="1">
      <c r="A26" s="18" t="n"/>
      <c r="B26" s="18" t="n"/>
      <c r="C26" s="18" t="n"/>
      <c r="D26" s="18" t="n"/>
      <c r="E26" s="18" t="n"/>
      <c r="F26" s="18" t="n"/>
      <c r="G26" s="18" t="n"/>
      <c r="H26" s="18" t="n"/>
      <c r="I26" s="18" t="n"/>
      <c r="J26" s="18" t="n"/>
      <c r="K26" s="19" t="n"/>
    </row>
    <row r="27" ht="12" customHeight="1">
      <c r="A27" s="18" t="n"/>
      <c r="B27" s="18" t="n"/>
      <c r="C27" s="18" t="n"/>
      <c r="D27" s="18" t="n"/>
      <c r="E27" s="18" t="n"/>
      <c r="F27" s="18" t="n"/>
      <c r="G27" s="18" t="n"/>
      <c r="H27" s="18" t="n"/>
      <c r="I27" s="18" t="n"/>
      <c r="J27" s="18" t="n"/>
      <c r="K27" s="18" t="n"/>
    </row>
    <row r="28" ht="16.5" customHeight="1">
      <c r="A28" s="18" t="n"/>
      <c r="B28" s="18" t="n"/>
      <c r="C28" s="18" t="n"/>
      <c r="D28" s="18" t="n"/>
      <c r="E28" s="18" t="n"/>
      <c r="F28" s="19" t="n"/>
      <c r="G28" s="18" t="n"/>
      <c r="H28" s="19" t="n"/>
      <c r="I28" s="18" t="n"/>
      <c r="J28" s="18" t="n"/>
      <c r="K28" s="18" t="n"/>
    </row>
    <row r="29" ht="16.5" customHeight="1">
      <c r="A29" s="18" t="n"/>
      <c r="B29" s="18" t="n"/>
      <c r="C29" s="18" t="n"/>
      <c r="D29" s="18" t="n"/>
      <c r="E29" s="18" t="n"/>
      <c r="F29" s="18" t="n"/>
      <c r="G29" s="18" t="n"/>
      <c r="H29" s="18" t="n"/>
      <c r="I29" s="18" t="n"/>
      <c r="J29" s="18" t="n"/>
      <c r="K29" s="18" t="n"/>
    </row>
    <row r="30" ht="16.5" customHeight="1">
      <c r="A30" s="18" t="n"/>
      <c r="B30" s="18" t="n"/>
      <c r="C30" s="18" t="n"/>
      <c r="D30" s="18" t="n"/>
      <c r="E30" s="18" t="n"/>
      <c r="F30" s="18" t="n"/>
      <c r="G30" s="18" t="n"/>
      <c r="H30" s="18" t="n"/>
      <c r="I30" s="18" t="n"/>
      <c r="J30" s="18" t="n"/>
      <c r="K30" s="18" t="n"/>
    </row>
    <row r="31" ht="21.75" customHeight="1">
      <c r="A31" s="18" t="n"/>
      <c r="B31" s="18" t="n"/>
      <c r="C31" s="18" t="n"/>
      <c r="D31" s="18" t="n"/>
      <c r="E31" s="18" t="n"/>
      <c r="F31" s="18" t="n"/>
      <c r="G31" s="18" t="n"/>
      <c r="H31" s="18" t="n"/>
      <c r="I31" s="18" t="n"/>
      <c r="J31" s="18" t="n"/>
      <c r="K31" s="18" t="n"/>
    </row>
    <row r="32" ht="17.25" customHeight="1">
      <c r="A32" s="18" t="n"/>
      <c r="B32" s="18" t="n"/>
      <c r="C32" s="18" t="n"/>
      <c r="D32" s="18" t="n"/>
      <c r="E32" s="18" t="n"/>
      <c r="F32" s="18" t="n"/>
      <c r="G32" s="18" t="n"/>
      <c r="H32" s="18" t="n"/>
      <c r="J32" s="18" t="n"/>
      <c r="K32" s="18" t="n"/>
    </row>
    <row r="33" ht="17.25" customHeight="1">
      <c r="A33" s="18" t="n"/>
      <c r="B33" s="18" t="n"/>
      <c r="C33" s="18" t="n"/>
      <c r="D33" s="18" t="n"/>
      <c r="E33" s="18" t="n"/>
      <c r="F33" s="18" t="n"/>
      <c r="G33" s="18" t="n"/>
      <c r="H33" s="18" t="n"/>
      <c r="I33" s="18" t="n"/>
      <c r="J33" s="18" t="n"/>
      <c r="K33" s="18" t="n"/>
    </row>
    <row r="34">
      <c r="A34" s="18" t="n"/>
      <c r="B34" s="18" t="n"/>
      <c r="C34" s="18" t="n"/>
      <c r="D34" s="18" t="n"/>
      <c r="E34" s="18" t="n"/>
      <c r="F34" s="18" t="n"/>
      <c r="G34" s="18" t="n"/>
      <c r="H34" s="18" t="n"/>
      <c r="I34" s="18" t="n"/>
      <c r="J34" s="18" t="n"/>
      <c r="K34" s="18" t="n"/>
    </row>
    <row r="35" ht="10.5" customHeight="1" thickBot="1">
      <c r="I35" s="125" t="n"/>
      <c r="J35" s="125" t="n"/>
    </row>
    <row r="36" ht="15.75" customHeight="1">
      <c r="A36" s="576" t="inlineStr">
        <is>
          <t>CALCULOS</t>
        </is>
      </c>
      <c r="B36" s="577" t="n"/>
      <c r="C36" s="577" t="n"/>
      <c r="D36" s="577" t="n"/>
      <c r="E36" s="577" t="n"/>
      <c r="F36" s="577" t="n"/>
      <c r="G36" s="577" t="n"/>
      <c r="H36" s="578" t="n"/>
      <c r="I36" s="125" t="n"/>
      <c r="J36" s="125" t="n"/>
    </row>
    <row r="37" ht="30" customHeight="1" thickBot="1">
      <c r="A37" s="204" t="inlineStr">
        <is>
          <t>Fuentes</t>
        </is>
      </c>
      <c r="B37" s="205" t="inlineStr">
        <is>
          <t>Valor</t>
        </is>
      </c>
      <c r="C37" s="206" t="inlineStr">
        <is>
          <t>Incertidumbre Original</t>
        </is>
      </c>
      <c r="D37" s="206" t="inlineStr">
        <is>
          <t>Unidades</t>
        </is>
      </c>
      <c r="E37" s="207" t="inlineStr">
        <is>
          <t>Distribución</t>
        </is>
      </c>
      <c r="F37" s="208" t="inlineStr">
        <is>
          <t>Incertidumbre Estándar u(xi)</t>
        </is>
      </c>
      <c r="G37" s="208" t="inlineStr">
        <is>
          <t>Coeficiente de Sensibilidad</t>
        </is>
      </c>
      <c r="H37" s="209" t="inlineStr">
        <is>
          <t>Contribución ui(y)</t>
        </is>
      </c>
      <c r="I37" s="125" t="n"/>
      <c r="J37" s="125" t="n"/>
    </row>
    <row r="38" ht="24.75" customFormat="1" customHeight="1" s="122">
      <c r="A38" s="199" t="inlineStr">
        <is>
          <t>Humedad (%)</t>
        </is>
      </c>
      <c r="B38" s="579">
        <f>+(B39-B43)/B43*100</f>
        <v/>
      </c>
      <c r="C38" s="201" t="inlineStr">
        <is>
          <t>---</t>
        </is>
      </c>
      <c r="D38" s="202" t="inlineStr">
        <is>
          <t>---</t>
        </is>
      </c>
      <c r="E38" s="202" t="inlineStr">
        <is>
          <t>---</t>
        </is>
      </c>
      <c r="F38" s="202" t="inlineStr">
        <is>
          <t>---</t>
        </is>
      </c>
      <c r="G38" s="202" t="inlineStr">
        <is>
          <t>---</t>
        </is>
      </c>
      <c r="H38" s="203" t="inlineStr">
        <is>
          <t>---</t>
        </is>
      </c>
      <c r="I38" s="125" t="n"/>
      <c r="J38" s="125" t="n"/>
      <c r="K38" s="13" t="n"/>
      <c r="L38" s="13" t="n"/>
    </row>
    <row r="39" ht="24.75" customFormat="1" customHeight="1" s="122">
      <c r="A39" s="153" t="inlineStr">
        <is>
          <t>Masa Humeda</t>
        </is>
      </c>
      <c r="B39" s="580">
        <f>+Balanza!F29</f>
        <v/>
      </c>
      <c r="C39" s="155" t="inlineStr">
        <is>
          <t>---</t>
        </is>
      </c>
      <c r="D39" s="154" t="inlineStr">
        <is>
          <t>g</t>
        </is>
      </c>
      <c r="E39" s="155" t="inlineStr">
        <is>
          <t>---</t>
        </is>
      </c>
      <c r="F39" s="150">
        <f>SQRT((F40*F40)+(F41*F41)+(F42*F42))</f>
        <v/>
      </c>
      <c r="G39" s="155">
        <f>100/B43</f>
        <v/>
      </c>
      <c r="H39" s="156">
        <f>+G39*F39</f>
        <v/>
      </c>
      <c r="I39" s="125" t="inlineStr">
        <is>
          <t>W</t>
        </is>
      </c>
      <c r="J39" s="125" t="n"/>
      <c r="K39" s="13" t="n"/>
      <c r="L39" s="13" t="n"/>
    </row>
    <row r="40" ht="24.75" customFormat="1" customHeight="1" s="122">
      <c r="A40" s="139" t="inlineStr">
        <is>
          <t>Repetibilidad de la pesada</t>
        </is>
      </c>
      <c r="B40" s="581" t="n"/>
      <c r="C40" s="198">
        <f>+Balanza!G29</f>
        <v/>
      </c>
      <c r="D40" s="140" t="inlineStr">
        <is>
          <t>g</t>
        </is>
      </c>
      <c r="E40" s="141" t="inlineStr">
        <is>
          <t>Normal, K=1</t>
        </is>
      </c>
      <c r="F40" s="142">
        <f>+C40</f>
        <v/>
      </c>
      <c r="G40" s="143" t="inlineStr">
        <is>
          <t>---</t>
        </is>
      </c>
      <c r="H40" s="144" t="inlineStr">
        <is>
          <t>---</t>
        </is>
      </c>
      <c r="I40" s="125" t="n"/>
      <c r="J40" s="125" t="n"/>
      <c r="K40" s="13" t="n"/>
      <c r="L40" s="13" t="n"/>
    </row>
    <row r="41" ht="24.75" customFormat="1" customHeight="1" s="122">
      <c r="A41" s="139" t="inlineStr">
        <is>
          <t>Certificado de Calibración</t>
        </is>
      </c>
      <c r="B41" s="581" t="n"/>
      <c r="C41" s="198">
        <f>2*(SQRT(Balanza!$C$7+Balanza!$D$7*(POWER(B39,2))))</f>
        <v/>
      </c>
      <c r="D41" s="140" t="inlineStr">
        <is>
          <t>g</t>
        </is>
      </c>
      <c r="E41" s="141" t="inlineStr">
        <is>
          <t>Normal, K=2 (/2)</t>
        </is>
      </c>
      <c r="F41" s="142">
        <f>C41/2</f>
        <v/>
      </c>
      <c r="G41" s="143" t="inlineStr">
        <is>
          <t>---</t>
        </is>
      </c>
      <c r="H41" s="144" t="inlineStr">
        <is>
          <t>---</t>
        </is>
      </c>
      <c r="I41" s="125" t="n"/>
      <c r="J41" s="125" t="n"/>
      <c r="K41" s="13" t="n"/>
      <c r="L41" s="13" t="n"/>
    </row>
    <row r="42" ht="24.75" customFormat="1" customHeight="1" s="122">
      <c r="A42" s="139" t="inlineStr">
        <is>
          <t>Resolución</t>
        </is>
      </c>
      <c r="B42" s="581" t="n"/>
      <c r="C42" s="198">
        <f>Balanza!$C$9</f>
        <v/>
      </c>
      <c r="D42" s="140" t="inlineStr">
        <is>
          <t>g</t>
        </is>
      </c>
      <c r="E42" s="145" t="inlineStr">
        <is>
          <t>Rectangular</t>
        </is>
      </c>
      <c r="F42" s="142">
        <f>C42/SQRT(3)/2</f>
        <v/>
      </c>
      <c r="G42" s="143" t="inlineStr">
        <is>
          <t>---</t>
        </is>
      </c>
      <c r="H42" s="144" t="inlineStr">
        <is>
          <t>---</t>
        </is>
      </c>
      <c r="I42" s="125" t="n"/>
      <c r="J42" s="125" t="n"/>
      <c r="K42" s="13" t="n"/>
      <c r="L42" s="13" t="n"/>
    </row>
    <row r="43" ht="24.75" customFormat="1" customHeight="1" s="122">
      <c r="A43" s="147" t="inlineStr">
        <is>
          <t>Masa Seca</t>
        </is>
      </c>
      <c r="B43" s="580">
        <f>+Balanza!F30</f>
        <v/>
      </c>
      <c r="C43" s="155" t="n"/>
      <c r="D43" s="148" t="inlineStr">
        <is>
          <t>g</t>
        </is>
      </c>
      <c r="E43" s="149" t="inlineStr">
        <is>
          <t>---</t>
        </is>
      </c>
      <c r="F43" s="150">
        <f>SQRT((F44*F44)+(F45*F45)+(F46*F46))</f>
        <v/>
      </c>
      <c r="G43" s="151">
        <f>+(100*B39/B43/B43)</f>
        <v/>
      </c>
      <c r="H43" s="152">
        <f>+G43*F43</f>
        <v/>
      </c>
      <c r="I43" s="125" t="inlineStr">
        <is>
          <t>D</t>
        </is>
      </c>
      <c r="J43" s="125" t="n"/>
      <c r="K43" s="13" t="n"/>
      <c r="L43" s="13" t="n"/>
    </row>
    <row r="44" ht="24.75" customFormat="1" customHeight="1" s="122">
      <c r="A44" s="139" t="inlineStr">
        <is>
          <t>Repetibilidad de la pesada</t>
        </is>
      </c>
      <c r="B44" s="581" t="n"/>
      <c r="C44" s="198">
        <f>+Balanza!G30</f>
        <v/>
      </c>
      <c r="D44" s="140" t="inlineStr">
        <is>
          <t>g</t>
        </is>
      </c>
      <c r="E44" s="141" t="inlineStr">
        <is>
          <t>Normal, K=1</t>
        </is>
      </c>
      <c r="F44" s="142">
        <f>+C44</f>
        <v/>
      </c>
      <c r="G44" s="143" t="inlineStr">
        <is>
          <t>---</t>
        </is>
      </c>
      <c r="H44" s="144" t="inlineStr">
        <is>
          <t>---</t>
        </is>
      </c>
      <c r="I44" s="125" t="n"/>
      <c r="J44" s="125" t="n"/>
      <c r="K44" s="13" t="n"/>
      <c r="L44" s="13" t="n"/>
    </row>
    <row r="45" ht="24.75" customFormat="1" customHeight="1" s="122">
      <c r="A45" s="139" t="inlineStr">
        <is>
          <t>Certificado de Calibración</t>
        </is>
      </c>
      <c r="B45" s="581" t="n"/>
      <c r="C45" s="198">
        <f>2*(SQRT(Balanza!$C$7+Balanza!$D$7*(POWER(B43,2))))</f>
        <v/>
      </c>
      <c r="D45" s="140" t="inlineStr">
        <is>
          <t>g</t>
        </is>
      </c>
      <c r="E45" s="141" t="inlineStr">
        <is>
          <t>Normal, K=2 (/2)</t>
        </is>
      </c>
      <c r="F45" s="142">
        <f>C45/2</f>
        <v/>
      </c>
      <c r="G45" s="143" t="inlineStr">
        <is>
          <t>---</t>
        </is>
      </c>
      <c r="H45" s="144" t="inlineStr">
        <is>
          <t>---</t>
        </is>
      </c>
      <c r="I45" s="125" t="n"/>
      <c r="J45" s="125" t="n"/>
      <c r="K45" s="13" t="n"/>
      <c r="L45" s="13" t="n"/>
    </row>
    <row r="46" ht="24.75" customFormat="1" customHeight="1" s="122">
      <c r="A46" s="139" t="inlineStr">
        <is>
          <t>Resolución</t>
        </is>
      </c>
      <c r="B46" s="198" t="n"/>
      <c r="C46" s="198">
        <f>Balanza!$C$9</f>
        <v/>
      </c>
      <c r="D46" s="140" t="inlineStr">
        <is>
          <t>g</t>
        </is>
      </c>
      <c r="E46" s="145" t="inlineStr">
        <is>
          <t>Rectangular</t>
        </is>
      </c>
      <c r="F46" s="142">
        <f>C46/SQRT(3)/2</f>
        <v/>
      </c>
      <c r="G46" s="143" t="inlineStr">
        <is>
          <t>---</t>
        </is>
      </c>
      <c r="H46" s="144" t="inlineStr">
        <is>
          <t>---</t>
        </is>
      </c>
      <c r="I46" s="125" t="n"/>
      <c r="J46" s="125" t="n"/>
      <c r="K46" s="13" t="n"/>
      <c r="L46" s="13" t="n"/>
    </row>
    <row r="47" ht="24.75" customFormat="1" customHeight="1" s="122" thickBot="1">
      <c r="A47" s="159" t="inlineStr">
        <is>
          <t>factor de presición</t>
        </is>
      </c>
      <c r="B47" s="155">
        <f>+Precisión!C7</f>
        <v/>
      </c>
      <c r="C47" s="155" t="n"/>
      <c r="D47" s="160" t="inlineStr">
        <is>
          <t>%</t>
        </is>
      </c>
      <c r="E47" s="161" t="inlineStr">
        <is>
          <t>Norma, K=1</t>
        </is>
      </c>
      <c r="F47" s="162">
        <f>B47/SQRT(1)</f>
        <v/>
      </c>
      <c r="G47" s="163" t="n">
        <v>1</v>
      </c>
      <c r="H47" s="164">
        <f>+F47*G47</f>
        <v/>
      </c>
      <c r="I47" s="125" t="n"/>
      <c r="J47" s="125" t="n"/>
    </row>
    <row r="48" ht="24.75" customFormat="1" customHeight="1" s="122">
      <c r="A48" s="481" t="inlineStr">
        <is>
          <t>Incertidumbre Estándar Combinada</t>
        </is>
      </c>
      <c r="B48" s="582" t="n"/>
      <c r="C48" s="582" t="n"/>
      <c r="D48" s="583" t="n"/>
      <c r="E48" s="482" t="inlineStr">
        <is>
          <t>%</t>
        </is>
      </c>
      <c r="F48" s="479">
        <f>SQRT((H39*H39)+(H43*H43)+(H47*H47))</f>
        <v/>
      </c>
      <c r="G48" s="582" t="n"/>
      <c r="H48" s="583" t="n"/>
      <c r="I48" s="125" t="n"/>
      <c r="J48" s="125" t="n"/>
    </row>
    <row r="49" ht="24.75" customFormat="1" customHeight="1" s="122" thickBot="1">
      <c r="A49" s="483" t="inlineStr">
        <is>
          <t>Incertidumbre Expandida, K = 2 (al 95%)</t>
        </is>
      </c>
      <c r="B49" s="584" t="n"/>
      <c r="C49" s="584" t="n"/>
      <c r="D49" s="585" t="n"/>
      <c r="E49" s="146" t="inlineStr">
        <is>
          <t>%</t>
        </is>
      </c>
      <c r="F49" s="474">
        <f>F48*2</f>
        <v/>
      </c>
      <c r="G49" s="586" t="n"/>
      <c r="H49" s="587" t="n"/>
      <c r="I49" s="125" t="n"/>
      <c r="J49" s="125" t="n"/>
    </row>
    <row r="50" ht="26.25" customHeight="1">
      <c r="A50" s="125" t="n"/>
      <c r="D50" s="125" t="n"/>
      <c r="E50" s="125" t="n"/>
      <c r="F50" s="125" t="n"/>
      <c r="G50" s="125" t="n"/>
      <c r="H50" s="125" t="n"/>
      <c r="I50" s="125" t="n"/>
      <c r="J50" s="125" t="n"/>
    </row>
    <row r="51" ht="29.25" customHeight="1">
      <c r="A51" s="127" t="n"/>
      <c r="B51" s="128" t="inlineStr">
        <is>
          <t>Factor de Influencia</t>
        </is>
      </c>
      <c r="C51" s="129" t="inlineStr">
        <is>
          <t>Valor</t>
        </is>
      </c>
      <c r="D51" s="130" t="inlineStr">
        <is>
          <t xml:space="preserve">% </t>
        </is>
      </c>
      <c r="E51" s="125" t="n"/>
      <c r="F51" s="125" t="n"/>
      <c r="G51" s="125" t="n"/>
      <c r="H51" s="125" t="n"/>
      <c r="I51" s="125" t="n"/>
      <c r="J51" s="125" t="n"/>
    </row>
    <row r="52" ht="29.25" customHeight="1">
      <c r="A52" s="123" t="n"/>
      <c r="B52" s="124">
        <f>A39</f>
        <v/>
      </c>
      <c r="C52" s="126">
        <f>H39</f>
        <v/>
      </c>
      <c r="D52" s="133">
        <f>+C52*100/$C$55</f>
        <v/>
      </c>
      <c r="E52" s="125" t="n"/>
      <c r="F52" s="125" t="n"/>
      <c r="G52" s="125" t="n"/>
      <c r="H52" s="125" t="n"/>
      <c r="I52" s="125" t="n"/>
      <c r="J52" s="125" t="n"/>
    </row>
    <row r="53" ht="29.25" customHeight="1">
      <c r="A53" s="123" t="n"/>
      <c r="B53" s="124">
        <f>A43</f>
        <v/>
      </c>
      <c r="C53" s="126">
        <f>H43</f>
        <v/>
      </c>
      <c r="D53" s="133">
        <f>+C53*100/$C$55</f>
        <v/>
      </c>
      <c r="E53" s="125" t="n"/>
      <c r="F53" s="125" t="n"/>
      <c r="G53" s="125" t="n"/>
      <c r="H53" s="125" t="n"/>
      <c r="I53" s="125" t="n"/>
      <c r="J53" s="125" t="n"/>
    </row>
    <row r="54" ht="29.25" customHeight="1">
      <c r="A54" s="123" t="n"/>
      <c r="B54" s="124">
        <f>A47</f>
        <v/>
      </c>
      <c r="C54" s="131">
        <f>H47</f>
        <v/>
      </c>
      <c r="D54" s="133">
        <f>+C54*100/$C$55</f>
        <v/>
      </c>
      <c r="E54" s="125" t="n"/>
      <c r="F54" s="125" t="n"/>
      <c r="G54" s="125" t="n"/>
      <c r="H54" s="125" t="n"/>
      <c r="I54" s="125" t="n"/>
      <c r="J54" s="125" t="n"/>
    </row>
    <row r="55" ht="29.25" customHeight="1">
      <c r="A55" s="125" t="n"/>
      <c r="C55" s="132">
        <f>SUM(C52:C54)</f>
        <v/>
      </c>
      <c r="D55" s="133">
        <f>+C55*100/$C$55</f>
        <v/>
      </c>
      <c r="E55" s="125" t="n"/>
      <c r="F55" s="125" t="n"/>
      <c r="G55" s="125" t="n"/>
      <c r="H55" s="125" t="n"/>
      <c r="I55" s="125" t="n"/>
      <c r="J55" s="125" t="n"/>
    </row>
    <row r="56">
      <c r="A56" s="125" t="n"/>
      <c r="B56" s="125" t="n"/>
      <c r="C56" s="125" t="n"/>
      <c r="D56" s="125" t="n"/>
      <c r="E56" s="125" t="n"/>
      <c r="F56" s="125" t="n"/>
      <c r="G56" s="125" t="n"/>
      <c r="H56" s="125" t="n"/>
      <c r="I56" s="125" t="n"/>
      <c r="J56" s="125" t="n"/>
    </row>
    <row r="57" ht="24" customHeight="1">
      <c r="A57" s="125" t="n"/>
      <c r="E57" s="125" t="n"/>
      <c r="F57" s="125" t="n"/>
      <c r="G57" s="125" t="n"/>
      <c r="H57" s="125" t="n"/>
      <c r="I57" s="125" t="n"/>
      <c r="J57" s="125" t="n"/>
    </row>
    <row r="58" ht="24" customHeight="1">
      <c r="A58" s="125" t="n"/>
      <c r="E58" s="125" t="n"/>
      <c r="F58" s="125" t="n"/>
      <c r="G58" s="125" t="n"/>
      <c r="H58" s="125" t="n"/>
      <c r="I58" s="125" t="n"/>
      <c r="J58" s="125" t="n"/>
    </row>
    <row r="59">
      <c r="A59" s="385" t="inlineStr">
        <is>
          <t>REVISADO POR:</t>
        </is>
      </c>
      <c r="B59" s="588" t="inlineStr">
        <is>
          <t>FABIAN LA ROSA</t>
        </is>
      </c>
      <c r="C59" s="544" t="n"/>
      <c r="D59" s="386" t="n"/>
      <c r="E59" s="453" t="inlineStr">
        <is>
          <t>APROBADO POR:</t>
        </is>
      </c>
      <c r="G59" s="589" t="inlineStr">
        <is>
          <t>IRMA COAQUIRA</t>
        </is>
      </c>
      <c r="H59" s="544" t="n"/>
    </row>
    <row r="60">
      <c r="A60" s="243" t="n"/>
      <c r="B60" s="243" t="n"/>
      <c r="C60" s="243" t="n"/>
      <c r="D60" s="243" t="n"/>
      <c r="E60" s="243" t="n"/>
      <c r="F60" s="243" t="n"/>
      <c r="G60" s="243" t="n"/>
      <c r="H60" s="243" t="n"/>
    </row>
    <row r="61">
      <c r="A61" s="458" t="inlineStr">
        <is>
          <t>FECHA DE REVISIÓN:</t>
        </is>
      </c>
      <c r="B61" s="590" t="n">
        <v>44869</v>
      </c>
      <c r="C61" s="544" t="n"/>
      <c r="D61" s="243" t="n"/>
      <c r="E61" s="458" t="inlineStr">
        <is>
          <t>FECHA DE APROBACIÓN:</t>
        </is>
      </c>
      <c r="G61" s="590" t="n">
        <v>44870</v>
      </c>
      <c r="H61" s="544" t="n"/>
    </row>
  </sheetData>
  <sheetProtection selectLockedCells="1" selectUnlockedCells="1" algorithmName="SHA-512" sheet="1" objects="1" insertRows="1" insertHyperlinks="1" autoFilter="1" scenarios="1" formatColumns="1" deleteColumns="1" insertColumns="1" pivotTables="1" deleteRows="1" formatCells="1" saltValue="903QStExJ+2hr453WB5skg==" formatRows="1" sort="1" spinCount="100000" hashValue="E4saOIWIh+Eme1oJwQuMKDkpQOD3mu/gNSXXqxi1z9FTNqSBh3K6FNpoNItb60yc5uGoFN6+zjqUl8BeksL6fA=="/>
  <mergeCells count="13">
    <mergeCell ref="G59:H59"/>
    <mergeCell ref="E59:F59"/>
    <mergeCell ref="C1:H4"/>
    <mergeCell ref="F49:H49"/>
    <mergeCell ref="B59:C59"/>
    <mergeCell ref="A48:D48"/>
    <mergeCell ref="A1:B4"/>
    <mergeCell ref="B61:C61"/>
    <mergeCell ref="A36:H36"/>
    <mergeCell ref="G61:H61"/>
    <mergeCell ref="E61:F61"/>
    <mergeCell ref="A49:D49"/>
    <mergeCell ref="F48:H48"/>
  </mergeCells>
  <pageMargins left="0.7086614173228347" right="0.3149606299212598" top="0.7480314960629921" bottom="0.5511811023622047" header="0.3149606299212598" footer="0.3149606299212598"/>
  <pageSetup orientation="portrait" paperSize="9" scale="7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P31"/>
  <sheetViews>
    <sheetView topLeftCell="A16" zoomScaleNormal="100" workbookViewId="0">
      <selection activeCell="K13" sqref="K13"/>
    </sheetView>
  </sheetViews>
  <sheetFormatPr baseColWidth="10" defaultColWidth="11.42578125" defaultRowHeight="12.75"/>
  <cols>
    <col width="4.28515625" customWidth="1" style="240" min="1" max="1"/>
    <col width="12" customWidth="1" style="240" min="2" max="2"/>
    <col width="13.28515625" customWidth="1" style="240" min="3" max="3"/>
    <col width="12" customWidth="1" style="240" min="4" max="4"/>
    <col width="11.42578125" customWidth="1" style="240" min="5" max="7"/>
    <col width="14.42578125" customWidth="1" style="240" min="8" max="8"/>
    <col width="11.42578125" customWidth="1" style="240" min="9" max="9"/>
    <col width="11.85546875" customWidth="1" style="240" min="10" max="10"/>
    <col width="11.42578125" customWidth="1" style="240" min="11" max="16384"/>
  </cols>
  <sheetData>
    <row r="1">
      <c r="B1" s="485" t="inlineStr">
        <is>
          <t>CALIBRACION DE LA BALANZA</t>
        </is>
      </c>
    </row>
    <row r="2">
      <c r="B2" s="241" t="n"/>
      <c r="C2" s="242" t="n"/>
      <c r="D2" s="242" t="n"/>
      <c r="E2" s="243" t="n"/>
      <c r="F2" s="243" t="n"/>
      <c r="G2" s="243" t="n"/>
      <c r="H2" s="243" t="n"/>
    </row>
    <row r="3">
      <c r="B3" s="241" t="n"/>
      <c r="C3" s="242" t="n"/>
      <c r="D3" s="242" t="n"/>
      <c r="E3" s="243" t="n"/>
      <c r="F3" s="243" t="n"/>
      <c r="G3" s="243" t="n"/>
      <c r="H3" s="243" t="n"/>
    </row>
    <row r="4">
      <c r="B4" s="241" t="n"/>
      <c r="C4" s="242" t="n"/>
      <c r="D4" s="242" t="n"/>
      <c r="E4" s="243" t="n"/>
      <c r="F4" s="243" t="n"/>
      <c r="G4" s="243" t="n"/>
      <c r="H4" s="243" t="n"/>
    </row>
    <row r="5">
      <c r="B5" s="241" t="n"/>
      <c r="C5" s="242" t="n"/>
      <c r="D5" s="242" t="n"/>
      <c r="E5" s="243" t="n"/>
      <c r="F5" s="243" t="n"/>
      <c r="G5" s="243" t="n"/>
      <c r="H5" s="243" t="n"/>
    </row>
    <row r="6" ht="13.5" customHeight="1">
      <c r="B6" s="374" t="inlineStr">
        <is>
          <t>Corrección</t>
        </is>
      </c>
      <c r="C6" s="265" t="n">
        <v>-3.29e-06</v>
      </c>
      <c r="D6" s="18" t="n"/>
      <c r="E6" s="18" t="n"/>
      <c r="F6" s="19" t="n"/>
      <c r="G6" s="243" t="n"/>
      <c r="H6" s="243" t="n"/>
    </row>
    <row r="7" ht="13.5" customHeight="1">
      <c r="B7" s="134" t="inlineStr">
        <is>
          <t>Variables</t>
        </is>
      </c>
      <c r="C7" s="264" t="n">
        <v>0.00416</v>
      </c>
      <c r="D7" s="265" t="n">
        <v>2.43e-10</v>
      </c>
      <c r="E7" s="18" t="n"/>
      <c r="F7" s="19" t="n"/>
      <c r="G7" s="243" t="n"/>
      <c r="H7" s="243" t="n"/>
    </row>
    <row r="8" ht="13.5" customHeight="1">
      <c r="B8" s="134" t="inlineStr">
        <is>
          <t>Ecuación</t>
        </is>
      </c>
      <c r="C8" s="266" t="inlineStr">
        <is>
          <t>2*RAIZ(0.00416+0.000000000243*R2)</t>
        </is>
      </c>
      <c r="D8" s="264" t="n"/>
      <c r="E8" s="18" t="n"/>
      <c r="F8" s="19" t="n"/>
      <c r="G8" s="243" t="n"/>
      <c r="H8" s="243" t="n"/>
    </row>
    <row r="9" ht="13.5" customHeight="1">
      <c r="B9" s="134" t="inlineStr">
        <is>
          <t>Resolución</t>
        </is>
      </c>
      <c r="C9" s="266" t="n">
        <v>0.1</v>
      </c>
      <c r="D9" s="264" t="inlineStr">
        <is>
          <t>g</t>
        </is>
      </c>
      <c r="E9" s="19" t="n"/>
      <c r="F9" s="19" t="n"/>
      <c r="G9" s="243" t="n"/>
      <c r="H9" s="243" t="n"/>
    </row>
    <row r="10" ht="13.5" customHeight="1">
      <c r="B10" s="134" t="inlineStr">
        <is>
          <t xml:space="preserve">Código </t>
        </is>
      </c>
      <c r="C10" s="264" t="inlineStr">
        <is>
          <t>EQP-0046</t>
        </is>
      </c>
      <c r="D10" s="18" t="n"/>
      <c r="E10" s="19" t="n"/>
      <c r="F10" s="19" t="n"/>
      <c r="G10" s="243" t="n"/>
      <c r="H10" s="243" t="n"/>
    </row>
    <row r="11" ht="13.5" customHeight="1">
      <c r="B11" s="134" t="inlineStr">
        <is>
          <t>Fecha ultima calibracion</t>
        </is>
      </c>
      <c r="C11" s="19" t="n"/>
      <c r="D11" s="591" t="n">
        <v>46132</v>
      </c>
      <c r="E11" s="19" t="n"/>
      <c r="F11" s="19" t="n"/>
      <c r="G11" s="243" t="n"/>
      <c r="H11" s="243" t="n"/>
    </row>
    <row r="12" ht="6.75" customHeight="1">
      <c r="B12" s="246" t="n"/>
      <c r="C12" s="244" t="n"/>
      <c r="D12" s="243" t="n"/>
      <c r="E12" s="243" t="n"/>
      <c r="F12" s="243" t="n"/>
      <c r="G12" s="243" t="n"/>
      <c r="H12" s="243" t="n"/>
    </row>
    <row r="13" ht="15" customHeight="1">
      <c r="B13" s="249" t="inlineStr">
        <is>
          <t>ÍTEM</t>
        </is>
      </c>
      <c r="C13" s="248" t="inlineStr">
        <is>
          <t>MES</t>
        </is>
      </c>
      <c r="D13" s="249" t="n">
        <v>200</v>
      </c>
      <c r="E13" s="249" t="n">
        <v>500</v>
      </c>
      <c r="F13" s="249" t="n">
        <v>1000</v>
      </c>
      <c r="G13" s="249" t="n">
        <v>5000</v>
      </c>
      <c r="H13" s="249" t="n">
        <v>10000</v>
      </c>
      <c r="I13" s="249" t="n"/>
    </row>
    <row r="14" ht="15" customHeight="1">
      <c r="B14" s="250" t="n"/>
      <c r="C14" s="592" t="n"/>
      <c r="D14" s="593" t="n"/>
      <c r="E14" s="593" t="n"/>
      <c r="F14" s="593" t="n"/>
      <c r="G14" s="593" t="n"/>
      <c r="H14" s="593" t="n"/>
      <c r="I14" s="594" t="n"/>
    </row>
    <row r="15" ht="15" customHeight="1">
      <c r="B15" s="250" t="n"/>
      <c r="C15" s="592" t="n"/>
      <c r="D15" s="593" t="n"/>
      <c r="E15" s="593" t="n"/>
      <c r="F15" s="593" t="n"/>
      <c r="G15" s="593" t="n"/>
      <c r="H15" s="593" t="n"/>
      <c r="I15" s="594" t="n"/>
    </row>
    <row r="16">
      <c r="B16" s="243" t="n"/>
      <c r="C16" s="243" t="n"/>
      <c r="D16" s="243" t="n"/>
      <c r="E16" s="243" t="n"/>
      <c r="F16" s="243" t="n"/>
      <c r="G16" s="243" t="n"/>
      <c r="H16" s="243" t="n"/>
      <c r="I16" s="243" t="n"/>
    </row>
    <row r="17" ht="17.25" customHeight="1">
      <c r="B17" s="253" t="n"/>
      <c r="C17" s="247" t="inlineStr">
        <is>
          <t>DESV STD</t>
        </is>
      </c>
      <c r="D17" s="595" t="n">
        <v>0</v>
      </c>
      <c r="E17" s="595" t="n">
        <v>0</v>
      </c>
      <c r="F17" s="595" t="n">
        <v>0</v>
      </c>
      <c r="G17" s="595" t="n">
        <v>0</v>
      </c>
      <c r="H17" s="595" t="n">
        <v>0</v>
      </c>
      <c r="I17" s="595" t="n"/>
    </row>
    <row r="19">
      <c r="B19" s="486" t="inlineStr">
        <is>
          <t>Busqueda de Repetibilidad de la masa</t>
        </is>
      </c>
      <c r="C19" s="495" t="n"/>
      <c r="D19" s="495" t="n"/>
      <c r="E19" s="495" t="n"/>
      <c r="F19" s="495" t="n"/>
      <c r="G19" s="495" t="n"/>
      <c r="H19" s="495" t="n"/>
      <c r="I19" s="494" t="n"/>
      <c r="M19" s="243" t="n"/>
      <c r="N19" s="243" t="n"/>
      <c r="O19" s="243" t="n"/>
      <c r="P19" s="243" t="n"/>
    </row>
    <row r="20">
      <c r="B20" s="255" t="n"/>
      <c r="F20" s="243" t="n"/>
      <c r="I20" s="256" t="n"/>
      <c r="M20" s="243" t="n"/>
      <c r="N20" s="243" t="n"/>
      <c r="O20" s="243" t="n"/>
      <c r="P20" s="243" t="n"/>
    </row>
    <row r="21" ht="15.75" customHeight="1">
      <c r="B21" s="255" t="n"/>
      <c r="D21" s="249">
        <f>+D13</f>
        <v/>
      </c>
      <c r="E21" s="249">
        <f>+E13</f>
        <v/>
      </c>
      <c r="F21" s="249">
        <f>+F13</f>
        <v/>
      </c>
      <c r="G21" s="249">
        <f>+G13</f>
        <v/>
      </c>
      <c r="H21" s="249">
        <f>+H13</f>
        <v/>
      </c>
      <c r="I21" s="249" t="n"/>
      <c r="M21" s="243" t="n"/>
      <c r="N21" s="243" t="n"/>
      <c r="O21" s="243" t="n"/>
      <c r="P21" s="243" t="n"/>
    </row>
    <row r="22">
      <c r="B22" s="255" t="n"/>
      <c r="D22" s="596">
        <f>D17</f>
        <v/>
      </c>
      <c r="E22" s="596">
        <f>E17</f>
        <v/>
      </c>
      <c r="F22" s="596">
        <f>F17</f>
        <v/>
      </c>
      <c r="G22" s="596">
        <f>G17</f>
        <v/>
      </c>
      <c r="H22" s="596">
        <f>H17</f>
        <v/>
      </c>
      <c r="I22" s="596" t="n"/>
      <c r="M22" s="243" t="n"/>
      <c r="N22" s="243" t="n"/>
      <c r="O22" s="243" t="n"/>
      <c r="P22" s="243" t="n"/>
    </row>
    <row r="23">
      <c r="B23" s="255" t="n"/>
      <c r="I23" s="257" t="n"/>
      <c r="M23" s="243" t="n"/>
      <c r="N23" s="243" t="n"/>
      <c r="O23" s="243" t="n"/>
      <c r="P23" s="243" t="n"/>
    </row>
    <row r="24" ht="18" customHeight="1">
      <c r="B24" s="255" t="n"/>
      <c r="D24" s="138" t="inlineStr">
        <is>
          <t>Tara + suelo húmedo</t>
        </is>
      </c>
      <c r="E24" s="136" t="n"/>
      <c r="F24" s="135">
        <f>+'Datos ensayo'!E15</f>
        <v/>
      </c>
      <c r="G24" s="595">
        <f>IF(F24&lt;=$D$21,$D$22,IF(AND(F24&gt;$D$21,F24&lt;=$E$21),$E$22,IF(AND(F24&gt;$E$21,F24&lt;=$F$21),$F$22,IF(AND(F24&gt;$F$21,F24&lt;=$G$21),$G$22,IF(AND(F24&gt;$G$21,F24&lt;=$H$21),$H$22,$H$22)))))</f>
        <v/>
      </c>
      <c r="I24" s="258" t="n"/>
    </row>
    <row r="25" ht="18" customHeight="1">
      <c r="B25" s="255" t="n"/>
      <c r="D25" s="138" t="inlineStr">
        <is>
          <t>Tara + suelo seco</t>
        </is>
      </c>
      <c r="E25" s="136" t="n"/>
      <c r="F25" s="135">
        <f>+'Datos ensayo'!E16</f>
        <v/>
      </c>
      <c r="G25" s="595">
        <f>IF(F25&lt;=$D$21,$D$22,IF(AND(F25&gt;$D$21,F25&lt;=$E$21),$E$22,IF(AND(F25&gt;$E$21,F25&lt;=$F$21),$F$22,IF(AND(F25&gt;$F$21,F25&lt;=$G$21),$G$22,IF(AND(F25&gt;$G$21,F25&lt;=$H$21),$H$22,$H$22)))))</f>
        <v/>
      </c>
      <c r="I25" s="258" t="n"/>
    </row>
    <row r="26" ht="18" customHeight="1">
      <c r="B26" s="255" t="n"/>
      <c r="D26" s="138" t="inlineStr">
        <is>
          <t>Tara + suelo seco 1</t>
        </is>
      </c>
      <c r="E26" s="136" t="n"/>
      <c r="F26" s="135">
        <f>+'Datos ensayo'!E17</f>
        <v/>
      </c>
      <c r="G26" s="595">
        <f>IF(F26&lt;=$D$21,$D$22,IF(AND(F26&gt;$D$21,F26&lt;=$E$21),$E$22,IF(AND(F26&gt;$E$21,F26&lt;=$F$21),$F$22,IF(AND(F26&gt;$F$21,F26&lt;=$G$21),$G$22,IF(AND(F26&gt;$G$21,F26&lt;=$H$21),$H$22,$H$22)))))</f>
        <v/>
      </c>
      <c r="I26" s="258" t="n"/>
    </row>
    <row r="27" ht="18" customHeight="1">
      <c r="B27" s="255" t="n"/>
      <c r="D27" s="138" t="inlineStr">
        <is>
          <t>Peso de agua</t>
        </is>
      </c>
      <c r="E27" s="136" t="n"/>
      <c r="F27" s="135">
        <f>+'Datos ensayo'!E19</f>
        <v/>
      </c>
      <c r="G27" s="595">
        <f>IF(F27&lt;=$D$21,$D$22,IF(AND(F27&gt;$D$21,F27&lt;=$E$21),$E$22,IF(AND(F27&gt;$E$21,F27&lt;=$F$21),$F$22,IF(AND(F27&gt;$F$21,F27&lt;=$G$21),$G$22,IF(AND(F27&gt;$G$21,F27&lt;=$H$21),$H$22,$H$22)))))</f>
        <v/>
      </c>
      <c r="I27" s="258" t="n"/>
    </row>
    <row r="28" ht="18" customHeight="1">
      <c r="B28" s="255" t="n"/>
      <c r="D28" s="138" t="inlineStr">
        <is>
          <t>Peso de tara</t>
        </is>
      </c>
      <c r="E28" s="136" t="n"/>
      <c r="F28" s="135">
        <f>+'Datos ensayo'!E18</f>
        <v/>
      </c>
      <c r="G28" s="595">
        <f>IF(F28&lt;=$D$21,$D$22,IF(AND(F28&gt;$D$21,F28&lt;=$E$21),$E$22,IF(AND(F28&gt;$E$21,F28&lt;=$F$21),$F$22,IF(AND(F28&gt;$F$21,F28&lt;=$G$21),$G$22,IF(AND(F28&gt;$G$21,F28&lt;=$H$21),$H$22,$H$22)))))</f>
        <v/>
      </c>
      <c r="I28" s="258" t="n"/>
    </row>
    <row r="29" ht="18" customHeight="1">
      <c r="B29" s="255" t="n"/>
      <c r="D29" s="121" t="inlineStr">
        <is>
          <t>masa humeda</t>
        </is>
      </c>
      <c r="E29" s="137" t="n"/>
      <c r="F29" s="216">
        <f>+F24-F28</f>
        <v/>
      </c>
      <c r="G29" s="595">
        <f>IF(F29&lt;=$D$21,$D$22,IF(AND(F29&gt;$D$21,F29&lt;=$E$21),$E$22,IF(AND(F29&gt;$E$21,F29&lt;=$F$21),$F$22,IF(AND(F29&gt;$F$21,F29&lt;=$G$21),$G$22,IF(AND(F29&gt;$G$21,F29&lt;=$H$21),$H$22,$H$22)))))</f>
        <v/>
      </c>
      <c r="I29" s="258" t="n"/>
    </row>
    <row r="30" ht="18" customHeight="1">
      <c r="B30" s="255" t="n"/>
      <c r="D30" s="121" t="inlineStr">
        <is>
          <t>masa seca</t>
        </is>
      </c>
      <c r="E30" s="137" t="n"/>
      <c r="F30" s="216">
        <f>+F26-F28</f>
        <v/>
      </c>
      <c r="G30" s="595">
        <f>IF(F30&lt;=$D$21,$D$22,IF(AND(F30&gt;$D$21,F30&lt;=$E$21),$E$22,IF(AND(F30&gt;$E$21,F30&lt;=$F$21),$F$22,IF(AND(F30&gt;$F$21,F30&lt;=$G$21),$G$22,IF(AND(F30&gt;$G$21,F30&lt;=$H$21),$H$22,$H$22)))))</f>
        <v/>
      </c>
      <c r="H30" s="259" t="n"/>
      <c r="I30" s="258" t="n"/>
    </row>
    <row r="31" ht="18" customHeight="1">
      <c r="B31" s="260" t="n"/>
      <c r="C31" s="261" t="n"/>
      <c r="D31" s="261" t="n"/>
      <c r="E31" s="261" t="n"/>
      <c r="F31" s="261" t="n"/>
      <c r="G31" s="261" t="n"/>
      <c r="H31" s="261" t="n"/>
      <c r="I31" s="256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XMW6Z0p2hPuVOMWcqpc/Sg==" formatRows="1" sort="1" spinCount="100000" hashValue="hbg1Ppg7dsa1qbvIpgfK22VqDuSa/tHNlQHI4e8g/UjNVkw+3QbYDtHzRigbSGC34QRf0wmNA+vpFmlXwBb2vg=="/>
  <mergeCells count="2">
    <mergeCell ref="B1:H1"/>
    <mergeCell ref="B19:I19"/>
  </mergeCells>
  <pageMargins left="0.7" right="0.7" top="0.75" bottom="0.75" header="0.3" footer="0.3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K8"/>
  <sheetViews>
    <sheetView zoomScaleNormal="100" workbookViewId="0">
      <selection activeCell="D17" sqref="D17:D18"/>
    </sheetView>
  </sheetViews>
  <sheetFormatPr baseColWidth="10" defaultColWidth="11.42578125" defaultRowHeight="12.75"/>
  <cols>
    <col width="4.42578125" customWidth="1" style="13" min="1" max="1"/>
    <col width="39.5703125" customWidth="1" style="13" min="2" max="2"/>
    <col width="16.85546875" customWidth="1" style="13" min="3" max="6"/>
    <col width="11.42578125" customWidth="1" style="13" min="7" max="16384"/>
  </cols>
  <sheetData>
    <row r="1" ht="12.75" customHeight="1"/>
    <row r="2" ht="17.25" customHeight="1">
      <c r="B2" s="597" t="inlineStr">
        <is>
          <t>INCERTIDUMBRE ESTANDAR -TIPO A</t>
        </is>
      </c>
      <c r="C2" s="543" t="n"/>
      <c r="D2" s="543" t="n"/>
      <c r="E2" s="543" t="n"/>
      <c r="F2" s="544" t="n"/>
    </row>
    <row r="3" ht="3.75" customHeight="1"/>
    <row r="4" ht="20.25" customHeight="1">
      <c r="B4" s="158" t="inlineStr">
        <is>
          <t>TALLER DE INCERTIDUMBRE ESTANDAR -TIPO A</t>
        </is>
      </c>
    </row>
    <row r="5" ht="18.75" customHeight="1">
      <c r="B5" s="158" t="inlineStr">
        <is>
          <t>Fecha de evaluacion:</t>
        </is>
      </c>
      <c r="C5" s="218" t="n">
        <v>46069</v>
      </c>
    </row>
    <row r="6" ht="20.25" customHeight="1">
      <c r="B6" s="158" t="inlineStr">
        <is>
          <t>1-Calcular la Incertidumbre estandar bajo condiciones de reproducibilidad</t>
        </is>
      </c>
      <c r="E6" s="158" t="n"/>
      <c r="H6" s="389" t="n"/>
      <c r="I6" s="116" t="n"/>
      <c r="J6" s="116" t="n"/>
      <c r="K6" s="116" t="n"/>
    </row>
    <row r="7" ht="16.5" customHeight="1">
      <c r="B7" s="210" t="inlineStr">
        <is>
          <t>Desviacion Estándar Repetibilidad (Sr)</t>
        </is>
      </c>
      <c r="C7" s="598" t="n">
        <v>0.1070306290533488</v>
      </c>
      <c r="D7" s="495" t="n"/>
      <c r="E7" s="494" t="n"/>
      <c r="F7" s="157" t="n"/>
    </row>
    <row r="8" ht="16.5" customHeight="1">
      <c r="B8" s="210" t="inlineStr">
        <is>
          <t>Desviacion Estándar Reproducibilidad (SR)</t>
        </is>
      </c>
      <c r="C8" s="598" t="n">
        <v>0.1153617498711411</v>
      </c>
      <c r="D8" s="495" t="n"/>
      <c r="E8" s="494" t="n"/>
      <c r="F8" s="157" t="n"/>
    </row>
  </sheetData>
  <sheetProtection selectLockedCells="0" selectUnlockedCells="0" algorithmName="SHA-512" sheet="1" objects="1" insertRows="1" insertHyperlinks="1" autoFilter="1" scenarios="1" formatColumns="1" deleteColumns="1" insertColumns="1" pivotTables="1" deleteRows="1" formatCells="1" saltValue="pMGlzxhOyTGCgLKZnkzFtw==" formatRows="1" sort="1" spinCount="100000" hashValue="T6jVxRpVjcu6m2IMrWCT4/YCeq2atX/cUIRXZpK7ClnmIjCGohycYwRRAOpgfRRFyfFlPEMdA1AmBKz5MwrSDQ=="/>
  <mergeCells count="3">
    <mergeCell ref="B2:F2"/>
    <mergeCell ref="C7:E7"/>
    <mergeCell ref="C8:E8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>
  <sheetPr codeName="Hoja3">
    <outlinePr summaryBelow="1" summaryRight="1"/>
    <pageSetUpPr/>
  </sheetPr>
  <dimension ref="A2:M8"/>
  <sheetViews>
    <sheetView workbookViewId="0">
      <selection activeCell="D26" sqref="D26"/>
    </sheetView>
  </sheetViews>
  <sheetFormatPr baseColWidth="10" defaultColWidth="11.42578125" defaultRowHeight="12.75"/>
  <cols>
    <col width="10.42578125" customWidth="1" min="1" max="2"/>
    <col width="18.28515625" customWidth="1" min="3" max="3"/>
    <col width="20" customWidth="1" min="4" max="4"/>
    <col width="12.42578125" customWidth="1" min="6" max="6"/>
    <col width="17.7109375" customWidth="1" min="11" max="11"/>
    <col width="12.42578125" customWidth="1" min="12" max="12"/>
    <col width="15.42578125" customWidth="1" min="13" max="13"/>
  </cols>
  <sheetData>
    <row r="2" ht="18.75" customHeight="1">
      <c r="A2" s="491" t="inlineStr">
        <is>
          <t>CODIGO</t>
        </is>
      </c>
      <c r="B2" s="494" t="n"/>
      <c r="C2" s="5" t="inlineStr">
        <is>
          <t>CONCATENADOS</t>
        </is>
      </c>
      <c r="D2" s="4" t="inlineStr">
        <is>
          <t>DESCRIPCION</t>
        </is>
      </c>
      <c r="E2" s="4" t="inlineStr">
        <is>
          <t>FC</t>
        </is>
      </c>
      <c r="F2" s="4" t="inlineStr">
        <is>
          <t>F. MOLDEO</t>
        </is>
      </c>
      <c r="G2" s="4" t="inlineStr">
        <is>
          <t>DIA</t>
        </is>
      </c>
      <c r="H2" s="4" t="inlineStr">
        <is>
          <t>DIAMETRO</t>
        </is>
      </c>
      <c r="I2" s="4" t="inlineStr">
        <is>
          <t>CARGA</t>
        </is>
      </c>
      <c r="J2" s="4" t="inlineStr">
        <is>
          <t>AREA</t>
        </is>
      </c>
      <c r="K2" s="4" t="inlineStr">
        <is>
          <t>RESIS. CONCRETO</t>
        </is>
      </c>
      <c r="L2" s="4" t="inlineStr">
        <is>
          <t>% RESIS</t>
        </is>
      </c>
      <c r="M2" s="4" t="inlineStr">
        <is>
          <t>TIPO DE FALLA</t>
        </is>
      </c>
    </row>
    <row r="3" ht="18.75" customHeight="1">
      <c r="A3" s="7" t="n">
        <v>4400</v>
      </c>
      <c r="B3" s="1">
        <f>+A3+1</f>
        <v/>
      </c>
      <c r="C3" s="599">
        <f>A3&amp;"-"&amp;B3</f>
        <v/>
      </c>
      <c r="D3" s="7" t="inlineStr">
        <is>
          <t>Columnas C-9;5-3/G.H</t>
        </is>
      </c>
      <c r="E3" s="7" t="n">
        <v>350</v>
      </c>
      <c r="F3" s="8" t="n">
        <v>42347</v>
      </c>
      <c r="G3" s="1" t="n">
        <v>7</v>
      </c>
      <c r="H3" s="9" t="n">
        <v>15.05</v>
      </c>
      <c r="I3" s="7" t="n">
        <v>49900</v>
      </c>
      <c r="J3" s="2">
        <f>H3*H3*PI()/4</f>
        <v/>
      </c>
      <c r="K3" s="10">
        <f>I3/J3</f>
        <v/>
      </c>
      <c r="L3" s="3">
        <f>+K3/E3</f>
        <v/>
      </c>
      <c r="M3" s="12" t="inlineStr">
        <is>
          <t>E</t>
        </is>
      </c>
    </row>
    <row r="4" ht="18.75" customHeight="1">
      <c r="A4" s="1" t="n"/>
      <c r="B4" s="1" t="n"/>
      <c r="C4" s="6">
        <f>A4&amp;"-"&amp;B4</f>
        <v/>
      </c>
      <c r="D4" s="1" t="n"/>
      <c r="E4" s="7" t="n">
        <v>350</v>
      </c>
      <c r="F4" s="1" t="n"/>
      <c r="G4" s="1" t="n">
        <v>7</v>
      </c>
      <c r="H4" s="9" t="n">
        <v>15.06</v>
      </c>
      <c r="I4" s="7" t="n">
        <v>50310</v>
      </c>
      <c r="J4" s="2">
        <f>H4*H4*PI()/4</f>
        <v/>
      </c>
      <c r="K4" s="10">
        <f>I4/J4</f>
        <v/>
      </c>
      <c r="L4" s="3">
        <f>+K4/E4</f>
        <v/>
      </c>
      <c r="M4" s="12" t="inlineStr">
        <is>
          <t>F</t>
        </is>
      </c>
    </row>
    <row r="5" ht="18.75" customHeight="1">
      <c r="A5" s="1">
        <f>+B3+1</f>
        <v/>
      </c>
      <c r="B5" s="1">
        <f>+A5+1</f>
        <v/>
      </c>
      <c r="C5" s="6">
        <f>A5&amp;"-"&amp;B5</f>
        <v/>
      </c>
      <c r="D5" s="1" t="n"/>
      <c r="E5" s="7" t="n">
        <v>350</v>
      </c>
      <c r="F5" s="1" t="n"/>
      <c r="G5" s="1" t="n">
        <v>14</v>
      </c>
      <c r="H5" s="9" t="n">
        <v>15.04</v>
      </c>
      <c r="I5" s="7" t="n">
        <v>56450</v>
      </c>
      <c r="J5" s="2">
        <f>H5*H5*PI()/4</f>
        <v/>
      </c>
      <c r="K5" s="10">
        <f>I5/J5</f>
        <v/>
      </c>
      <c r="L5" s="3">
        <f>+K5/E5</f>
        <v/>
      </c>
      <c r="M5" s="12" t="inlineStr">
        <is>
          <t>F</t>
        </is>
      </c>
    </row>
    <row r="6" ht="18.75" customHeight="1">
      <c r="A6" s="1" t="n"/>
      <c r="B6" s="1" t="n"/>
      <c r="C6" s="6">
        <f>A6&amp;"-"&amp;B6</f>
        <v/>
      </c>
      <c r="D6" s="1" t="n"/>
      <c r="E6" s="7" t="n">
        <v>350</v>
      </c>
      <c r="F6" s="1" t="n"/>
      <c r="G6" s="1" t="n">
        <v>14</v>
      </c>
      <c r="H6" s="9" t="n">
        <v>15</v>
      </c>
      <c r="I6" s="7" t="n">
        <v>59630</v>
      </c>
      <c r="J6" s="2">
        <f>H6*H6*PI()/4</f>
        <v/>
      </c>
      <c r="K6" s="10">
        <f>I6/J6</f>
        <v/>
      </c>
      <c r="L6" s="3">
        <f>+K6/E6</f>
        <v/>
      </c>
      <c r="M6" s="12" t="inlineStr">
        <is>
          <t>F</t>
        </is>
      </c>
    </row>
    <row r="7" ht="18.75" customHeight="1">
      <c r="A7" s="1">
        <f>+B5+1</f>
        <v/>
      </c>
      <c r="B7" s="1">
        <f>+A7+1</f>
        <v/>
      </c>
      <c r="C7" s="6">
        <f>A7&amp;"-"&amp;B7</f>
        <v/>
      </c>
      <c r="D7" s="1" t="n"/>
      <c r="E7" s="7" t="n">
        <v>350</v>
      </c>
      <c r="F7" s="1" t="n"/>
      <c r="G7" s="1" t="n">
        <v>28</v>
      </c>
      <c r="H7" s="9" t="n">
        <v>15.11</v>
      </c>
      <c r="I7" s="7" t="n">
        <v>65310</v>
      </c>
      <c r="J7" s="2">
        <f>H7*H7*PI()/4</f>
        <v/>
      </c>
      <c r="K7" s="10">
        <f>I7/J7</f>
        <v/>
      </c>
      <c r="L7" s="3">
        <f>+K7/E7</f>
        <v/>
      </c>
      <c r="M7" s="12" t="inlineStr">
        <is>
          <t>F</t>
        </is>
      </c>
    </row>
    <row r="8" ht="18.75" customHeight="1">
      <c r="A8" s="1" t="n"/>
      <c r="B8" s="1" t="n"/>
      <c r="C8" s="6">
        <f>A8&amp;"-"&amp;B8</f>
        <v/>
      </c>
      <c r="D8" s="1" t="n"/>
      <c r="E8" s="7" t="n">
        <v>350</v>
      </c>
      <c r="F8" s="1" t="n"/>
      <c r="G8" s="1" t="n">
        <v>28</v>
      </c>
      <c r="H8" s="9" t="n">
        <v>15.05</v>
      </c>
      <c r="I8" s="7" t="n">
        <v>64730</v>
      </c>
      <c r="J8" s="2">
        <f>H8*H8*PI()/4</f>
        <v/>
      </c>
      <c r="K8" s="10">
        <f>I8/J8</f>
        <v/>
      </c>
      <c r="L8" s="3">
        <f>+K8/E8</f>
        <v/>
      </c>
      <c r="M8" s="12" t="inlineStr">
        <is>
          <t>E</t>
        </is>
      </c>
    </row>
    <row r="9" ht="15" customHeight="1"/>
  </sheetData>
  <mergeCells count="1">
    <mergeCell ref="A2:B2"/>
  </mergeCells>
  <pageMargins left="0.7" right="0.7" top="0.75" bottom="0.75" header="0.3" footer="0.3"/>
  <pageSetup orientation="portrait" paperSize="9" horizontalDpi="0" verticalDpi="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Jaime Pacahuala A.</dc:creator>
  <dc:title xmlns:dc="http://purl.org/dc/elements/1.1/">DENSIDAD IN SITU</dc:title>
  <dc:subject xmlns:dc="http://purl.org/dc/elements/1.1/">Densidad In Situ - Método del Cono de Arena</dc:subject>
  <dcterms:created xmlns:dcterms="http://purl.org/dc/terms/" xmlns:xsi="http://www.w3.org/2001/XMLSchema-instance" xsi:type="dcterms:W3CDTF">1999-11-07T15:11:55Z</dcterms:created>
  <dcterms:modified xmlns:dcterms="http://purl.org/dc/terms/" xmlns:xsi="http://www.w3.org/2001/XMLSchema-instance" xsi:type="dcterms:W3CDTF">2026-07-10T22:51:18Z</dcterms:modified>
  <cp:lastModifiedBy>Jazmin Grandez</cp:lastModifiedBy>
  <cp:keywords>Calidad</cp:keywords>
  <cp:lastPrinted>2026-06-13T17:16:27Z</cp:lastPrinted>
</cp:coreProperties>
</file>