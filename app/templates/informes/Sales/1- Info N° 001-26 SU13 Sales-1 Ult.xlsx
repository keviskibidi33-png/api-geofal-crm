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723" firstSheet="0" activeTab="1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SUELO" sheetId="2" state="visible" r:id="rId2"/>
    <sheet xmlns:r="http://schemas.openxmlformats.org/officeDocument/2006/relationships" name="DATOS SUELO" sheetId="3" state="visible" r:id="rId3"/>
    <sheet xmlns:r="http://schemas.openxmlformats.org/officeDocument/2006/relationships" name="AGUA" sheetId="4" state="visible" r:id="rId4"/>
    <sheet xmlns:r="http://schemas.openxmlformats.org/officeDocument/2006/relationships" name="DATOS AGUA" sheetId="5" state="visible" r:id="rId5"/>
    <sheet xmlns:r="http://schemas.openxmlformats.org/officeDocument/2006/relationships" name="Hoja1" sheetId="6" state="hidden" r:id="rId6"/>
  </sheets>
  <definedNames>
    <definedName name="_xlnm.Print_Area" localSheetId="0">'FORMATO'!$A$1:$I$56</definedName>
    <definedName name="_xlnm.Print_Area" localSheetId="1">'SUELO'!$A$1:$M$50</definedName>
    <definedName name="_xlnm.Print_Area" localSheetId="2">'DATOS SUELO'!$A$1:$M$15</definedName>
    <definedName name="_xlnm.Print_Area" localSheetId="3">'AGUA'!$A$1:$J$46</definedName>
    <definedName name="_xlnm.Print_Area" localSheetId="4">'DATOS AGUA'!$A$1:$J$14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0\ &quot;/ CO-06&quot;"/>
    <numFmt numFmtId="165" formatCode="000&quot;-21 SU13&quot;"/>
    <numFmt numFmtId="166" formatCode="#,##0.0"/>
    <numFmt numFmtId="167" formatCode="00\1\-\ &quot;20 SU01&quot;"/>
    <numFmt numFmtId="168" formatCode="\L\ \-\ 0000"/>
    <numFmt numFmtId="169" formatCode="000"/>
    <numFmt numFmtId="170" formatCode="0.0"/>
    <numFmt numFmtId="171" formatCode="yyyy\-mm\-dd;@"/>
    <numFmt numFmtId="172" formatCode="0.0000"/>
    <numFmt numFmtId="173" formatCode="#,##0.000"/>
    <numFmt numFmtId="174" formatCode="&quot;CERTIFICADO N°&quot;000&quot;-2020&quot;"/>
    <numFmt numFmtId="175" formatCode="dd\-mmm\-yyyy"/>
    <numFmt numFmtId="176" formatCode="dd/mm/yyyy;@"/>
    <numFmt numFmtId="177" formatCode="&quot;INFORME DE ENSAYO N°&quot;000&quot;-24 SU13&quot;"/>
    <numFmt numFmtId="178" formatCode="000\-\ &quot;26&quot;"/>
    <numFmt numFmtId="179" formatCode="000\-&quot;SU-26&quot;"/>
    <numFmt numFmtId="180" formatCode="000\-&quot;H2O-26&quot;"/>
    <numFmt numFmtId="181" formatCode="&quot;FORMATO F-LEM-P-SU-11.01&quot;"/>
    <numFmt numFmtId="182" formatCode="&quot;INFORME DE ENSAYO N°&quot;000&quot;-26 SU13&quot;"/>
  </numFmts>
  <fonts count="35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sz val="9"/>
    </font>
    <font>
      <name val="Arial"/>
      <family val="2"/>
      <sz val="8"/>
    </font>
    <font>
      <name val="Times New Roman"/>
      <family val="1"/>
      <sz val="8"/>
    </font>
    <font>
      <name val="Times New Roman"/>
      <family val="1"/>
      <b val="1"/>
      <sz val="11"/>
      <u val="single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color rgb="FF0070C0"/>
      <sz val="10"/>
    </font>
    <font>
      <name val="Times New Roman"/>
      <family val="1"/>
      <b val="1"/>
      <color rgb="FF0070C0"/>
      <sz val="10"/>
    </font>
    <font>
      <name val="Times New Roman"/>
      <family val="1"/>
      <color theme="1"/>
      <sz val="10"/>
    </font>
    <font>
      <name val="Arial"/>
      <family val="2"/>
      <b val="1"/>
      <sz val="8"/>
    </font>
    <font>
      <name val="Arial"/>
      <family val="2"/>
      <sz val="11"/>
    </font>
    <font>
      <name val="Arial"/>
      <family val="2"/>
      <color theme="1"/>
      <sz val="9"/>
    </font>
    <font>
      <name val="Arial"/>
      <family val="2"/>
      <b val="1"/>
      <sz val="8"/>
      <u val="single"/>
    </font>
    <font>
      <name val="Arial"/>
      <family val="2"/>
      <b val="1"/>
      <sz val="11"/>
      <u val="single"/>
    </font>
    <font>
      <name val="Arial"/>
      <family val="2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theme="0"/>
      <sz val="10"/>
    </font>
    <font>
      <name val="Arial"/>
      <family val="2"/>
      <color theme="0"/>
      <sz val="11"/>
    </font>
    <font>
      <name val="Arial"/>
      <family val="2"/>
      <b val="1"/>
      <sz val="9"/>
    </font>
    <font>
      <name val="Arial"/>
      <family val="2"/>
      <color theme="1"/>
      <sz val="8"/>
    </font>
    <font>
      <name val="Arial"/>
      <family val="2"/>
      <b val="1"/>
      <i val="1"/>
      <color theme="1"/>
      <sz val="9"/>
      <u val="single"/>
    </font>
    <font>
      <name val="Arial"/>
      <family val="2"/>
      <b val="1"/>
      <sz val="9"/>
      <u val="single"/>
    </font>
    <font>
      <name val="Arial"/>
      <family val="2"/>
      <b val="1"/>
      <color rgb="FF0000FF"/>
      <sz val="8"/>
    </font>
    <font>
      <name val="Arial"/>
      <family val="2"/>
      <color rgb="FF000000"/>
      <sz val="9"/>
    </font>
    <font>
      <name val="Arial"/>
      <family val="2"/>
      <sz val="7.5"/>
    </font>
    <font>
      <name val="Times New Roman"/>
      <family val="1"/>
      <b val="1"/>
      <sz val="9"/>
    </font>
    <font>
      <name val="Times New Roman"/>
      <family val="1"/>
      <color theme="1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3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421">
    <xf numFmtId="0" fontId="0" fillId="0" borderId="0" pivotButton="0" quotePrefix="0" xfId="0"/>
    <xf numFmtId="0" fontId="0" fillId="0" borderId="1" pivotButton="0" quotePrefix="0" xfId="0"/>
    <xf numFmtId="2" fontId="7" fillId="2" borderId="1" applyAlignment="1" pivotButton="0" quotePrefix="0" xfId="0">
      <alignment vertical="center" wrapText="1"/>
    </xf>
    <xf numFmtId="10" fontId="8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9" fillId="0" borderId="1" applyAlignment="1" pivotButton="0" quotePrefix="0" xfId="0">
      <alignment horizontal="center"/>
    </xf>
    <xf numFmtId="0" fontId="14" fillId="0" borderId="1" pivotButton="0" quotePrefix="0" xfId="0"/>
    <xf numFmtId="16" fontId="14" fillId="0" borderId="1" pivotButton="0" quotePrefix="0" xfId="0"/>
    <xf numFmtId="2" fontId="14" fillId="0" borderId="1" pivotButton="0" quotePrefix="0" xfId="0"/>
    <xf numFmtId="2" fontId="15" fillId="2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3">
      <alignment horizontal="center"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3">
      <alignment horizontal="right" vertical="center"/>
    </xf>
    <xf numFmtId="165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7" fontId="9" fillId="0" borderId="0" applyAlignment="1" pivotButton="0" quotePrefix="0" xfId="0">
      <alignment vertical="center"/>
    </xf>
    <xf numFmtId="0" fontId="17" fillId="0" borderId="4" applyAlignment="1" pivotButton="0" quotePrefix="0" xfId="3">
      <alignment vertical="center"/>
    </xf>
    <xf numFmtId="0" fontId="17" fillId="0" borderId="3" applyAlignment="1" pivotButton="0" quotePrefix="0" xfId="3">
      <alignment horizontal="center" vertical="center"/>
    </xf>
    <xf numFmtId="0" fontId="9" fillId="0" borderId="3" applyAlignment="1" pivotButton="0" quotePrefix="0" xfId="0">
      <alignment horizontal="left" vertical="center" wrapText="1"/>
    </xf>
    <xf numFmtId="0" fontId="17" fillId="0" borderId="3" applyAlignment="1" pivotButton="0" quotePrefix="0" xfId="3">
      <alignment horizontal="right" vertical="center"/>
    </xf>
    <xf numFmtId="17" fontId="9" fillId="0" borderId="5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9" fillId="0" borderId="23" applyAlignment="1" pivotButton="0" quotePrefix="0" xfId="4">
      <alignment vertical="center"/>
    </xf>
    <xf numFmtId="0" fontId="17" fillId="0" borderId="24" applyAlignment="1" pivotButton="0" quotePrefix="0" xfId="4">
      <alignment horizontal="left" vertical="center"/>
    </xf>
    <xf numFmtId="0" fontId="9" fillId="0" borderId="17" applyAlignment="1" pivotButton="0" quotePrefix="0" xfId="4">
      <alignment horizontal="right" vertical="center"/>
    </xf>
    <xf numFmtId="3" fontId="9" fillId="0" borderId="0" applyAlignment="1" pivotButton="0" quotePrefix="0" xfId="0">
      <alignment vertical="center" wrapText="1"/>
    </xf>
    <xf numFmtId="1" fontId="7" fillId="0" borderId="0" applyAlignment="1" pivotButton="0" quotePrefix="0" xfId="0">
      <alignment horizontal="center" vertical="center" wrapText="1"/>
    </xf>
    <xf numFmtId="10" fontId="7" fillId="0" borderId="0" applyAlignment="1" pivotButton="0" quotePrefix="0" xfId="0">
      <alignment horizontal="center" vertical="center" wrapText="1"/>
    </xf>
    <xf numFmtId="0" fontId="9" fillId="0" borderId="19" applyAlignment="1" pivotButton="0" quotePrefix="0" xfId="4">
      <alignment vertical="center"/>
    </xf>
    <xf numFmtId="0" fontId="9" fillId="0" borderId="18" applyAlignment="1" pivotButton="0" quotePrefix="0" xfId="4">
      <alignment horizontal="right" vertical="center"/>
    </xf>
    <xf numFmtId="1" fontId="9" fillId="0" borderId="0" applyAlignment="1" pivotButton="0" quotePrefix="0" xfId="4">
      <alignment vertical="center" wrapText="1"/>
    </xf>
    <xf numFmtId="166" fontId="27" fillId="0" borderId="0" applyAlignment="1" pivotButton="0" quotePrefix="0" xfId="0">
      <alignment vertical="center" wrapText="1"/>
    </xf>
    <xf numFmtId="0" fontId="9" fillId="0" borderId="16" applyAlignment="1" pivotButton="0" quotePrefix="0" xfId="4">
      <alignment vertical="center"/>
    </xf>
    <xf numFmtId="0" fontId="9" fillId="0" borderId="0" applyAlignment="1" pivotButton="0" quotePrefix="0" xfId="4">
      <alignment horizontal="center" vertical="center" wrapText="1"/>
    </xf>
    <xf numFmtId="0" fontId="17" fillId="0" borderId="0" applyAlignment="1" applyProtection="1" pivotButton="0" quotePrefix="0" xfId="0">
      <alignment vertical="center"/>
      <protection locked="1" hidden="1"/>
    </xf>
    <xf numFmtId="4" fontId="9" fillId="0" borderId="0" applyAlignment="1" pivotButton="0" quotePrefix="0" xfId="4">
      <alignment horizontal="center" vertical="center" wrapText="1"/>
    </xf>
    <xf numFmtId="0" fontId="6" fillId="0" borderId="0" applyAlignment="1" applyProtection="1" pivotButton="0" quotePrefix="0" xfId="0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17" fillId="0" borderId="6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3" fontId="9" fillId="0" borderId="7" applyAlignment="1" pivotButton="0" quotePrefix="0" xfId="0">
      <alignment horizontal="center" vertical="center" wrapText="1"/>
    </xf>
    <xf numFmtId="2" fontId="27" fillId="0" borderId="7" applyAlignment="1" pivotButton="0" quotePrefix="0" xfId="0">
      <alignment horizontal="center" vertical="center"/>
    </xf>
    <xf numFmtId="0" fontId="17" fillId="0" borderId="7" applyAlignment="1" applyProtection="1" pivotButton="0" quotePrefix="0" xfId="0">
      <alignment vertical="center"/>
      <protection locked="1" hidden="1"/>
    </xf>
    <xf numFmtId="0" fontId="17" fillId="0" borderId="8" applyAlignment="1" applyProtection="1" pivotButton="0" quotePrefix="0" xfId="0">
      <alignment vertical="center"/>
      <protection locked="1" hidden="1"/>
    </xf>
    <xf numFmtId="0" fontId="17" fillId="0" borderId="2" applyAlignment="1" applyProtection="1" pivotButton="0" quotePrefix="0" xfId="0">
      <alignment vertical="center"/>
      <protection locked="1" hidden="1"/>
    </xf>
    <xf numFmtId="0" fontId="17" fillId="0" borderId="9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7" fontId="9" fillId="0" borderId="0" applyAlignment="1" applyProtection="1" pivotButton="0" quotePrefix="0" xfId="0">
      <alignment horizontal="left" vertical="center"/>
      <protection locked="0" hidden="0"/>
    </xf>
    <xf numFmtId="168" fontId="5" fillId="0" borderId="0" applyAlignment="1" applyProtection="1" pivotButton="0" quotePrefix="0" xfId="0">
      <alignment horizontal="left" vertical="center"/>
      <protection locked="0" hidden="0"/>
    </xf>
    <xf numFmtId="165" fontId="9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3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" fontId="7" fillId="0" borderId="0" applyAlignment="1" applyProtection="1" pivotButton="0" quotePrefix="0" xfId="0">
      <alignment horizontal="center" vertical="center" wrapText="1"/>
      <protection locked="0" hidden="0"/>
    </xf>
    <xf numFmtId="10" fontId="7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1">
      <alignment vertical="center" wrapText="1"/>
      <protection locked="0" hidden="0"/>
    </xf>
    <xf numFmtId="0" fontId="17" fillId="0" borderId="0" applyAlignment="1" pivotButton="0" quotePrefix="0" xfId="3">
      <alignment vertical="center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9" fillId="0" borderId="8" applyAlignment="1" pivotButton="0" quotePrefix="0" xfId="3">
      <alignment vertical="center"/>
    </xf>
    <xf numFmtId="0" fontId="9" fillId="0" borderId="0" applyAlignment="1" pivotButton="0" quotePrefix="0" xfId="3">
      <alignment horizontal="right" vertical="center"/>
    </xf>
    <xf numFmtId="0" fontId="18" fillId="0" borderId="0" applyAlignment="1" pivotButton="0" quotePrefix="0" xfId="0">
      <alignment vertical="center"/>
    </xf>
    <xf numFmtId="0" fontId="26" fillId="0" borderId="6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17" fillId="0" borderId="16" applyAlignment="1" pivotButton="0" quotePrefix="0" xfId="4">
      <alignment horizontal="left" vertical="center"/>
    </xf>
    <xf numFmtId="0" fontId="26" fillId="0" borderId="8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4">
      <alignment vertical="center" wrapText="1"/>
    </xf>
    <xf numFmtId="3" fontId="13" fillId="0" borderId="7" applyAlignment="1" pivotButton="0" quotePrefix="0" xfId="0">
      <alignment horizontal="center" vertical="center" wrapText="1"/>
    </xf>
    <xf numFmtId="2" fontId="19" fillId="0" borderId="7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26" fillId="0" borderId="7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0" fontId="26" fillId="0" borderId="9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8" fillId="0" borderId="0" applyAlignment="1" pivotButton="0" quotePrefix="0" xfId="5">
      <alignment horizontal="right" vertical="center"/>
    </xf>
    <xf numFmtId="0" fontId="22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9" fillId="0" borderId="24" applyAlignment="1" pivotButton="0" quotePrefix="0" xfId="4">
      <alignment vertical="center"/>
    </xf>
    <xf numFmtId="2" fontId="2" fillId="0" borderId="0" applyAlignment="1" pivotButton="0" quotePrefix="0" xfId="0">
      <alignment vertical="center"/>
    </xf>
    <xf numFmtId="0" fontId="13" fillId="0" borderId="0" applyAlignment="1" pivotButton="0" quotePrefix="1" xfId="5">
      <alignment horizontal="left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7" fillId="0" borderId="14" applyAlignment="1" pivotButton="0" quotePrefix="0" xfId="0">
      <alignment vertical="center" wrapText="1"/>
    </xf>
    <xf numFmtId="0" fontId="7" fillId="0" borderId="15" applyAlignment="1" pivotButton="0" quotePrefix="0" xfId="0">
      <alignment vertical="center" wrapText="1"/>
    </xf>
    <xf numFmtId="0" fontId="1" fillId="0" borderId="0" applyAlignment="1" pivotButton="0" quotePrefix="0" xfId="4">
      <alignment vertical="center"/>
    </xf>
    <xf numFmtId="169" fontId="19" fillId="0" borderId="0" applyAlignment="1" pivotButton="0" quotePrefix="1" xfId="0">
      <alignment horizontal="center" vertical="center" wrapText="1"/>
    </xf>
    <xf numFmtId="2" fontId="13" fillId="0" borderId="0" applyAlignment="1" pivotButton="0" quotePrefix="1" xfId="0">
      <alignment horizontal="center" vertical="center"/>
    </xf>
    <xf numFmtId="170" fontId="13" fillId="0" borderId="0" applyAlignment="1" pivotButton="0" quotePrefix="1" xfId="0">
      <alignment horizontal="center" vertical="center"/>
    </xf>
    <xf numFmtId="0" fontId="13" fillId="0" borderId="2" applyAlignment="1" pivotButton="0" quotePrefix="0" xfId="0">
      <alignment vertical="center"/>
    </xf>
    <xf numFmtId="0" fontId="27" fillId="0" borderId="2" applyAlignment="1" pivotButton="0" quotePrefix="0" xfId="5">
      <alignment vertical="center"/>
    </xf>
    <xf numFmtId="0" fontId="9" fillId="0" borderId="0" applyAlignment="1" pivotButton="0" quotePrefix="0" xfId="3">
      <alignment vertical="center"/>
    </xf>
    <xf numFmtId="0" fontId="9" fillId="0" borderId="2" applyAlignment="1" pivotButton="0" quotePrefix="0" xfId="3">
      <alignment horizontal="center" vertical="center"/>
    </xf>
    <xf numFmtId="0" fontId="17" fillId="0" borderId="2" applyAlignment="1" applyProtection="1" pivotButton="0" quotePrefix="0" xfId="0">
      <alignment horizontal="center" vertical="center"/>
      <protection locked="0" hidden="0"/>
    </xf>
    <xf numFmtId="0" fontId="13" fillId="0" borderId="0" applyAlignment="1" pivotButton="0" quotePrefix="1" xfId="5">
      <alignment vertical="center" wrapText="1"/>
    </xf>
    <xf numFmtId="171" fontId="9" fillId="0" borderId="0" applyAlignment="1" applyProtection="1" pivotButton="0" quotePrefix="0" xfId="0">
      <alignment horizontal="left" vertical="center"/>
      <protection locked="0" hidden="0"/>
    </xf>
    <xf numFmtId="171" fontId="9" fillId="0" borderId="7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16" fillId="0" borderId="0" applyAlignment="1" applyProtection="1" pivotButton="0" quotePrefix="0" xfId="0">
      <alignment vertical="center"/>
      <protection locked="0" hidden="0"/>
    </xf>
    <xf numFmtId="172" fontId="9" fillId="0" borderId="18" applyAlignment="1" applyProtection="1" pivotButton="0" quotePrefix="0" xfId="4">
      <alignment horizontal="center" vertical="center" wrapText="1"/>
      <protection locked="0" hidden="0"/>
    </xf>
    <xf numFmtId="173" fontId="9" fillId="0" borderId="20" applyAlignment="1" pivotButton="0" quotePrefix="0" xfId="4">
      <alignment horizontal="center" vertical="center" wrapText="1"/>
    </xf>
    <xf numFmtId="173" fontId="17" fillId="0" borderId="1" applyAlignment="1" pivotButton="0" quotePrefix="0" xfId="4">
      <alignment horizontal="center" vertical="center" wrapText="1"/>
    </xf>
    <xf numFmtId="0" fontId="17" fillId="0" borderId="19" applyAlignment="1" pivotButton="0" quotePrefix="0" xfId="4">
      <alignment vertical="center"/>
    </xf>
    <xf numFmtId="0" fontId="17" fillId="0" borderId="16" applyAlignment="1" pivotButton="0" quotePrefix="0" xfId="4">
      <alignment vertical="center"/>
    </xf>
    <xf numFmtId="0" fontId="17" fillId="0" borderId="18" applyAlignment="1" pivotButton="0" quotePrefix="0" xfId="4">
      <alignment horizontal="right" vertical="center"/>
    </xf>
    <xf numFmtId="0" fontId="9" fillId="0" borderId="2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2" fontId="17" fillId="0" borderId="1" applyAlignment="1" pivotButton="0" quotePrefix="0" xfId="4">
      <alignment horizontal="center" vertical="center" wrapText="1"/>
    </xf>
    <xf numFmtId="0" fontId="17" fillId="0" borderId="26" applyAlignment="1" pivotButton="0" quotePrefix="0" xfId="4">
      <alignment vertical="center"/>
    </xf>
    <xf numFmtId="0" fontId="17" fillId="0" borderId="27" applyAlignment="1" pivotButton="0" quotePrefix="0" xfId="4">
      <alignment vertical="center"/>
    </xf>
    <xf numFmtId="0" fontId="9" fillId="0" borderId="27" applyAlignment="1" pivotButton="0" quotePrefix="0" xfId="0">
      <alignment vertical="center"/>
    </xf>
    <xf numFmtId="0" fontId="17" fillId="0" borderId="28" applyAlignment="1" pivotButton="0" quotePrefix="0" xfId="4">
      <alignment horizontal="right" vertical="center"/>
    </xf>
    <xf numFmtId="1" fontId="9" fillId="0" borderId="26" applyAlignment="1" pivotButton="0" quotePrefix="0" xfId="4">
      <alignment horizontal="center" vertical="center"/>
    </xf>
    <xf numFmtId="1" fontId="17" fillId="0" borderId="1" applyAlignment="1" pivotButton="0" quotePrefix="0" xfId="4">
      <alignment horizontal="center" vertical="center"/>
    </xf>
    <xf numFmtId="0" fontId="26" fillId="0" borderId="10" applyAlignment="1" pivotButton="0" quotePrefix="0" xfId="4">
      <alignment vertical="center"/>
    </xf>
    <xf numFmtId="0" fontId="13" fillId="0" borderId="10" applyAlignment="1" pivotButton="0" quotePrefix="0" xfId="4">
      <alignment vertical="center"/>
    </xf>
    <xf numFmtId="2" fontId="26" fillId="0" borderId="10" applyAlignment="1" pivotButton="0" quotePrefix="0" xfId="4">
      <alignment vertical="center"/>
    </xf>
    <xf numFmtId="2" fontId="26" fillId="0" borderId="10" applyAlignment="1" pivotButton="0" quotePrefix="0" xfId="4">
      <alignment horizontal="center" vertical="center"/>
    </xf>
    <xf numFmtId="0" fontId="5" fillId="0" borderId="0" applyAlignment="1" pivotButton="0" quotePrefix="0" xfId="0">
      <alignment vertical="center"/>
    </xf>
    <xf numFmtId="172" fontId="30" fillId="0" borderId="18" applyAlignment="1" applyProtection="1" pivotButton="0" quotePrefix="0" xfId="4">
      <alignment horizontal="center" vertical="center" wrapText="1"/>
      <protection locked="0" hidden="0"/>
    </xf>
    <xf numFmtId="0" fontId="30" fillId="0" borderId="23" applyAlignment="1" applyProtection="1" pivotButton="0" quotePrefix="0" xfId="4">
      <alignment horizontal="center" vertical="center" wrapText="1"/>
      <protection locked="0" hidden="0"/>
    </xf>
    <xf numFmtId="0" fontId="30" fillId="0" borderId="19" applyAlignment="1" applyProtection="1" pivotButton="0" quotePrefix="0" xfId="4">
      <alignment horizontal="center" vertical="center" wrapText="1"/>
      <protection locked="0" hidden="0"/>
    </xf>
    <xf numFmtId="1" fontId="30" fillId="0" borderId="19" applyAlignment="1" applyProtection="1" pivotButton="0" quotePrefix="0" xfId="4">
      <alignment horizontal="center" vertical="center" wrapText="1"/>
      <protection locked="0" hidden="0"/>
    </xf>
    <xf numFmtId="0" fontId="7" fillId="0" borderId="0" applyAlignment="1" applyProtection="1" pivotButton="0" quotePrefix="0" xfId="0">
      <alignment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9" fillId="0" borderId="6" applyAlignment="1" applyProtection="1" pivotButton="0" quotePrefix="0" xfId="0">
      <alignment vertical="center"/>
      <protection locked="1" hidden="1"/>
    </xf>
    <xf numFmtId="0" fontId="9" fillId="0" borderId="24" applyAlignment="1" applyProtection="1" pivotButton="0" quotePrefix="0" xfId="0">
      <alignment vertical="center"/>
      <protection locked="1" hidden="1"/>
    </xf>
    <xf numFmtId="0" fontId="9" fillId="0" borderId="16" applyAlignment="1" applyProtection="1" pivotButton="0" quotePrefix="0" xfId="0">
      <alignment vertical="center"/>
      <protection locked="1" hidden="1"/>
    </xf>
    <xf numFmtId="172" fontId="9" fillId="0" borderId="18" applyAlignment="1" pivotButton="0" quotePrefix="0" xfId="4">
      <alignment horizontal="center" vertical="center" wrapText="1"/>
    </xf>
    <xf numFmtId="0" fontId="16" fillId="0" borderId="0" applyAlignment="1" applyProtection="1" pivotButton="0" quotePrefix="0" xfId="0">
      <alignment vertical="center"/>
      <protection locked="1" hidden="1"/>
    </xf>
    <xf numFmtId="0" fontId="9" fillId="0" borderId="27" applyAlignment="1" applyProtection="1" pivotButton="0" quotePrefix="0" xfId="0">
      <alignment vertical="center"/>
      <protection locked="1" hidden="1"/>
    </xf>
    <xf numFmtId="2" fontId="9" fillId="0" borderId="26" applyAlignment="1" pivotButton="0" quotePrefix="0" xfId="4">
      <alignment horizontal="center" vertical="center"/>
    </xf>
    <xf numFmtId="0" fontId="9" fillId="0" borderId="2" applyAlignment="1" applyProtection="1" pivotButton="0" quotePrefix="0" xfId="0">
      <alignment vertical="center"/>
      <protection locked="1" hidden="1"/>
    </xf>
    <xf numFmtId="0" fontId="17" fillId="0" borderId="2" applyAlignment="1" pivotButton="0" quotePrefix="0" xfId="4">
      <alignment vertical="center"/>
    </xf>
    <xf numFmtId="0" fontId="9" fillId="0" borderId="2" applyAlignment="1" pivotButton="0" quotePrefix="0" xfId="4">
      <alignment vertical="center"/>
    </xf>
    <xf numFmtId="2" fontId="17" fillId="0" borderId="2" applyAlignment="1" pivotButton="0" quotePrefix="0" xfId="4">
      <alignment vertical="center"/>
    </xf>
    <xf numFmtId="2" fontId="17" fillId="0" borderId="2" applyAlignment="1" pivotButton="0" quotePrefix="0" xfId="4">
      <alignment horizontal="center" vertical="center"/>
    </xf>
    <xf numFmtId="174" fontId="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175" fontId="5" fillId="0" borderId="0" applyAlignment="1" applyProtection="1" pivotButton="0" quotePrefix="0" xfId="0">
      <alignment horizontal="left" vertical="center"/>
      <protection locked="0" hidden="0"/>
    </xf>
    <xf numFmtId="176" fontId="5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5" fillId="0" borderId="2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0" fontId="1" fillId="0" borderId="31" applyAlignment="1" pivotButton="0" quotePrefix="0" xfId="0">
      <alignment horizontal="left" vertical="center"/>
    </xf>
    <xf numFmtId="0" fontId="1" fillId="0" borderId="31" applyAlignment="1" applyProtection="1" pivotButton="0" quotePrefix="0" xfId="0">
      <alignment horizontal="left" vertical="center"/>
      <protection locked="0" hidden="0"/>
    </xf>
    <xf numFmtId="177" fontId="21" fillId="0" borderId="0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1" hidden="1"/>
    </xf>
    <xf numFmtId="0" fontId="5" fillId="0" borderId="9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horizontal="left" vertical="center"/>
      <protection locked="1" hidden="1"/>
    </xf>
    <xf numFmtId="0" fontId="7" fillId="0" borderId="0" applyAlignment="1" pivotButton="0" quotePrefix="0" xfId="0">
      <alignment vertical="center"/>
    </xf>
    <xf numFmtId="0" fontId="30" fillId="0" borderId="17" applyAlignment="1" pivotButton="0" quotePrefix="0" xfId="4">
      <alignment horizontal="center" vertical="center" wrapText="1"/>
    </xf>
    <xf numFmtId="0" fontId="30" fillId="0" borderId="18" applyAlignment="1" pivotButton="0" quotePrefix="0" xfId="4">
      <alignment horizontal="center" vertical="center" wrapText="1"/>
    </xf>
    <xf numFmtId="1" fontId="30" fillId="0" borderId="18" applyAlignment="1" pivotButton="0" quotePrefix="0" xfId="4">
      <alignment horizontal="center" vertical="center" wrapText="1"/>
    </xf>
    <xf numFmtId="0" fontId="1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" fontId="30" fillId="0" borderId="23" applyAlignment="1" applyProtection="1" pivotButton="0" quotePrefix="0" xfId="4">
      <alignment horizontal="center" vertical="center"/>
      <protection locked="0" hidden="0"/>
    </xf>
    <xf numFmtId="0" fontId="9" fillId="0" borderId="6" applyAlignment="1" pivotButton="0" quotePrefix="0" xfId="0">
      <alignment vertical="center"/>
    </xf>
    <xf numFmtId="0" fontId="17" fillId="0" borderId="7" applyAlignment="1" pivotButton="0" quotePrefix="0" xfId="0">
      <alignment vertical="center"/>
    </xf>
    <xf numFmtId="0" fontId="17" fillId="0" borderId="8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0" fontId="17" fillId="0" borderId="9" applyAlignment="1" pivotButton="0" quotePrefix="0" xfId="0">
      <alignment vertical="center"/>
    </xf>
    <xf numFmtId="1" fontId="30" fillId="0" borderId="17" applyAlignment="1" pivotButton="0" quotePrefix="0" xfId="4">
      <alignment horizontal="center" vertical="center"/>
    </xf>
    <xf numFmtId="178" fontId="9" fillId="0" borderId="0" applyAlignment="1" applyProtection="1" pivotButton="0" quotePrefix="0" xfId="0">
      <alignment horizontal="left" vertical="center"/>
      <protection locked="0" hidden="0"/>
    </xf>
    <xf numFmtId="179" fontId="9" fillId="0" borderId="7" applyAlignment="1" applyProtection="1" pivotButton="0" quotePrefix="0" xfId="0">
      <alignment horizontal="left" vertical="center"/>
      <protection locked="0" hidden="0"/>
    </xf>
    <xf numFmtId="0" fontId="2" fillId="2" borderId="32" applyAlignment="1" pivotButton="0" quotePrefix="0" xfId="0">
      <alignment vertical="center"/>
    </xf>
    <xf numFmtId="0" fontId="2" fillId="2" borderId="33" applyAlignment="1" pivotButton="0" quotePrefix="0" xfId="0">
      <alignment vertical="center"/>
    </xf>
    <xf numFmtId="0" fontId="12" fillId="2" borderId="33" applyAlignment="1" pivotButton="0" quotePrefix="0" xfId="0">
      <alignment vertical="center"/>
    </xf>
    <xf numFmtId="0" fontId="5" fillId="0" borderId="34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0" fontId="2" fillId="2" borderId="35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5" fillId="0" borderId="36" applyProtection="1" pivotButton="0" quotePrefix="0" xfId="0">
      <protection locked="1" hidden="1"/>
    </xf>
    <xf numFmtId="0" fontId="4" fillId="3" borderId="37" applyAlignment="1" pivotButton="0" quotePrefix="0" xfId="0">
      <alignment vertical="center"/>
    </xf>
    <xf numFmtId="0" fontId="4" fillId="3" borderId="38" applyAlignment="1" pivotButton="0" quotePrefix="0" xfId="0">
      <alignment vertical="center"/>
    </xf>
    <xf numFmtId="0" fontId="4" fillId="3" borderId="39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7" fillId="0" borderId="0" applyProtection="1" pivotButton="0" quotePrefix="0" xfId="0">
      <protection locked="1" hidden="1"/>
    </xf>
    <xf numFmtId="0" fontId="17" fillId="3" borderId="0" applyAlignment="1" pivotButton="0" quotePrefix="0" xfId="3">
      <alignment vertical="center"/>
    </xf>
    <xf numFmtId="0" fontId="26" fillId="3" borderId="1" applyAlignment="1" pivotButton="0" quotePrefix="0" xfId="3">
      <alignment vertical="center"/>
    </xf>
    <xf numFmtId="0" fontId="9" fillId="3" borderId="0" applyAlignment="1" pivotButton="0" quotePrefix="0" xfId="0">
      <alignment vertical="center"/>
    </xf>
    <xf numFmtId="0" fontId="17" fillId="3" borderId="0" applyAlignment="1" pivotButton="0" quotePrefix="0" xfId="3">
      <alignment horizontal="center" vertical="center"/>
    </xf>
    <xf numFmtId="0" fontId="9" fillId="3" borderId="0" applyAlignment="1" pivotButton="0" quotePrefix="0" xfId="0">
      <alignment horizontal="left" vertical="center" wrapText="1"/>
    </xf>
    <xf numFmtId="17" fontId="9" fillId="3" borderId="0" applyAlignment="1" pivotButton="0" quotePrefix="0" xfId="0">
      <alignment vertical="center"/>
    </xf>
    <xf numFmtId="0" fontId="17" fillId="3" borderId="3" applyAlignment="1" pivotButton="0" quotePrefix="0" xfId="3">
      <alignment vertical="center"/>
    </xf>
    <xf numFmtId="0" fontId="17" fillId="3" borderId="3" applyAlignment="1" pivotButton="0" quotePrefix="0" xfId="3">
      <alignment horizontal="center" vertical="center"/>
    </xf>
    <xf numFmtId="0" fontId="9" fillId="3" borderId="3" applyAlignment="1" pivotButton="0" quotePrefix="0" xfId="0">
      <alignment horizontal="left" vertical="center" wrapText="1"/>
    </xf>
    <xf numFmtId="17" fontId="9" fillId="3" borderId="3" applyAlignment="1" pivotButton="0" quotePrefix="0" xfId="0">
      <alignment vertical="center"/>
    </xf>
    <xf numFmtId="0" fontId="20" fillId="3" borderId="0" applyAlignment="1" pivotButton="0" quotePrefix="0" xfId="3">
      <alignment vertical="center" wrapText="1"/>
    </xf>
    <xf numFmtId="0" fontId="32" fillId="3" borderId="0" applyAlignment="1" pivotButton="0" quotePrefix="0" xfId="3">
      <alignment vertical="center"/>
    </xf>
    <xf numFmtId="0" fontId="32" fillId="0" borderId="0" applyProtection="1" pivotButton="0" quotePrefix="0" xfId="0">
      <protection locked="1" hidden="1"/>
    </xf>
    <xf numFmtId="0" fontId="32" fillId="3" borderId="0" applyAlignment="1" pivotButton="0" quotePrefix="0" xfId="0">
      <alignment vertical="center"/>
    </xf>
    <xf numFmtId="14" fontId="9" fillId="0" borderId="0" applyAlignment="1" applyProtection="1" pivotButton="0" quotePrefix="0" xfId="0">
      <alignment horizontal="left" vertical="center"/>
      <protection locked="1" hidden="1"/>
    </xf>
    <xf numFmtId="0" fontId="5" fillId="0" borderId="2" applyProtection="1" pivotButton="0" quotePrefix="0" xfId="0">
      <protection locked="1" hidden="1"/>
    </xf>
    <xf numFmtId="0" fontId="5" fillId="0" borderId="4" applyAlignment="1" applyProtection="1" pivotButton="0" quotePrefix="0" xfId="0">
      <alignment horizontal="center"/>
      <protection locked="1" hidden="1"/>
    </xf>
    <xf numFmtId="0" fontId="5" fillId="0" borderId="3" applyAlignment="1" applyProtection="1" pivotButton="0" quotePrefix="0" xfId="0">
      <alignment horizontal="center"/>
      <protection locked="1" hidden="1"/>
    </xf>
    <xf numFmtId="0" fontId="5" fillId="0" borderId="5" applyAlignment="1" applyProtection="1" pivotButton="0" quotePrefix="0" xfId="0">
      <alignment horizontal="center"/>
      <protection locked="1" hidden="1"/>
    </xf>
    <xf numFmtId="0" fontId="33" fillId="0" borderId="6" applyAlignment="1" pivotButton="0" quotePrefix="0" xfId="0">
      <alignment horizontal="center" vertical="center" wrapText="1"/>
    </xf>
    <xf numFmtId="0" fontId="5" fillId="0" borderId="29" applyProtection="1" pivotButton="0" quotePrefix="0" xfId="0">
      <protection locked="1" hidden="1"/>
    </xf>
    <xf numFmtId="0" fontId="13" fillId="2" borderId="10" applyAlignment="1" pivotButton="0" quotePrefix="0" xfId="4">
      <alignment vertical="center"/>
    </xf>
    <xf numFmtId="0" fontId="5" fillId="0" borderId="10" applyProtection="1" pivotButton="0" quotePrefix="0" xfId="0">
      <protection locked="1" hidden="1"/>
    </xf>
    <xf numFmtId="0" fontId="13" fillId="2" borderId="30" applyAlignment="1" pivotButton="0" quotePrefix="0" xfId="4">
      <alignment horizontal="center" vertical="center"/>
    </xf>
    <xf numFmtId="2" fontId="13" fillId="2" borderId="1" applyAlignment="1" pivotButton="0" quotePrefix="0" xfId="4">
      <alignment horizontal="center" vertical="center"/>
    </xf>
    <xf numFmtId="0" fontId="33" fillId="0" borderId="7" applyAlignment="1" pivotButton="0" quotePrefix="0" xfId="0">
      <alignment horizontal="center" vertical="center" wrapText="1"/>
    </xf>
    <xf numFmtId="0" fontId="5" fillId="0" borderId="6" applyProtection="1" pivotButton="0" quotePrefix="0" xfId="0">
      <protection locked="1" hidden="1"/>
    </xf>
    <xf numFmtId="0" fontId="19" fillId="3" borderId="1" applyAlignment="1" pivotButton="0" quotePrefix="0" xfId="0">
      <alignment horizontal="center" vertical="center"/>
    </xf>
    <xf numFmtId="3" fontId="8" fillId="2" borderId="7" applyAlignment="1" pivotButton="0" quotePrefix="0" xfId="0">
      <alignment horizontal="center" vertical="center" wrapText="1"/>
    </xf>
    <xf numFmtId="10" fontId="7" fillId="2" borderId="0" applyAlignment="1" pivotButton="0" quotePrefix="0" xfId="0">
      <alignment horizontal="center" vertical="center" wrapText="1"/>
    </xf>
    <xf numFmtId="2" fontId="34" fillId="2" borderId="7" applyAlignment="1" pivotButton="0" quotePrefix="0" xfId="0">
      <alignment horizontal="center" vertical="center"/>
    </xf>
    <xf numFmtId="0" fontId="16" fillId="0" borderId="0" applyProtection="1" pivotButton="0" quotePrefix="0" xfId="0">
      <protection locked="1" hidden="1"/>
    </xf>
    <xf numFmtId="0" fontId="6" fillId="0" borderId="7" applyAlignment="1" applyProtection="1" pivotButton="0" quotePrefix="0" xfId="0">
      <alignment vertical="center"/>
      <protection locked="1" hidden="1"/>
    </xf>
    <xf numFmtId="0" fontId="26" fillId="2" borderId="30" applyAlignment="1" pivotButton="0" quotePrefix="0" xfId="4">
      <alignment horizontal="center"/>
    </xf>
    <xf numFmtId="0" fontId="5" fillId="0" borderId="3" applyProtection="1" pivotButton="0" quotePrefix="0" xfId="0">
      <protection locked="1" hidden="1"/>
    </xf>
    <xf numFmtId="0" fontId="13" fillId="2" borderId="6" applyAlignment="1" pivotButton="0" quotePrefix="0" xfId="4">
      <alignment horizontal="center" vertical="center"/>
    </xf>
    <xf numFmtId="0" fontId="5" fillId="0" borderId="7" applyProtection="1" pivotButton="0" quotePrefix="0" xfId="0">
      <protection locked="1" hidden="1"/>
    </xf>
    <xf numFmtId="0" fontId="13" fillId="3" borderId="6" applyAlignment="1" pivotButton="0" quotePrefix="0" xfId="4">
      <alignment horizontal="center" vertical="center"/>
    </xf>
    <xf numFmtId="0" fontId="13" fillId="2" borderId="29" applyAlignment="1" pivotButton="0" quotePrefix="0" xfId="4">
      <alignment horizontal="center" vertical="center"/>
    </xf>
    <xf numFmtId="0" fontId="13" fillId="3" borderId="40" applyAlignment="1" pivotButton="0" quotePrefix="0" xfId="4">
      <alignment vertical="center"/>
    </xf>
    <xf numFmtId="0" fontId="13" fillId="2" borderId="41" applyAlignment="1" pivotButton="0" quotePrefix="0" xfId="4">
      <alignment horizontal="center" vertical="center"/>
    </xf>
    <xf numFmtId="0" fontId="13" fillId="2" borderId="9" applyAlignment="1" pivotButton="0" quotePrefix="0" xfId="4">
      <alignment horizontal="center" vertical="center"/>
    </xf>
    <xf numFmtId="0" fontId="13" fillId="2" borderId="1" applyAlignment="1" pivotButton="0" quotePrefix="0" xfId="4">
      <alignment horizontal="center" vertical="center"/>
    </xf>
    <xf numFmtId="0" fontId="13" fillId="2" borderId="8" applyAlignment="1" pivotButton="0" quotePrefix="0" xfId="4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3" borderId="1" applyAlignment="1" pivotButton="0" quotePrefix="0" xfId="4">
      <alignment vertical="center"/>
    </xf>
    <xf numFmtId="0" fontId="13" fillId="3" borderId="29" applyAlignment="1" pivotButton="0" quotePrefix="0" xfId="4">
      <alignment vertical="center"/>
    </xf>
    <xf numFmtId="0" fontId="9" fillId="0" borderId="6" applyAlignment="1" applyProtection="1" pivotButton="0" quotePrefix="0" xfId="0">
      <alignment horizontal="left" vertical="center" indent="2"/>
      <protection locked="1" hidden="1"/>
    </xf>
    <xf numFmtId="0" fontId="18" fillId="0" borderId="0" applyProtection="1" pivotButton="0" quotePrefix="0" xfId="0">
      <protection locked="1" hidden="1"/>
    </xf>
    <xf numFmtId="0" fontId="9" fillId="0" borderId="8" applyAlignment="1" applyProtection="1" pivotButton="0" quotePrefix="0" xfId="0">
      <alignment horizontal="left" vertical="center" indent="2"/>
      <protection locked="1" hidden="1"/>
    </xf>
    <xf numFmtId="0" fontId="2" fillId="0" borderId="2" applyAlignment="1" applyProtection="1" pivotButton="0" quotePrefix="0" xfId="0">
      <alignment vertical="center"/>
      <protection locked="1" hidden="1"/>
    </xf>
    <xf numFmtId="0" fontId="13" fillId="3" borderId="2" applyAlignment="1" pivotButton="0" quotePrefix="0" xfId="4">
      <alignment horizontal="center" vertical="center"/>
    </xf>
    <xf numFmtId="0" fontId="13" fillId="3" borderId="2" applyAlignment="1" pivotButton="0" quotePrefix="0" xfId="4">
      <alignment vertical="center"/>
    </xf>
    <xf numFmtId="0" fontId="6" fillId="0" borderId="9" applyAlignment="1" applyProtection="1" pivotButton="0" quotePrefix="0" xfId="0">
      <alignment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3" borderId="0" applyAlignment="1" pivotButton="0" quotePrefix="0" xfId="4">
      <alignment horizontal="center" vertical="center"/>
    </xf>
    <xf numFmtId="0" fontId="13" fillId="3" borderId="0" applyAlignment="1" pivotButton="0" quotePrefix="0" xfId="4">
      <alignment vertical="center"/>
    </xf>
    <xf numFmtId="170" fontId="2" fillId="3" borderId="0" applyAlignment="1" pivotButton="0" quotePrefix="0" xfId="0">
      <alignment horizontal="center" vertical="center"/>
    </xf>
    <xf numFmtId="0" fontId="9" fillId="2" borderId="0" applyAlignment="1" applyProtection="1" pivotButton="0" quotePrefix="0" xfId="0">
      <alignment horizontal="left" indent="1"/>
      <protection locked="1" hidden="1"/>
    </xf>
    <xf numFmtId="0" fontId="9" fillId="0" borderId="0" applyAlignment="1" applyProtection="1" pivotButton="0" quotePrefix="0" xfId="0">
      <alignment horizontal="left" vertical="center" indent="2"/>
      <protection locked="1" hidden="1"/>
    </xf>
    <xf numFmtId="0" fontId="9" fillId="2" borderId="0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7" fillId="0" borderId="0" applyAlignment="1" pivotButton="0" quotePrefix="0" xfId="3">
      <alignment horizontal="right" vertical="center" indent="1"/>
    </xf>
    <xf numFmtId="0" fontId="1" fillId="0" borderId="42" applyAlignment="1" pivotButton="0" quotePrefix="0" xfId="0">
      <alignment horizontal="left" indent="1"/>
    </xf>
    <xf numFmtId="0" fontId="1" fillId="0" borderId="40" applyAlignment="1" pivotButton="0" quotePrefix="0" xfId="0">
      <alignment horizontal="left" indent="1"/>
    </xf>
    <xf numFmtId="0" fontId="2" fillId="0" borderId="0" applyAlignment="1" pivotButton="0" quotePrefix="0" xfId="0">
      <alignment horizontal="right" indent="1"/>
    </xf>
    <xf numFmtId="0" fontId="0" fillId="0" borderId="40" applyAlignment="1" pivotButton="0" quotePrefix="0" xfId="0">
      <alignment horizontal="left" indent="1"/>
    </xf>
    <xf numFmtId="16" fontId="0" fillId="0" borderId="40" applyAlignment="1" pivotButton="0" quotePrefix="0" xfId="0">
      <alignment horizontal="left" indent="1"/>
    </xf>
    <xf numFmtId="0" fontId="9" fillId="0" borderId="40" applyAlignment="1" pivotButton="0" quotePrefix="0" xfId="3">
      <alignment horizontal="left" vertical="center" indent="1"/>
    </xf>
    <xf numFmtId="0" fontId="9" fillId="0" borderId="41" applyAlignment="1" pivotButton="0" quotePrefix="0" xfId="3">
      <alignment horizontal="left" vertical="center" indent="1"/>
    </xf>
    <xf numFmtId="0" fontId="17" fillId="0" borderId="0" applyAlignment="1" pivotButton="0" quotePrefix="0" xfId="3">
      <alignment horizontal="right" vertical="center" wrapText="1"/>
    </xf>
    <xf numFmtId="0" fontId="9" fillId="0" borderId="0" applyAlignment="1" pivotButton="0" quotePrefix="0" xfId="3">
      <alignment horizontal="left" vertical="center"/>
    </xf>
    <xf numFmtId="180" fontId="9" fillId="0" borderId="7" applyAlignment="1" applyProtection="1" pivotButton="0" quotePrefix="0" xfId="0">
      <alignment horizontal="left" vertical="center"/>
      <protection locked="1" hidden="1"/>
    </xf>
    <xf numFmtId="178" fontId="9" fillId="0" borderId="0" applyAlignment="1" pivotButton="0" quotePrefix="0" xfId="0">
      <alignment horizontal="left" vertical="center"/>
    </xf>
    <xf numFmtId="171" fontId="9" fillId="0" borderId="0" applyAlignment="1" pivotButton="0" quotePrefix="0" xfId="0">
      <alignment horizontal="left" vertical="center"/>
    </xf>
    <xf numFmtId="171" fontId="9" fillId="0" borderId="7" applyAlignment="1" applyProtection="1" pivotButton="0" quotePrefix="0" xfId="0">
      <alignment horizontal="left" vertical="center"/>
      <protection locked="1" hidden="1"/>
    </xf>
    <xf numFmtId="0" fontId="26" fillId="3" borderId="29" applyAlignment="1" pivotButton="0" quotePrefix="0" xfId="3">
      <alignment horizontal="center" vertical="center"/>
    </xf>
    <xf numFmtId="0" fontId="26" fillId="3" borderId="30" applyAlignment="1" pivotButton="0" quotePrefix="0" xfId="3">
      <alignment horizontal="center" vertical="center"/>
    </xf>
    <xf numFmtId="0" fontId="21" fillId="3" borderId="0" applyAlignment="1" pivotButton="0" quotePrefix="0" xfId="0">
      <alignment horizontal="center" vertical="center"/>
    </xf>
    <xf numFmtId="181" fontId="21" fillId="0" borderId="0" applyAlignment="1" applyProtection="1" pivotButton="0" quotePrefix="0" xfId="0">
      <alignment horizontal="center"/>
      <protection locked="1" hidden="1"/>
    </xf>
    <xf numFmtId="0" fontId="31" fillId="0" borderId="1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/>
    </xf>
    <xf numFmtId="0" fontId="31" fillId="0" borderId="30" applyAlignment="1" pivotButton="0" quotePrefix="0" xfId="0">
      <alignment horizontal="center" vertical="center"/>
    </xf>
    <xf numFmtId="0" fontId="13" fillId="2" borderId="29" applyAlignment="1" pivotButton="0" quotePrefix="0" xfId="4">
      <alignment vertical="center"/>
    </xf>
    <xf numFmtId="0" fontId="1" fillId="3" borderId="10" applyAlignment="1" pivotButton="0" quotePrefix="0" xfId="4">
      <alignment vertical="center"/>
    </xf>
    <xf numFmtId="0" fontId="2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3" applyAlignment="1" applyProtection="1" pivotButton="0" quotePrefix="0" xfId="0">
      <alignment horizontal="center" vertical="center" wrapText="1"/>
      <protection locked="1" hidden="1"/>
    </xf>
    <xf numFmtId="0" fontId="2" fillId="0" borderId="5" applyAlignment="1" applyProtection="1" pivotButton="0" quotePrefix="0" xfId="0">
      <alignment horizontal="center" vertical="center" wrapText="1"/>
      <protection locked="1" hidden="1"/>
    </xf>
    <xf numFmtId="0" fontId="2" fillId="0" borderId="8" applyAlignment="1" applyProtection="1" pivotButton="0" quotePrefix="0" xfId="0">
      <alignment horizontal="center" vertical="center" wrapText="1"/>
      <protection locked="1" hidden="1"/>
    </xf>
    <xf numFmtId="0" fontId="2" fillId="0" borderId="2" applyAlignment="1" applyProtection="1" pivotButton="0" quotePrefix="0" xfId="0">
      <alignment horizontal="center" vertical="center" wrapText="1"/>
      <protection locked="1" hidden="1"/>
    </xf>
    <xf numFmtId="0" fontId="2" fillId="0" borderId="9" applyAlignment="1" applyProtection="1" pivotButton="0" quotePrefix="0" xfId="0">
      <alignment horizontal="center" vertical="center" wrapText="1"/>
      <protection locked="1" hidden="1"/>
    </xf>
    <xf numFmtId="0" fontId="32" fillId="3" borderId="0" applyAlignment="1" pivotButton="0" quotePrefix="0" xfId="3">
      <alignment horizontal="center" vertical="center"/>
    </xf>
    <xf numFmtId="0" fontId="13" fillId="0" borderId="29" applyAlignment="1" applyProtection="1" pivotButton="0" quotePrefix="0" xfId="0">
      <alignment horizontal="center"/>
      <protection locked="1" hidden="1"/>
    </xf>
    <xf numFmtId="0" fontId="13" fillId="0" borderId="10" applyAlignment="1" applyProtection="1" pivotButton="0" quotePrefix="0" xfId="0">
      <alignment horizontal="center"/>
      <protection locked="1" hidden="1"/>
    </xf>
    <xf numFmtId="0" fontId="13" fillId="0" borderId="30" applyAlignment="1" applyProtection="1" pivotButton="0" quotePrefix="0" xfId="0">
      <alignment horizontal="center"/>
      <protection locked="1" hidden="1"/>
    </xf>
    <xf numFmtId="169" fontId="13" fillId="2" borderId="10" applyAlignment="1" pivotButton="0" quotePrefix="1" xfId="0">
      <alignment vertical="center"/>
    </xf>
    <xf numFmtId="169" fontId="13" fillId="2" borderId="30" applyAlignment="1" pivotButton="0" quotePrefix="1" xfId="0">
      <alignment horizontal="center" vertical="center"/>
    </xf>
    <xf numFmtId="0" fontId="13" fillId="2" borderId="30" applyAlignment="1" pivotButton="0" quotePrefix="0" xfId="4">
      <alignment horizontal="center" vertical="center"/>
    </xf>
    <xf numFmtId="0" fontId="26" fillId="2" borderId="29" pivotButton="0" quotePrefix="0" xfId="4"/>
    <xf numFmtId="0" fontId="32" fillId="3" borderId="10" applyAlignment="1" pivotButton="0" quotePrefix="0" xfId="3">
      <alignment vertical="center"/>
    </xf>
    <xf numFmtId="0" fontId="13" fillId="3" borderId="4" applyAlignment="1" pivotButton="0" quotePrefix="0" xfId="4">
      <alignment horizontal="left" vertical="center" wrapText="1"/>
    </xf>
    <xf numFmtId="0" fontId="13" fillId="3" borderId="3" applyAlignment="1" pivotButton="0" quotePrefix="0" xfId="4">
      <alignment horizontal="left" vertical="center" wrapText="1"/>
    </xf>
    <xf numFmtId="0" fontId="13" fillId="3" borderId="5" applyAlignment="1" pivotButton="0" quotePrefix="0" xfId="4">
      <alignment horizontal="left" vertical="center" wrapText="1"/>
    </xf>
    <xf numFmtId="0" fontId="13" fillId="3" borderId="8" applyAlignment="1" pivotButton="0" quotePrefix="0" xfId="4">
      <alignment horizontal="left" vertical="center" wrapText="1"/>
    </xf>
    <xf numFmtId="0" fontId="13" fillId="3" borderId="2" applyAlignment="1" pivotButton="0" quotePrefix="0" xfId="4">
      <alignment horizontal="left" vertical="center" wrapText="1"/>
    </xf>
    <xf numFmtId="0" fontId="13" fillId="3" borderId="9" applyAlignment="1" pivotButton="0" quotePrefix="0" xfId="4">
      <alignment horizontal="left" vertical="center" wrapText="1"/>
    </xf>
    <xf numFmtId="0" fontId="17" fillId="0" borderId="29" applyAlignment="1" applyProtection="1" pivotButton="0" quotePrefix="0" xfId="0">
      <alignment horizontal="center" vertical="center"/>
      <protection locked="1" hidden="1"/>
    </xf>
    <xf numFmtId="0" fontId="17" fillId="0" borderId="30" applyAlignment="1" applyProtection="1" pivotButton="0" quotePrefix="0" xfId="0">
      <alignment horizontal="center" vertical="center"/>
      <protection locked="1" hidden="1"/>
    </xf>
    <xf numFmtId="0" fontId="17" fillId="3" borderId="0" applyAlignment="1" pivotButton="0" quotePrefix="0" xfId="3">
      <alignment horizontal="center" vertical="center"/>
    </xf>
    <xf numFmtId="0" fontId="13" fillId="0" borderId="0" applyAlignment="1" pivotButton="0" quotePrefix="0" xfId="1">
      <alignment horizontal="center" vertical="center" wrapText="1"/>
    </xf>
    <xf numFmtId="0" fontId="13" fillId="2" borderId="29" applyAlignment="1" applyProtection="1" pivotButton="0" quotePrefix="0" xfId="0">
      <alignment horizontal="center" vertical="center"/>
      <protection locked="1" hidden="1"/>
    </xf>
    <xf numFmtId="0" fontId="13" fillId="2" borderId="30" applyAlignment="1" applyProtection="1" pivotButton="0" quotePrefix="0" xfId="0">
      <alignment horizontal="center" vertical="center"/>
      <protection locked="1" hidden="1"/>
    </xf>
    <xf numFmtId="0" fontId="9" fillId="2" borderId="30" applyAlignment="1" applyProtection="1" pivotButton="0" quotePrefix="0" xfId="0">
      <alignment horizontal="center" vertical="center"/>
      <protection locked="0" hidden="0"/>
    </xf>
    <xf numFmtId="0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75" fontId="5" fillId="0" borderId="0" applyAlignment="1" applyProtection="1" pivotButton="0" quotePrefix="0" xfId="0">
      <alignment horizontal="left" vertical="center"/>
      <protection locked="0" hidden="0"/>
    </xf>
    <xf numFmtId="0" fontId="2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0" fillId="0" borderId="6" applyAlignment="1" pivotButton="0" quotePrefix="0" xfId="3">
      <alignment horizontal="left" vertical="center" wrapText="1"/>
    </xf>
    <xf numFmtId="0" fontId="20" fillId="0" borderId="0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9" fillId="0" borderId="19" applyAlignment="1" applyProtection="1" pivotButton="0" quotePrefix="0" xfId="4">
      <alignment horizontal="center" vertical="center" wrapText="1"/>
      <protection locked="0" hidden="0"/>
    </xf>
    <xf numFmtId="0" fontId="9" fillId="0" borderId="18" applyAlignment="1" applyProtection="1" pivotButton="0" quotePrefix="0" xfId="4">
      <alignment horizontal="center" vertical="center" wrapText="1"/>
      <protection locked="0" hidden="0"/>
    </xf>
    <xf numFmtId="1" fontId="9" fillId="0" borderId="19" applyAlignment="1" applyProtection="1" pivotButton="0" quotePrefix="0" xfId="4">
      <alignment horizontal="center" vertical="center" wrapText="1"/>
      <protection locked="0" hidden="0"/>
    </xf>
    <xf numFmtId="1" fontId="9" fillId="0" borderId="18" applyAlignment="1" applyProtection="1" pivotButton="0" quotePrefix="0" xfId="4">
      <alignment horizontal="center" vertical="center" wrapText="1"/>
      <protection locked="0" hidden="0"/>
    </xf>
    <xf numFmtId="0" fontId="9" fillId="0" borderId="6" applyAlignment="1" pivotButton="0" quotePrefix="0" xfId="3">
      <alignment horizontal="left" vertical="center"/>
    </xf>
    <xf numFmtId="0" fontId="9" fillId="0" borderId="0" applyAlignment="1" pivotButton="0" quotePrefix="0" xfId="3">
      <alignment horizontal="left" vertical="center"/>
    </xf>
    <xf numFmtId="0" fontId="27" fillId="2" borderId="0" applyAlignment="1" applyProtection="1" pivotButton="0" quotePrefix="0" xfId="0">
      <alignment horizontal="left" vertical="center" wrapText="1"/>
      <protection locked="0" hidden="0"/>
    </xf>
    <xf numFmtId="0" fontId="13" fillId="0" borderId="0" applyAlignment="1" pivotButton="0" quotePrefix="1" xfId="5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182" fontId="21" fillId="0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pivotButton="0" quotePrefix="0" xfId="0">
      <alignment horizontal="center" vertical="center" wrapText="1"/>
    </xf>
    <xf numFmtId="0" fontId="9" fillId="0" borderId="23" applyAlignment="1" applyProtection="1" pivotButton="0" quotePrefix="0" xfId="4">
      <alignment horizontal="center" vertical="center" wrapText="1"/>
      <protection locked="0" hidden="0"/>
    </xf>
    <xf numFmtId="0" fontId="9" fillId="0" borderId="17" applyAlignment="1" applyProtection="1" pivotButton="0" quotePrefix="0" xfId="4">
      <alignment horizontal="center" vertical="center" wrapText="1"/>
      <protection locked="0" hidden="0"/>
    </xf>
    <xf numFmtId="0" fontId="9" fillId="0" borderId="2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27" fillId="2" borderId="0" applyAlignment="1" applyProtection="1" pivotButton="0" quotePrefix="0" xfId="0">
      <alignment horizontal="left" vertical="center"/>
      <protection locked="0" hidden="0"/>
    </xf>
    <xf numFmtId="1" fontId="9" fillId="0" borderId="23" applyAlignment="1" pivotButton="0" quotePrefix="0" xfId="4">
      <alignment horizontal="center" vertical="center" wrapText="1"/>
    </xf>
    <xf numFmtId="1" fontId="9" fillId="0" borderId="17" applyAlignment="1" pivotButton="0" quotePrefix="0" xfId="4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0" fillId="0" borderId="0" applyProtection="1" pivotButton="0" quotePrefix="0" xfId="0">
      <protection locked="1" hidden="1"/>
    </xf>
    <xf numFmtId="0" fontId="0" fillId="0" borderId="30" pivotButton="0" quotePrefix="0" xfId="0"/>
    <xf numFmtId="0" fontId="26" fillId="3" borderId="1" applyAlignment="1" pivotButton="0" quotePrefix="0" xfId="3">
      <alignment horizontal="center" vertical="center"/>
    </xf>
    <xf numFmtId="0" fontId="2" fillId="0" borderId="42" applyAlignment="1" applyProtection="1" pivotButton="0" quotePrefix="0" xfId="0">
      <alignment horizontal="center" vertical="center" wrapText="1"/>
      <protection locked="1" hidden="1"/>
    </xf>
    <xf numFmtId="0" fontId="0" fillId="0" borderId="43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2" fillId="0" borderId="41" applyAlignment="1" applyProtection="1" pivotButton="0" quotePrefix="0" xfId="0">
      <alignment horizontal="center" vertical="center" wrapText="1"/>
      <protection locked="1" hidden="1"/>
    </xf>
    <xf numFmtId="0" fontId="0" fillId="0" borderId="2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3" fillId="0" borderId="1" applyAlignment="1" applyProtection="1" pivotButton="0" quotePrefix="0" xfId="0">
      <alignment horizontal="center"/>
      <protection locked="1" hidden="1"/>
    </xf>
    <xf numFmtId="0" fontId="0" fillId="0" borderId="44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44" pivotButton="0" quotePrefix="0" xfId="0"/>
    <xf numFmtId="169" fontId="13" fillId="2" borderId="30" applyAlignment="1" pivotButton="0" quotePrefix="1" xfId="0">
      <alignment horizontal="center" vertical="center"/>
    </xf>
    <xf numFmtId="0" fontId="13" fillId="3" borderId="1" applyAlignment="1" pivotButton="0" quotePrefix="0" xfId="4">
      <alignment horizontal="center"/>
    </xf>
    <xf numFmtId="0" fontId="13" fillId="3" borderId="29" applyAlignment="1" pivotButton="0" quotePrefix="0" xfId="4">
      <alignment horizontal="center"/>
    </xf>
    <xf numFmtId="0" fontId="13" fillId="3" borderId="1" applyAlignment="1" pivotButton="0" quotePrefix="0" xfId="4">
      <alignment horizontal="left" vertical="center" wrapText="1"/>
    </xf>
    <xf numFmtId="0" fontId="0" fillId="0" borderId="4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17" fillId="0" borderId="1" applyAlignment="1" applyProtection="1" pivotButton="0" quotePrefix="0" xfId="0">
      <alignment horizontal="center" vertical="center"/>
      <protection locked="1" hidden="1"/>
    </xf>
    <xf numFmtId="170" fontId="2" fillId="3" borderId="0" applyAlignment="1" pivotButton="0" quotePrefix="0" xfId="0">
      <alignment horizontal="center" vertical="center"/>
    </xf>
    <xf numFmtId="0" fontId="13" fillId="2" borderId="1" applyAlignment="1" applyProtection="1" pivotButton="0" quotePrefix="0" xfId="0">
      <alignment horizontal="center" vertical="center"/>
      <protection locked="1" hidden="1"/>
    </xf>
    <xf numFmtId="0" fontId="0" fillId="0" borderId="30" applyProtection="1" pivotButton="0" quotePrefix="0" xfId="0">
      <protection locked="0" hidden="0"/>
    </xf>
    <xf numFmtId="182" fontId="2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74" fontId="5" fillId="0" borderId="0" applyAlignment="1" applyProtection="1" pivotButton="0" quotePrefix="0" xfId="0">
      <alignment vertical="center"/>
      <protection locked="0" hidden="0"/>
    </xf>
    <xf numFmtId="178" fontId="9" fillId="0" borderId="0" applyAlignment="1" applyProtection="1" pivotButton="0" quotePrefix="0" xfId="0">
      <alignment horizontal="left" vertical="center"/>
      <protection locked="0" hidden="0"/>
    </xf>
    <xf numFmtId="167" fontId="9" fillId="0" borderId="0" applyAlignment="1" applyProtection="1" pivotButton="0" quotePrefix="0" xfId="0">
      <alignment horizontal="left" vertical="center"/>
      <protection locked="0" hidden="0"/>
    </xf>
    <xf numFmtId="168" fontId="5" fillId="0" borderId="0" applyAlignment="1" applyProtection="1" pivotButton="0" quotePrefix="0" xfId="0">
      <alignment horizontal="left" vertical="center"/>
      <protection locked="0" hidden="0"/>
    </xf>
    <xf numFmtId="171" fontId="9" fillId="0" borderId="0" applyAlignment="1" applyProtection="1" pivotButton="0" quotePrefix="0" xfId="0">
      <alignment horizontal="left" vertical="center"/>
      <protection locked="0" hidden="0"/>
    </xf>
    <xf numFmtId="175" fontId="5" fillId="0" borderId="0" applyAlignment="1" applyProtection="1" pivotButton="0" quotePrefix="0" xfId="0">
      <alignment horizontal="left" vertical="center"/>
      <protection locked="0" hidden="0"/>
    </xf>
    <xf numFmtId="165" fontId="9" fillId="0" borderId="0" applyAlignment="1" applyProtection="1" pivotButton="0" quotePrefix="0" xfId="0">
      <alignment horizontal="left" vertical="center"/>
      <protection locked="0" hidden="0"/>
    </xf>
    <xf numFmtId="0" fontId="2" fillId="0" borderId="42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20" fillId="0" borderId="40" applyAlignment="1" pivotButton="0" quotePrefix="0" xfId="3">
      <alignment horizontal="left" vertical="center" wrapText="1"/>
    </xf>
    <xf numFmtId="0" fontId="0" fillId="0" borderId="7" pivotButton="0" quotePrefix="0" xfId="0"/>
    <xf numFmtId="176" fontId="5" fillId="0" borderId="0" applyAlignment="1" applyProtection="1" pivotButton="0" quotePrefix="0" xfId="0">
      <alignment horizontal="left" vertical="center"/>
      <protection locked="0" hidden="0"/>
    </xf>
    <xf numFmtId="179" fontId="9" fillId="0" borderId="7" applyAlignment="1" applyProtection="1" pivotButton="0" quotePrefix="0" xfId="0">
      <alignment horizontal="left" vertical="center"/>
      <protection locked="0" hidden="0"/>
    </xf>
    <xf numFmtId="171" fontId="9" fillId="0" borderId="7" applyAlignment="1" applyProtection="1" pivotButton="0" quotePrefix="0" xfId="0">
      <alignment horizontal="left" vertical="center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9" fillId="0" borderId="45" applyAlignment="1" applyProtection="1" pivotButton="0" quotePrefix="0" xfId="4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7" fillId="0" borderId="11" applyAlignment="1" pivotButton="0" quotePrefix="0" xfId="0">
      <alignment horizontal="center" vertical="center" wrapText="1"/>
    </xf>
    <xf numFmtId="0" fontId="9" fillId="0" borderId="25" applyAlignment="1" applyProtection="1" pivotButton="0" quotePrefix="0" xfId="4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22" pivotButton="0" quotePrefix="0" xfId="0"/>
    <xf numFmtId="1" fontId="9" fillId="0" borderId="25" applyAlignment="1" applyProtection="1" pivotButton="0" quotePrefix="0" xfId="4">
      <alignment horizontal="center" vertical="center" wrapText="1"/>
      <protection locked="0" hidden="0"/>
    </xf>
    <xf numFmtId="166" fontId="27" fillId="0" borderId="0" applyAlignment="1" pivotButton="0" quotePrefix="0" xfId="0">
      <alignment vertical="center" wrapText="1"/>
    </xf>
    <xf numFmtId="172" fontId="9" fillId="0" borderId="18" applyAlignment="1" applyProtection="1" pivotButton="0" quotePrefix="0" xfId="4">
      <alignment horizontal="center" vertical="center" wrapText="1"/>
      <protection locked="0" hidden="0"/>
    </xf>
    <xf numFmtId="0" fontId="0" fillId="0" borderId="15" pivotButton="0" quotePrefix="0" xfId="0"/>
    <xf numFmtId="169" fontId="19" fillId="0" borderId="0" applyAlignment="1" pivotButton="0" quotePrefix="1" xfId="0">
      <alignment horizontal="center" vertical="center" wrapText="1"/>
    </xf>
    <xf numFmtId="170" fontId="13" fillId="0" borderId="0" applyAlignment="1" pivotButton="0" quotePrefix="1" xfId="0">
      <alignment horizontal="center" vertical="center"/>
    </xf>
    <xf numFmtId="172" fontId="30" fillId="0" borderId="18" applyAlignment="1" applyProtection="1" pivotButton="0" quotePrefix="0" xfId="4">
      <alignment horizontal="center" vertical="center" wrapText="1"/>
      <protection locked="0" hidden="0"/>
    </xf>
    <xf numFmtId="177" fontId="21" fillId="0" borderId="0" applyAlignment="1" applyProtection="1" pivotButton="0" quotePrefix="0" xfId="0">
      <alignment vertical="center"/>
      <protection locked="0" hidden="0"/>
    </xf>
    <xf numFmtId="178" fontId="9" fillId="0" borderId="0" applyAlignment="1" pivotButton="0" quotePrefix="0" xfId="0">
      <alignment horizontal="left" vertical="center"/>
    </xf>
    <xf numFmtId="171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80" fontId="9" fillId="0" borderId="7" applyAlignment="1" applyProtection="1" pivotButton="0" quotePrefix="0" xfId="0">
      <alignment horizontal="left" vertical="center"/>
      <protection locked="1" hidden="1"/>
    </xf>
    <xf numFmtId="171" fontId="9" fillId="0" borderId="7" applyAlignment="1" applyProtection="1" pivotButton="0" quotePrefix="0" xfId="0">
      <alignment horizontal="left" vertical="center"/>
      <protection locked="1" hidden="1"/>
    </xf>
    <xf numFmtId="1" fontId="9" fillId="0" borderId="45" applyAlignment="1" pivotButton="0" quotePrefix="0" xfId="4">
      <alignment horizontal="center" vertical="center" wrapText="1"/>
    </xf>
    <xf numFmtId="0" fontId="0" fillId="0" borderId="17" pivotButton="0" quotePrefix="0" xfId="0"/>
    <xf numFmtId="172" fontId="9" fillId="0" borderId="18" applyAlignment="1" pivotButton="0" quotePrefix="0" xfId="4">
      <alignment horizontal="center" vertical="center" wrapText="1"/>
    </xf>
    <xf numFmtId="164" fontId="9" fillId="0" borderId="1" applyAlignment="1" pivotButton="0" quotePrefix="0" xfId="0">
      <alignment horizontal="center"/>
    </xf>
  </cellXfs>
  <cellStyles count="6">
    <cellStyle name="Normal" xfId="0" builtinId="0"/>
    <cellStyle name="Hipervínculo" xfId="1" builtinId="8"/>
    <cellStyle name="Normal 4" xfId="2"/>
    <cellStyle name="Normal_ENSAYOS" xfId="3"/>
    <cellStyle name="Normal 2" xfId="4"/>
    <cellStyle name="Normal 2 2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95251</colOff>
      <row>0</row>
      <rowOff>38100</rowOff>
    </from>
    <to>
      <col>5</col>
      <colOff>443972</colOff>
      <row>3</row>
      <rowOff>161925</rowOff>
    </to>
    <pic>
      <nvPicPr>
        <cNvPr id="11" name="Imagen 1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71776" y="38100"/>
          <a:ext cx="1196446" cy="723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170889</colOff>
      <row>43</row>
      <rowOff>152401</rowOff>
    </from>
    <to>
      <col>9</col>
      <colOff>228503</colOff>
      <row>49</row>
      <rowOff>51259</rowOff>
    </to>
    <pic>
      <nvPicPr>
        <cNvPr id="3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550" t="18437" r="19247" b="17812"/>
        <a:stretch xmlns:a="http://schemas.openxmlformats.org/drawingml/2006/main">
          <a:fillRect/>
        </a:stretch>
      </blipFill>
      <spPr>
        <a:xfrm xmlns:a="http://schemas.openxmlformats.org/drawingml/2006/main" rot="60000">
          <a:off x="2847414" y="9553576"/>
          <a:ext cx="1400639" cy="10990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297180</colOff>
      <row>43</row>
      <rowOff>152400</rowOff>
    </from>
    <to>
      <col>10</col>
      <colOff>602033</colOff>
      <row>49</row>
      <rowOff>59153</rowOff>
    </to>
    <pic>
      <nvPicPr>
        <cNvPr id="5" name="Imagen 4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0875" t="14008" r="10875" b="95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27220" y="9555480"/>
          <a:ext cx="1097333" cy="10954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708660</colOff>
      <row>39</row>
      <rowOff>142875</rowOff>
    </from>
    <to>
      <col>6</col>
      <colOff>180991</colOff>
      <row>45</row>
      <rowOff>55741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550" t="18437" r="19247" b="17812"/>
        <a:stretch xmlns:a="http://schemas.openxmlformats.org/drawingml/2006/main">
          <a:fillRect/>
        </a:stretch>
      </blipFill>
      <spPr>
        <a:xfrm xmlns:a="http://schemas.openxmlformats.org/drawingml/2006/main" rot="60000">
          <a:off x="2781300" y="8555355"/>
          <a:ext cx="1445911" cy="11015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205740</colOff>
      <row>39</row>
      <rowOff>190500</rowOff>
    </from>
    <to>
      <col>7</col>
      <colOff>624893</colOff>
      <row>45</row>
      <rowOff>97253</rowOff>
    </to>
    <pic>
      <nvPicPr>
        <cNvPr id="7" name="Imagen 6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0875" t="14008" r="10875" b="95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51960" y="8602980"/>
          <a:ext cx="1097333" cy="10954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99060</colOff>
      <row>10</row>
      <rowOff>121920</rowOff>
    </from>
    <to>
      <col>8</col>
      <colOff>259080</colOff>
      <row>22</row>
      <rowOff>7620</rowOff>
    </to>
    <pic>
      <nvPicPr>
        <cNvPr id="252341" name="24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31620" y="2301240"/>
          <a:ext cx="6019800" cy="1897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showGridLines="0" topLeftCell="A22" zoomScaleNormal="100" zoomScaleSheetLayoutView="100" workbookViewId="0">
      <selection activeCell="L20" sqref="L20"/>
    </sheetView>
  </sheetViews>
  <sheetFormatPr baseColWidth="10" defaultColWidth="10.33203125" defaultRowHeight="13.8"/>
  <cols>
    <col width="11.6640625" customWidth="1" style="196" min="1" max="1"/>
    <col width="3" customWidth="1" style="196" min="2" max="2"/>
    <col width="12.6640625" customWidth="1" style="196" min="3" max="8"/>
    <col width="7.6640625" customWidth="1" style="196" min="9" max="9"/>
    <col width="6.44140625" customWidth="1" style="196" min="10" max="10"/>
    <col width="8" customWidth="1" style="196" min="11" max="11"/>
    <col width="15" customWidth="1" style="196" min="12" max="12"/>
    <col width="16.6640625" customWidth="1" style="196" min="13" max="13"/>
    <col width="10.33203125" customWidth="1" style="196" min="14" max="16384"/>
  </cols>
  <sheetData>
    <row r="1" ht="15.75" customHeight="1" thickTop="1">
      <c r="A1" s="192" t="n"/>
      <c r="B1" s="193" t="n"/>
      <c r="C1" s="193" t="n"/>
      <c r="D1" s="194" t="n"/>
      <c r="E1" s="194" t="n"/>
      <c r="F1" s="194" t="n"/>
      <c r="G1" s="194" t="n"/>
      <c r="H1" s="194" t="n"/>
      <c r="I1" s="195" t="n"/>
    </row>
    <row r="2" ht="15.75" customHeight="1">
      <c r="A2" s="197" t="n"/>
      <c r="B2" s="198" t="n"/>
      <c r="C2" s="198" t="n"/>
      <c r="D2" s="199" t="n"/>
      <c r="E2" s="199" t="n"/>
      <c r="F2" s="199" t="n"/>
      <c r="G2" s="199" t="n"/>
      <c r="H2" s="199" t="n"/>
      <c r="I2" s="200" t="n"/>
      <c r="L2" s="270" t="inlineStr">
        <is>
          <t>CLIENTE</t>
        </is>
      </c>
      <c r="M2" s="271" t="n"/>
    </row>
    <row r="3" ht="15.75" customHeight="1">
      <c r="A3" s="197" t="n"/>
      <c r="B3" s="198" t="n"/>
      <c r="C3" s="198" t="n"/>
      <c r="D3" s="199" t="n"/>
      <c r="E3" s="199" t="n"/>
      <c r="F3" s="199" t="n"/>
      <c r="G3" s="199" t="n"/>
      <c r="H3" s="199" t="n"/>
      <c r="I3" s="200" t="n"/>
      <c r="L3" s="270" t="inlineStr">
        <is>
          <t>DIRECCIÓN **</t>
        </is>
      </c>
      <c r="M3" s="272" t="n"/>
    </row>
    <row r="4" ht="15.75" customHeight="1" thickBot="1">
      <c r="A4" s="201" t="n"/>
      <c r="B4" s="202" t="n"/>
      <c r="C4" s="202" t="n"/>
      <c r="D4" s="202" t="n"/>
      <c r="E4" s="202" t="n"/>
      <c r="F4" s="202" t="n"/>
      <c r="G4" s="202" t="n"/>
      <c r="H4" s="202" t="n"/>
      <c r="I4" s="203" t="n"/>
      <c r="L4" s="270" t="inlineStr">
        <is>
          <t>PROYECTO **</t>
        </is>
      </c>
      <c r="M4" s="272" t="n"/>
    </row>
    <row r="5" ht="15.9" customHeight="1" thickTop="1">
      <c r="A5" s="204" t="n"/>
      <c r="B5" s="204" t="n"/>
      <c r="C5" s="204" t="n"/>
      <c r="D5" s="204" t="n"/>
      <c r="E5" s="204" t="n"/>
      <c r="F5" s="204" t="n"/>
      <c r="G5" s="204" t="n"/>
      <c r="H5" s="204" t="n"/>
      <c r="I5" s="204" t="n"/>
      <c r="L5" s="270" t="inlineStr">
        <is>
          <t>UBICACIÓN **</t>
        </is>
      </c>
      <c r="M5" s="272" t="n"/>
    </row>
    <row r="6" ht="15.9" customHeight="1">
      <c r="A6" s="286" t="inlineStr">
        <is>
          <t>LABORATORIO DE ENSAYO DE MATERIALES</t>
        </is>
      </c>
      <c r="L6" s="273" t="n"/>
      <c r="M6" s="274" t="n"/>
    </row>
    <row r="7" ht="15.9" customHeight="1">
      <c r="A7" s="287" t="inlineStr">
        <is>
          <t>FORMATO N° F-LEM-P-SU-13.01</t>
        </is>
      </c>
      <c r="B7" s="355" t="n"/>
      <c r="C7" s="355" t="n"/>
      <c r="D7" s="355" t="n"/>
      <c r="E7" s="355" t="n"/>
      <c r="F7" s="355" t="n"/>
      <c r="G7" s="355" t="n"/>
      <c r="H7" s="355" t="n"/>
      <c r="I7" s="355" t="n"/>
      <c r="L7" s="270" t="inlineStr">
        <is>
          <t>RECEPCIÓN N°</t>
        </is>
      </c>
      <c r="M7" s="274" t="n"/>
    </row>
    <row r="8" ht="15.9" customHeight="1">
      <c r="A8" s="205" t="n"/>
      <c r="L8" s="270" t="inlineStr">
        <is>
          <t>F. EMISIÓN</t>
        </is>
      </c>
      <c r="M8" s="275" t="n"/>
    </row>
    <row r="9" ht="15.9" customHeight="1">
      <c r="B9" s="288" t="inlineStr">
        <is>
          <t>MUESTRA</t>
        </is>
      </c>
      <c r="C9" s="356" t="n"/>
      <c r="D9" s="288" t="inlineStr">
        <is>
          <t>N° OT</t>
        </is>
      </c>
      <c r="E9" s="288" t="inlineStr">
        <is>
          <t>FECHA DE ENSAYO</t>
        </is>
      </c>
      <c r="F9" s="356" t="n"/>
      <c r="G9" s="288" t="inlineStr">
        <is>
          <t>REALIZADO</t>
        </is>
      </c>
      <c r="H9" s="356" t="n"/>
      <c r="K9" s="207" t="n"/>
      <c r="L9" s="270" t="inlineStr">
        <is>
          <t>OT N°</t>
        </is>
      </c>
      <c r="M9" s="274" t="n"/>
    </row>
    <row r="10" ht="15.9" customHeight="1">
      <c r="A10" s="208" t="n"/>
      <c r="B10" s="357" t="n"/>
      <c r="C10" s="356" t="n"/>
      <c r="D10" s="209" t="n"/>
      <c r="E10" s="357" t="n"/>
      <c r="F10" s="356" t="n"/>
      <c r="G10" s="357" t="n"/>
      <c r="H10" s="356" t="n"/>
      <c r="I10" s="210" t="n"/>
      <c r="J10" s="207" t="n"/>
      <c r="K10" s="207" t="n"/>
      <c r="L10" s="273" t="n"/>
      <c r="M10" s="274" t="n"/>
    </row>
    <row r="11" ht="15.9" customHeight="1">
      <c r="A11" s="208" t="n"/>
      <c r="B11" s="316" t="n"/>
      <c r="C11" s="212" t="n"/>
      <c r="D11" s="212" t="n"/>
      <c r="E11" s="212" t="n"/>
      <c r="F11" s="212" t="n"/>
      <c r="G11" s="212" t="n"/>
      <c r="H11" s="212" t="n"/>
      <c r="I11" s="213" t="n"/>
      <c r="J11" s="207" t="n"/>
      <c r="K11" s="207" t="n"/>
      <c r="L11" s="270" t="inlineStr">
        <is>
          <t>CÓDIGO DE LA MUESTRA</t>
        </is>
      </c>
      <c r="M11" s="274" t="n"/>
    </row>
    <row r="12" ht="24.75" customHeight="1">
      <c r="A12" s="358" t="inlineStr">
        <is>
          <t>METODO DE ENSAYONORMALIZADO PARA LA DETERMINACION DEL CONTENIDO DE SALES SOLUBLES EN SUELOS Y AGUA SUBTERRANEA</t>
        </is>
      </c>
      <c r="B12" s="359" t="n"/>
      <c r="C12" s="359" t="n"/>
      <c r="D12" s="359" t="n"/>
      <c r="E12" s="359" t="n"/>
      <c r="F12" s="359" t="n"/>
      <c r="G12" s="359" t="n"/>
      <c r="H12" s="359" t="n"/>
      <c r="I12" s="360" t="n"/>
      <c r="J12" s="207" t="n"/>
      <c r="K12" s="207" t="n"/>
      <c r="L12" s="270" t="inlineStr">
        <is>
          <t>FECHA DE RECEPCIÓN</t>
        </is>
      </c>
      <c r="M12" s="275" t="n"/>
    </row>
    <row r="13" ht="18" customHeight="1">
      <c r="A13" s="361" t="inlineStr">
        <is>
          <t>NORMA  NTP 339.152</t>
        </is>
      </c>
      <c r="B13" s="362" t="n"/>
      <c r="C13" s="362" t="n"/>
      <c r="D13" s="362" t="n"/>
      <c r="E13" s="362" t="n"/>
      <c r="F13" s="362" t="n"/>
      <c r="G13" s="362" t="n"/>
      <c r="H13" s="362" t="n"/>
      <c r="I13" s="363" t="n"/>
      <c r="J13" s="207" t="n"/>
      <c r="K13" s="207" t="n"/>
      <c r="L13" s="270" t="inlineStr">
        <is>
          <t>FECHA DE EJECUCIÓN</t>
        </is>
      </c>
      <c r="M13" s="275" t="n"/>
    </row>
    <row r="14" ht="11.25" customHeight="1">
      <c r="A14" s="214" t="n"/>
      <c r="B14" s="215" t="n"/>
      <c r="C14" s="216" t="n"/>
      <c r="D14" s="216" t="n"/>
      <c r="E14" s="216" t="n"/>
      <c r="F14" s="216" t="n"/>
      <c r="G14" s="216" t="n"/>
      <c r="H14" s="216" t="n"/>
      <c r="I14" s="217" t="n"/>
      <c r="J14" s="207" t="n"/>
      <c r="K14" s="207" t="n"/>
      <c r="L14" s="273" t="n"/>
      <c r="M14" s="274" t="n"/>
    </row>
    <row r="15" ht="15.9" customHeight="1">
      <c r="C15" s="299" t="n"/>
      <c r="G15" s="299" t="n"/>
      <c r="I15" s="218" t="n"/>
      <c r="K15" s="207" t="n"/>
      <c r="L15" s="270" t="inlineStr">
        <is>
          <t>CANTERA/SONDAJE **</t>
        </is>
      </c>
      <c r="M15" s="276" t="n"/>
    </row>
    <row r="16" ht="15.9" customHeight="1">
      <c r="C16" s="219" t="n"/>
      <c r="D16" s="220" t="n"/>
      <c r="E16" s="221" t="n"/>
      <c r="G16" s="219" t="n"/>
      <c r="I16" s="30" t="n"/>
      <c r="K16" s="207" t="n"/>
      <c r="L16" s="270" t="inlineStr">
        <is>
          <t>N° MUESTRA **</t>
        </is>
      </c>
      <c r="M16" s="276" t="n"/>
    </row>
    <row r="17" ht="15.9" customHeight="1">
      <c r="C17" s="219" t="n"/>
      <c r="D17" s="220" t="n"/>
      <c r="E17" s="221" t="n"/>
      <c r="G17" s="219" t="n"/>
      <c r="I17" s="222" t="n"/>
      <c r="K17" s="207" t="n"/>
      <c r="L17" s="270" t="inlineStr">
        <is>
          <t>TIPO DE MUESTRA**</t>
        </is>
      </c>
      <c r="M17" s="277" t="n"/>
    </row>
    <row r="18" ht="12" customHeight="1">
      <c r="A18" s="223" t="n"/>
      <c r="B18" s="223" t="n"/>
      <c r="C18" s="223" t="n"/>
      <c r="D18" s="223" t="n"/>
      <c r="E18" s="223" t="n"/>
      <c r="F18" s="223" t="n"/>
      <c r="G18" s="223" t="n"/>
      <c r="H18" s="223" t="n"/>
      <c r="I18" s="223" t="n"/>
      <c r="K18" s="207" t="n"/>
    </row>
    <row r="19" ht="15.75" customHeight="1">
      <c r="A19" s="364" t="inlineStr">
        <is>
          <t>DETERMINACION DEL CONTENIDO DE SALES SOLUBLES</t>
        </is>
      </c>
      <c r="B19" s="365" t="n"/>
      <c r="C19" s="365" t="n"/>
      <c r="D19" s="365" t="n"/>
      <c r="E19" s="365" t="n"/>
      <c r="F19" s="365" t="n"/>
      <c r="G19" s="365" t="n"/>
      <c r="H19" s="365" t="n"/>
      <c r="I19" s="366" t="n"/>
      <c r="K19" s="207" t="n"/>
    </row>
    <row r="20" ht="15.75" customHeight="1">
      <c r="A20" s="224" t="n"/>
      <c r="B20" s="225" t="n"/>
      <c r="C20" s="225" t="n"/>
      <c r="D20" s="225" t="n"/>
      <c r="E20" s="225" t="n"/>
      <c r="F20" s="225" t="n"/>
      <c r="G20" s="225" t="n"/>
      <c r="H20" s="225" t="n"/>
      <c r="I20" s="226" t="n"/>
      <c r="K20" s="207" t="n"/>
    </row>
    <row r="21" ht="15.75" customHeight="1">
      <c r="A21" s="227" t="n"/>
      <c r="B21" s="228" t="n"/>
      <c r="C21" s="229" t="inlineStr">
        <is>
          <t>Capsula</t>
        </is>
      </c>
      <c r="D21" s="230" t="n"/>
      <c r="E21" s="230" t="n"/>
      <c r="F21" s="305" t="inlineStr">
        <is>
          <t>N°</t>
        </is>
      </c>
      <c r="G21" s="232" t="n"/>
      <c r="H21" s="232" t="n"/>
      <c r="I21" s="233" t="n"/>
      <c r="J21" s="207" t="n"/>
      <c r="K21" s="31" t="n"/>
    </row>
    <row r="22" ht="15.75" customHeight="1">
      <c r="A22" s="234" t="n"/>
      <c r="B22" s="235" t="inlineStr">
        <is>
          <t>a</t>
        </is>
      </c>
      <c r="C22" s="291" t="inlineStr">
        <is>
          <t>Volumen de Agua Destilada</t>
        </is>
      </c>
      <c r="D22" s="367" t="n"/>
      <c r="E22" s="367" t="n"/>
      <c r="F22" s="305" t="inlineStr">
        <is>
          <t>(ml)</t>
        </is>
      </c>
      <c r="G22" s="368" t="n"/>
      <c r="H22" s="356" t="n"/>
      <c r="I22" s="236" t="n"/>
      <c r="J22" s="207" t="n"/>
      <c r="K22" s="237" t="n"/>
    </row>
    <row r="23" ht="15.75" customHeight="1">
      <c r="A23" s="234" t="n"/>
      <c r="B23" s="235" t="inlineStr">
        <is>
          <t>b</t>
        </is>
      </c>
      <c r="C23" s="291" t="inlineStr">
        <is>
          <t>Peso del Suelo</t>
        </is>
      </c>
      <c r="D23" s="367" t="n"/>
      <c r="E23" s="367" t="n"/>
      <c r="F23" s="305" t="inlineStr">
        <is>
          <t>(g)</t>
        </is>
      </c>
      <c r="G23" s="305" t="n"/>
      <c r="H23" s="356" t="n"/>
      <c r="I23" s="236" t="n"/>
      <c r="J23" s="207" t="n"/>
      <c r="K23" s="237" t="n"/>
    </row>
    <row r="24" ht="15.75" customHeight="1">
      <c r="A24" s="234" t="n"/>
      <c r="B24" s="235" t="inlineStr">
        <is>
          <t>c</t>
        </is>
      </c>
      <c r="C24" s="291" t="inlineStr">
        <is>
          <t>Volumen de la Solucion Tomada</t>
        </is>
      </c>
      <c r="D24" s="367" t="n"/>
      <c r="E24" s="367" t="n"/>
      <c r="F24" s="305" t="inlineStr">
        <is>
          <t>(ml)</t>
        </is>
      </c>
      <c r="G24" s="305" t="n"/>
      <c r="H24" s="356" t="n"/>
      <c r="I24" s="238" t="n"/>
      <c r="J24" s="239" t="n"/>
      <c r="K24" s="237" t="n"/>
    </row>
    <row r="25" ht="15.75" customHeight="1">
      <c r="A25" s="234" t="n"/>
      <c r="B25" s="235" t="inlineStr">
        <is>
          <t>d</t>
        </is>
      </c>
      <c r="C25" s="291" t="inlineStr">
        <is>
          <t xml:space="preserve"> Peso de Capsula</t>
        </is>
      </c>
      <c r="D25" s="367" t="n"/>
      <c r="E25" s="367" t="n"/>
      <c r="F25" s="305" t="inlineStr">
        <is>
          <t>(g)</t>
        </is>
      </c>
      <c r="G25" s="232" t="n"/>
      <c r="H25" s="232" t="n"/>
      <c r="I25" s="240" t="n"/>
      <c r="J25" s="207" t="n"/>
      <c r="K25" s="207" t="n"/>
    </row>
    <row r="26" ht="15.75" customHeight="1">
      <c r="A26" s="234" t="n"/>
      <c r="B26" s="235" t="inlineStr">
        <is>
          <t>e</t>
        </is>
      </c>
      <c r="C26" s="291" t="inlineStr">
        <is>
          <t xml:space="preserve"> Peso de Capsula + Sales Solubles</t>
        </is>
      </c>
      <c r="D26" s="367" t="n"/>
      <c r="E26" s="367" t="n"/>
      <c r="F26" s="305" t="inlineStr">
        <is>
          <t>(g)</t>
        </is>
      </c>
      <c r="G26" s="232" t="n"/>
      <c r="H26" s="232" t="n"/>
      <c r="I26" s="240" t="n"/>
      <c r="J26" s="207" t="n"/>
      <c r="K26" s="207" t="n"/>
    </row>
    <row r="27" ht="15.75" customHeight="1">
      <c r="A27" s="234" t="n"/>
      <c r="B27" s="235" t="inlineStr">
        <is>
          <t>f</t>
        </is>
      </c>
      <c r="C27" s="291" t="inlineStr">
        <is>
          <t xml:space="preserve"> Peso de Sales Solubles (e-d)</t>
        </is>
      </c>
      <c r="D27" s="367" t="n"/>
      <c r="E27" s="367" t="n"/>
      <c r="F27" s="305" t="inlineStr">
        <is>
          <t>(g)</t>
        </is>
      </c>
      <c r="G27" s="232" t="n"/>
      <c r="H27" s="232" t="n"/>
      <c r="I27" s="240" t="n"/>
      <c r="J27" s="207" t="n"/>
      <c r="K27" s="207" t="n"/>
    </row>
    <row r="28" ht="15.75" customHeight="1">
      <c r="A28" s="234" t="n"/>
      <c r="B28" s="235" t="inlineStr">
        <is>
          <t>g</t>
        </is>
      </c>
      <c r="C28" s="306" t="inlineStr">
        <is>
          <t xml:space="preserve"> Contenido de Sales Solubles ((f*(a/c))/c)*1000000</t>
        </is>
      </c>
      <c r="D28" s="367" t="n"/>
      <c r="E28" s="367" t="n"/>
      <c r="F28" s="241" t="inlineStr">
        <is>
          <t>(ppm)</t>
        </is>
      </c>
      <c r="G28" s="232" t="n"/>
      <c r="H28" s="232" t="n"/>
      <c r="I28" s="240" t="n"/>
      <c r="J28" s="207" t="n"/>
      <c r="K28" s="207" t="n"/>
    </row>
    <row r="29" ht="15.75" customHeight="1">
      <c r="A29" s="234" t="n"/>
      <c r="B29" s="242" t="n"/>
      <c r="C29" s="242" t="n"/>
      <c r="D29" s="242" t="n"/>
      <c r="E29" s="242" t="n"/>
      <c r="F29" s="242" t="n"/>
      <c r="G29" s="242" t="n"/>
      <c r="H29" s="242" t="n"/>
      <c r="I29" s="240" t="n"/>
      <c r="J29" s="207" t="n"/>
      <c r="K29" s="207" t="n"/>
    </row>
    <row r="30" ht="15.75" customHeight="1">
      <c r="A30" s="364" t="inlineStr">
        <is>
          <t xml:space="preserve"> DETERMINACIÓN PESO CONTANTE</t>
        </is>
      </c>
      <c r="B30" s="365" t="n"/>
      <c r="C30" s="365" t="n"/>
      <c r="D30" s="365" t="n"/>
      <c r="E30" s="365" t="n"/>
      <c r="F30" s="365" t="n"/>
      <c r="G30" s="365" t="n"/>
      <c r="H30" s="365" t="n"/>
      <c r="I30" s="366" t="n"/>
      <c r="J30" s="207" t="n"/>
      <c r="K30" s="207" t="n"/>
    </row>
    <row r="31" ht="15.75" customHeight="1">
      <c r="A31" s="243" t="n"/>
      <c r="C31" s="223" t="n"/>
      <c r="I31" s="244" t="n"/>
      <c r="J31" s="207" t="n"/>
      <c r="K31" s="207" t="n"/>
    </row>
    <row r="32" ht="15.75" customHeight="1">
      <c r="A32" s="245" t="n"/>
      <c r="B32" s="244" t="n"/>
      <c r="C32" s="246" t="inlineStr">
        <is>
          <t xml:space="preserve">Capsula </t>
        </is>
      </c>
      <c r="D32" s="305" t="inlineStr">
        <is>
          <t>N°</t>
        </is>
      </c>
      <c r="E32" s="228" t="n"/>
      <c r="F32" s="305" t="n"/>
      <c r="G32" s="230" t="n"/>
      <c r="H32" s="230" t="n"/>
      <c r="I32" s="247" t="n"/>
      <c r="J32" s="207" t="n"/>
      <c r="K32" s="207" t="n"/>
    </row>
    <row r="33" ht="15.75" customHeight="1">
      <c r="A33" s="245" t="n"/>
      <c r="B33" s="244" t="n"/>
      <c r="C33" s="248" t="inlineStr">
        <is>
          <t>N°</t>
        </is>
      </c>
      <c r="D33" s="249" t="inlineStr">
        <is>
          <t>Hora</t>
        </is>
      </c>
      <c r="E33" s="249" t="inlineStr">
        <is>
          <t>P. Cap. + Sales</t>
        </is>
      </c>
      <c r="F33" s="250" t="inlineStr">
        <is>
          <t>Variacion (%)</t>
        </is>
      </c>
      <c r="G33" s="249" t="inlineStr">
        <is>
          <t>P. Cap. + Sales</t>
        </is>
      </c>
      <c r="H33" s="251" t="inlineStr">
        <is>
          <t>Variacion (%)</t>
        </is>
      </c>
      <c r="I33" s="247" t="n"/>
      <c r="J33" s="207" t="n"/>
      <c r="K33" s="207" t="n"/>
    </row>
    <row r="34" ht="15.75" customHeight="1">
      <c r="A34" s="245" t="n"/>
      <c r="B34" s="244" t="n"/>
      <c r="C34" s="252" t="n">
        <v>1</v>
      </c>
      <c r="D34" s="369" t="n"/>
      <c r="E34" s="370" t="n"/>
      <c r="F34" s="369" t="n"/>
      <c r="G34" s="369" t="n"/>
      <c r="H34" s="369" t="n"/>
      <c r="I34" s="247" t="n"/>
      <c r="J34" s="207" t="n"/>
      <c r="K34" s="207" t="n"/>
    </row>
    <row r="35" ht="15.75" customHeight="1">
      <c r="A35" s="245" t="n"/>
      <c r="B35" s="244" t="n"/>
      <c r="C35" s="252" t="n">
        <v>2</v>
      </c>
      <c r="D35" s="369" t="n"/>
      <c r="E35" s="370" t="n"/>
      <c r="F35" s="369" t="n"/>
      <c r="G35" s="369" t="n"/>
      <c r="H35" s="369" t="n"/>
      <c r="I35" s="247" t="n"/>
      <c r="J35" s="207" t="n"/>
      <c r="K35" s="207" t="n"/>
    </row>
    <row r="36" ht="15.75" customHeight="1">
      <c r="A36" s="255" t="n"/>
      <c r="B36" s="256" t="n"/>
      <c r="C36" s="252" t="n">
        <v>3</v>
      </c>
      <c r="D36" s="369" t="n"/>
      <c r="E36" s="370" t="n"/>
      <c r="F36" s="369" t="n"/>
      <c r="G36" s="369" t="n"/>
      <c r="H36" s="369" t="n"/>
      <c r="I36" s="240" t="n"/>
      <c r="J36" s="207" t="n"/>
      <c r="K36" s="207" t="n"/>
    </row>
    <row r="37" ht="15.75" customHeight="1">
      <c r="A37" s="255" t="n"/>
      <c r="B37" s="47" t="n"/>
      <c r="C37" s="252" t="n">
        <v>4</v>
      </c>
      <c r="D37" s="369" t="n"/>
      <c r="E37" s="370" t="n"/>
      <c r="F37" s="369" t="n"/>
      <c r="G37" s="369" t="n"/>
      <c r="H37" s="369" t="n"/>
      <c r="I37" s="240" t="n"/>
      <c r="J37" s="207" t="n"/>
      <c r="K37" s="207" t="n"/>
    </row>
    <row r="38" ht="18" customHeight="1">
      <c r="A38" s="255" t="n"/>
      <c r="B38" s="47" t="n"/>
      <c r="C38" s="371" t="inlineStr">
        <is>
          <t>Repetir el ciclo de secado, enfriamiento con desecación y pesaje hasta obtener un peso constante, o hasta que la variación de peso sea menor al 4 % de la pesada anterior ó 1 mg, cualquiera que se cumpla.</t>
        </is>
      </c>
      <c r="D38" s="372" t="n"/>
      <c r="E38" s="372" t="n"/>
      <c r="F38" s="372" t="n"/>
      <c r="G38" s="372" t="n"/>
      <c r="H38" s="373" t="n"/>
      <c r="I38" s="240" t="n"/>
      <c r="J38" s="207" t="n"/>
      <c r="K38" s="207" t="n"/>
    </row>
    <row r="39" ht="18" customHeight="1">
      <c r="A39" s="255" t="n"/>
      <c r="B39" s="47" t="n"/>
      <c r="C39" s="374" t="n"/>
      <c r="D39" s="375" t="n"/>
      <c r="E39" s="375" t="n"/>
      <c r="F39" s="375" t="n"/>
      <c r="G39" s="375" t="n"/>
      <c r="H39" s="376" t="n"/>
      <c r="I39" s="240" t="n"/>
      <c r="J39" s="207" t="n"/>
      <c r="K39" s="207" t="n"/>
    </row>
    <row r="40" ht="15.75" customHeight="1">
      <c r="A40" s="257" t="n"/>
      <c r="B40" s="258" t="n"/>
      <c r="C40" s="259" t="n"/>
      <c r="D40" s="260" t="n"/>
      <c r="E40" s="260" t="n"/>
      <c r="F40" s="260" t="n"/>
      <c r="G40" s="260" t="n"/>
      <c r="H40" s="260" t="n"/>
      <c r="I40" s="261" t="n"/>
      <c r="J40" s="207" t="n"/>
      <c r="K40" s="207" t="n"/>
    </row>
    <row r="41" ht="15.75" customHeight="1">
      <c r="A41" s="262" t="n"/>
      <c r="B41" s="47" t="n"/>
      <c r="C41" s="263" t="n"/>
      <c r="D41" s="264" t="n"/>
      <c r="E41" s="264" t="n"/>
      <c r="F41" s="264" t="n"/>
      <c r="G41" s="264" t="n"/>
      <c r="H41" s="264" t="n"/>
      <c r="I41" s="46" t="n"/>
      <c r="J41" s="207" t="n"/>
      <c r="K41" s="207" t="n"/>
    </row>
    <row r="42" ht="15.75" customHeight="1">
      <c r="A42" s="262" t="n"/>
      <c r="B42" s="262" t="n"/>
      <c r="C42" s="377" t="inlineStr">
        <is>
          <t>Equipo utilizado</t>
        </is>
      </c>
      <c r="D42" s="366" t="n"/>
      <c r="E42" s="377" t="inlineStr">
        <is>
          <t>Código</t>
        </is>
      </c>
      <c r="F42" s="366" t="n"/>
      <c r="G42" s="378" t="n"/>
      <c r="H42" s="378" t="n"/>
      <c r="I42" s="262" t="n"/>
      <c r="J42" s="262" t="n"/>
      <c r="K42" s="262" t="n"/>
    </row>
    <row r="43" ht="15.75" customHeight="1">
      <c r="A43" s="262" t="n"/>
      <c r="B43" s="262" t="n"/>
      <c r="C43" s="379" t="inlineStr">
        <is>
          <t xml:space="preserve">Horno </t>
        </is>
      </c>
      <c r="D43" s="366" t="n"/>
      <c r="E43" s="320" t="n"/>
      <c r="F43" s="380" t="n"/>
      <c r="G43" s="378" t="n"/>
      <c r="H43" s="378" t="n"/>
      <c r="I43" s="262" t="n"/>
      <c r="J43" s="262" t="n"/>
      <c r="K43" s="262" t="n"/>
    </row>
    <row r="44" ht="15.75" customHeight="1">
      <c r="A44" s="262" t="n"/>
      <c r="B44" s="262" t="n"/>
      <c r="C44" s="379" t="inlineStr">
        <is>
          <t>Balanza 0.0001</t>
        </is>
      </c>
      <c r="D44" s="366" t="n"/>
      <c r="E44" s="320" t="n"/>
      <c r="F44" s="380" t="n"/>
      <c r="G44" s="378" t="n"/>
      <c r="H44" s="378" t="n"/>
      <c r="I44" s="262" t="n"/>
      <c r="J44" s="262" t="n"/>
      <c r="K44" s="262" t="n"/>
    </row>
    <row r="45" ht="15.75" customHeight="1">
      <c r="A45" s="262" t="n"/>
      <c r="B45" s="262" t="n"/>
      <c r="C45" s="379" t="inlineStr">
        <is>
          <t>Balanza 0.01</t>
        </is>
      </c>
      <c r="D45" s="366" t="n"/>
      <c r="E45" s="320" t="n"/>
      <c r="F45" s="380" t="n"/>
      <c r="G45" s="378" t="n"/>
      <c r="H45" s="378" t="n"/>
      <c r="I45" s="262" t="n"/>
      <c r="J45" s="262" t="n"/>
      <c r="K45" s="262" t="n"/>
    </row>
    <row r="46" ht="15.75" customHeight="1">
      <c r="A46" s="262" t="n"/>
      <c r="B46" s="47" t="n"/>
      <c r="C46" s="263" t="n"/>
      <c r="D46" s="264" t="n"/>
      <c r="E46" s="264" t="n"/>
      <c r="F46" s="264" t="n"/>
      <c r="G46" s="264" t="n"/>
      <c r="H46" s="264" t="n"/>
      <c r="I46" s="46" t="n"/>
      <c r="J46" s="207" t="n"/>
      <c r="K46" s="207" t="n"/>
    </row>
    <row r="47" ht="15.9" customHeight="1">
      <c r="A47" s="262" t="n"/>
      <c r="B47" s="47" t="n"/>
      <c r="C47" s="47" t="n"/>
      <c r="D47" s="47" t="n"/>
      <c r="E47" s="47" t="n"/>
      <c r="F47" s="47" t="n"/>
      <c r="G47" s="47" t="n"/>
      <c r="H47" s="46" t="n"/>
      <c r="I47" s="46" t="n"/>
      <c r="J47" s="207" t="n"/>
      <c r="K47" s="207" t="n"/>
    </row>
    <row r="48" ht="15.9" customHeight="1">
      <c r="A48" s="262" t="n"/>
      <c r="B48" s="47" t="n"/>
      <c r="C48" s="47" t="n"/>
      <c r="D48" s="47" t="n"/>
      <c r="E48" s="47" t="n"/>
      <c r="F48" s="47" t="n"/>
      <c r="G48" s="47" t="n"/>
      <c r="H48" s="46" t="n"/>
      <c r="I48" s="46" t="n"/>
      <c r="J48" s="207" t="n"/>
      <c r="K48" s="207" t="n"/>
    </row>
    <row r="49" ht="15.9" customHeight="1">
      <c r="A49" s="262" t="n"/>
      <c r="B49" s="47" t="n"/>
      <c r="C49" s="47" t="n"/>
      <c r="D49" s="47" t="n"/>
      <c r="E49" s="47" t="n"/>
      <c r="F49" s="47" t="n"/>
      <c r="G49" s="47" t="n"/>
      <c r="H49" s="46" t="n"/>
      <c r="I49" s="46" t="n"/>
      <c r="J49" s="207" t="n"/>
      <c r="K49" s="207" t="n"/>
    </row>
    <row r="50" ht="15.9" customHeight="1">
      <c r="A50" s="266" t="n"/>
      <c r="B50" s="47" t="n"/>
      <c r="I50" s="46" t="n"/>
      <c r="J50" s="207" t="n"/>
      <c r="K50" s="207" t="n"/>
    </row>
    <row r="51" ht="15.9" customHeight="1">
      <c r="A51" s="267" t="n"/>
      <c r="B51" s="47" t="n"/>
      <c r="C51" s="47" t="n"/>
      <c r="D51" s="47" t="n"/>
      <c r="E51" s="47" t="n"/>
      <c r="F51" s="47" t="n"/>
      <c r="G51" s="47" t="n"/>
      <c r="H51" s="46" t="n"/>
      <c r="I51" s="46" t="n"/>
      <c r="J51" s="207" t="n"/>
      <c r="K51" s="207" t="n"/>
    </row>
    <row r="52" ht="15.9" customHeight="1">
      <c r="B52" s="316" t="n"/>
      <c r="E52" s="316" t="n"/>
      <c r="H52" s="316" t="n"/>
      <c r="I52" s="46" t="n"/>
      <c r="J52" s="207" t="n"/>
      <c r="K52" s="207" t="n"/>
    </row>
    <row r="53" ht="15.9" customHeight="1">
      <c r="A53" s="268" t="inlineStr">
        <is>
          <t>Página 1 de 1</t>
        </is>
      </c>
      <c r="B53" s="47" t="n"/>
      <c r="C53" s="47" t="n"/>
      <c r="D53" s="47" t="n"/>
      <c r="E53" s="47" t="n"/>
      <c r="F53" s="47" t="n"/>
      <c r="G53" s="47" t="n"/>
      <c r="H53" s="46" t="n"/>
      <c r="I53" s="46" t="n"/>
      <c r="J53" s="207" t="n"/>
      <c r="K53" s="207" t="n"/>
    </row>
    <row r="54" ht="15.9" customHeight="1">
      <c r="A54" s="268" t="inlineStr">
        <is>
          <t>Versión : 04 (30-03-2023)</t>
        </is>
      </c>
      <c r="B54" s="46" t="n"/>
      <c r="C54" s="46" t="n"/>
      <c r="E54" s="269" t="inlineStr">
        <is>
          <t>Prohibido reproducir sin  autorización</t>
        </is>
      </c>
      <c r="F54" s="46" t="n"/>
      <c r="G54" s="46" t="n"/>
      <c r="H54" s="46" t="n"/>
      <c r="I54" s="46" t="n"/>
      <c r="J54" s="207" t="n"/>
      <c r="K54" s="207" t="n"/>
    </row>
    <row r="55" ht="15.9" customHeight="1"/>
    <row r="56" ht="30.75" customHeight="1">
      <c r="A56" s="317" t="inlineStr">
        <is>
          <t>WEB: www.geofal.com.pe   E-MAIL: laboratorio@geofal.com.pe / geofal.sac@gmail.com                                                                                                                         Av. Marañon 763, Los Olivos-Lima / Teléfono 01 685-2191 / 01 522-1851</t>
        </is>
      </c>
    </row>
    <row r="57" ht="15.9" customHeight="1"/>
    <row r="58" ht="15.9" customHeight="1"/>
  </sheetData>
  <mergeCells count="36">
    <mergeCell ref="E43:F43"/>
    <mergeCell ref="A7:I7"/>
    <mergeCell ref="C22:E22"/>
    <mergeCell ref="C42:D42"/>
    <mergeCell ref="E42:F42"/>
    <mergeCell ref="A56:I56"/>
    <mergeCell ref="C45:D45"/>
    <mergeCell ref="G23:H23"/>
    <mergeCell ref="C38:H39"/>
    <mergeCell ref="A12:I12"/>
    <mergeCell ref="E44:F44"/>
    <mergeCell ref="C27:E27"/>
    <mergeCell ref="E10:F10"/>
    <mergeCell ref="C23:E23"/>
    <mergeCell ref="G10:H10"/>
    <mergeCell ref="C44:D44"/>
    <mergeCell ref="E9:F9"/>
    <mergeCell ref="C43:D43"/>
    <mergeCell ref="C28:E28"/>
    <mergeCell ref="A19:I19"/>
    <mergeCell ref="G24:H24"/>
    <mergeCell ref="G15:H15"/>
    <mergeCell ref="A13:I13"/>
    <mergeCell ref="B10:C10"/>
    <mergeCell ref="E45:F45"/>
    <mergeCell ref="B9:C9"/>
    <mergeCell ref="C15:E15"/>
    <mergeCell ref="A30:I30"/>
    <mergeCell ref="C24:E24"/>
    <mergeCell ref="E52:G52"/>
    <mergeCell ref="C26:E26"/>
    <mergeCell ref="B52:D52"/>
    <mergeCell ref="A6:I6"/>
    <mergeCell ref="G22:H22"/>
    <mergeCell ref="G9:H9"/>
    <mergeCell ref="C25:E25"/>
  </mergeCells>
  <printOptions horizontalCentered="1" verticalCentered="1"/>
  <pageMargins left="0.7874015748031497" right="0.7874015748031497" top="0.7874015748031497" bottom="0.3937007874015748" header="0" footer="0"/>
  <pageSetup orientation="portrait" paperSize="274" scale="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T51"/>
  <sheetViews>
    <sheetView showGridLines="0" tabSelected="1" view="pageBreakPreview" zoomScaleNormal="85" zoomScaleSheetLayoutView="100" workbookViewId="0">
      <selection activeCell="P20" sqref="P20"/>
    </sheetView>
  </sheetViews>
  <sheetFormatPr baseColWidth="10" defaultColWidth="10.33203125" defaultRowHeight="13.8"/>
  <cols>
    <col width="13.5546875" customWidth="1" style="112" min="1" max="1"/>
    <col width="2" customWidth="1" style="112" min="2" max="3"/>
    <col width="0.44140625" customWidth="1" style="112" min="4" max="4"/>
    <col width="1.109375" customWidth="1" style="112" min="5" max="5"/>
    <col width="10.6640625" customWidth="1" style="112" min="6" max="6"/>
    <col width="10.33203125" customWidth="1" style="112" min="7" max="7"/>
    <col width="8.5546875" customWidth="1" style="112" min="8" max="8"/>
    <col width="11.5546875" customWidth="1" style="112" min="9" max="10"/>
    <col width="9.88671875" customWidth="1" style="112" min="11" max="11"/>
    <col width="2" customWidth="1" style="112" min="12" max="12"/>
    <col width="13.5546875" customWidth="1" style="112" min="13" max="13"/>
    <col width="6.44140625" customWidth="1" style="112" min="14" max="15"/>
    <col width="8" customWidth="1" style="112" min="16" max="16"/>
    <col width="20.44140625" customWidth="1" style="112" min="17" max="17"/>
    <col width="18.33203125" customWidth="1" style="112" min="18" max="18"/>
    <col width="15.109375" customWidth="1" style="112" min="19" max="19"/>
    <col width="28.6640625" customWidth="1" style="112" min="20" max="20"/>
    <col width="10.33203125" customWidth="1" style="112" min="21" max="16384"/>
  </cols>
  <sheetData>
    <row r="1" ht="15.75" customHeight="1">
      <c r="A1" s="13" t="n"/>
      <c r="B1" s="13" t="n"/>
      <c r="C1" s="13" t="n"/>
      <c r="D1" s="13" t="n"/>
      <c r="E1" s="13" t="n"/>
      <c r="F1" s="13" t="n"/>
      <c r="G1" s="14" t="n"/>
      <c r="H1" s="14" t="n"/>
      <c r="I1" s="14" t="n"/>
      <c r="J1" s="14" t="n"/>
      <c r="K1" s="139" t="n"/>
      <c r="L1" s="139" t="n"/>
      <c r="M1" s="139" t="n"/>
    </row>
    <row r="2" ht="15.75" customHeight="1">
      <c r="A2" s="13" t="n"/>
      <c r="B2" s="13" t="n"/>
      <c r="C2" s="13" t="n"/>
      <c r="D2" s="13" t="n"/>
      <c r="E2" s="13" t="n"/>
      <c r="F2" s="13" t="n"/>
      <c r="G2" s="14" t="n"/>
      <c r="H2" s="14" t="n"/>
      <c r="I2" s="14" t="n"/>
      <c r="J2" s="14" t="n"/>
      <c r="K2" s="139" t="n"/>
      <c r="L2" s="139" t="n"/>
      <c r="M2" s="139" t="n"/>
    </row>
    <row r="3" ht="15.75" customHeight="1">
      <c r="A3" s="13" t="n"/>
      <c r="B3" s="13" t="n"/>
      <c r="C3" s="13" t="n"/>
      <c r="D3" s="13" t="n"/>
      <c r="E3" s="13" t="n"/>
      <c r="F3" s="13" t="n"/>
      <c r="G3" s="14" t="n"/>
      <c r="H3" s="14" t="n"/>
      <c r="I3" s="14" t="n"/>
      <c r="J3" s="14" t="n"/>
      <c r="K3" s="139" t="n"/>
      <c r="L3" s="139" t="n"/>
      <c r="M3" s="139" t="n"/>
    </row>
    <row r="4" ht="15.75" customHeight="1">
      <c r="A4" s="13" t="n"/>
      <c r="B4" s="13" t="n"/>
      <c r="C4" s="13" t="n"/>
      <c r="D4" s="13" t="n"/>
      <c r="E4" s="13" t="n"/>
      <c r="F4" s="13" t="n"/>
      <c r="G4" s="14" t="n"/>
      <c r="H4" s="14" t="n"/>
      <c r="I4" s="14" t="n"/>
      <c r="J4" s="14" t="n"/>
      <c r="K4" s="139" t="n"/>
      <c r="L4" s="139" t="n"/>
      <c r="M4" s="139" t="n"/>
    </row>
    <row r="5" ht="15.75" customHeight="1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 ht="15.9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 ht="15.9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 ht="15.9" customHeight="1">
      <c r="A8" s="342" t="inlineStr">
        <is>
          <t>LABORATORIO DE ENSAYO DE MATERIALES</t>
        </is>
      </c>
    </row>
    <row r="9" ht="15.9" customHeight="1">
      <c r="A9" s="381" t="n">
        <v>1</v>
      </c>
      <c r="B9" s="382" t="n"/>
      <c r="C9" s="382" t="n"/>
      <c r="D9" s="382" t="n"/>
      <c r="E9" s="382" t="n"/>
      <c r="F9" s="382" t="n"/>
      <c r="G9" s="382" t="n"/>
      <c r="H9" s="382" t="n"/>
      <c r="I9" s="382" t="n"/>
      <c r="J9" s="382" t="n"/>
      <c r="K9" s="382" t="n"/>
      <c r="L9" s="382" t="n"/>
      <c r="M9" s="382" t="n"/>
      <c r="R9" s="383" t="n"/>
    </row>
    <row r="10" ht="15.9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 ht="17.4" customHeight="1">
      <c r="A11" s="68" t="inlineStr">
        <is>
          <t>CLIENTE</t>
        </is>
      </c>
      <c r="B11" s="17" t="inlineStr">
        <is>
          <t>:</t>
        </is>
      </c>
      <c r="C11" s="340">
        <f>+FORMATO!M2</f>
        <v/>
      </c>
      <c r="D11" s="382" t="n"/>
      <c r="E11" s="382" t="n"/>
      <c r="F11" s="382" t="n"/>
      <c r="G11" s="382" t="n"/>
      <c r="H11" s="382" t="n"/>
      <c r="I11" s="382" t="n"/>
      <c r="J11" s="382" t="n"/>
      <c r="K11" s="19" t="inlineStr">
        <is>
          <t xml:space="preserve">                 CÓDIGO</t>
        </is>
      </c>
      <c r="L11" s="20" t="inlineStr">
        <is>
          <t>:</t>
        </is>
      </c>
      <c r="M11" s="18" t="inlineStr">
        <is>
          <t>F-LEM-P-SU.13.02</t>
        </is>
      </c>
      <c r="N11" s="111" t="n"/>
      <c r="O11" s="111" t="n"/>
      <c r="P11" s="111" t="n"/>
      <c r="R11" s="59" t="n"/>
    </row>
    <row r="12" ht="17.4" customHeight="1">
      <c r="A12" s="68" t="inlineStr">
        <is>
          <t>DIRECCIÓN **</t>
        </is>
      </c>
      <c r="B12" s="17" t="inlineStr">
        <is>
          <t>:</t>
        </is>
      </c>
      <c r="C12" s="350">
        <f>+FORMATO!M3</f>
        <v/>
      </c>
      <c r="D12" s="382" t="n"/>
      <c r="E12" s="382" t="n"/>
      <c r="F12" s="382" t="n"/>
      <c r="G12" s="382" t="n"/>
      <c r="H12" s="382" t="n"/>
      <c r="I12" s="382" t="n"/>
      <c r="J12" s="382" t="n"/>
      <c r="K12" s="278" t="inlineStr">
        <is>
          <t>RECEPCIÓN N°</t>
        </is>
      </c>
      <c r="L12" s="17" t="inlineStr">
        <is>
          <t>:</t>
        </is>
      </c>
      <c r="M12" s="384">
        <f>+FORMATO!M7</f>
        <v/>
      </c>
      <c r="N12" s="111" t="n"/>
      <c r="O12" s="111" t="n"/>
      <c r="P12" s="111" t="n"/>
      <c r="R12" s="385" t="n"/>
      <c r="S12" s="159" t="n"/>
      <c r="T12" s="386" t="n"/>
    </row>
    <row r="13" ht="17.4" customHeight="1">
      <c r="A13" s="68" t="inlineStr">
        <is>
          <t>PROYECTO **</t>
        </is>
      </c>
      <c r="B13" s="17" t="inlineStr">
        <is>
          <t>:</t>
        </is>
      </c>
      <c r="C13" s="340">
        <f>+FORMATO!M4</f>
        <v/>
      </c>
      <c r="D13" s="382" t="n"/>
      <c r="E13" s="382" t="n"/>
      <c r="F13" s="382" t="n"/>
      <c r="G13" s="382" t="n"/>
      <c r="H13" s="382" t="n"/>
      <c r="I13" s="382" t="n"/>
      <c r="J13" s="382" t="n"/>
      <c r="K13" s="21" t="inlineStr">
        <is>
          <t>F. EMISIÓN</t>
        </is>
      </c>
      <c r="L13" s="17" t="inlineStr">
        <is>
          <t>:</t>
        </is>
      </c>
      <c r="M13" s="387">
        <f>+FORMATO!M8</f>
        <v/>
      </c>
      <c r="N13" s="111" t="n"/>
      <c r="O13" s="111" t="n"/>
      <c r="P13" s="111" t="n"/>
      <c r="S13" s="388" t="n"/>
      <c r="T13" s="382" t="n"/>
    </row>
    <row r="14" ht="17.4" customHeight="1">
      <c r="A14" s="68" t="inlineStr">
        <is>
          <t>UBICACIÓN **</t>
        </is>
      </c>
      <c r="B14" s="17" t="inlineStr">
        <is>
          <t>:</t>
        </is>
      </c>
      <c r="C14" s="340">
        <f>+FORMATO!M5</f>
        <v/>
      </c>
      <c r="D14" s="382" t="n"/>
      <c r="E14" s="382" t="n"/>
      <c r="F14" s="382" t="n"/>
      <c r="G14" s="382" t="n"/>
      <c r="H14" s="382" t="n"/>
      <c r="I14" s="382" t="n"/>
      <c r="J14" s="382" t="n"/>
      <c r="K14" s="382" t="n"/>
      <c r="L14" s="17" t="n"/>
      <c r="M14" s="389" t="n"/>
      <c r="N14" s="111" t="n"/>
      <c r="O14" s="111" t="n"/>
      <c r="P14" s="111" t="n"/>
      <c r="S14" s="388" t="n"/>
      <c r="T14" s="388" t="n"/>
    </row>
    <row r="15" ht="15.9" customHeight="1">
      <c r="A15" s="104" t="inlineStr">
        <is>
          <t>** Datos proporcionados por el cliente</t>
        </is>
      </c>
      <c r="B15" s="104" t="n"/>
      <c r="C15" s="104" t="n"/>
      <c r="D15" s="104" t="n"/>
      <c r="E15" s="104" t="n"/>
      <c r="F15" s="104" t="n"/>
      <c r="G15" s="104" t="n"/>
      <c r="H15" s="353" t="n"/>
      <c r="I15" s="353" t="n"/>
      <c r="J15" s="353" t="n"/>
      <c r="K15" s="21" t="n"/>
      <c r="L15" s="17" t="n"/>
      <c r="M15" s="24" t="n"/>
      <c r="N15" s="111" t="n"/>
      <c r="O15" s="111" t="n"/>
      <c r="P15" s="111" t="n"/>
      <c r="S15" s="388" t="n"/>
      <c r="T15" s="388" t="n"/>
    </row>
    <row r="16" ht="30" customHeight="1">
      <c r="A16" s="390" t="inlineStr">
        <is>
          <t>MÉTODO DE ENSAYO PARA DETERMINAR EL CONTENIDO DE SALES SOLUBLES EN SUELOS Y AGUA SUBTERRÁNEA</t>
        </is>
      </c>
      <c r="B16" s="372" t="n"/>
      <c r="C16" s="372" t="n"/>
      <c r="D16" s="372" t="n"/>
      <c r="E16" s="372" t="n"/>
      <c r="F16" s="372" t="n"/>
      <c r="G16" s="372" t="n"/>
      <c r="H16" s="372" t="n"/>
      <c r="I16" s="372" t="n"/>
      <c r="J16" s="372" t="n"/>
      <c r="K16" s="372" t="n"/>
      <c r="L16" s="372" t="n"/>
      <c r="M16" s="373" t="n"/>
      <c r="N16" s="111" t="n"/>
      <c r="O16" s="111" t="n"/>
      <c r="P16" s="111" t="n"/>
      <c r="S16" s="388" t="n"/>
      <c r="T16" s="388" t="n"/>
    </row>
    <row r="17" ht="18" customHeight="1">
      <c r="A17" s="391" t="inlineStr">
        <is>
          <t>NORMA  NTP 339.152</t>
        </is>
      </c>
      <c r="B17" s="375" t="n"/>
      <c r="C17" s="375" t="n"/>
      <c r="D17" s="375" t="n"/>
      <c r="E17" s="375" t="n"/>
      <c r="F17" s="375" t="n"/>
      <c r="G17" s="375" t="n"/>
      <c r="H17" s="375" t="n"/>
      <c r="I17" s="375" t="n"/>
      <c r="J17" s="375" t="n"/>
      <c r="K17" s="375" t="n"/>
      <c r="L17" s="375" t="n"/>
      <c r="M17" s="376" t="n"/>
      <c r="N17" s="111" t="n"/>
      <c r="O17" s="111" t="n"/>
      <c r="P17" s="111" t="n"/>
      <c r="S17" s="388" t="n"/>
      <c r="T17" s="388" t="n"/>
    </row>
    <row r="18" ht="11.25" customHeight="1">
      <c r="A18" s="25" t="n"/>
      <c r="B18" s="26" t="n"/>
      <c r="C18" s="26" t="n"/>
      <c r="D18" s="26" t="n"/>
      <c r="E18" s="26" t="n"/>
      <c r="F18" s="27" t="n"/>
      <c r="G18" s="27" t="n"/>
      <c r="H18" s="27" t="n"/>
      <c r="I18" s="27" t="n"/>
      <c r="J18" s="27" t="n"/>
      <c r="K18" s="28" t="n"/>
      <c r="L18" s="26" t="n"/>
      <c r="M18" s="29" t="n"/>
      <c r="N18" s="111" t="n"/>
      <c r="O18" s="111" t="n"/>
      <c r="P18" s="111" t="n"/>
      <c r="S18" s="388" t="n"/>
      <c r="T18" s="388" t="n"/>
    </row>
    <row r="19" ht="15.9" customHeight="1">
      <c r="A19" s="392" t="inlineStr">
        <is>
          <t>DATOS DE LA MUESTRA</t>
        </is>
      </c>
      <c r="M19" s="393" t="n"/>
      <c r="O19" s="111" t="n"/>
      <c r="P19" s="111" t="n"/>
      <c r="S19" s="394" t="n"/>
      <c r="T19" s="394" t="n"/>
    </row>
    <row r="20" ht="15.9" customHeight="1">
      <c r="A20" s="338" t="inlineStr">
        <is>
          <t>CANTERA/SONDAJE **</t>
        </is>
      </c>
      <c r="E20" s="70" t="inlineStr">
        <is>
          <t>:</t>
        </is>
      </c>
      <c r="F20" s="58">
        <f>+FORMATO!M15</f>
        <v/>
      </c>
      <c r="G20" s="63" t="n"/>
      <c r="H20" s="162" t="n"/>
      <c r="I20" s="58" t="n"/>
      <c r="J20" s="18" t="n"/>
      <c r="K20" s="72" t="inlineStr">
        <is>
          <t>CÓDIGO DE LA MUESTRA</t>
        </is>
      </c>
      <c r="L20" s="73" t="inlineStr">
        <is>
          <t>:</t>
        </is>
      </c>
      <c r="M20" s="395">
        <f>+FORMATO!M11</f>
        <v/>
      </c>
      <c r="O20" s="111" t="n"/>
      <c r="P20" s="111" t="n"/>
      <c r="S20" s="394" t="n"/>
      <c r="T20" s="394" t="n"/>
    </row>
    <row r="21" ht="15.9" customHeight="1">
      <c r="A21" s="69" t="inlineStr">
        <is>
          <t>N° MUESTRA **</t>
        </is>
      </c>
      <c r="C21" s="70" t="n"/>
      <c r="D21" s="70" t="n"/>
      <c r="E21" s="70" t="inlineStr">
        <is>
          <t>:</t>
        </is>
      </c>
      <c r="F21" s="58">
        <f>+FORMATO!M16</f>
        <v/>
      </c>
      <c r="G21" s="63" t="n"/>
      <c r="H21" s="162" t="n"/>
      <c r="I21" s="58" t="n"/>
      <c r="J21" s="18" t="n"/>
      <c r="K21" s="72" t="inlineStr">
        <is>
          <t>FECHA DE RECEPCIÓN</t>
        </is>
      </c>
      <c r="L21" s="73" t="inlineStr">
        <is>
          <t>:</t>
        </is>
      </c>
      <c r="M21" s="396">
        <f>+FORMATO!M12</f>
        <v/>
      </c>
      <c r="O21" s="111" t="n"/>
      <c r="P21" s="111" t="n"/>
      <c r="S21" s="394" t="n"/>
      <c r="T21" s="394" t="n"/>
    </row>
    <row r="22" ht="15.9" customHeight="1">
      <c r="A22" s="69" t="inlineStr">
        <is>
          <t>TIPO DE MUESTRA**</t>
        </is>
      </c>
      <c r="C22" s="70" t="n"/>
      <c r="D22" s="70" t="n"/>
      <c r="E22" s="70" t="inlineStr">
        <is>
          <t>:</t>
        </is>
      </c>
      <c r="F22" s="58">
        <f>+FORMATO!M17</f>
        <v/>
      </c>
      <c r="G22" s="63" t="n"/>
      <c r="H22" s="162" t="n"/>
      <c r="I22" s="58" t="n"/>
      <c r="J22" s="18" t="n"/>
      <c r="K22" s="72" t="inlineStr">
        <is>
          <t>FECHA DE EJECUCIÓN</t>
        </is>
      </c>
      <c r="L22" s="73" t="inlineStr">
        <is>
          <t>:</t>
        </is>
      </c>
      <c r="M22" s="396">
        <f>+FORMATO!M13</f>
        <v/>
      </c>
      <c r="O22" s="111" t="n"/>
      <c r="P22" s="111" t="n"/>
      <c r="S22" s="394" t="n"/>
      <c r="T22" s="394" t="n"/>
    </row>
    <row r="23" ht="16.5" customHeight="1">
      <c r="A23" s="71" t="inlineStr">
        <is>
          <t>LUGAR DE ENSAYO</t>
        </is>
      </c>
      <c r="C23" s="70" t="n"/>
      <c r="D23" s="70" t="n"/>
      <c r="E23" s="70" t="inlineStr">
        <is>
          <t>:</t>
        </is>
      </c>
      <c r="F23" s="103" t="inlineStr">
        <is>
          <t>Laboratorio de ensayo de materiales</t>
        </is>
      </c>
      <c r="G23" s="163" t="n"/>
      <c r="H23" s="163" t="n"/>
      <c r="I23" s="163" t="n"/>
      <c r="J23" s="163" t="n"/>
      <c r="K23" s="163" t="n"/>
      <c r="L23" s="163" t="n"/>
      <c r="M23" s="164" t="n"/>
      <c r="O23" s="111" t="n"/>
      <c r="P23" s="111" t="n"/>
      <c r="S23" s="394" t="n"/>
      <c r="T23" s="394" t="n"/>
    </row>
    <row r="24" ht="16.5" customHeight="1" thickBot="1">
      <c r="A24" s="113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5" t="n"/>
      <c r="O24" s="111" t="n"/>
      <c r="P24" s="111" t="n"/>
      <c r="S24" s="394" t="n"/>
      <c r="T24" s="394" t="n"/>
    </row>
    <row r="25" ht="16.5" customHeight="1" thickBot="1">
      <c r="A25" s="74" t="n"/>
      <c r="B25" s="397" t="inlineStr">
        <is>
          <t>ANÁLISIS DE SUELO</t>
        </is>
      </c>
      <c r="C25" s="367" t="n"/>
      <c r="D25" s="367" t="n"/>
      <c r="E25" s="367" t="n"/>
      <c r="F25" s="367" t="n"/>
      <c r="G25" s="367" t="n"/>
      <c r="H25" s="367" t="n"/>
      <c r="I25" s="367" t="n"/>
      <c r="J25" s="356" t="n"/>
      <c r="K25" s="344" t="n"/>
      <c r="M25" s="75" t="n"/>
      <c r="N25" s="111" t="n"/>
      <c r="O25" s="64" t="n"/>
      <c r="P25" s="64" t="n"/>
      <c r="Q25" s="94" t="inlineStr">
        <is>
          <t>Contenido de:</t>
        </is>
      </c>
      <c r="R25" s="95" t="inlineStr">
        <is>
          <t>p.p.m.</t>
        </is>
      </c>
      <c r="S25" s="95" t="inlineStr">
        <is>
          <t>Grado de Ataque</t>
        </is>
      </c>
      <c r="T25" s="95" t="inlineStr">
        <is>
          <t>Consecuencia</t>
        </is>
      </c>
    </row>
    <row r="26" ht="18.75" customHeight="1">
      <c r="A26" s="116" t="n"/>
      <c r="B26" s="32" t="inlineStr">
        <is>
          <t>Volumen de Agua Destilada</t>
        </is>
      </c>
      <c r="C26" s="91" t="n"/>
      <c r="D26" s="91" t="n"/>
      <c r="E26" s="91" t="n"/>
      <c r="F26" s="117" t="n"/>
      <c r="G26" s="33" t="n"/>
      <c r="H26" s="34" t="inlineStr">
        <is>
          <t>(ml)</t>
        </is>
      </c>
      <c r="I26" s="398">
        <f>+'DATOS SUELO'!I6</f>
        <v/>
      </c>
      <c r="J26" s="399" t="n"/>
      <c r="K26" s="79" t="n"/>
      <c r="L26" s="35" t="n"/>
      <c r="M26" s="80" t="n"/>
      <c r="N26" s="111" t="n"/>
      <c r="O26" s="65" t="n"/>
      <c r="P26" s="66" t="n"/>
      <c r="Q26" s="400" t="inlineStr">
        <is>
          <t>*Sulfatos</t>
        </is>
      </c>
      <c r="R26" s="96" t="inlineStr">
        <is>
          <t>0 – 1 000</t>
        </is>
      </c>
      <c r="S26" s="96" t="inlineStr">
        <is>
          <t>Leve</t>
        </is>
      </c>
      <c r="T26" s="400" t="inlineStr">
        <is>
          <t>Ataque químico al concreto de la cimentación</t>
        </is>
      </c>
    </row>
    <row r="27" ht="18.75" customHeight="1">
      <c r="A27" s="116" t="n"/>
      <c r="B27" s="38" t="inlineStr">
        <is>
          <t>Peso del Suelo</t>
        </is>
      </c>
      <c r="C27" s="42" t="n"/>
      <c r="D27" s="42" t="n"/>
      <c r="E27" s="42" t="n"/>
      <c r="F27" s="118" t="n"/>
      <c r="G27" s="76" t="n"/>
      <c r="H27" s="39" t="inlineStr">
        <is>
          <t>(g)</t>
        </is>
      </c>
      <c r="I27" s="401">
        <f>+'DATOS SUELO'!I7</f>
        <v/>
      </c>
      <c r="J27" s="402" t="n"/>
      <c r="K27" s="79" t="n"/>
      <c r="L27" s="35" t="n"/>
      <c r="M27" s="80" t="n"/>
      <c r="N27" s="111" t="n"/>
      <c r="O27" s="65" t="n"/>
      <c r="P27" s="66" t="n"/>
      <c r="Q27" s="403" t="n"/>
      <c r="R27" s="96" t="inlineStr">
        <is>
          <t>1 000 – 2 000</t>
        </is>
      </c>
      <c r="S27" s="96" t="inlineStr">
        <is>
          <t>Moderado</t>
        </is>
      </c>
      <c r="T27" s="403" t="n"/>
    </row>
    <row r="28" ht="18.75" customHeight="1">
      <c r="A28" s="116" t="n"/>
      <c r="B28" s="38" t="inlineStr">
        <is>
          <t>Volumen de la Solucion Tomada</t>
        </is>
      </c>
      <c r="C28" s="42" t="n"/>
      <c r="D28" s="42" t="n"/>
      <c r="E28" s="42" t="n"/>
      <c r="F28" s="118" t="n"/>
      <c r="G28" s="76" t="n"/>
      <c r="H28" s="39" t="inlineStr">
        <is>
          <t>(ml)</t>
        </is>
      </c>
      <c r="I28" s="404">
        <f>+'DATOS SUELO'!I8</f>
        <v/>
      </c>
      <c r="J28" s="402" t="n"/>
      <c r="K28" s="40" t="n"/>
      <c r="L28" s="405" t="n"/>
      <c r="M28" s="81" t="n"/>
      <c r="N28" s="119" t="n"/>
      <c r="O28" s="65" t="n"/>
      <c r="P28" s="66" t="n"/>
      <c r="Q28" s="403" t="n"/>
      <c r="R28" s="96" t="inlineStr">
        <is>
          <t>2 000 - 20 000</t>
        </is>
      </c>
      <c r="S28" s="96" t="inlineStr">
        <is>
          <t>Severo</t>
        </is>
      </c>
      <c r="T28" s="403" t="n"/>
    </row>
    <row r="29" ht="18.75" customHeight="1" thickBot="1">
      <c r="A29" s="116" t="n"/>
      <c r="B29" s="38" t="inlineStr">
        <is>
          <t xml:space="preserve"> Peso de Cápsula</t>
        </is>
      </c>
      <c r="C29" s="42" t="n"/>
      <c r="D29" s="42" t="n"/>
      <c r="E29" s="42" t="n"/>
      <c r="F29" s="118" t="n"/>
      <c r="G29" s="42" t="n"/>
      <c r="H29" s="39" t="inlineStr">
        <is>
          <t>(g)</t>
        </is>
      </c>
      <c r="I29" s="406">
        <f>+'DATOS SUELO'!I9</f>
        <v/>
      </c>
      <c r="J29" s="406">
        <f>+'DATOS SUELO'!J9</f>
        <v/>
      </c>
      <c r="K29" s="43" t="n"/>
      <c r="L29" s="82" t="n"/>
      <c r="M29" s="83" t="n"/>
      <c r="N29" s="111" t="n"/>
      <c r="O29" s="111" t="n"/>
      <c r="P29" s="111" t="n"/>
      <c r="Q29" s="407" t="n"/>
      <c r="R29" s="97" t="inlineStr">
        <is>
          <t>&gt; 20 000</t>
        </is>
      </c>
      <c r="S29" s="97" t="inlineStr">
        <is>
          <t>Muy Severo</t>
        </is>
      </c>
      <c r="T29" s="407" t="n"/>
    </row>
    <row r="30" ht="18.75" customHeight="1" thickBot="1">
      <c r="A30" s="116" t="n"/>
      <c r="B30" s="38" t="inlineStr">
        <is>
          <t xml:space="preserve"> Peso de Cápsula + Sales Solubles</t>
        </is>
      </c>
      <c r="C30" s="42" t="n"/>
      <c r="D30" s="42" t="n"/>
      <c r="E30" s="42" t="n"/>
      <c r="F30" s="118" t="n"/>
      <c r="G30" s="42" t="n"/>
      <c r="H30" s="39" t="inlineStr">
        <is>
          <t>(g)</t>
        </is>
      </c>
      <c r="I30" s="406">
        <f>+'DATOS SUELO'!I10</f>
        <v/>
      </c>
      <c r="J30" s="406">
        <f>+'DATOS SUELO'!J10</f>
        <v/>
      </c>
      <c r="K30" s="45" t="n"/>
      <c r="L30" s="82" t="n"/>
      <c r="M30" s="83" t="n"/>
      <c r="N30" s="111" t="n"/>
      <c r="O30" s="111" t="n"/>
      <c r="P30" s="111" t="n"/>
      <c r="Q30" s="98" t="inlineStr">
        <is>
          <t>**Cloruros</t>
        </is>
      </c>
      <c r="R30" s="97" t="inlineStr">
        <is>
          <t xml:space="preserve">    &gt; 2 000</t>
        </is>
      </c>
      <c r="S30" s="97" t="inlineStr">
        <is>
          <t>Perjudicial</t>
        </is>
      </c>
      <c r="T30" s="97" t="inlineStr">
        <is>
          <t>Corrosión de armaduras o elementos metálicos.</t>
        </is>
      </c>
    </row>
    <row r="31" ht="18.75" customHeight="1" thickBot="1">
      <c r="A31" s="116" t="n"/>
      <c r="B31" s="38" t="inlineStr">
        <is>
          <t xml:space="preserve"> Peso de Sales Solubles</t>
        </is>
      </c>
      <c r="C31" s="42" t="n"/>
      <c r="D31" s="42" t="n"/>
      <c r="E31" s="42" t="n"/>
      <c r="F31" s="118" t="n"/>
      <c r="G31" s="42" t="n"/>
      <c r="H31" s="39" t="inlineStr">
        <is>
          <t>(g)</t>
        </is>
      </c>
      <c r="I31" s="121">
        <f>I30-I29</f>
        <v/>
      </c>
      <c r="J31" s="121">
        <f>J30-J29</f>
        <v/>
      </c>
      <c r="K31" s="122" t="inlineStr">
        <is>
          <t>Promedio</t>
        </is>
      </c>
      <c r="L31" s="82" t="n"/>
      <c r="M31" s="83" t="n"/>
      <c r="N31" s="111" t="n"/>
      <c r="O31" s="111" t="n"/>
      <c r="P31" s="111" t="n"/>
      <c r="Q31" s="98" t="inlineStr">
        <is>
          <t xml:space="preserve">**Sales Soluble Totales </t>
        </is>
      </c>
      <c r="R31" s="97" t="inlineStr">
        <is>
          <t xml:space="preserve">     &gt; 10 000</t>
        </is>
      </c>
      <c r="S31" s="97" t="inlineStr">
        <is>
          <t>Perjudicial</t>
        </is>
      </c>
      <c r="T31" s="97" t="inlineStr">
        <is>
          <t>Pérdida de resistencia mecánica por problema de lixiviación</t>
        </is>
      </c>
    </row>
    <row r="32" ht="18.75" customHeight="1">
      <c r="A32" s="116" t="n"/>
      <c r="B32" s="123" t="inlineStr">
        <is>
          <t xml:space="preserve"> Contenido de Sales Solubles</t>
        </is>
      </c>
      <c r="C32" s="124" t="n"/>
      <c r="D32" s="124" t="n"/>
      <c r="E32" s="124" t="n"/>
      <c r="F32" s="118" t="n"/>
      <c r="G32" s="42" t="n"/>
      <c r="H32" s="125" t="inlineStr">
        <is>
          <t>(%)</t>
        </is>
      </c>
      <c r="I32" s="126">
        <f>((I31*(I26/I27))/I28)*100</f>
        <v/>
      </c>
      <c r="J32" s="127">
        <f>((J31*(I26/I27))/I28)*100</f>
        <v/>
      </c>
      <c r="K32" s="128">
        <f>AVERAGE(I32:J32)</f>
        <v/>
      </c>
      <c r="L32" s="82" t="n"/>
      <c r="M32" s="83" t="n"/>
      <c r="N32" s="111" t="n"/>
      <c r="O32" s="111" t="n"/>
      <c r="P32" s="111" t="n"/>
      <c r="Q32" s="139" t="n"/>
      <c r="R32" s="99" t="n"/>
      <c r="S32" s="408" t="n"/>
      <c r="T32" s="101" t="n"/>
    </row>
    <row r="33" ht="18.75" customHeight="1">
      <c r="A33" s="116" t="n"/>
      <c r="B33" s="129" t="inlineStr">
        <is>
          <t xml:space="preserve"> Contenido de Sales Solubles</t>
        </is>
      </c>
      <c r="C33" s="130" t="n"/>
      <c r="D33" s="130" t="n"/>
      <c r="E33" s="130" t="n"/>
      <c r="F33" s="131" t="n"/>
      <c r="G33" s="130" t="n"/>
      <c r="H33" s="132" t="inlineStr">
        <is>
          <t>(ppm)</t>
        </is>
      </c>
      <c r="I33" s="133">
        <f>((I31*(I26/I28))/I28)*1000000</f>
        <v/>
      </c>
      <c r="J33" s="133">
        <f>((J31*(I26/I28))/I28)*1000000</f>
        <v/>
      </c>
      <c r="K33" s="134">
        <f>AVERAGE(I33:J33)</f>
        <v/>
      </c>
      <c r="L33" s="82" t="n"/>
      <c r="M33" s="83" t="n"/>
      <c r="N33" s="111" t="n"/>
      <c r="O33" s="111" t="n"/>
      <c r="P33" s="111" t="n"/>
      <c r="Q33" s="165">
        <f>IF(K33&gt;10000, "Perjudicial", "No Perjudicial")</f>
        <v/>
      </c>
      <c r="R33" s="166" t="n"/>
      <c r="S33" s="408" t="n"/>
      <c r="T33" s="409" t="n"/>
    </row>
    <row r="34" ht="27.75" customHeight="1">
      <c r="A34" s="77" t="n"/>
      <c r="B34" s="103" t="n"/>
      <c r="C34" s="103" t="n"/>
      <c r="D34" s="103" t="n"/>
      <c r="E34" s="103" t="n"/>
      <c r="F34" s="135" t="n"/>
      <c r="G34" s="135" t="n"/>
      <c r="H34" s="135" t="n"/>
      <c r="I34" s="136" t="n"/>
      <c r="J34" s="137" t="n"/>
      <c r="K34" s="138" t="n"/>
      <c r="L34" s="84" t="n"/>
      <c r="M34" s="85" t="n"/>
      <c r="N34" s="111" t="n"/>
      <c r="O34" s="111" t="n"/>
      <c r="P34" s="111" t="n"/>
    </row>
    <row r="35" ht="15.9" customHeight="1">
      <c r="A35" s="139" t="n"/>
      <c r="B35" s="139" t="n"/>
      <c r="C35" s="139" t="n"/>
      <c r="D35" s="139" t="n"/>
      <c r="E35" s="139" t="n"/>
      <c r="F35" s="139" t="n"/>
      <c r="G35" s="78" t="n"/>
      <c r="H35" s="78" t="n"/>
      <c r="I35" s="86" t="n"/>
      <c r="J35" s="86" t="n"/>
      <c r="K35" s="86" t="n"/>
      <c r="L35" s="78" t="n"/>
      <c r="M35" s="78" t="n"/>
      <c r="N35" s="111" t="n"/>
      <c r="O35" s="111" t="n"/>
      <c r="P35" s="111" t="n"/>
    </row>
    <row r="36" ht="15.9" customHeight="1">
      <c r="A36" s="90" t="inlineStr">
        <is>
          <t>Nota: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92" t="n"/>
      <c r="K36" s="78" t="n"/>
      <c r="L36" s="78" t="n"/>
      <c r="M36" s="78" t="n"/>
      <c r="N36" s="111" t="n"/>
      <c r="O36" s="111" t="n"/>
      <c r="P36" s="111" t="n"/>
    </row>
    <row r="37" ht="15.9" customHeight="1">
      <c r="A37" s="93" t="inlineStr">
        <is>
          <t>- Los datos de identificación de la muestra son proporcionados por el cliente.</t>
        </is>
      </c>
      <c r="B37" s="167" t="n"/>
      <c r="C37" s="167" t="n"/>
      <c r="D37" s="167" t="n"/>
      <c r="E37" s="167" t="n"/>
      <c r="F37" s="13" t="n"/>
      <c r="G37" s="13" t="n"/>
      <c r="H37" s="13" t="n"/>
      <c r="I37" s="13" t="n"/>
      <c r="J37" s="13" t="n"/>
      <c r="K37" s="78" t="n"/>
      <c r="L37" s="78" t="n"/>
      <c r="M37" s="78" t="n"/>
      <c r="N37" s="111" t="n"/>
      <c r="O37" s="111" t="n"/>
      <c r="P37" s="111" t="n"/>
    </row>
    <row r="38" ht="15.9" customHeight="1">
      <c r="A38" s="93" t="inlineStr">
        <is>
          <t>- Los resultados corresponden sólo a los ensayos realizados sobre la muestra proporcionada por el cliente.</t>
        </is>
      </c>
      <c r="B38" s="167" t="n"/>
      <c r="C38" s="167" t="n"/>
      <c r="D38" s="167" t="n"/>
      <c r="E38" s="167" t="n"/>
      <c r="F38" s="13" t="n"/>
      <c r="G38" s="13" t="n"/>
      <c r="H38" s="13" t="n"/>
      <c r="I38" s="13" t="n"/>
      <c r="J38" s="13" t="n"/>
      <c r="K38" s="78" t="n"/>
      <c r="L38" s="78" t="n"/>
      <c r="M38" s="78" t="n"/>
      <c r="N38" s="111" t="n"/>
      <c r="O38" s="111" t="n"/>
      <c r="P38" s="111" t="n"/>
    </row>
    <row r="39" ht="28.5" customHeight="1">
      <c r="A39" s="341" t="inlineStr">
        <is>
          <t xml:space="preserve">- Los resultados de los ensayos no deben ser utilizados como una certificación de conformidad con normas de productos o como certificado del sistema de cálidad de Geofal SAC. </t>
        </is>
      </c>
      <c r="N39" s="111" t="n"/>
      <c r="O39" s="111" t="n"/>
      <c r="P39" s="111" t="n"/>
    </row>
    <row r="40" ht="15.9" customHeight="1">
      <c r="A40" s="93" t="inlineStr">
        <is>
          <t>- Prohibida la reproducción total o parcial del presente informe de ensayo sin la autorización escrita de Geofal S.A.C.</t>
        </is>
      </c>
      <c r="B40" s="167" t="n"/>
      <c r="C40" s="167" t="n"/>
      <c r="D40" s="167" t="n"/>
      <c r="E40" s="167" t="n"/>
      <c r="F40" s="13" t="n"/>
      <c r="G40" s="13" t="n"/>
      <c r="H40" s="13" t="n"/>
      <c r="I40" s="13" t="n"/>
      <c r="J40" s="13" t="n"/>
      <c r="K40" s="78" t="n"/>
      <c r="L40" s="78" t="n"/>
      <c r="M40" s="78" t="n"/>
      <c r="N40" s="111" t="n"/>
      <c r="O40" s="111" t="n"/>
      <c r="P40" s="111" t="n"/>
    </row>
    <row r="41" ht="15.9" customHeight="1">
      <c r="A41" s="168" t="n"/>
      <c r="B41" s="73" t="n"/>
      <c r="C41" s="73" t="n"/>
      <c r="D41" s="73" t="n"/>
      <c r="E41" s="73" t="n"/>
      <c r="F41" s="73" t="n"/>
      <c r="G41" s="73" t="n"/>
      <c r="H41" s="73" t="n"/>
      <c r="I41" s="169" t="n"/>
      <c r="J41" s="89" t="n"/>
      <c r="K41" s="86" t="n"/>
      <c r="L41" s="87" t="n"/>
      <c r="M41" s="87" t="n"/>
      <c r="N41" s="111" t="n"/>
      <c r="O41" s="111" t="n"/>
      <c r="P41" s="111" t="n"/>
    </row>
    <row r="42" ht="15.9" customHeight="1">
      <c r="A42" s="90" t="inlineStr">
        <is>
          <t>Observaciones:</t>
        </is>
      </c>
      <c r="B42" s="170" t="n"/>
      <c r="C42" s="171" t="n"/>
      <c r="D42" s="171" t="n"/>
      <c r="E42" s="171" t="n"/>
      <c r="F42" s="171" t="n"/>
      <c r="G42" s="171" t="n"/>
      <c r="H42" s="171" t="n"/>
      <c r="I42" s="171" t="n"/>
      <c r="J42" s="171" t="n"/>
      <c r="K42" s="171" t="n"/>
      <c r="L42" s="171" t="n"/>
      <c r="M42" s="171" t="n"/>
      <c r="N42" s="111" t="n"/>
      <c r="O42" s="111" t="n"/>
      <c r="P42" s="111" t="n"/>
    </row>
    <row r="43" ht="15.75" customHeight="1">
      <c r="A43" s="168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78" t="n"/>
      <c r="L43" s="78" t="n"/>
      <c r="M43" s="78" t="n"/>
      <c r="N43" s="111" t="n"/>
      <c r="O43" s="111" t="n"/>
      <c r="P43" s="111" t="n"/>
    </row>
    <row r="44" ht="15.75" customHeight="1">
      <c r="A44" s="168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78" t="n"/>
      <c r="L44" s="78" t="n"/>
      <c r="M44" s="78" t="n"/>
      <c r="N44" s="111" t="n"/>
      <c r="O44" s="111" t="n"/>
      <c r="P44" s="111" t="n"/>
    </row>
    <row r="45" ht="15.75" customHeight="1">
      <c r="A45" s="168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78" t="n"/>
      <c r="L45" s="78" t="n"/>
      <c r="M45" s="78" t="n"/>
      <c r="N45" s="111" t="n"/>
      <c r="O45" s="111" t="n"/>
      <c r="P45" s="111" t="n"/>
    </row>
    <row r="46" ht="15.75" customHeight="1">
      <c r="A46" s="168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78" t="n"/>
      <c r="L46" s="78" t="n"/>
      <c r="M46" s="78" t="n"/>
      <c r="N46" s="111" t="n"/>
      <c r="O46" s="111" t="n"/>
      <c r="P46" s="111" t="n"/>
    </row>
    <row r="47" ht="15.75" customHeight="1">
      <c r="A47" s="18" t="n"/>
      <c r="B47" s="73" t="n"/>
      <c r="C47" s="73" t="n"/>
      <c r="D47" s="73" t="n"/>
      <c r="E47" s="73" t="n"/>
      <c r="F47" s="73" t="n"/>
      <c r="G47" s="13" t="n"/>
      <c r="H47" s="13" t="n"/>
      <c r="I47" s="13" t="n"/>
      <c r="J47" s="13" t="n"/>
      <c r="K47" s="78" t="n"/>
      <c r="L47" s="78" t="n"/>
      <c r="M47" s="78" t="n"/>
      <c r="N47" s="111" t="n"/>
      <c r="O47" s="111" t="n"/>
      <c r="P47" s="111" t="n"/>
    </row>
    <row r="48" ht="15.75" customHeight="1">
      <c r="A48" s="18" t="n"/>
      <c r="B48" s="73" t="n"/>
      <c r="C48" s="73" t="n"/>
      <c r="D48" s="73" t="n"/>
      <c r="E48" s="73" t="n"/>
      <c r="F48" s="73" t="n"/>
      <c r="G48" s="13" t="n"/>
      <c r="H48" s="13" t="n"/>
      <c r="I48" s="13" t="n"/>
      <c r="J48" s="13" t="n"/>
      <c r="K48" s="78" t="n"/>
      <c r="L48" s="78" t="n"/>
      <c r="M48" s="78" t="n"/>
      <c r="N48" s="111" t="n"/>
      <c r="O48" s="111" t="n"/>
      <c r="P48" s="111" t="n"/>
    </row>
    <row r="49" ht="15.9" customHeight="1">
      <c r="A49" s="18" t="inlineStr">
        <is>
          <t>Página 1 de 1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78" t="n"/>
      <c r="L49" s="78" t="n"/>
      <c r="M49" s="78" t="n"/>
      <c r="N49" s="111" t="n"/>
      <c r="O49" s="111" t="n"/>
      <c r="P49" s="111" t="n"/>
    </row>
    <row r="50" ht="15.9" customHeight="1">
      <c r="A50" s="18" t="inlineStr">
        <is>
          <t>Versión : 03 (17-05-2021)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78" t="n"/>
      <c r="L50" s="78" t="n"/>
      <c r="M50" s="88" t="inlineStr">
        <is>
          <t>Fin del Documento</t>
        </is>
      </c>
      <c r="N50" s="111" t="n"/>
      <c r="O50" s="111" t="n"/>
      <c r="P50" s="111" t="n"/>
    </row>
    <row r="51" ht="30.75" customHeight="1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</row>
    <row r="52" ht="15.9" customHeight="1"/>
    <row r="53" ht="15.9" customHeight="1"/>
  </sheetData>
  <mergeCells count="19">
    <mergeCell ref="K25:L25"/>
    <mergeCell ref="A8:M8"/>
    <mergeCell ref="A20:D20"/>
    <mergeCell ref="A17:M17"/>
    <mergeCell ref="I27:J27"/>
    <mergeCell ref="I26:J26"/>
    <mergeCell ref="A19:M19"/>
    <mergeCell ref="Q26:Q29"/>
    <mergeCell ref="A9:M9"/>
    <mergeCell ref="A39:M39"/>
    <mergeCell ref="I28:J28"/>
    <mergeCell ref="S13:T13"/>
    <mergeCell ref="C12:J12"/>
    <mergeCell ref="T26:T29"/>
    <mergeCell ref="C11:J11"/>
    <mergeCell ref="A16:M16"/>
    <mergeCell ref="B25:J25"/>
    <mergeCell ref="C14:K14"/>
    <mergeCell ref="C13:J13"/>
  </mergeCells>
  <printOptions horizontalCentered="1"/>
  <pageMargins left="0" right="0" top="0.1968503937007874" bottom="0" header="0.1181102362204725" footer="0"/>
  <pageSetup orientation="portrait" paperSize="274" scale="95"/>
  <headerFooter scaleWithDoc="0"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view="pageBreakPreview" zoomScaleNormal="85" zoomScaleSheetLayoutView="100" workbookViewId="0">
      <selection activeCell="I10" sqref="I10"/>
    </sheetView>
  </sheetViews>
  <sheetFormatPr baseColWidth="10" defaultColWidth="10.33203125" defaultRowHeight="13.8"/>
  <cols>
    <col width="13.5546875" customWidth="1" style="139" min="1" max="1"/>
    <col width="2" customWidth="1" style="139" min="2" max="3"/>
    <col width="0.44140625" customWidth="1" style="139" min="4" max="4"/>
    <col width="1.109375" customWidth="1" style="139" min="5" max="5"/>
    <col width="10.6640625" customWidth="1" style="139" min="6" max="6"/>
    <col width="10.33203125" customWidth="1" style="139" min="7" max="7"/>
    <col width="8.5546875" customWidth="1" style="139" min="8" max="8"/>
    <col width="11.5546875" customWidth="1" style="139" min="9" max="10"/>
    <col width="9.88671875" customWidth="1" style="139" min="11" max="11"/>
    <col width="2" customWidth="1" style="139" min="12" max="12"/>
    <col width="13.5546875" customWidth="1" style="139" min="13" max="13"/>
    <col width="6.44140625" customWidth="1" style="139" min="14" max="15"/>
    <col width="8" customWidth="1" style="139" min="16" max="16"/>
    <col width="10.33203125" customWidth="1" style="139" min="17" max="16384"/>
  </cols>
  <sheetData>
    <row r="1" ht="81" customHeight="1">
      <c r="A1" s="104" t="n"/>
      <c r="B1" s="104" t="n"/>
      <c r="C1" s="104" t="n"/>
      <c r="D1" s="104" t="n"/>
      <c r="E1" s="104" t="n"/>
      <c r="F1" s="104" t="n"/>
      <c r="G1" s="104" t="n"/>
      <c r="H1" s="353" t="n"/>
      <c r="I1" s="353" t="n"/>
      <c r="J1" s="353" t="n"/>
      <c r="K1" s="21" t="n"/>
      <c r="L1" s="17" t="n"/>
      <c r="M1" s="24" t="n"/>
      <c r="N1" s="176" t="n"/>
      <c r="O1" s="176" t="n"/>
      <c r="P1" s="176" t="n"/>
    </row>
    <row r="2" ht="30" customHeight="1">
      <c r="A2" s="390" t="inlineStr">
        <is>
          <t>MÉTODO DE ENSAYO PARA DETERMINAR EL CONTENIDO DE SALES SOLUBLES EN SUELOS Y AGUA SUBTERRÁNEA</t>
        </is>
      </c>
      <c r="B2" s="372" t="n"/>
      <c r="C2" s="372" t="n"/>
      <c r="D2" s="372" t="n"/>
      <c r="E2" s="372" t="n"/>
      <c r="F2" s="372" t="n"/>
      <c r="G2" s="372" t="n"/>
      <c r="H2" s="372" t="n"/>
      <c r="I2" s="372" t="n"/>
      <c r="J2" s="372" t="n"/>
      <c r="K2" s="372" t="n"/>
      <c r="L2" s="372" t="n"/>
      <c r="M2" s="373" t="n"/>
      <c r="N2" s="176" t="n"/>
      <c r="O2" s="176" t="n"/>
      <c r="P2" s="176" t="n"/>
    </row>
    <row r="3" ht="18" customHeight="1">
      <c r="A3" s="391" t="inlineStr">
        <is>
          <t>NORMA  NTP 339.152</t>
        </is>
      </c>
      <c r="B3" s="375" t="n"/>
      <c r="C3" s="375" t="n"/>
      <c r="D3" s="375" t="n"/>
      <c r="E3" s="375" t="n"/>
      <c r="F3" s="375" t="n"/>
      <c r="G3" s="375" t="n"/>
      <c r="H3" s="375" t="n"/>
      <c r="I3" s="375" t="n"/>
      <c r="J3" s="375" t="n"/>
      <c r="K3" s="375" t="n"/>
      <c r="L3" s="375" t="n"/>
      <c r="M3" s="376" t="n"/>
      <c r="N3" s="176" t="n"/>
      <c r="O3" s="176" t="n"/>
      <c r="P3" s="176" t="n"/>
    </row>
    <row r="4" ht="16.5" customHeight="1">
      <c r="A4" s="113" t="n"/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5" t="n"/>
      <c r="O4" s="176" t="n"/>
      <c r="P4" s="176" t="n"/>
    </row>
    <row r="5" ht="16.5" customHeight="1">
      <c r="A5" s="74" t="n"/>
      <c r="B5" s="397" t="inlineStr">
        <is>
          <t>ANÁLISIS DE SUELO</t>
        </is>
      </c>
      <c r="C5" s="367" t="n"/>
      <c r="D5" s="367" t="n"/>
      <c r="E5" s="367" t="n"/>
      <c r="F5" s="367" t="n"/>
      <c r="G5" s="367" t="n"/>
      <c r="H5" s="367" t="n"/>
      <c r="I5" s="367" t="n"/>
      <c r="J5" s="356" t="n"/>
      <c r="K5" s="344" t="n"/>
      <c r="M5" s="75" t="n"/>
      <c r="N5" s="176" t="n"/>
      <c r="O5" s="181" t="n"/>
      <c r="P5" s="181" t="n"/>
    </row>
    <row r="6" ht="18.75" customHeight="1">
      <c r="A6" s="116" t="n"/>
      <c r="B6" s="32" t="inlineStr">
        <is>
          <t>Volumen de Agua Destilada</t>
        </is>
      </c>
      <c r="C6" s="91" t="n"/>
      <c r="D6" s="91" t="n"/>
      <c r="E6" s="91" t="n"/>
      <c r="F6" s="117" t="n"/>
      <c r="G6" s="33" t="n"/>
      <c r="H6" s="34" t="inlineStr">
        <is>
          <t>(ml)</t>
        </is>
      </c>
      <c r="I6" s="141">
        <f>+FORMATO!G22</f>
        <v/>
      </c>
      <c r="J6" s="177" t="n"/>
      <c r="K6" s="79" t="n"/>
      <c r="L6" s="35" t="n"/>
      <c r="M6" s="80" t="n"/>
      <c r="N6" s="176" t="n"/>
      <c r="O6" s="36" t="n"/>
      <c r="P6" s="37" t="n"/>
    </row>
    <row r="7" ht="18.75" customHeight="1">
      <c r="A7" s="116" t="n"/>
      <c r="B7" s="38" t="inlineStr">
        <is>
          <t>Peso del Suelo</t>
        </is>
      </c>
      <c r="C7" s="42" t="n"/>
      <c r="D7" s="42" t="n"/>
      <c r="E7" s="42" t="n"/>
      <c r="F7" s="118" t="n"/>
      <c r="G7" s="76" t="n"/>
      <c r="H7" s="39" t="inlineStr">
        <is>
          <t>(g)</t>
        </is>
      </c>
      <c r="I7" s="142">
        <f>+FORMATO!G23</f>
        <v/>
      </c>
      <c r="J7" s="178" t="n"/>
      <c r="K7" s="79" t="n"/>
      <c r="L7" s="35" t="n"/>
      <c r="M7" s="80" t="n"/>
      <c r="N7" s="176" t="n"/>
      <c r="O7" s="36" t="n"/>
      <c r="P7" s="37" t="n"/>
    </row>
    <row r="8" ht="18.75" customHeight="1">
      <c r="A8" s="116" t="n"/>
      <c r="B8" s="38" t="inlineStr">
        <is>
          <t>Volumen de la Solucion Tomada</t>
        </is>
      </c>
      <c r="C8" s="42" t="n"/>
      <c r="D8" s="42" t="n"/>
      <c r="E8" s="42" t="n"/>
      <c r="F8" s="118" t="n"/>
      <c r="G8" s="76" t="n"/>
      <c r="H8" s="39" t="inlineStr">
        <is>
          <t>(ml)</t>
        </is>
      </c>
      <c r="I8" s="143">
        <f>+FORMATO!G24</f>
        <v/>
      </c>
      <c r="J8" s="179" t="n"/>
      <c r="K8" s="40" t="n"/>
      <c r="L8" s="405" t="n"/>
      <c r="M8" s="81" t="n"/>
      <c r="N8" s="180" t="n"/>
      <c r="O8" s="36" t="n"/>
      <c r="P8" s="37" t="n"/>
    </row>
    <row r="9" ht="18.75" customHeight="1">
      <c r="A9" s="116" t="n"/>
      <c r="B9" s="38" t="inlineStr">
        <is>
          <t xml:space="preserve"> Peso de Cápsula</t>
        </is>
      </c>
      <c r="C9" s="42" t="n"/>
      <c r="D9" s="42" t="n"/>
      <c r="E9" s="42" t="n"/>
      <c r="F9" s="118" t="n"/>
      <c r="G9" s="42" t="n"/>
      <c r="H9" s="39" t="inlineStr">
        <is>
          <t>(g)</t>
        </is>
      </c>
      <c r="I9" s="410">
        <f>+FORMATO!G25</f>
        <v/>
      </c>
      <c r="J9" s="410">
        <f>+FORMATO!H25</f>
        <v/>
      </c>
      <c r="K9" s="43" t="n"/>
      <c r="L9" s="82" t="n"/>
      <c r="M9" s="83" t="n"/>
      <c r="N9" s="176" t="n"/>
      <c r="O9" s="176" t="n"/>
      <c r="P9" s="176" t="n"/>
    </row>
    <row r="10" ht="18.75" customHeight="1">
      <c r="A10" s="116" t="n"/>
      <c r="B10" s="38" t="inlineStr">
        <is>
          <t xml:space="preserve"> Peso de Cápsula + Sales Solubles</t>
        </is>
      </c>
      <c r="C10" s="42" t="n"/>
      <c r="D10" s="42" t="n"/>
      <c r="E10" s="42" t="n"/>
      <c r="F10" s="118" t="n"/>
      <c r="G10" s="42" t="n"/>
      <c r="H10" s="39" t="inlineStr">
        <is>
          <t>(g)</t>
        </is>
      </c>
      <c r="I10" s="410">
        <f>+FORMATO!G26</f>
        <v/>
      </c>
      <c r="J10" s="410">
        <f>+FORMATO!H26</f>
        <v/>
      </c>
      <c r="K10" s="45" t="n"/>
      <c r="L10" s="82" t="n"/>
      <c r="M10" s="83" t="n"/>
      <c r="N10" s="176" t="n"/>
      <c r="O10" s="176" t="n"/>
      <c r="P10" s="176" t="n"/>
    </row>
    <row r="11" ht="18.75" customHeight="1">
      <c r="A11" s="116" t="n"/>
      <c r="B11" s="38" t="inlineStr">
        <is>
          <t xml:space="preserve"> Peso de Sales Solubles</t>
        </is>
      </c>
      <c r="C11" s="42" t="n"/>
      <c r="D11" s="42" t="n"/>
      <c r="E11" s="42" t="n"/>
      <c r="F11" s="118" t="n"/>
      <c r="G11" s="42" t="n"/>
      <c r="H11" s="39" t="inlineStr">
        <is>
          <t>(g)</t>
        </is>
      </c>
      <c r="I11" s="121">
        <f>I10-I9</f>
        <v/>
      </c>
      <c r="J11" s="121">
        <f>J10-J9</f>
        <v/>
      </c>
      <c r="K11" s="122" t="inlineStr">
        <is>
          <t>Promedio</t>
        </is>
      </c>
      <c r="L11" s="82" t="n"/>
      <c r="M11" s="83" t="n"/>
      <c r="N11" s="176" t="n"/>
      <c r="O11" s="176" t="n"/>
      <c r="P11" s="176" t="n"/>
    </row>
    <row r="12" ht="18.75" customHeight="1">
      <c r="A12" s="116" t="n"/>
      <c r="B12" s="123" t="inlineStr">
        <is>
          <t xml:space="preserve"> Contenido de Sales Solubles</t>
        </is>
      </c>
      <c r="C12" s="124" t="n"/>
      <c r="D12" s="124" t="n"/>
      <c r="E12" s="124" t="n"/>
      <c r="F12" s="118" t="n"/>
      <c r="G12" s="42" t="n"/>
      <c r="H12" s="125" t="inlineStr">
        <is>
          <t>(%)</t>
        </is>
      </c>
      <c r="I12" s="126">
        <f>((I11*(I6/I7))/I8)*100</f>
        <v/>
      </c>
      <c r="J12" s="127">
        <f>((J11*(I6/I7))/I8)*100</f>
        <v/>
      </c>
      <c r="K12" s="128">
        <f>AVERAGE(I12:J12)</f>
        <v/>
      </c>
      <c r="L12" s="82" t="n"/>
      <c r="M12" s="83" t="n"/>
      <c r="N12" s="176" t="n"/>
      <c r="O12" s="176" t="n"/>
      <c r="P12" s="176" t="n"/>
    </row>
    <row r="13" ht="18.75" customHeight="1">
      <c r="A13" s="116" t="n"/>
      <c r="B13" s="129" t="inlineStr">
        <is>
          <t xml:space="preserve"> Contenido de Sales Solubles</t>
        </is>
      </c>
      <c r="C13" s="130" t="n"/>
      <c r="D13" s="130" t="n"/>
      <c r="E13" s="130" t="n"/>
      <c r="F13" s="131" t="n"/>
      <c r="G13" s="130" t="n"/>
      <c r="H13" s="132" t="inlineStr">
        <is>
          <t>(ppm)</t>
        </is>
      </c>
      <c r="I13" s="133">
        <f>((I11*(I6/I8))/I8)*1000000</f>
        <v/>
      </c>
      <c r="J13" s="133">
        <f>((J11*(I6/I8))/I8)*1000000</f>
        <v/>
      </c>
      <c r="K13" s="134">
        <f>AVERAGE(I13:J13)</f>
        <v/>
      </c>
      <c r="L13" s="82" t="n"/>
      <c r="M13" s="83" t="n"/>
      <c r="N13" s="176" t="n"/>
      <c r="O13" s="176" t="n"/>
      <c r="P13" s="176" t="n"/>
    </row>
    <row r="14" ht="27.75" customHeight="1">
      <c r="A14" s="77" t="n"/>
      <c r="B14" s="103" t="n"/>
      <c r="C14" s="103" t="n"/>
      <c r="D14" s="103" t="n"/>
      <c r="E14" s="103" t="n"/>
      <c r="F14" s="135" t="n"/>
      <c r="G14" s="135" t="n"/>
      <c r="H14" s="135" t="n"/>
      <c r="I14" s="136" t="n"/>
      <c r="J14" s="137" t="n"/>
      <c r="K14" s="138" t="n"/>
      <c r="L14" s="84" t="n"/>
      <c r="M14" s="85" t="n"/>
      <c r="N14" s="176" t="n"/>
      <c r="O14" s="176" t="n"/>
      <c r="P14" s="176" t="n"/>
    </row>
    <row r="15" ht="15.9" customHeight="1">
      <c r="G15" s="78" t="n"/>
      <c r="H15" s="78" t="n"/>
      <c r="I15" s="86" t="n"/>
      <c r="J15" s="86" t="n"/>
      <c r="K15" s="86" t="n"/>
      <c r="L15" s="78" t="n"/>
      <c r="M15" s="78" t="n"/>
      <c r="N15" s="176" t="n"/>
      <c r="O15" s="176" t="n"/>
      <c r="P15" s="176" t="n"/>
    </row>
    <row r="16" ht="15.9" customHeight="1"/>
    <row r="17" ht="15.9" customHeight="1"/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EIQnqoT+8SIAYCZbmx2ndQ==" formatRows="1" sort="1" spinCount="100000" hashValue="ZoW2eliLRJEHo+ceYsRRU3iD+9IRbK6DsyuWCiw1gwuTPBg8rsqedozJ+eZTPn9UqNrw2lwe0/AkXHstRSbrSw=="/>
  <mergeCells count="4">
    <mergeCell ref="K5:L5"/>
    <mergeCell ref="A2:M2"/>
    <mergeCell ref="B5:J5"/>
    <mergeCell ref="A3:M3"/>
  </mergeCells>
  <printOptions horizontalCentered="1"/>
  <pageMargins left="0" right="0" top="0.1968503937007874" bottom="0" header="0.1181102362204725" footer="0"/>
  <pageSetup orientation="portrait" paperSize="274" scale="95"/>
  <headerFooter scaleWithDoc="0">
    <oddHeader>&amp;C&amp;G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view="pageBreakPreview" topLeftCell="A4" zoomScaleNormal="100" zoomScaleSheetLayoutView="100" workbookViewId="0">
      <selection activeCell="A19" sqref="A19:J19"/>
    </sheetView>
  </sheetViews>
  <sheetFormatPr baseColWidth="10" defaultColWidth="10.33203125" defaultRowHeight="13.8"/>
  <cols>
    <col width="15.88671875" customWidth="1" style="145" min="1" max="1"/>
    <col width="2" customWidth="1" style="145" min="2" max="2"/>
    <col width="12.33203125" customWidth="1" style="145" min="3" max="4"/>
    <col width="6.5546875" customWidth="1" style="145" min="5" max="5"/>
    <col width="9.88671875" customWidth="1" style="145" min="6" max="8"/>
    <col width="2" customWidth="1" style="145" min="9" max="9"/>
    <col width="13.5546875" customWidth="1" style="145" min="10" max="10"/>
    <col width="6.44140625" customWidth="1" style="145" min="11" max="12"/>
    <col width="8" customWidth="1" style="145" min="13" max="13"/>
    <col width="10.33203125" customWidth="1" style="145" min="14" max="16384"/>
  </cols>
  <sheetData>
    <row r="1" ht="15.75" customHeight="1">
      <c r="A1" s="13" t="n"/>
      <c r="B1" s="13" t="n"/>
      <c r="C1" s="13" t="n"/>
      <c r="D1" s="14" t="n"/>
      <c r="E1" s="14" t="n"/>
      <c r="F1" s="14" t="n"/>
      <c r="G1" s="14" t="n"/>
    </row>
    <row r="2" ht="15.75" customHeight="1">
      <c r="A2" s="13" t="n"/>
      <c r="B2" s="13" t="n"/>
      <c r="C2" s="13" t="n"/>
      <c r="D2" s="14" t="n"/>
      <c r="E2" s="14" t="n"/>
      <c r="F2" s="14" t="n"/>
      <c r="G2" s="14" t="n"/>
    </row>
    <row r="3" ht="15.75" customHeight="1">
      <c r="A3" s="13" t="n"/>
      <c r="B3" s="13" t="n"/>
      <c r="C3" s="13" t="n"/>
      <c r="D3" s="14" t="n"/>
      <c r="E3" s="14" t="n"/>
      <c r="F3" s="14" t="n"/>
      <c r="G3" s="14" t="n"/>
    </row>
    <row r="4" ht="15.75" customHeight="1">
      <c r="A4" s="13" t="n"/>
      <c r="B4" s="13" t="n"/>
      <c r="C4" s="13" t="n"/>
      <c r="D4" s="14" t="n"/>
      <c r="E4" s="14" t="n"/>
      <c r="F4" s="14" t="n"/>
      <c r="G4" s="14" t="n"/>
    </row>
    <row r="5" ht="15.75" customHeight="1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 ht="15.9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15.9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15.9" customHeight="1">
      <c r="A8" s="342" t="inlineStr">
        <is>
          <t>LABORATORIO DE ENSAYO DE MATERIALES</t>
        </is>
      </c>
    </row>
    <row r="9" ht="15.9" customHeight="1">
      <c r="A9" s="381" t="n">
        <v>1</v>
      </c>
      <c r="B9" s="382" t="n"/>
      <c r="C9" s="382" t="n"/>
      <c r="D9" s="382" t="n"/>
      <c r="E9" s="382" t="n"/>
      <c r="F9" s="382" t="n"/>
      <c r="G9" s="382" t="n"/>
      <c r="H9" s="382" t="n"/>
      <c r="I9" s="382" t="n"/>
      <c r="J9" s="382" t="n"/>
      <c r="K9" s="411" t="n"/>
      <c r="L9" s="411" t="n"/>
      <c r="M9" s="411" t="n"/>
    </row>
    <row r="10" ht="15.9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 ht="15.9" customHeight="1">
      <c r="A11" s="68" t="inlineStr">
        <is>
          <t>CLIENTE</t>
        </is>
      </c>
      <c r="B11" s="17" t="inlineStr">
        <is>
          <t>:</t>
        </is>
      </c>
      <c r="C11" s="353">
        <f>+FORMATO!M2</f>
        <v/>
      </c>
      <c r="H11" s="19" t="inlineStr">
        <is>
          <t xml:space="preserve">                 CÓDIGO</t>
        </is>
      </c>
      <c r="I11" s="20" t="inlineStr">
        <is>
          <t>:</t>
        </is>
      </c>
      <c r="J11" s="18" t="inlineStr">
        <is>
          <t>F-LEM-P-SU.13.02</t>
        </is>
      </c>
      <c r="K11" s="144" t="n"/>
      <c r="L11" s="144" t="n"/>
      <c r="M11" s="144" t="n"/>
    </row>
    <row r="12" ht="16.5" customHeight="1">
      <c r="A12" s="68" t="inlineStr">
        <is>
          <t>DIRECCIÓN **</t>
        </is>
      </c>
      <c r="B12" s="17" t="inlineStr">
        <is>
          <t>:</t>
        </is>
      </c>
      <c r="C12" s="353">
        <f>+FORMATO!M3</f>
        <v/>
      </c>
      <c r="H12" s="21" t="inlineStr">
        <is>
          <t>N° OT</t>
        </is>
      </c>
      <c r="I12" s="17" t="inlineStr">
        <is>
          <t>:</t>
        </is>
      </c>
      <c r="J12" s="412">
        <f>+FORMATO!M9</f>
        <v/>
      </c>
      <c r="K12" s="144" t="n"/>
      <c r="L12" s="144" t="n"/>
      <c r="M12" s="144" t="n"/>
    </row>
    <row r="13" ht="15.9" customHeight="1">
      <c r="A13" s="68" t="inlineStr">
        <is>
          <t>PROYECTO **</t>
        </is>
      </c>
      <c r="B13" s="17" t="inlineStr">
        <is>
          <t>:</t>
        </is>
      </c>
      <c r="C13" s="353">
        <f>+FORMATO!M4</f>
        <v/>
      </c>
      <c r="H13" s="21" t="inlineStr">
        <is>
          <t>F. EMISIÓN</t>
        </is>
      </c>
      <c r="I13" s="17" t="inlineStr">
        <is>
          <t>:</t>
        </is>
      </c>
      <c r="J13" s="413">
        <f>+FORMATO!M8</f>
        <v/>
      </c>
      <c r="K13" s="144" t="n"/>
      <c r="L13" s="144" t="n"/>
      <c r="M13" s="144" t="n"/>
    </row>
    <row r="14" ht="15.9" customHeight="1">
      <c r="A14" s="68" t="inlineStr">
        <is>
          <t>UBICACIÓN **</t>
        </is>
      </c>
      <c r="B14" s="17" t="inlineStr">
        <is>
          <t>:</t>
        </is>
      </c>
      <c r="C14" s="353">
        <f>+FORMATO!M5</f>
        <v/>
      </c>
      <c r="J14" s="414" t="n"/>
      <c r="K14" s="144" t="n"/>
      <c r="L14" s="144" t="n"/>
      <c r="M14" s="144" t="n"/>
    </row>
    <row r="15" ht="15.9" customHeight="1">
      <c r="A15" s="104" t="inlineStr">
        <is>
          <t>** Datos proporcionados por el cliente</t>
        </is>
      </c>
      <c r="B15" s="17" t="n"/>
      <c r="C15" s="353" t="n"/>
      <c r="D15" s="353" t="n"/>
      <c r="E15" s="353" t="n"/>
      <c r="F15" s="353" t="n"/>
      <c r="G15" s="353" t="n"/>
      <c r="H15" s="21" t="n"/>
      <c r="I15" s="17" t="n"/>
      <c r="J15" s="24" t="n"/>
      <c r="K15" s="144" t="n"/>
      <c r="L15" s="144" t="n"/>
      <c r="M15" s="144" t="n"/>
    </row>
    <row r="16" ht="29.4" customHeight="1">
      <c r="A16" s="358" t="inlineStr">
        <is>
          <t>MÉTODO DE ENSAYO PARA DETERMINAR EL CONTENIDO DE SALES SOLUBLES EN SUELOS Y AGUA SUBTERRANEA</t>
        </is>
      </c>
      <c r="B16" s="359" t="n"/>
      <c r="C16" s="359" t="n"/>
      <c r="D16" s="359" t="n"/>
      <c r="E16" s="359" t="n"/>
      <c r="F16" s="359" t="n"/>
      <c r="G16" s="359" t="n"/>
      <c r="H16" s="359" t="n"/>
      <c r="I16" s="359" t="n"/>
      <c r="J16" s="360" t="n"/>
      <c r="K16" s="144" t="n"/>
      <c r="L16" s="144" t="n"/>
      <c r="M16" s="144" t="n"/>
    </row>
    <row r="17" ht="18" customHeight="1">
      <c r="A17" s="361" t="inlineStr">
        <is>
          <t>NORMA  NTP 339.152</t>
        </is>
      </c>
      <c r="B17" s="362" t="n"/>
      <c r="C17" s="362" t="n"/>
      <c r="D17" s="362" t="n"/>
      <c r="E17" s="362" t="n"/>
      <c r="F17" s="362" t="n"/>
      <c r="G17" s="362" t="n"/>
      <c r="H17" s="362" t="n"/>
      <c r="I17" s="362" t="n"/>
      <c r="J17" s="363" t="n"/>
      <c r="K17" s="144" t="n"/>
      <c r="L17" s="144" t="n"/>
      <c r="M17" s="144" t="n"/>
    </row>
    <row r="18" ht="11.25" customHeight="1">
      <c r="A18" s="25" t="n"/>
      <c r="B18" s="26" t="n"/>
      <c r="C18" s="27" t="n"/>
      <c r="D18" s="27" t="n"/>
      <c r="E18" s="27" t="n"/>
      <c r="F18" s="27" t="n"/>
      <c r="G18" s="27" t="n"/>
      <c r="H18" s="28" t="n"/>
      <c r="I18" s="26" t="n"/>
      <c r="J18" s="29" t="n"/>
      <c r="K18" s="144" t="n"/>
      <c r="L18" s="144" t="n"/>
      <c r="M18" s="144" t="n"/>
    </row>
    <row r="19" ht="15.9" customHeight="1">
      <c r="A19" s="392" t="inlineStr">
        <is>
          <t>DATOS DE LA MUESTRA</t>
        </is>
      </c>
      <c r="J19" s="393" t="n"/>
      <c r="L19" s="144" t="n"/>
      <c r="M19" s="144" t="n"/>
    </row>
    <row r="20" ht="15.9" customHeight="1">
      <c r="A20" s="69" t="inlineStr">
        <is>
          <t>CANTERA/SONDAJE **</t>
        </is>
      </c>
      <c r="B20" s="17" t="inlineStr">
        <is>
          <t>:</t>
        </is>
      </c>
      <c r="C20" s="339">
        <f>+FORMATO!M15</f>
        <v/>
      </c>
      <c r="D20" s="105" t="n"/>
      <c r="E20" s="30" t="n"/>
      <c r="F20" s="18" t="n"/>
      <c r="G20" s="18" t="n"/>
      <c r="H20" s="72" t="inlineStr">
        <is>
          <t>CÓDIGO DE LA MUESTRA</t>
        </is>
      </c>
      <c r="I20" s="30" t="inlineStr">
        <is>
          <t>:</t>
        </is>
      </c>
      <c r="J20" s="415">
        <f>+FORMATO!M11</f>
        <v/>
      </c>
      <c r="L20" s="144" t="n"/>
      <c r="M20" s="144" t="n"/>
    </row>
    <row r="21" ht="15.9" customHeight="1">
      <c r="A21" s="69" t="inlineStr">
        <is>
          <t>N° MUESTRA **</t>
        </is>
      </c>
      <c r="B21" s="17" t="inlineStr">
        <is>
          <t>:</t>
        </is>
      </c>
      <c r="C21" s="339">
        <f>+FORMATO!M16</f>
        <v/>
      </c>
      <c r="D21" s="70" t="n"/>
      <c r="E21" s="30" t="n"/>
      <c r="F21" s="18" t="n"/>
      <c r="G21" s="18" t="n"/>
      <c r="H21" s="72" t="inlineStr">
        <is>
          <t>FECHA DE RECEPCIÓN</t>
        </is>
      </c>
      <c r="I21" s="30" t="inlineStr">
        <is>
          <t>:</t>
        </is>
      </c>
      <c r="J21" s="416">
        <f>+FORMATO!M12</f>
        <v/>
      </c>
      <c r="L21" s="144" t="n"/>
      <c r="M21" s="144" t="n"/>
    </row>
    <row r="22" ht="15.9" customHeight="1">
      <c r="A22" s="69" t="inlineStr">
        <is>
          <t>TIPO DE MUESTRA**</t>
        </is>
      </c>
      <c r="B22" s="17" t="inlineStr">
        <is>
          <t>:</t>
        </is>
      </c>
      <c r="C22" s="339">
        <f>+FORMATO!M17</f>
        <v/>
      </c>
      <c r="D22" s="70" t="n"/>
      <c r="E22" s="30" t="n"/>
      <c r="F22" s="18" t="n"/>
      <c r="G22" s="18" t="n"/>
      <c r="H22" s="72" t="inlineStr">
        <is>
          <t>FECHA DE EJECUCIÓN</t>
        </is>
      </c>
      <c r="I22" s="30" t="inlineStr">
        <is>
          <t>:</t>
        </is>
      </c>
      <c r="J22" s="416">
        <f>+FORMATO!M13</f>
        <v/>
      </c>
      <c r="L22" s="144" t="n"/>
      <c r="M22" s="144" t="n"/>
    </row>
    <row r="23" ht="12" customHeight="1">
      <c r="A23" s="71" t="inlineStr">
        <is>
          <t>LUGAR DE ENSAYO</t>
        </is>
      </c>
      <c r="B23" s="107" t="inlineStr">
        <is>
          <t>:</t>
        </is>
      </c>
      <c r="C23" s="103" t="inlineStr">
        <is>
          <t>Laboratorio de ensayo de materiales</t>
        </is>
      </c>
      <c r="D23" s="106" t="n"/>
      <c r="E23" s="173" t="n"/>
      <c r="F23" s="173" t="n"/>
      <c r="G23" s="173" t="n"/>
      <c r="H23" s="173" t="n"/>
      <c r="I23" s="173" t="n"/>
      <c r="J23" s="174" t="n"/>
      <c r="L23" s="144" t="n"/>
      <c r="M23" s="144" t="n"/>
    </row>
    <row r="24" ht="24.75" customHeight="1">
      <c r="A24" s="49" t="n"/>
      <c r="B24" s="344" t="n"/>
      <c r="D24" s="344" t="n"/>
      <c r="E24" s="344" t="n"/>
      <c r="F24" s="344" t="n"/>
      <c r="G24" s="344" t="n"/>
      <c r="H24" s="344" t="n"/>
      <c r="J24" s="51" t="n"/>
      <c r="K24" s="144" t="n"/>
      <c r="L24" s="31" t="n"/>
      <c r="M24" s="31" t="n"/>
    </row>
    <row r="25" ht="18.75" customHeight="1">
      <c r="A25" s="146" t="n"/>
      <c r="B25" s="32" t="inlineStr">
        <is>
          <t>Volumen de la Solucion Tomada</t>
        </is>
      </c>
      <c r="C25" s="147" t="n"/>
      <c r="D25" s="33" t="n"/>
      <c r="E25" s="34" t="inlineStr">
        <is>
          <t>(ml)</t>
        </is>
      </c>
      <c r="F25" s="417">
        <f>+'DATOS AGUA'!F5</f>
        <v/>
      </c>
      <c r="G25" s="418" t="n"/>
      <c r="H25" s="40" t="n"/>
      <c r="I25" s="35" t="n"/>
      <c r="J25" s="52" t="n"/>
      <c r="K25" s="144" t="n"/>
      <c r="L25" s="36" t="n"/>
      <c r="M25" s="37" t="n"/>
    </row>
    <row r="26" ht="18.75" customHeight="1">
      <c r="A26" s="146" t="n"/>
      <c r="B26" s="38" t="inlineStr">
        <is>
          <t xml:space="preserve"> Peso de Capsula</t>
        </is>
      </c>
      <c r="C26" s="148" t="n"/>
      <c r="D26" s="42" t="n"/>
      <c r="E26" s="39" t="inlineStr">
        <is>
          <t>(g)</t>
        </is>
      </c>
      <c r="F26" s="419">
        <f>+'DATOS AGUA'!F6</f>
        <v/>
      </c>
      <c r="G26" s="419">
        <f>+'DATOS AGUA'!G6</f>
        <v/>
      </c>
      <c r="H26" s="43" t="n"/>
      <c r="I26" s="35" t="n"/>
      <c r="J26" s="52" t="n"/>
      <c r="K26" s="144" t="n"/>
      <c r="L26" s="36" t="n"/>
      <c r="M26" s="37" t="n"/>
    </row>
    <row r="27" ht="18.75" customHeight="1">
      <c r="A27" s="146" t="n"/>
      <c r="B27" s="38" t="inlineStr">
        <is>
          <t xml:space="preserve"> Peso de Capsula + Sales Solubles</t>
        </is>
      </c>
      <c r="C27" s="148" t="n"/>
      <c r="D27" s="42" t="n"/>
      <c r="E27" s="39" t="inlineStr">
        <is>
          <t>(g)</t>
        </is>
      </c>
      <c r="F27" s="419">
        <f>+'DATOS AGUA'!F7</f>
        <v/>
      </c>
      <c r="G27" s="419">
        <f>+'DATOS AGUA'!G7</f>
        <v/>
      </c>
      <c r="H27" s="45" t="n"/>
      <c r="I27" s="405" t="n"/>
      <c r="J27" s="53" t="n"/>
      <c r="K27" s="150" t="n"/>
      <c r="L27" s="36" t="n"/>
      <c r="M27" s="37" t="n"/>
    </row>
    <row r="28" ht="18.75" customHeight="1">
      <c r="A28" s="146" t="n"/>
      <c r="B28" s="38" t="inlineStr">
        <is>
          <t xml:space="preserve"> Peso de Sales Solubles</t>
        </is>
      </c>
      <c r="C28" s="148" t="n"/>
      <c r="D28" s="42" t="n"/>
      <c r="E28" s="39" t="inlineStr">
        <is>
          <t>(g)</t>
        </is>
      </c>
      <c r="F28" s="121">
        <f>F27-F26</f>
        <v/>
      </c>
      <c r="G28" s="121">
        <f>G27-G26</f>
        <v/>
      </c>
      <c r="H28" s="122" t="inlineStr">
        <is>
          <t>Promedio</t>
        </is>
      </c>
      <c r="I28" s="44" t="n"/>
      <c r="J28" s="54" t="n"/>
      <c r="K28" s="144" t="n"/>
      <c r="L28" s="144" t="n"/>
      <c r="M28" s="144" t="n"/>
    </row>
    <row r="29" ht="18.75" customHeight="1">
      <c r="A29" s="146" t="n"/>
      <c r="B29" s="129" t="inlineStr">
        <is>
          <t xml:space="preserve"> Contenido de Sales Solubles</t>
        </is>
      </c>
      <c r="C29" s="151" t="n"/>
      <c r="D29" s="130" t="n"/>
      <c r="E29" s="132" t="inlineStr">
        <is>
          <t>(mg/L)</t>
        </is>
      </c>
      <c r="F29" s="152">
        <f>(F28/F25)*1000000</f>
        <v/>
      </c>
      <c r="G29" s="152">
        <f>(G28/F25)*1000000</f>
        <v/>
      </c>
      <c r="H29" s="134">
        <f>AVERAGE(F29:G29)</f>
        <v/>
      </c>
      <c r="I29" s="44" t="n"/>
      <c r="J29" s="54" t="n"/>
      <c r="K29" s="144" t="n"/>
      <c r="L29" s="144" t="n"/>
      <c r="M29" s="144" t="n"/>
    </row>
    <row r="30" ht="27.75" customHeight="1">
      <c r="A30" s="55" t="n"/>
      <c r="B30" s="153" t="n"/>
      <c r="C30" s="154" t="n"/>
      <c r="D30" s="154" t="n"/>
      <c r="E30" s="154" t="n"/>
      <c r="F30" s="155" t="n"/>
      <c r="G30" s="156" t="n"/>
      <c r="H30" s="157" t="n"/>
      <c r="I30" s="56" t="n"/>
      <c r="J30" s="57" t="n"/>
      <c r="K30" s="144" t="n"/>
      <c r="L30" s="144" t="n"/>
      <c r="M30" s="144" t="n"/>
    </row>
    <row r="31" ht="15.9" customHeight="1">
      <c r="D31" s="46" t="n"/>
      <c r="E31" s="46" t="n"/>
      <c r="F31" s="46" t="n"/>
      <c r="G31" s="46" t="n"/>
      <c r="H31" s="46" t="n"/>
      <c r="I31" s="46" t="n"/>
      <c r="J31" s="46" t="n"/>
      <c r="K31" s="144" t="n"/>
      <c r="L31" s="144" t="n"/>
      <c r="M31" s="144" t="n"/>
    </row>
    <row r="32" ht="15.9" customHeight="1">
      <c r="A32" s="47" t="inlineStr">
        <is>
          <t>Nota :</t>
        </is>
      </c>
      <c r="B32" s="47" t="n"/>
      <c r="C32" s="47" t="n"/>
      <c r="D32" s="47" t="n"/>
      <c r="E32" s="47" t="n"/>
      <c r="F32" s="47" t="n"/>
      <c r="G32" s="47" t="n"/>
      <c r="H32" s="46" t="n"/>
      <c r="I32" s="46" t="n"/>
      <c r="J32" s="46" t="n"/>
      <c r="K32" s="144" t="n"/>
      <c r="L32" s="144" t="n"/>
      <c r="M32" s="144" t="n"/>
    </row>
    <row r="33" ht="15.9" customHeight="1">
      <c r="A33" s="93" t="inlineStr">
        <is>
          <t>- Los datos de identificación de la muestra son proporcionados por el cliente.</t>
        </is>
      </c>
      <c r="B33" s="167" t="n"/>
      <c r="C33" s="167" t="n"/>
      <c r="D33" s="167" t="n"/>
      <c r="E33" s="167" t="n"/>
      <c r="F33" s="13" t="n"/>
      <c r="G33" s="13" t="n"/>
      <c r="H33" s="13" t="n"/>
      <c r="I33" s="13" t="n"/>
      <c r="J33" s="13" t="n"/>
      <c r="K33" s="78" t="n"/>
      <c r="L33" s="78" t="n"/>
      <c r="M33" s="78" t="n"/>
    </row>
    <row r="34" ht="15.9" customHeight="1">
      <c r="A34" s="93" t="inlineStr">
        <is>
          <t>- Los resultados corresponden sólo a los ensayos realizados sobre la muestra proporcionada por el cliente.</t>
        </is>
      </c>
      <c r="B34" s="167" t="n"/>
      <c r="C34" s="167" t="n"/>
      <c r="D34" s="167" t="n"/>
      <c r="E34" s="167" t="n"/>
      <c r="F34" s="13" t="n"/>
      <c r="G34" s="13" t="n"/>
      <c r="H34" s="13" t="n"/>
      <c r="I34" s="13" t="n"/>
      <c r="J34" s="13" t="n"/>
      <c r="K34" s="78" t="n"/>
      <c r="L34" s="78" t="n"/>
      <c r="M34" s="78" t="n"/>
    </row>
    <row r="35" ht="25.5" customHeight="1">
      <c r="A35" s="341" t="inlineStr">
        <is>
          <t xml:space="preserve">- Los resultados de los ensayos no deben ser utilizados como una certificación de conformidad con normas de productos o como certificado del sistema de cálidad de Geofal SAC. </t>
        </is>
      </c>
      <c r="K35" s="108" t="n"/>
      <c r="L35" s="108" t="n"/>
      <c r="M35" s="108" t="n"/>
    </row>
    <row r="36" ht="15.9" customHeight="1">
      <c r="A36" s="93" t="inlineStr">
        <is>
          <t>- Prohibida la reproducción total o parcial del presente informe de ensayo sin la autorización escrita de Geofal S.A.C.</t>
        </is>
      </c>
      <c r="B36" s="167" t="n"/>
      <c r="C36" s="167" t="n"/>
      <c r="D36" s="167" t="n"/>
      <c r="E36" s="167" t="n"/>
      <c r="F36" s="13" t="n"/>
      <c r="G36" s="13" t="n"/>
      <c r="H36" s="13" t="n"/>
      <c r="I36" s="13" t="n"/>
      <c r="J36" s="13" t="n"/>
      <c r="K36" s="78" t="n"/>
      <c r="L36" s="78" t="n"/>
      <c r="M36" s="78" t="n"/>
    </row>
    <row r="37" ht="15.9" customHeight="1">
      <c r="A37" s="168" t="n"/>
      <c r="B37" s="73" t="n"/>
      <c r="C37" s="73" t="n"/>
      <c r="D37" s="73" t="n"/>
      <c r="E37" s="73" t="n"/>
      <c r="F37" s="73" t="n"/>
      <c r="G37" s="73" t="n"/>
      <c r="H37" s="73" t="n"/>
      <c r="I37" s="169" t="n"/>
      <c r="J37" s="89" t="n"/>
      <c r="K37" s="86" t="n"/>
      <c r="L37" s="87" t="n"/>
      <c r="M37" s="87" t="n"/>
    </row>
    <row r="38" ht="15.9" customHeight="1">
      <c r="A38" s="90" t="inlineStr">
        <is>
          <t>Observaciones:</t>
        </is>
      </c>
      <c r="B38" s="170" t="n"/>
      <c r="C38" s="171" t="n"/>
      <c r="D38" s="171" t="n"/>
      <c r="E38" s="171" t="n"/>
      <c r="F38" s="171" t="n"/>
      <c r="G38" s="171" t="n"/>
      <c r="H38" s="171" t="n"/>
      <c r="I38" s="171" t="n"/>
      <c r="J38" s="171" t="n"/>
      <c r="K38" s="171" t="n"/>
      <c r="L38" s="171" t="n"/>
      <c r="M38" s="171" t="n"/>
    </row>
    <row r="39" ht="15.9" customHeight="1">
      <c r="A39" s="175" t="n"/>
      <c r="B39" s="47" t="n"/>
      <c r="C39" s="47" t="n"/>
      <c r="D39" s="47" t="n"/>
      <c r="E39" s="47" t="n"/>
      <c r="F39" s="47" t="n"/>
      <c r="G39" s="47" t="n"/>
      <c r="H39" s="46" t="n"/>
      <c r="I39" s="46" t="n"/>
      <c r="J39" s="46" t="n"/>
      <c r="K39" s="144" t="n"/>
      <c r="L39" s="144" t="n"/>
      <c r="M39" s="144" t="n"/>
    </row>
    <row r="40" ht="15.9" customHeight="1">
      <c r="A40" s="175" t="n"/>
      <c r="B40" s="47" t="n"/>
      <c r="C40" s="47" t="n"/>
      <c r="D40" s="47" t="n"/>
      <c r="E40" s="47" t="n"/>
      <c r="F40" s="47" t="n"/>
      <c r="G40" s="47" t="n"/>
      <c r="H40" s="46" t="n"/>
      <c r="I40" s="46" t="n"/>
      <c r="J40" s="46" t="n"/>
      <c r="K40" s="144" t="n"/>
      <c r="L40" s="144" t="n"/>
      <c r="M40" s="144" t="n"/>
    </row>
    <row r="41" ht="15.9" customHeight="1">
      <c r="A41" s="175" t="n"/>
      <c r="B41" s="47" t="n"/>
      <c r="C41" s="47" t="n"/>
      <c r="D41" s="47" t="n"/>
      <c r="E41" s="47" t="n"/>
      <c r="F41" s="47" t="n"/>
      <c r="G41" s="47" t="n"/>
      <c r="H41" s="46" t="n"/>
      <c r="I41" s="46" t="n"/>
      <c r="J41" s="46" t="n"/>
      <c r="K41" s="144" t="n"/>
      <c r="L41" s="144" t="n"/>
      <c r="M41" s="144" t="n"/>
    </row>
    <row r="42" ht="15.9" customHeight="1">
      <c r="A42" s="48" t="n"/>
      <c r="B42" s="30" t="n"/>
      <c r="C42" s="30" t="n"/>
      <c r="D42" s="47" t="n"/>
      <c r="E42" s="47" t="n"/>
      <c r="F42" s="47" t="n"/>
      <c r="G42" s="47" t="n"/>
      <c r="H42" s="46" t="n"/>
      <c r="I42" s="46" t="n"/>
      <c r="J42" s="46" t="n"/>
      <c r="K42" s="144" t="n"/>
      <c r="L42" s="144" t="n"/>
      <c r="M42" s="144" t="n"/>
    </row>
    <row r="43" ht="15.9" customHeight="1">
      <c r="A43" s="48" t="n"/>
      <c r="B43" s="30" t="n"/>
      <c r="C43" s="30" t="n"/>
      <c r="D43" s="47" t="n"/>
      <c r="E43" s="47" t="n"/>
      <c r="F43" s="47" t="n"/>
      <c r="G43" s="47" t="n"/>
      <c r="H43" s="46" t="n"/>
      <c r="I43" s="46" t="n"/>
      <c r="J43" s="46" t="n"/>
      <c r="K43" s="144" t="n"/>
      <c r="L43" s="144" t="n"/>
      <c r="M43" s="144" t="n"/>
    </row>
    <row r="44" ht="15.9" customHeight="1">
      <c r="B44" s="47" t="n"/>
      <c r="C44" s="47" t="n"/>
      <c r="D44" s="47" t="n"/>
      <c r="E44" s="47" t="n"/>
      <c r="F44" s="47" t="n"/>
      <c r="G44" s="47" t="n"/>
      <c r="H44" s="46" t="n"/>
      <c r="I44" s="46" t="n"/>
      <c r="J44" s="46" t="n"/>
      <c r="K44" s="144" t="n"/>
      <c r="L44" s="144" t="n"/>
      <c r="M44" s="144" t="n"/>
    </row>
    <row r="45" ht="15.9" customHeight="1">
      <c r="A45" s="48" t="inlineStr">
        <is>
          <t>Página 1 de 1</t>
        </is>
      </c>
      <c r="B45" s="47" t="n"/>
      <c r="C45" s="47" t="n"/>
      <c r="D45" s="47" t="n"/>
      <c r="E45" s="47" t="n"/>
      <c r="F45" s="47" t="n"/>
      <c r="G45" s="47" t="n"/>
      <c r="H45" s="46" t="n"/>
      <c r="I45" s="46" t="n"/>
      <c r="J45" s="46" t="n"/>
      <c r="K45" s="144" t="n"/>
      <c r="L45" s="144" t="n"/>
      <c r="M45" s="144" t="n"/>
    </row>
    <row r="46" ht="15.9" customHeight="1">
      <c r="A46" s="48" t="inlineStr">
        <is>
          <t>Versión : 02 (02-01-2021)</t>
        </is>
      </c>
      <c r="B46" s="46" t="n"/>
      <c r="C46" s="46" t="n"/>
      <c r="D46" s="46" t="n"/>
      <c r="E46" s="46" t="n"/>
      <c r="F46" s="46" t="n"/>
      <c r="G46" s="46" t="n"/>
      <c r="H46" s="46" t="n"/>
      <c r="I46" s="46" t="n"/>
      <c r="J46" s="88" t="inlineStr">
        <is>
          <t>Fin del Documento</t>
        </is>
      </c>
      <c r="K46" s="144" t="n"/>
      <c r="L46" s="144" t="n"/>
      <c r="M46" s="144" t="n"/>
    </row>
    <row r="47" ht="15.9" customHeight="1"/>
    <row r="48" ht="15.9" customHeight="1"/>
  </sheetData>
  <mergeCells count="13">
    <mergeCell ref="C14:I14"/>
    <mergeCell ref="B24:C24"/>
    <mergeCell ref="C12:G12"/>
    <mergeCell ref="A8:J8"/>
    <mergeCell ref="A17:J17"/>
    <mergeCell ref="A9:J9"/>
    <mergeCell ref="H24:I24"/>
    <mergeCell ref="F25:G25"/>
    <mergeCell ref="C11:G11"/>
    <mergeCell ref="A35:J35"/>
    <mergeCell ref="A16:J16"/>
    <mergeCell ref="C13:G13"/>
    <mergeCell ref="A19:J19"/>
  </mergeCells>
  <printOptions horizontalCentered="1"/>
  <pageMargins left="0" right="0" top="0.1968503937007874" bottom="0" header="0.1181102362204725" footer="0"/>
  <pageSetup orientation="portrait" paperSize="9" scale="93"/>
  <headerFooter scaleWithDoc="0"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view="pageBreakPreview" zoomScaleNormal="100" zoomScaleSheetLayoutView="100" workbookViewId="0">
      <selection activeCell="G7" sqref="G7"/>
    </sheetView>
  </sheetViews>
  <sheetFormatPr baseColWidth="10" defaultColWidth="10.33203125" defaultRowHeight="13.8"/>
  <cols>
    <col width="15.88671875" customWidth="1" style="139" min="1" max="1"/>
    <col width="2" customWidth="1" style="139" min="2" max="2"/>
    <col width="12.33203125" customWidth="1" style="139" min="3" max="4"/>
    <col width="6.5546875" customWidth="1" style="139" min="5" max="5"/>
    <col width="9.88671875" customWidth="1" style="139" min="6" max="8"/>
    <col width="2" customWidth="1" style="139" min="9" max="9"/>
    <col width="13.5546875" customWidth="1" style="139" min="10" max="10"/>
    <col width="6.44140625" customWidth="1" style="139" min="11" max="12"/>
    <col width="8" customWidth="1" style="139" min="13" max="13"/>
    <col width="10.33203125" customWidth="1" style="139" min="14" max="16384"/>
  </cols>
  <sheetData>
    <row r="1" ht="57.75" customHeight="1">
      <c r="A1" s="104" t="n"/>
      <c r="B1" s="17" t="n"/>
      <c r="C1" s="353" t="n"/>
      <c r="D1" s="353" t="n"/>
      <c r="E1" s="353" t="n"/>
      <c r="F1" s="353" t="n"/>
      <c r="G1" s="353" t="n"/>
      <c r="H1" s="21" t="n"/>
      <c r="I1" s="17" t="n"/>
      <c r="J1" s="24" t="n"/>
      <c r="K1" s="176" t="n"/>
      <c r="L1" s="176" t="n"/>
      <c r="M1" s="176" t="n"/>
    </row>
    <row r="2" ht="29.4" customHeight="1">
      <c r="A2" s="390" t="inlineStr">
        <is>
          <t>MÉTODO DE ENSAYO PARA DETERMINAR EL CONTENIDO DE SALES SOLUBLES EN SUELOS Y AGUA SUBTERRANEA</t>
        </is>
      </c>
      <c r="B2" s="372" t="n"/>
      <c r="C2" s="372" t="n"/>
      <c r="D2" s="372" t="n"/>
      <c r="E2" s="372" t="n"/>
      <c r="F2" s="372" t="n"/>
      <c r="G2" s="372" t="n"/>
      <c r="H2" s="372" t="n"/>
      <c r="I2" s="372" t="n"/>
      <c r="J2" s="373" t="n"/>
      <c r="K2" s="176" t="n"/>
      <c r="L2" s="176" t="n"/>
      <c r="M2" s="176" t="n"/>
    </row>
    <row r="3" ht="18" customHeight="1">
      <c r="A3" s="391" t="inlineStr">
        <is>
          <t>NORMA  NTP 339.152</t>
        </is>
      </c>
      <c r="B3" s="375" t="n"/>
      <c r="C3" s="375" t="n"/>
      <c r="D3" s="375" t="n"/>
      <c r="E3" s="375" t="n"/>
      <c r="F3" s="375" t="n"/>
      <c r="G3" s="375" t="n"/>
      <c r="H3" s="375" t="n"/>
      <c r="I3" s="375" t="n"/>
      <c r="J3" s="376" t="n"/>
      <c r="K3" s="176" t="n"/>
      <c r="L3" s="176" t="n"/>
      <c r="M3" s="176" t="n"/>
    </row>
    <row r="4" ht="24.75" customHeight="1">
      <c r="A4" s="49" t="n"/>
      <c r="B4" s="344" t="n"/>
      <c r="D4" s="344" t="n"/>
      <c r="E4" s="344" t="n"/>
      <c r="F4" s="344" t="n"/>
      <c r="G4" s="344" t="n"/>
      <c r="H4" s="344" t="n"/>
      <c r="J4" s="51" t="n"/>
      <c r="K4" s="176" t="n"/>
      <c r="L4" s="181" t="n"/>
      <c r="M4" s="181" t="n"/>
    </row>
    <row r="5" ht="18.75" customHeight="1">
      <c r="A5" s="183" t="n"/>
      <c r="B5" s="32" t="inlineStr">
        <is>
          <t>Volumen de la Solucion Tomada</t>
        </is>
      </c>
      <c r="C5" s="117" t="n"/>
      <c r="D5" s="33" t="n"/>
      <c r="E5" s="34" t="inlineStr">
        <is>
          <t>(ml)</t>
        </is>
      </c>
      <c r="F5" s="182" t="n">
        <v>100</v>
      </c>
      <c r="G5" s="189" t="n"/>
      <c r="H5" s="40" t="n"/>
      <c r="I5" s="35" t="n"/>
      <c r="J5" s="52" t="n"/>
      <c r="K5" s="176" t="n"/>
      <c r="L5" s="36" t="n"/>
      <c r="M5" s="37" t="n"/>
    </row>
    <row r="6" ht="18.75" customHeight="1">
      <c r="A6" s="183" t="n"/>
      <c r="B6" s="38" t="inlineStr">
        <is>
          <t xml:space="preserve"> Peso de Capsula</t>
        </is>
      </c>
      <c r="C6" s="118" t="n"/>
      <c r="D6" s="42" t="n"/>
      <c r="E6" s="39" t="inlineStr">
        <is>
          <t>(g)</t>
        </is>
      </c>
      <c r="F6" s="410" t="n">
        <v>44.4126</v>
      </c>
      <c r="G6" s="410" t="n">
        <v>45.3049</v>
      </c>
      <c r="H6" s="43" t="n"/>
      <c r="I6" s="35" t="n"/>
      <c r="J6" s="52" t="n"/>
      <c r="K6" s="176" t="n"/>
      <c r="L6" s="36" t="n"/>
      <c r="M6" s="37" t="n"/>
    </row>
    <row r="7" ht="18.75" customHeight="1">
      <c r="A7" s="183" t="n"/>
      <c r="B7" s="38" t="inlineStr">
        <is>
          <t xml:space="preserve"> Peso de Capsula + Sales Solubles</t>
        </is>
      </c>
      <c r="C7" s="118" t="n"/>
      <c r="D7" s="42" t="n"/>
      <c r="E7" s="39" t="inlineStr">
        <is>
          <t>(g)</t>
        </is>
      </c>
      <c r="F7" s="410" t="n">
        <v>44.4363</v>
      </c>
      <c r="G7" s="410" t="n">
        <v>45.329</v>
      </c>
      <c r="H7" s="45" t="n"/>
      <c r="I7" s="405" t="n"/>
      <c r="J7" s="53" t="n"/>
      <c r="K7" s="180" t="n"/>
      <c r="L7" s="36" t="n"/>
      <c r="M7" s="37" t="n"/>
    </row>
    <row r="8" ht="18.75" customHeight="1">
      <c r="A8" s="183" t="n"/>
      <c r="B8" s="38" t="inlineStr">
        <is>
          <t xml:space="preserve"> Peso de Sales Solubles</t>
        </is>
      </c>
      <c r="C8" s="118" t="n"/>
      <c r="D8" s="42" t="n"/>
      <c r="E8" s="39" t="inlineStr">
        <is>
          <t>(g)</t>
        </is>
      </c>
      <c r="F8" s="121">
        <f>F7-F6</f>
        <v/>
      </c>
      <c r="G8" s="121">
        <f>G7-G6</f>
        <v/>
      </c>
      <c r="H8" s="122" t="inlineStr">
        <is>
          <t>Promedio</t>
        </is>
      </c>
      <c r="I8" s="82" t="n"/>
      <c r="J8" s="184" t="n"/>
      <c r="K8" s="176" t="n"/>
      <c r="L8" s="176" t="n"/>
      <c r="M8" s="176" t="n"/>
    </row>
    <row r="9" ht="18.75" customHeight="1">
      <c r="A9" s="183" t="n"/>
      <c r="B9" s="129" t="inlineStr">
        <is>
          <t xml:space="preserve"> Contenido de Sales Solubles</t>
        </is>
      </c>
      <c r="C9" s="131" t="n"/>
      <c r="D9" s="130" t="n"/>
      <c r="E9" s="132" t="inlineStr">
        <is>
          <t>(mg/L)</t>
        </is>
      </c>
      <c r="F9" s="152">
        <f>(F8/F5)*1000000</f>
        <v/>
      </c>
      <c r="G9" s="152">
        <f>(G8/F5)*1000000</f>
        <v/>
      </c>
      <c r="H9" s="134">
        <f>AVERAGE(F9:G9)</f>
        <v/>
      </c>
      <c r="I9" s="82" t="n"/>
      <c r="J9" s="184" t="n"/>
      <c r="K9" s="176" t="n"/>
      <c r="L9" s="176" t="n"/>
      <c r="M9" s="176" t="n"/>
    </row>
    <row r="10" ht="18.75" customHeight="1">
      <c r="A10" s="183" t="n"/>
      <c r="B10" s="18" t="n"/>
      <c r="C10" s="18" t="n"/>
      <c r="D10" s="18" t="n"/>
      <c r="E10" s="18" t="n"/>
      <c r="F10" s="18" t="n"/>
      <c r="G10" s="18" t="n"/>
      <c r="H10" s="18" t="n"/>
      <c r="I10" s="82" t="n"/>
      <c r="J10" s="184" t="n"/>
      <c r="K10" s="176" t="n"/>
      <c r="L10" s="176" t="n"/>
      <c r="M10" s="176" t="n"/>
    </row>
    <row r="11" ht="18.75" customHeight="1">
      <c r="A11" s="183" t="n"/>
      <c r="B11" s="18" t="n"/>
      <c r="C11" s="18" t="n"/>
      <c r="D11" s="18" t="n"/>
      <c r="E11" s="18" t="n"/>
      <c r="F11" s="18" t="n"/>
      <c r="G11" s="18" t="n"/>
      <c r="H11" s="18" t="n"/>
      <c r="I11" s="82" t="n"/>
      <c r="J11" s="184" t="n"/>
      <c r="K11" s="176" t="n"/>
      <c r="L11" s="176" t="n"/>
      <c r="M11" s="176" t="n"/>
    </row>
    <row r="12" ht="18.75" customHeight="1">
      <c r="A12" s="183" t="n"/>
      <c r="B12" s="18" t="n"/>
      <c r="C12" s="18" t="n"/>
      <c r="D12" s="18" t="n"/>
      <c r="E12" s="18" t="n"/>
      <c r="F12" s="18" t="n"/>
      <c r="G12" s="18" t="n"/>
      <c r="H12" s="18" t="n"/>
      <c r="I12" s="82" t="n"/>
      <c r="J12" s="184" t="n"/>
      <c r="K12" s="176" t="n"/>
      <c r="L12" s="176" t="n"/>
      <c r="M12" s="176" t="n"/>
    </row>
    <row r="13" ht="27.75" customHeight="1">
      <c r="A13" s="185" t="n"/>
      <c r="B13" s="186" t="n"/>
      <c r="C13" s="154" t="n"/>
      <c r="D13" s="154" t="n"/>
      <c r="E13" s="154" t="n"/>
      <c r="F13" s="155" t="n"/>
      <c r="G13" s="156" t="n"/>
      <c r="H13" s="157" t="n"/>
      <c r="I13" s="187" t="n"/>
      <c r="J13" s="188" t="n"/>
      <c r="K13" s="176" t="n"/>
      <c r="L13" s="176" t="n"/>
      <c r="M13" s="176" t="n"/>
    </row>
    <row r="14" ht="15.9" customHeight="1">
      <c r="D14" s="78" t="n"/>
      <c r="E14" s="78" t="n"/>
      <c r="F14" s="78" t="n"/>
      <c r="G14" s="78" t="n"/>
      <c r="H14" s="78" t="n"/>
      <c r="I14" s="78" t="n"/>
      <c r="J14" s="78" t="n"/>
      <c r="K14" s="176" t="n"/>
      <c r="L14" s="176" t="n"/>
      <c r="M14" s="176" t="n"/>
    </row>
  </sheetData>
  <mergeCells count="4">
    <mergeCell ref="A3:J3"/>
    <mergeCell ref="B4:C4"/>
    <mergeCell ref="H4:I4"/>
    <mergeCell ref="A2:J2"/>
  </mergeCells>
  <printOptions horizontalCentered="1"/>
  <pageMargins left="0" right="0" top="0.1968503937007874" bottom="0" header="0.1181102362204725" footer="0"/>
  <pageSetup orientation="portrait" paperSize="9" scale="93"/>
  <headerFooter scaleWithDoc="0"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Hoja3">
    <outlinePr summaryBelow="1" summaryRight="1"/>
    <pageSetUpPr/>
  </sheetPr>
  <dimension ref="A2:M8"/>
  <sheetViews>
    <sheetView workbookViewId="0">
      <selection activeCell="D26" sqref="D26"/>
    </sheetView>
  </sheetViews>
  <sheetFormatPr baseColWidth="10" defaultRowHeight="13.2"/>
  <cols>
    <col width="10.44140625" customWidth="1" min="1" max="2"/>
    <col width="18.33203125" customWidth="1" min="3" max="3"/>
    <col width="20" customWidth="1" min="4" max="4"/>
    <col width="12.44140625" customWidth="1" min="6" max="6"/>
    <col width="17.6640625" customWidth="1" min="11" max="11"/>
    <col width="12.44140625" customWidth="1" min="12" max="12"/>
    <col width="15.44140625" customWidth="1" min="13" max="13"/>
  </cols>
  <sheetData>
    <row r="2" ht="18.75" customHeight="1">
      <c r="A2" s="354" t="inlineStr">
        <is>
          <t>CODIGO</t>
        </is>
      </c>
      <c r="B2" s="356" t="n"/>
      <c r="C2" s="5" t="inlineStr">
        <is>
          <t>CONCATENADOS</t>
        </is>
      </c>
      <c r="D2" s="4" t="inlineStr">
        <is>
          <t>DESCRIPCION</t>
        </is>
      </c>
      <c r="E2" s="4" t="inlineStr">
        <is>
          <t>FC</t>
        </is>
      </c>
      <c r="F2" s="4" t="inlineStr">
        <is>
          <t>F. MOLDEO</t>
        </is>
      </c>
      <c r="G2" s="4" t="inlineStr">
        <is>
          <t>DIA</t>
        </is>
      </c>
      <c r="H2" s="4" t="inlineStr">
        <is>
          <t>DIAMETRO</t>
        </is>
      </c>
      <c r="I2" s="4" t="inlineStr">
        <is>
          <t>CARGA</t>
        </is>
      </c>
      <c r="J2" s="4" t="inlineStr">
        <is>
          <t>AREA</t>
        </is>
      </c>
      <c r="K2" s="4" t="inlineStr">
        <is>
          <t>RESIS. CONCRETO</t>
        </is>
      </c>
      <c r="L2" s="4" t="inlineStr">
        <is>
          <t>% RESIS</t>
        </is>
      </c>
      <c r="M2" s="4" t="inlineStr">
        <is>
          <t>TIPO DE FALLA</t>
        </is>
      </c>
    </row>
    <row r="3" ht="18.75" customHeight="1">
      <c r="A3" s="7" t="n">
        <v>4400</v>
      </c>
      <c r="B3" s="1">
        <f>+A3+1</f>
        <v/>
      </c>
      <c r="C3" s="420">
        <f>A3&amp;"-"&amp;B3</f>
        <v/>
      </c>
      <c r="D3" s="7" t="inlineStr">
        <is>
          <t>Columnas C-9;5-3/G.H</t>
        </is>
      </c>
      <c r="E3" s="7" t="n">
        <v>350</v>
      </c>
      <c r="F3" s="8" t="n">
        <v>42347</v>
      </c>
      <c r="G3" s="1" t="n">
        <v>7</v>
      </c>
      <c r="H3" s="9" t="n">
        <v>15.05</v>
      </c>
      <c r="I3" s="7" t="n">
        <v>49900</v>
      </c>
      <c r="J3" s="2">
        <f>H3*H3*PI()/4</f>
        <v/>
      </c>
      <c r="K3" s="10">
        <f>I3/J3</f>
        <v/>
      </c>
      <c r="L3" s="3">
        <f>+K3/E3</f>
        <v/>
      </c>
      <c r="M3" s="12" t="inlineStr">
        <is>
          <t>E</t>
        </is>
      </c>
    </row>
    <row r="4" ht="18.75" customHeight="1">
      <c r="A4" s="1" t="n"/>
      <c r="B4" s="1" t="n"/>
      <c r="C4" s="6">
        <f>A4&amp;"-"&amp;B4</f>
        <v/>
      </c>
      <c r="D4" s="1" t="n"/>
      <c r="E4" s="7" t="n">
        <v>350</v>
      </c>
      <c r="F4" s="1" t="n"/>
      <c r="G4" s="1" t="n">
        <v>7</v>
      </c>
      <c r="H4" s="9" t="n">
        <v>15.06</v>
      </c>
      <c r="I4" s="7" t="n">
        <v>50310</v>
      </c>
      <c r="J4" s="2">
        <f>H4*H4*PI()/4</f>
        <v/>
      </c>
      <c r="K4" s="10">
        <f>I4/J4</f>
        <v/>
      </c>
      <c r="L4" s="3">
        <f>+K4/E4</f>
        <v/>
      </c>
      <c r="M4" s="12" t="inlineStr">
        <is>
          <t>F</t>
        </is>
      </c>
    </row>
    <row r="5" ht="18.75" customHeight="1">
      <c r="A5" s="1">
        <f>+B3+1</f>
        <v/>
      </c>
      <c r="B5" s="1">
        <f>+A5+1</f>
        <v/>
      </c>
      <c r="C5" s="6">
        <f>A5&amp;"-"&amp;B5</f>
        <v/>
      </c>
      <c r="D5" s="1" t="n"/>
      <c r="E5" s="7" t="n">
        <v>350</v>
      </c>
      <c r="F5" s="1" t="n"/>
      <c r="G5" s="1" t="n">
        <v>14</v>
      </c>
      <c r="H5" s="9" t="n">
        <v>15.04</v>
      </c>
      <c r="I5" s="7" t="n">
        <v>56450</v>
      </c>
      <c r="J5" s="2">
        <f>H5*H5*PI()/4</f>
        <v/>
      </c>
      <c r="K5" s="10">
        <f>I5/J5</f>
        <v/>
      </c>
      <c r="L5" s="3">
        <f>+K5/E5</f>
        <v/>
      </c>
      <c r="M5" s="12" t="inlineStr">
        <is>
          <t>F</t>
        </is>
      </c>
    </row>
    <row r="6" ht="18.75" customHeight="1">
      <c r="A6" s="1" t="n"/>
      <c r="B6" s="1" t="n"/>
      <c r="C6" s="6">
        <f>A6&amp;"-"&amp;B6</f>
        <v/>
      </c>
      <c r="D6" s="1" t="n"/>
      <c r="E6" s="7" t="n">
        <v>350</v>
      </c>
      <c r="F6" s="1" t="n"/>
      <c r="G6" s="1" t="n">
        <v>14</v>
      </c>
      <c r="H6" s="9" t="n">
        <v>15</v>
      </c>
      <c r="I6" s="7" t="n">
        <v>59630</v>
      </c>
      <c r="J6" s="2">
        <f>H6*H6*PI()/4</f>
        <v/>
      </c>
      <c r="K6" s="10">
        <f>I6/J6</f>
        <v/>
      </c>
      <c r="L6" s="3">
        <f>+K6/E6</f>
        <v/>
      </c>
      <c r="M6" s="12" t="inlineStr">
        <is>
          <t>F</t>
        </is>
      </c>
    </row>
    <row r="7" ht="18.75" customHeight="1">
      <c r="A7" s="1">
        <f>+B5+1</f>
        <v/>
      </c>
      <c r="B7" s="1">
        <f>+A7+1</f>
        <v/>
      </c>
      <c r="C7" s="6">
        <f>A7&amp;"-"&amp;B7</f>
        <v/>
      </c>
      <c r="D7" s="1" t="n"/>
      <c r="E7" s="7" t="n">
        <v>350</v>
      </c>
      <c r="F7" s="1" t="n"/>
      <c r="G7" s="1" t="n">
        <v>28</v>
      </c>
      <c r="H7" s="9" t="n">
        <v>15.11</v>
      </c>
      <c r="I7" s="7" t="n">
        <v>65310</v>
      </c>
      <c r="J7" s="2">
        <f>H7*H7*PI()/4</f>
        <v/>
      </c>
      <c r="K7" s="10">
        <f>I7/J7</f>
        <v/>
      </c>
      <c r="L7" s="3">
        <f>+K7/E7</f>
        <v/>
      </c>
      <c r="M7" s="12" t="inlineStr">
        <is>
          <t>F</t>
        </is>
      </c>
    </row>
    <row r="8" ht="18.75" customHeight="1">
      <c r="A8" s="1" t="n"/>
      <c r="B8" s="1" t="n"/>
      <c r="C8" s="6">
        <f>A8&amp;"-"&amp;B8</f>
        <v/>
      </c>
      <c r="D8" s="1" t="n"/>
      <c r="E8" s="7" t="n">
        <v>350</v>
      </c>
      <c r="F8" s="1" t="n"/>
      <c r="G8" s="1" t="n">
        <v>28</v>
      </c>
      <c r="H8" s="9" t="n">
        <v>15.05</v>
      </c>
      <c r="I8" s="7" t="n">
        <v>64730</v>
      </c>
      <c r="J8" s="2">
        <f>H8*H8*PI()/4</f>
        <v/>
      </c>
      <c r="K8" s="10">
        <f>I8/J8</f>
        <v/>
      </c>
      <c r="L8" s="3">
        <f>+K8/E8</f>
        <v/>
      </c>
      <c r="M8" s="12" t="inlineStr">
        <is>
          <t>E</t>
        </is>
      </c>
    </row>
    <row r="9" ht="15" customHeight="1"/>
  </sheetData>
  <mergeCells count="1">
    <mergeCell ref="A2:B2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Pacahuala A.</dc:creator>
  <dc:title xmlns:dc="http://purl.org/dc/elements/1.1/">DENSIDAD IN SITU</dc:title>
  <dc:subject xmlns:dc="http://purl.org/dc/elements/1.1/">Densidad In Situ - Método del Cono de Arena</dc:subject>
  <dcterms:created xmlns:dcterms="http://purl.org/dc/terms/" xmlns:xsi="http://www.w3.org/2001/XMLSchema-instance" xsi:type="dcterms:W3CDTF">1999-11-07T15:11:55Z</dcterms:created>
  <dcterms:modified xmlns:dcterms="http://purl.org/dc/terms/" xmlns:xsi="http://www.w3.org/2001/XMLSchema-instance" xsi:type="dcterms:W3CDTF">2026-06-26T17:25:09Z</dcterms:modified>
  <cp:lastModifiedBy>LENOVO</cp:lastModifiedBy>
  <cp:keywords>Calidad</cp:keywords>
  <cp:lastPrinted>2026-01-02T22:38:18Z</cp:lastPrinted>
</cp:coreProperties>
</file>