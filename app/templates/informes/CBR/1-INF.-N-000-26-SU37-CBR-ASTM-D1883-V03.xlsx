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CBR\"/>
    </mc:Choice>
  </mc:AlternateContent>
  <xr:revisionPtr revIDLastSave="0" documentId="13_ncr:1_{914C6FA3-C05A-4F9E-AFE0-F9B030BDF9F7}" xr6:coauthVersionLast="47" xr6:coauthVersionMax="47" xr10:uidLastSave="{00000000-0000-0000-0000-000000000000}"/>
  <bookViews>
    <workbookView xWindow="-108" yWindow="-108" windowWidth="23256" windowHeight="12456" tabRatio="714" firstSheet="1" activeTab="7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5" l="1"/>
  <c r="W4" i="5"/>
  <c r="C30" i="9"/>
  <c r="L26" i="9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C31" i="9" s="1"/>
  <c r="J21" i="9"/>
  <c r="C21" i="9"/>
  <c r="J20" i="9"/>
  <c r="J32" i="9" s="1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Z130" i="6"/>
  <c r="P130" i="6"/>
  <c r="Z129" i="6"/>
  <c r="P129" i="6"/>
  <c r="X128" i="6"/>
  <c r="Z128" i="6" s="1"/>
  <c r="Z127" i="6" s="1"/>
  <c r="N128" i="6"/>
  <c r="P128" i="6" s="1"/>
  <c r="P127" i="6" s="1"/>
  <c r="Z126" i="6"/>
  <c r="P126" i="6"/>
  <c r="Z125" i="6"/>
  <c r="P125" i="6"/>
  <c r="X124" i="6"/>
  <c r="Z124" i="6" s="1"/>
  <c r="N124" i="6"/>
  <c r="P124" i="6" s="1"/>
  <c r="P123" i="6" s="1"/>
  <c r="Z123" i="6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W100" i="6"/>
  <c r="X102" i="6" s="1"/>
  <c r="Z102" i="6" s="1"/>
  <c r="X99" i="6"/>
  <c r="Z99" i="6" s="1"/>
  <c r="N99" i="6"/>
  <c r="P99" i="6" s="1"/>
  <c r="Z89" i="6"/>
  <c r="X89" i="6"/>
  <c r="P89" i="6"/>
  <c r="N89" i="6"/>
  <c r="Z85" i="6"/>
  <c r="X85" i="6"/>
  <c r="N85" i="6"/>
  <c r="P85" i="6" s="1"/>
  <c r="B77" i="6"/>
  <c r="C76" i="6"/>
  <c r="C75" i="6"/>
  <c r="C74" i="6"/>
  <c r="C73" i="6"/>
  <c r="C72" i="6"/>
  <c r="C78" i="6" s="1"/>
  <c r="D80" i="6" s="1"/>
  <c r="D8" i="5" s="1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P34" i="6"/>
  <c r="R34" i="6" s="1"/>
  <c r="M34" i="6"/>
  <c r="M33" i="6"/>
  <c r="D33" i="6"/>
  <c r="G33" i="6" s="1"/>
  <c r="I33" i="6" s="1"/>
  <c r="G31" i="6"/>
  <c r="M55" i="5"/>
  <c r="L55" i="5"/>
  <c r="I55" i="5"/>
  <c r="H55" i="5"/>
  <c r="J59" i="3" s="1"/>
  <c r="D55" i="5"/>
  <c r="F59" i="3" s="1"/>
  <c r="L54" i="5"/>
  <c r="M54" i="5" s="1"/>
  <c r="H54" i="5"/>
  <c r="D54" i="5"/>
  <c r="M53" i="5"/>
  <c r="L53" i="5"/>
  <c r="I53" i="5"/>
  <c r="H53" i="5"/>
  <c r="D53" i="5"/>
  <c r="E53" i="5" s="1"/>
  <c r="L52" i="5"/>
  <c r="I52" i="5"/>
  <c r="H52" i="5"/>
  <c r="D52" i="5"/>
  <c r="E52" i="5" s="1"/>
  <c r="M51" i="5"/>
  <c r="L51" i="5"/>
  <c r="H51" i="5"/>
  <c r="I51" i="5" s="1"/>
  <c r="D51" i="5"/>
  <c r="L50" i="5"/>
  <c r="I50" i="5"/>
  <c r="H50" i="5"/>
  <c r="D50" i="5"/>
  <c r="F54" i="3" s="1"/>
  <c r="L49" i="5"/>
  <c r="M49" i="5" s="1"/>
  <c r="H49" i="5"/>
  <c r="E49" i="5"/>
  <c r="D49" i="5"/>
  <c r="L48" i="5"/>
  <c r="M48" i="5" s="1"/>
  <c r="I48" i="5"/>
  <c r="H48" i="5"/>
  <c r="D48" i="5"/>
  <c r="E48" i="5" s="1"/>
  <c r="L47" i="5"/>
  <c r="I47" i="5"/>
  <c r="H47" i="5"/>
  <c r="E47" i="5"/>
  <c r="D47" i="5"/>
  <c r="L46" i="5"/>
  <c r="N50" i="3" s="1"/>
  <c r="H46" i="5"/>
  <c r="I46" i="5" s="1"/>
  <c r="D46" i="5"/>
  <c r="L45" i="5"/>
  <c r="I45" i="5"/>
  <c r="H45" i="5"/>
  <c r="J49" i="3" s="1"/>
  <c r="E45" i="5"/>
  <c r="D45" i="5"/>
  <c r="L44" i="5"/>
  <c r="M44" i="5" s="1"/>
  <c r="H44" i="5"/>
  <c r="I44" i="5" s="1"/>
  <c r="E44" i="5"/>
  <c r="D44" i="5"/>
  <c r="L42" i="5"/>
  <c r="H42" i="5"/>
  <c r="D42" i="5"/>
  <c r="N40" i="5"/>
  <c r="L40" i="5"/>
  <c r="H40" i="5"/>
  <c r="J40" i="5" s="1"/>
  <c r="D40" i="5"/>
  <c r="F40" i="5" s="1"/>
  <c r="L39" i="5"/>
  <c r="H39" i="5"/>
  <c r="D39" i="5"/>
  <c r="N38" i="5"/>
  <c r="L38" i="5"/>
  <c r="H38" i="5"/>
  <c r="J38" i="5" s="1"/>
  <c r="D38" i="5"/>
  <c r="F38" i="5" s="1"/>
  <c r="B38" i="5"/>
  <c r="B39" i="5" s="1"/>
  <c r="B40" i="5" s="1"/>
  <c r="A38" i="5"/>
  <c r="A39" i="5" s="1"/>
  <c r="A40" i="5" s="1"/>
  <c r="L37" i="5"/>
  <c r="N37" i="5" s="1"/>
  <c r="H37" i="5"/>
  <c r="J37" i="5" s="1"/>
  <c r="D37" i="5"/>
  <c r="F37" i="5" s="1"/>
  <c r="B37" i="5"/>
  <c r="A37" i="5"/>
  <c r="L36" i="5"/>
  <c r="N39" i="5" s="1"/>
  <c r="H36" i="5"/>
  <c r="J39" i="5" s="1"/>
  <c r="F36" i="5"/>
  <c r="D36" i="5"/>
  <c r="B36" i="5"/>
  <c r="N30" i="5"/>
  <c r="O30" i="5" s="1"/>
  <c r="M30" i="5"/>
  <c r="L30" i="5"/>
  <c r="J30" i="5"/>
  <c r="I30" i="5"/>
  <c r="H30" i="5"/>
  <c r="F30" i="5"/>
  <c r="G30" i="5" s="1"/>
  <c r="D30" i="5"/>
  <c r="E30" i="5" s="1"/>
  <c r="S29" i="5"/>
  <c r="N29" i="5"/>
  <c r="O29" i="5" s="1"/>
  <c r="L29" i="5"/>
  <c r="J29" i="5"/>
  <c r="K29" i="5" s="1"/>
  <c r="H29" i="5"/>
  <c r="I29" i="5" s="1"/>
  <c r="F29" i="5"/>
  <c r="E29" i="5"/>
  <c r="M100" i="6" s="1"/>
  <c r="D29" i="5"/>
  <c r="N28" i="5"/>
  <c r="L28" i="5"/>
  <c r="R30" i="5" s="1"/>
  <c r="S30" i="5" s="1"/>
  <c r="K28" i="5"/>
  <c r="J28" i="5"/>
  <c r="I28" i="5"/>
  <c r="H28" i="5"/>
  <c r="R29" i="5" s="1"/>
  <c r="G28" i="5"/>
  <c r="G31" i="5" s="1"/>
  <c r="F28" i="5"/>
  <c r="D28" i="5"/>
  <c r="R28" i="5" s="1"/>
  <c r="S28" i="5" s="1"/>
  <c r="N27" i="5"/>
  <c r="O27" i="5" s="1"/>
  <c r="L27" i="5"/>
  <c r="J27" i="5"/>
  <c r="H27" i="5"/>
  <c r="F27" i="5"/>
  <c r="E27" i="5"/>
  <c r="M104" i="6" s="1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O22" i="5"/>
  <c r="M22" i="5"/>
  <c r="O19" i="5"/>
  <c r="M19" i="5"/>
  <c r="N18" i="5"/>
  <c r="O18" i="5" s="1"/>
  <c r="M18" i="5"/>
  <c r="L18" i="5"/>
  <c r="K18" i="5"/>
  <c r="J18" i="5"/>
  <c r="H18" i="5"/>
  <c r="I18" i="5" s="1"/>
  <c r="G18" i="5"/>
  <c r="F18" i="5"/>
  <c r="E18" i="5"/>
  <c r="M82" i="6" s="1"/>
  <c r="Y3" i="5"/>
  <c r="X3" i="5"/>
  <c r="L134" i="6"/>
  <c r="M123" i="6" s="1"/>
  <c r="D11" i="5"/>
  <c r="F11" i="5" s="1"/>
  <c r="F10" i="5"/>
  <c r="D10" i="5"/>
  <c r="AB9" i="5"/>
  <c r="O5" i="5"/>
  <c r="N5" i="5"/>
  <c r="M29" i="5" s="1"/>
  <c r="M5" i="5"/>
  <c r="Y4" i="5"/>
  <c r="O4" i="5"/>
  <c r="N4" i="5"/>
  <c r="M4" i="5"/>
  <c r="W3" i="5"/>
  <c r="F2" i="5"/>
  <c r="AU39" i="4"/>
  <c r="AT39" i="4"/>
  <c r="AS39" i="4"/>
  <c r="AQ39" i="4"/>
  <c r="AO39" i="4"/>
  <c r="AR39" i="4" s="1"/>
  <c r="AH39" i="4"/>
  <c r="AG39" i="4"/>
  <c r="AE39" i="4"/>
  <c r="AA39" i="4"/>
  <c r="Z39" i="4"/>
  <c r="Y39" i="4"/>
  <c r="X39" i="4"/>
  <c r="W39" i="4"/>
  <c r="U39" i="4"/>
  <c r="AO38" i="4"/>
  <c r="AI38" i="4"/>
  <c r="AH38" i="4"/>
  <c r="AG38" i="4"/>
  <c r="AE38" i="4"/>
  <c r="X38" i="4"/>
  <c r="W38" i="4"/>
  <c r="U38" i="4"/>
  <c r="AU37" i="4"/>
  <c r="AT37" i="4"/>
  <c r="AS37" i="4"/>
  <c r="AR37" i="4"/>
  <c r="AQ37" i="4"/>
  <c r="AO37" i="4"/>
  <c r="AI37" i="4"/>
  <c r="AH37" i="4"/>
  <c r="AG37" i="4"/>
  <c r="AE37" i="4"/>
  <c r="AA37" i="4"/>
  <c r="Z37" i="4"/>
  <c r="Y37" i="4"/>
  <c r="X37" i="4"/>
  <c r="W37" i="4"/>
  <c r="U37" i="4"/>
  <c r="AO36" i="4"/>
  <c r="AE36" i="4"/>
  <c r="W36" i="4"/>
  <c r="U36" i="4"/>
  <c r="AU35" i="4"/>
  <c r="AT35" i="4"/>
  <c r="AO35" i="4"/>
  <c r="AQ35" i="4" s="1"/>
  <c r="AJ35" i="4"/>
  <c r="AI35" i="4"/>
  <c r="AH35" i="4"/>
  <c r="AE35" i="4"/>
  <c r="AA35" i="4"/>
  <c r="Z35" i="4"/>
  <c r="Y35" i="4"/>
  <c r="X35" i="4"/>
  <c r="U35" i="4"/>
  <c r="W35" i="4" s="1"/>
  <c r="AO34" i="4"/>
  <c r="AU34" i="4" s="1"/>
  <c r="AK34" i="4"/>
  <c r="AJ34" i="4"/>
  <c r="AI34" i="4"/>
  <c r="AG34" i="4"/>
  <c r="AE34" i="4"/>
  <c r="AH34" i="4" s="1"/>
  <c r="AA34" i="4"/>
  <c r="Z34" i="4"/>
  <c r="U34" i="4"/>
  <c r="AU33" i="4"/>
  <c r="AT33" i="4"/>
  <c r="AR33" i="4"/>
  <c r="AQ33" i="4"/>
  <c r="AO33" i="4"/>
  <c r="AS33" i="4" s="1"/>
  <c r="AK33" i="4"/>
  <c r="AJ33" i="4"/>
  <c r="AI33" i="4"/>
  <c r="AH33" i="4"/>
  <c r="AE33" i="4"/>
  <c r="AA33" i="4"/>
  <c r="Z33" i="4"/>
  <c r="X33" i="4"/>
  <c r="W33" i="4"/>
  <c r="U33" i="4"/>
  <c r="Y33" i="4" s="1"/>
  <c r="AU32" i="4"/>
  <c r="AT32" i="4"/>
  <c r="AS32" i="4"/>
  <c r="AR32" i="4"/>
  <c r="AQ32" i="4"/>
  <c r="AO32" i="4"/>
  <c r="AK32" i="4"/>
  <c r="AI32" i="4"/>
  <c r="AH32" i="4"/>
  <c r="AG32" i="4"/>
  <c r="AE32" i="4"/>
  <c r="AJ32" i="4" s="1"/>
  <c r="U32" i="4"/>
  <c r="AU31" i="4"/>
  <c r="AS31" i="4"/>
  <c r="AR31" i="4"/>
  <c r="AQ31" i="4"/>
  <c r="AO31" i="4"/>
  <c r="AT31" i="4" s="1"/>
  <c r="AJ31" i="4"/>
  <c r="AI31" i="4"/>
  <c r="AG31" i="4"/>
  <c r="AE31" i="4"/>
  <c r="AA31" i="4"/>
  <c r="Y31" i="4"/>
  <c r="X31" i="4"/>
  <c r="W31" i="4"/>
  <c r="U31" i="4"/>
  <c r="Z31" i="4" s="1"/>
  <c r="AO30" i="4"/>
  <c r="AK30" i="4"/>
  <c r="AI30" i="4"/>
  <c r="AH30" i="4"/>
  <c r="AG30" i="4"/>
  <c r="AE30" i="4"/>
  <c r="AJ30" i="4" s="1"/>
  <c r="U30" i="4"/>
  <c r="AX29" i="4"/>
  <c r="AV29" i="4"/>
  <c r="AU29" i="4"/>
  <c r="AQ29" i="4"/>
  <c r="AP29" i="4"/>
  <c r="AO29" i="4"/>
  <c r="AF29" i="4"/>
  <c r="AE29" i="4"/>
  <c r="V29" i="4"/>
  <c r="U29" i="4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D7" i="4"/>
  <c r="Q6" i="4"/>
  <c r="D6" i="4"/>
  <c r="Q5" i="4"/>
  <c r="Q4" i="4"/>
  <c r="A2" i="4"/>
  <c r="A59" i="3"/>
  <c r="N58" i="3"/>
  <c r="J58" i="3"/>
  <c r="F58" i="3"/>
  <c r="A58" i="3"/>
  <c r="N57" i="3"/>
  <c r="J57" i="3"/>
  <c r="F57" i="3"/>
  <c r="A57" i="3"/>
  <c r="N56" i="3"/>
  <c r="F56" i="3"/>
  <c r="A56" i="3"/>
  <c r="N55" i="3"/>
  <c r="J55" i="3"/>
  <c r="F55" i="3"/>
  <c r="A55" i="3"/>
  <c r="N54" i="3"/>
  <c r="J54" i="3"/>
  <c r="A54" i="3"/>
  <c r="J53" i="3"/>
  <c r="F53" i="3"/>
  <c r="A53" i="3"/>
  <c r="N52" i="3"/>
  <c r="J52" i="3"/>
  <c r="F52" i="3"/>
  <c r="A52" i="3"/>
  <c r="N51" i="3"/>
  <c r="J51" i="3"/>
  <c r="F51" i="3"/>
  <c r="A51" i="3"/>
  <c r="J50" i="3"/>
  <c r="F50" i="3"/>
  <c r="A50" i="3"/>
  <c r="F49" i="3"/>
  <c r="A49" i="3"/>
  <c r="P48" i="3"/>
  <c r="L48" i="3"/>
  <c r="H48" i="3"/>
  <c r="F48" i="3"/>
  <c r="A48" i="3"/>
  <c r="F46" i="3"/>
  <c r="N35" i="3"/>
  <c r="J35" i="3"/>
  <c r="F35" i="3"/>
  <c r="N34" i="3"/>
  <c r="N46" i="3" s="1"/>
  <c r="J34" i="3"/>
  <c r="J46" i="3" s="1"/>
  <c r="F34" i="3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P12" i="3"/>
  <c r="C12" i="3"/>
  <c r="P11" i="3"/>
  <c r="C11" i="3"/>
  <c r="D5" i="4" s="1"/>
  <c r="C10" i="3"/>
  <c r="D4" i="4" s="1"/>
  <c r="S36" i="2"/>
  <c r="S35" i="2"/>
  <c r="S34" i="2"/>
  <c r="T32" i="2"/>
  <c r="S32" i="2"/>
  <c r="O32" i="2"/>
  <c r="L32" i="2"/>
  <c r="J32" i="2"/>
  <c r="H32" i="2"/>
  <c r="S31" i="2" s="1"/>
  <c r="F32" i="2"/>
  <c r="D32" i="2"/>
  <c r="T31" i="2"/>
  <c r="T30" i="2"/>
  <c r="S30" i="2"/>
  <c r="D24" i="7" l="1"/>
  <c r="E24" i="7" s="1"/>
  <c r="N83" i="6" s="1"/>
  <c r="P83" i="6" s="1"/>
  <c r="P82" i="6" s="1"/>
  <c r="K39" i="5"/>
  <c r="G37" i="5"/>
  <c r="O37" i="5"/>
  <c r="O39" i="5"/>
  <c r="G38" i="5"/>
  <c r="K38" i="5"/>
  <c r="O38" i="5"/>
  <c r="G40" i="5"/>
  <c r="F43" i="3" s="1"/>
  <c r="K40" i="5"/>
  <c r="J43" i="3" s="1"/>
  <c r="G36" i="5"/>
  <c r="O40" i="5"/>
  <c r="N43" i="3" s="1"/>
  <c r="AR36" i="4"/>
  <c r="AT36" i="4"/>
  <c r="N106" i="6"/>
  <c r="P106" i="6" s="1"/>
  <c r="O26" i="7"/>
  <c r="P26" i="7" s="1"/>
  <c r="N105" i="6" s="1"/>
  <c r="P105" i="6" s="1"/>
  <c r="P104" i="6" s="1"/>
  <c r="Q127" i="6"/>
  <c r="R127" i="6" s="1"/>
  <c r="N84" i="6"/>
  <c r="P84" i="6" s="1"/>
  <c r="AC29" i="4"/>
  <c r="Z29" i="4"/>
  <c r="Y29" i="4"/>
  <c r="X29" i="4"/>
  <c r="U40" i="4"/>
  <c r="AB29" i="4"/>
  <c r="W29" i="4"/>
  <c r="D50" i="6"/>
  <c r="M113" i="6"/>
  <c r="D9" i="5"/>
  <c r="AU36" i="4"/>
  <c r="AS36" i="4"/>
  <c r="AQ36" i="4"/>
  <c r="W32" i="4"/>
  <c r="Z32" i="4"/>
  <c r="X32" i="4"/>
  <c r="AA29" i="4"/>
  <c r="AU30" i="4"/>
  <c r="AU40" i="4" s="1"/>
  <c r="AR45" i="4" s="1"/>
  <c r="AT30" i="4"/>
  <c r="AS30" i="4"/>
  <c r="AO42" i="4"/>
  <c r="AD29" i="4"/>
  <c r="AQ30" i="4"/>
  <c r="Y32" i="4"/>
  <c r="X4" i="5"/>
  <c r="K19" i="5"/>
  <c r="I19" i="5"/>
  <c r="W134" i="6"/>
  <c r="K22" i="5"/>
  <c r="I22" i="5"/>
  <c r="O25" i="7"/>
  <c r="P25" i="7" s="1"/>
  <c r="N101" i="6" s="1"/>
  <c r="P101" i="6" s="1"/>
  <c r="P100" i="6" s="1"/>
  <c r="N102" i="6"/>
  <c r="P102" i="6" s="1"/>
  <c r="Q96" i="6"/>
  <c r="Z30" i="4"/>
  <c r="AA30" i="4"/>
  <c r="Y30" i="4"/>
  <c r="X30" i="4"/>
  <c r="W30" i="4"/>
  <c r="AO40" i="4"/>
  <c r="AR30" i="4"/>
  <c r="U42" i="4"/>
  <c r="AN29" i="4"/>
  <c r="AJ29" i="4"/>
  <c r="AI29" i="4"/>
  <c r="AI40" i="4" s="1"/>
  <c r="AE42" i="4"/>
  <c r="AE40" i="4"/>
  <c r="AM29" i="4"/>
  <c r="AL29" i="4"/>
  <c r="AK29" i="4"/>
  <c r="AH29" i="4"/>
  <c r="AH40" i="4" s="1"/>
  <c r="AG29" i="4"/>
  <c r="AG40" i="4" s="1"/>
  <c r="AA32" i="4"/>
  <c r="G32" i="5"/>
  <c r="I31" i="5"/>
  <c r="W96" i="6"/>
  <c r="M127" i="6"/>
  <c r="Q123" i="6" s="1"/>
  <c r="R123" i="6" s="1"/>
  <c r="AH31" i="4"/>
  <c r="AA36" i="4"/>
  <c r="J31" i="9"/>
  <c r="J30" i="9"/>
  <c r="J33" i="9" s="1"/>
  <c r="J29" i="9"/>
  <c r="J28" i="9"/>
  <c r="AK31" i="4"/>
  <c r="X36" i="4"/>
  <c r="AJ38" i="4"/>
  <c r="M28" i="5"/>
  <c r="M31" i="5" s="1"/>
  <c r="M32" i="5" s="1"/>
  <c r="AK38" i="4"/>
  <c r="D27" i="7"/>
  <c r="E27" i="7" s="1"/>
  <c r="X83" i="6" s="1"/>
  <c r="Z83" i="6" s="1"/>
  <c r="W82" i="6"/>
  <c r="O28" i="5"/>
  <c r="O31" i="5" s="1"/>
  <c r="O32" i="5" s="1"/>
  <c r="K30" i="5"/>
  <c r="K31" i="5" s="1"/>
  <c r="K32" i="5" s="1"/>
  <c r="Y36" i="4"/>
  <c r="AK39" i="4"/>
  <c r="AJ39" i="4"/>
  <c r="AI39" i="4"/>
  <c r="E22" i="5"/>
  <c r="N48" i="3"/>
  <c r="AG35" i="4"/>
  <c r="Z36" i="4"/>
  <c r="G22" i="5"/>
  <c r="J36" i="5"/>
  <c r="K36" i="5" s="1"/>
  <c r="M45" i="5"/>
  <c r="E50" i="5"/>
  <c r="E54" i="5"/>
  <c r="C28" i="9"/>
  <c r="G27" i="5"/>
  <c r="F46" i="5"/>
  <c r="G46" i="5" s="1"/>
  <c r="J54" i="5"/>
  <c r="K54" i="5" s="1"/>
  <c r="I27" i="5"/>
  <c r="W104" i="6" s="1"/>
  <c r="G29" i="5"/>
  <c r="N36" i="5"/>
  <c r="O36" i="5" s="1"/>
  <c r="J56" i="3"/>
  <c r="O29" i="7"/>
  <c r="P29" i="7" s="1"/>
  <c r="X101" i="6" s="1"/>
  <c r="Z101" i="6" s="1"/>
  <c r="Z100" i="6" s="1"/>
  <c r="AQ34" i="4"/>
  <c r="AG36" i="4"/>
  <c r="AU38" i="4"/>
  <c r="AT38" i="4"/>
  <c r="AS38" i="4"/>
  <c r="AR34" i="4"/>
  <c r="AK35" i="4"/>
  <c r="AS34" i="4"/>
  <c r="AI36" i="4"/>
  <c r="AQ38" i="4"/>
  <c r="K27" i="5"/>
  <c r="F39" i="5"/>
  <c r="G39" i="5" s="1"/>
  <c r="E19" i="5"/>
  <c r="M27" i="5"/>
  <c r="N49" i="3"/>
  <c r="AW29" i="4"/>
  <c r="AT29" i="4"/>
  <c r="AT40" i="4" s="1"/>
  <c r="AS29" i="4"/>
  <c r="AR29" i="4"/>
  <c r="X34" i="4"/>
  <c r="AR35" i="4"/>
  <c r="AK36" i="4"/>
  <c r="AA38" i="4"/>
  <c r="Z38" i="4"/>
  <c r="Y38" i="4"/>
  <c r="G19" i="5"/>
  <c r="C77" i="6"/>
  <c r="N59" i="3"/>
  <c r="AH36" i="4"/>
  <c r="W34" i="4"/>
  <c r="AT34" i="4"/>
  <c r="AJ36" i="4"/>
  <c r="AR38" i="4"/>
  <c r="AG33" i="4"/>
  <c r="Y34" i="4"/>
  <c r="AS35" i="4"/>
  <c r="M46" i="5"/>
  <c r="M50" i="5"/>
  <c r="E55" i="5"/>
  <c r="C32" i="9"/>
  <c r="C33" i="9" s="1"/>
  <c r="AK37" i="4"/>
  <c r="AJ37" i="4"/>
  <c r="K37" i="5"/>
  <c r="E28" i="5"/>
  <c r="E46" i="5"/>
  <c r="M47" i="5"/>
  <c r="N47" i="5" s="1"/>
  <c r="O47" i="5" s="1"/>
  <c r="I49" i="5"/>
  <c r="J49" i="5" s="1"/>
  <c r="K49" i="5" s="1"/>
  <c r="E51" i="5"/>
  <c r="F51" i="5" s="1"/>
  <c r="G51" i="5" s="1"/>
  <c r="M52" i="5"/>
  <c r="N52" i="5" s="1"/>
  <c r="O52" i="5" s="1"/>
  <c r="I54" i="5"/>
  <c r="C29" i="9"/>
  <c r="N53" i="3"/>
  <c r="J48" i="3"/>
  <c r="M122" i="6" l="1"/>
  <c r="M77" i="6" s="1"/>
  <c r="Q76" i="6" s="1"/>
  <c r="K20" i="5"/>
  <c r="J41" i="3"/>
  <c r="AP17" i="4"/>
  <c r="P56" i="3"/>
  <c r="AP37" i="4"/>
  <c r="AF15" i="4"/>
  <c r="L53" i="3"/>
  <c r="AF34" i="4"/>
  <c r="AP32" i="4"/>
  <c r="P51" i="3"/>
  <c r="H55" i="3"/>
  <c r="V36" i="4"/>
  <c r="J36" i="9"/>
  <c r="D32" i="6"/>
  <c r="H29" i="6" s="1"/>
  <c r="F53" i="5"/>
  <c r="G53" i="5" s="1"/>
  <c r="W63" i="6"/>
  <c r="AA60" i="6" s="1"/>
  <c r="F48" i="5"/>
  <c r="G48" i="5" s="1"/>
  <c r="D43" i="6"/>
  <c r="H40" i="6" s="1"/>
  <c r="N55" i="5"/>
  <c r="O55" i="5" s="1"/>
  <c r="P59" i="3" s="1"/>
  <c r="N53" i="5"/>
  <c r="O53" i="5" s="1"/>
  <c r="N51" i="5"/>
  <c r="O51" i="5" s="1"/>
  <c r="N49" i="5"/>
  <c r="O49" i="5" s="1"/>
  <c r="J47" i="5"/>
  <c r="K47" i="5" s="1"/>
  <c r="J45" i="5"/>
  <c r="K45" i="5" s="1"/>
  <c r="M63" i="6"/>
  <c r="Q60" i="6" s="1"/>
  <c r="W54" i="6"/>
  <c r="AA51" i="6" s="1"/>
  <c r="M54" i="6"/>
  <c r="Q51" i="6" s="1"/>
  <c r="D25" i="7"/>
  <c r="E25" i="7" s="1"/>
  <c r="N87" i="6" s="1"/>
  <c r="P87" i="6" s="1"/>
  <c r="M86" i="6"/>
  <c r="F45" i="5"/>
  <c r="G45" i="5" s="1"/>
  <c r="W127" i="6"/>
  <c r="W123" i="6"/>
  <c r="G20" i="5"/>
  <c r="G21" i="5" s="1"/>
  <c r="G23" i="5" s="1"/>
  <c r="G24" i="5" s="1"/>
  <c r="F41" i="3"/>
  <c r="J34" i="9"/>
  <c r="J35" i="9" s="1"/>
  <c r="N50" i="5"/>
  <c r="O50" i="5" s="1"/>
  <c r="AK40" i="4"/>
  <c r="AH45" i="4" s="1"/>
  <c r="N46" i="5"/>
  <c r="O46" i="5" s="1"/>
  <c r="F54" i="5"/>
  <c r="G54" i="5" s="1"/>
  <c r="AQ40" i="4"/>
  <c r="C36" i="9"/>
  <c r="F55" i="5"/>
  <c r="G55" i="5" s="1"/>
  <c r="H59" i="3" s="1"/>
  <c r="AF44" i="4"/>
  <c r="AG43" i="4"/>
  <c r="AH42" i="4"/>
  <c r="AE45" i="4"/>
  <c r="J50" i="5"/>
  <c r="K50" i="5" s="1"/>
  <c r="C34" i="9"/>
  <c r="C37" i="9" s="1"/>
  <c r="F50" i="5"/>
  <c r="G50" i="5" s="1"/>
  <c r="F49" i="5"/>
  <c r="G49" i="5" s="1"/>
  <c r="AH43" i="4"/>
  <c r="AG44" i="4"/>
  <c r="AF45" i="4"/>
  <c r="F52" i="5"/>
  <c r="G52" i="5" s="1"/>
  <c r="AJ40" i="4"/>
  <c r="F47" i="5"/>
  <c r="G47" i="5" s="1"/>
  <c r="J53" i="5"/>
  <c r="K53" i="5" s="1"/>
  <c r="Z82" i="6"/>
  <c r="D49" i="6"/>
  <c r="H50" i="6"/>
  <c r="AR40" i="4"/>
  <c r="W40" i="4"/>
  <c r="N48" i="5"/>
  <c r="O48" i="5" s="1"/>
  <c r="AS40" i="4"/>
  <c r="AR44" i="4"/>
  <c r="AQ45" i="4"/>
  <c r="J51" i="5"/>
  <c r="K51" i="5" s="1"/>
  <c r="J52" i="5"/>
  <c r="K52" i="5" s="1"/>
  <c r="U43" i="4"/>
  <c r="V42" i="4"/>
  <c r="AF39" i="4"/>
  <c r="L58" i="3"/>
  <c r="W86" i="6"/>
  <c r="X88" i="6" s="1"/>
  <c r="Z88" i="6" s="1"/>
  <c r="D28" i="7"/>
  <c r="E28" i="7" s="1"/>
  <c r="X87" i="6" s="1"/>
  <c r="Z87" i="6" s="1"/>
  <c r="Z86" i="6" s="1"/>
  <c r="X84" i="6"/>
  <c r="Z84" i="6" s="1"/>
  <c r="X98" i="6"/>
  <c r="Z98" i="6" s="1"/>
  <c r="W95" i="6"/>
  <c r="W90" i="6" s="1"/>
  <c r="AA90" i="6" s="1"/>
  <c r="AA104" i="6"/>
  <c r="AB104" i="6" s="1"/>
  <c r="O28" i="7"/>
  <c r="P28" i="7" s="1"/>
  <c r="X97" i="6" s="1"/>
  <c r="Z97" i="6" s="1"/>
  <c r="Z96" i="6" s="1"/>
  <c r="AA100" i="6"/>
  <c r="AB100" i="6" s="1"/>
  <c r="E31" i="5"/>
  <c r="E32" i="5" s="1"/>
  <c r="M96" i="6"/>
  <c r="I32" i="5"/>
  <c r="AA40" i="4"/>
  <c r="X45" i="4" s="1"/>
  <c r="Y40" i="4"/>
  <c r="K21" i="5"/>
  <c r="K23" i="5" s="1"/>
  <c r="K24" i="5" s="1"/>
  <c r="AE44" i="4"/>
  <c r="AG42" i="4"/>
  <c r="AF43" i="4"/>
  <c r="O20" i="5"/>
  <c r="O21" i="5" s="1"/>
  <c r="O23" i="5" s="1"/>
  <c r="O24" i="5" s="1"/>
  <c r="N41" i="3"/>
  <c r="Q113" i="6"/>
  <c r="M112" i="6"/>
  <c r="M20" i="5"/>
  <c r="M21" i="5" s="1"/>
  <c r="M23" i="5" s="1"/>
  <c r="N39" i="3"/>
  <c r="J55" i="5"/>
  <c r="K55" i="5" s="1"/>
  <c r="L59" i="3" s="1"/>
  <c r="Z40" i="4"/>
  <c r="N114" i="6"/>
  <c r="P114" i="6" s="1"/>
  <c r="P113" i="6" s="1"/>
  <c r="R113" i="6" s="1"/>
  <c r="R117" i="6" s="1"/>
  <c r="E51" i="6"/>
  <c r="G51" i="6" s="1"/>
  <c r="G50" i="6" s="1"/>
  <c r="I50" i="6" s="1"/>
  <c r="I54" i="6" s="1"/>
  <c r="V31" i="4"/>
  <c r="H50" i="3"/>
  <c r="AE43" i="4"/>
  <c r="AF42" i="4"/>
  <c r="N54" i="5"/>
  <c r="O54" i="5" s="1"/>
  <c r="X106" i="6"/>
  <c r="Z106" i="6" s="1"/>
  <c r="O30" i="7"/>
  <c r="P30" i="7" s="1"/>
  <c r="X105" i="6" s="1"/>
  <c r="Z105" i="6" s="1"/>
  <c r="Z104" i="6" s="1"/>
  <c r="AA96" i="6"/>
  <c r="N45" i="5"/>
  <c r="O45" i="5" s="1"/>
  <c r="R131" i="6"/>
  <c r="J48" i="5"/>
  <c r="K48" i="5" s="1"/>
  <c r="X40" i="4"/>
  <c r="J46" i="5"/>
  <c r="K46" i="5" s="1"/>
  <c r="AO43" i="4"/>
  <c r="AP42" i="4"/>
  <c r="V15" i="4" l="1"/>
  <c r="H53" i="3"/>
  <c r="V34" i="4"/>
  <c r="AA123" i="6"/>
  <c r="AB123" i="6" s="1"/>
  <c r="I20" i="5"/>
  <c r="I21" i="5" s="1"/>
  <c r="I23" i="5" s="1"/>
  <c r="J39" i="3"/>
  <c r="AF36" i="4"/>
  <c r="L55" i="3"/>
  <c r="AP35" i="4"/>
  <c r="P54" i="3"/>
  <c r="V33" i="4"/>
  <c r="H52" i="3"/>
  <c r="AB31" i="4"/>
  <c r="AD31" i="4"/>
  <c r="AC31" i="4"/>
  <c r="P63" i="6"/>
  <c r="R118" i="6"/>
  <c r="Z54" i="6"/>
  <c r="P54" i="6"/>
  <c r="AP33" i="4"/>
  <c r="AP15" i="4"/>
  <c r="P52" i="3"/>
  <c r="V43" i="4"/>
  <c r="W42" i="4"/>
  <c r="U44" i="4"/>
  <c r="J37" i="9"/>
  <c r="N98" i="6"/>
  <c r="P98" i="6" s="1"/>
  <c r="M95" i="6"/>
  <c r="M90" i="6" s="1"/>
  <c r="M81" i="6" s="1"/>
  <c r="M76" i="6" s="1"/>
  <c r="Q100" i="6"/>
  <c r="R100" i="6" s="1"/>
  <c r="Q104" i="6"/>
  <c r="R104" i="6" s="1"/>
  <c r="O24" i="7"/>
  <c r="P24" i="7" s="1"/>
  <c r="N97" i="6" s="1"/>
  <c r="P97" i="6" s="1"/>
  <c r="AF35" i="4"/>
  <c r="L54" i="3"/>
  <c r="W43" i="4"/>
  <c r="X42" i="4"/>
  <c r="V44" i="4"/>
  <c r="U45" i="4"/>
  <c r="AP44" i="4"/>
  <c r="AO45" i="4"/>
  <c r="AQ43" i="4"/>
  <c r="AR42" i="4"/>
  <c r="AF33" i="4"/>
  <c r="L52" i="3"/>
  <c r="AV32" i="4"/>
  <c r="AX32" i="4"/>
  <c r="AW32" i="4"/>
  <c r="W122" i="6"/>
  <c r="W77" i="6" s="1"/>
  <c r="AA76" i="6" s="1"/>
  <c r="AA127" i="6"/>
  <c r="AB127" i="6" s="1"/>
  <c r="AA86" i="6"/>
  <c r="AB86" i="6" s="1"/>
  <c r="AA82" i="6"/>
  <c r="AB82" i="6" s="1"/>
  <c r="H49" i="3"/>
  <c r="V30" i="4"/>
  <c r="AD36" i="4"/>
  <c r="AB36" i="4"/>
  <c r="AC36" i="4"/>
  <c r="P77" i="6"/>
  <c r="R132" i="6"/>
  <c r="C35" i="9"/>
  <c r="AN34" i="4"/>
  <c r="AM34" i="4"/>
  <c r="AL34" i="4"/>
  <c r="N88" i="6"/>
  <c r="P88" i="6" s="1"/>
  <c r="P86" i="6" s="1"/>
  <c r="Q90" i="6"/>
  <c r="M24" i="5"/>
  <c r="N36" i="3"/>
  <c r="AF30" i="4"/>
  <c r="L49" i="3"/>
  <c r="L50" i="3"/>
  <c r="AF31" i="4"/>
  <c r="AI16" i="4"/>
  <c r="AP34" i="4"/>
  <c r="P53" i="3"/>
  <c r="AB96" i="6"/>
  <c r="AB109" i="6" s="1"/>
  <c r="Z90" i="6" s="1"/>
  <c r="AB90" i="6" s="1"/>
  <c r="H51" i="3"/>
  <c r="V32" i="4"/>
  <c r="AP43" i="4"/>
  <c r="AO44" i="4"/>
  <c r="AQ42" i="4"/>
  <c r="AO47" i="4" s="1" a="1"/>
  <c r="AX37" i="4"/>
  <c r="AW37" i="4"/>
  <c r="AV37" i="4"/>
  <c r="AL39" i="4"/>
  <c r="AM39" i="4"/>
  <c r="AN39" i="4"/>
  <c r="AG45" i="4"/>
  <c r="AH44" i="4"/>
  <c r="AE47" i="4" s="1" a="1"/>
  <c r="AP36" i="4"/>
  <c r="P55" i="3"/>
  <c r="V38" i="4"/>
  <c r="H57" i="3"/>
  <c r="G43" i="6"/>
  <c r="G32" i="6"/>
  <c r="I55" i="6"/>
  <c r="AP45" i="4"/>
  <c r="AQ44" i="4"/>
  <c r="AR43" i="4"/>
  <c r="X44" i="4"/>
  <c r="W45" i="4"/>
  <c r="P49" i="3"/>
  <c r="AP30" i="4"/>
  <c r="L57" i="3"/>
  <c r="AF38" i="4"/>
  <c r="E20" i="5"/>
  <c r="E21" i="5" s="1"/>
  <c r="E23" i="5" s="1"/>
  <c r="F39" i="3"/>
  <c r="V35" i="4"/>
  <c r="H54" i="3"/>
  <c r="W81" i="6"/>
  <c r="W76" i="6" s="1"/>
  <c r="AF32" i="4"/>
  <c r="L51" i="3"/>
  <c r="V17" i="4"/>
  <c r="Y14" i="4" s="1"/>
  <c r="H56" i="3"/>
  <c r="V37" i="4"/>
  <c r="V39" i="4"/>
  <c r="H58" i="3"/>
  <c r="AP38" i="4"/>
  <c r="P57" i="3"/>
  <c r="AS14" i="4"/>
  <c r="V45" i="4"/>
  <c r="X43" i="4"/>
  <c r="W44" i="4"/>
  <c r="P50" i="3"/>
  <c r="AP31" i="4"/>
  <c r="AP39" i="4"/>
  <c r="P58" i="3"/>
  <c r="L56" i="3"/>
  <c r="AF17" i="4"/>
  <c r="AI14" i="4" s="1"/>
  <c r="AF37" i="4"/>
  <c r="AR50" i="4" l="1"/>
  <c r="AO50" i="4"/>
  <c r="AQ50" i="4"/>
  <c r="AP50" i="4"/>
  <c r="AO49" i="4"/>
  <c r="AR48" i="4"/>
  <c r="AR49" i="4"/>
  <c r="AQ49" i="4"/>
  <c r="AP49" i="4"/>
  <c r="AQ48" i="4"/>
  <c r="AP48" i="4"/>
  <c r="AO48" i="4"/>
  <c r="AQ47" i="4"/>
  <c r="AP47" i="4"/>
  <c r="AO47" i="4"/>
  <c r="AR47" i="4"/>
  <c r="Q77" i="6"/>
  <c r="R77" i="6" s="1"/>
  <c r="M75" i="6"/>
  <c r="M71" i="6" s="1"/>
  <c r="M70" i="6" s="1"/>
  <c r="AF50" i="4"/>
  <c r="AE50" i="4"/>
  <c r="AH49" i="4"/>
  <c r="AH50" i="4"/>
  <c r="AF49" i="4"/>
  <c r="AE49" i="4"/>
  <c r="AG47" i="4"/>
  <c r="AH48" i="4"/>
  <c r="AG48" i="4"/>
  <c r="AF47" i="4"/>
  <c r="AF48" i="4"/>
  <c r="AE48" i="4"/>
  <c r="AH47" i="4"/>
  <c r="AE47" i="4"/>
  <c r="AG50" i="4"/>
  <c r="AG49" i="4"/>
  <c r="AW34" i="4"/>
  <c r="AV34" i="4"/>
  <c r="AX34" i="4"/>
  <c r="AM32" i="4"/>
  <c r="AN32" i="4"/>
  <c r="AL32" i="4"/>
  <c r="AB35" i="4"/>
  <c r="AC35" i="4"/>
  <c r="AD35" i="4"/>
  <c r="AF40" i="4"/>
  <c r="AI42" i="4" s="1"/>
  <c r="AI47" i="4" s="1"/>
  <c r="AN30" i="4"/>
  <c r="AM30" i="4"/>
  <c r="AL30" i="4"/>
  <c r="AM35" i="4"/>
  <c r="AL35" i="4"/>
  <c r="AN35" i="4"/>
  <c r="P96" i="6"/>
  <c r="R96" i="6" s="1"/>
  <c r="R109" i="6" s="1"/>
  <c r="P90" i="6" s="1"/>
  <c r="R90" i="6" s="1"/>
  <c r="AB33" i="4"/>
  <c r="AD33" i="4"/>
  <c r="AC33" i="4"/>
  <c r="N37" i="3"/>
  <c r="Q30" i="4"/>
  <c r="AX31" i="4"/>
  <c r="AW31" i="4"/>
  <c r="AV31" i="4"/>
  <c r="AW35" i="4"/>
  <c r="AX35" i="4"/>
  <c r="AV35" i="4"/>
  <c r="AM38" i="4"/>
  <c r="AN38" i="4"/>
  <c r="AL38" i="4"/>
  <c r="AN36" i="4"/>
  <c r="AM36" i="4"/>
  <c r="AL36" i="4"/>
  <c r="AP40" i="4"/>
  <c r="AS42" i="4" s="1"/>
  <c r="AS47" i="4" s="1"/>
  <c r="AV30" i="4"/>
  <c r="AX30" i="4"/>
  <c r="AW30" i="4"/>
  <c r="V40" i="4"/>
  <c r="Y42" i="4" s="1"/>
  <c r="Y47" i="4" s="1"/>
  <c r="AC30" i="4"/>
  <c r="AD30" i="4"/>
  <c r="AB30" i="4"/>
  <c r="AC38" i="4"/>
  <c r="AB38" i="4"/>
  <c r="AD38" i="4"/>
  <c r="J36" i="3"/>
  <c r="I24" i="5"/>
  <c r="AB91" i="6"/>
  <c r="Z76" i="6" s="1"/>
  <c r="AB76" i="6" s="1"/>
  <c r="AV39" i="4"/>
  <c r="AW39" i="4"/>
  <c r="AX39" i="4"/>
  <c r="U47" i="4" a="1"/>
  <c r="AB34" i="4"/>
  <c r="AD34" i="4"/>
  <c r="AC34" i="4"/>
  <c r="AA77" i="6"/>
  <c r="W75" i="6"/>
  <c r="W71" i="6" s="1"/>
  <c r="W70" i="6" s="1"/>
  <c r="E24" i="5"/>
  <c r="F36" i="3"/>
  <c r="AB131" i="6"/>
  <c r="AX38" i="4"/>
  <c r="AW38" i="4"/>
  <c r="AV38" i="4"/>
  <c r="AC32" i="4"/>
  <c r="AD32" i="4"/>
  <c r="AB32" i="4"/>
  <c r="AS16" i="4"/>
  <c r="Y16" i="4"/>
  <c r="AL31" i="4"/>
  <c r="AN31" i="4"/>
  <c r="AM31" i="4"/>
  <c r="AN37" i="4"/>
  <c r="AM37" i="4"/>
  <c r="AL37" i="4"/>
  <c r="AX36" i="4"/>
  <c r="AW36" i="4"/>
  <c r="AV36" i="4"/>
  <c r="Q82" i="6"/>
  <c r="Q86" i="6"/>
  <c r="R86" i="6" s="1"/>
  <c r="AL33" i="4"/>
  <c r="AM33" i="4"/>
  <c r="AN33" i="4"/>
  <c r="AD39" i="4"/>
  <c r="AB39" i="4"/>
  <c r="AC39" i="4"/>
  <c r="AX33" i="4"/>
  <c r="AW33" i="4"/>
  <c r="AV33" i="4"/>
  <c r="AD37" i="4"/>
  <c r="AC37" i="4"/>
  <c r="AB37" i="4"/>
  <c r="AB132" i="6" l="1"/>
  <c r="Z77" i="6"/>
  <c r="AB77" i="6" s="1"/>
  <c r="X60" i="4"/>
  <c r="X63" i="4" s="1"/>
  <c r="O36" i="4"/>
  <c r="R82" i="6"/>
  <c r="R91" i="6" s="1"/>
  <c r="P76" i="6" s="1"/>
  <c r="R76" i="6" s="1"/>
  <c r="R78" i="6" s="1"/>
  <c r="Z63" i="6"/>
  <c r="W50" i="4"/>
  <c r="X49" i="4"/>
  <c r="W49" i="4"/>
  <c r="V49" i="4"/>
  <c r="W48" i="4"/>
  <c r="X47" i="4"/>
  <c r="W47" i="4"/>
  <c r="V47" i="4"/>
  <c r="U47" i="4"/>
  <c r="V50" i="4"/>
  <c r="U50" i="4"/>
  <c r="X48" i="4"/>
  <c r="U48" i="4"/>
  <c r="X50" i="4"/>
  <c r="U49" i="4"/>
  <c r="V48" i="4"/>
  <c r="AB40" i="4"/>
  <c r="Y43" i="4" s="1"/>
  <c r="Y48" i="4" s="1"/>
  <c r="M30" i="6"/>
  <c r="M41" i="6"/>
  <c r="M32" i="6"/>
  <c r="M43" i="6"/>
  <c r="AD40" i="4"/>
  <c r="Y45" i="4" s="1"/>
  <c r="Y50" i="4" s="1"/>
  <c r="AX40" i="4"/>
  <c r="AS45" i="4" s="1"/>
  <c r="AS50" i="4" s="1"/>
  <c r="AL40" i="4"/>
  <c r="AI43" i="4" s="1"/>
  <c r="AI48" i="4" s="1"/>
  <c r="AL42" i="4" s="1" a="1"/>
  <c r="AM40" i="4"/>
  <c r="AI44" i="4" s="1"/>
  <c r="AI49" i="4" s="1"/>
  <c r="F37" i="3"/>
  <c r="E30" i="4"/>
  <c r="AW40" i="4"/>
  <c r="AS44" i="4" s="1"/>
  <c r="AS49" i="4" s="1"/>
  <c r="AV40" i="4"/>
  <c r="AS43" i="4" s="1"/>
  <c r="AS48" i="4" s="1"/>
  <c r="AV42" i="4" s="1" a="1"/>
  <c r="AB78" i="6"/>
  <c r="Z71" i="6" s="1"/>
  <c r="AB71" i="6" s="1"/>
  <c r="AB72" i="6" s="1"/>
  <c r="AC40" i="4"/>
  <c r="Y44" i="4" s="1"/>
  <c r="Y49" i="4" s="1"/>
  <c r="AN40" i="4"/>
  <c r="AI45" i="4" s="1"/>
  <c r="AI50" i="4" s="1"/>
  <c r="J37" i="3"/>
  <c r="L30" i="4"/>
  <c r="AV44" i="4" l="1"/>
  <c r="AV45" i="4"/>
  <c r="AV43" i="4"/>
  <c r="AV42" i="4"/>
  <c r="AT21" i="4" s="1"/>
  <c r="AL45" i="4"/>
  <c r="AL42" i="4"/>
  <c r="AJ21" i="4" s="1"/>
  <c r="AL44" i="4"/>
  <c r="AL43" i="4"/>
  <c r="O35" i="4"/>
  <c r="V60" i="4"/>
  <c r="V63" i="4" s="1"/>
  <c r="O37" i="4"/>
  <c r="P71" i="6"/>
  <c r="R71" i="6" s="1"/>
  <c r="R72" i="6" s="1"/>
  <c r="P41" i="6" s="1"/>
  <c r="P30" i="6"/>
  <c r="P43" i="6"/>
  <c r="P32" i="6"/>
  <c r="AB42" i="4" a="1"/>
  <c r="Q40" i="6"/>
  <c r="Q42" i="6"/>
  <c r="Q29" i="6"/>
  <c r="Q31" i="6"/>
  <c r="O38" i="4"/>
  <c r="W60" i="4"/>
  <c r="W63" i="4" s="1"/>
  <c r="AI21" i="4" l="1"/>
  <c r="AM43" i="4"/>
  <c r="AS21" i="4"/>
  <c r="AW43" i="4"/>
  <c r="AB45" i="4"/>
  <c r="AB42" i="4"/>
  <c r="Z21" i="4" s="1"/>
  <c r="AB44" i="4"/>
  <c r="AB43" i="4"/>
  <c r="AM44" i="4"/>
  <c r="AH21" i="4"/>
  <c r="AG21" i="4"/>
  <c r="AM45" i="4"/>
  <c r="AW45" i="4"/>
  <c r="AQ21" i="4"/>
  <c r="AR21" i="4"/>
  <c r="AW44" i="4"/>
  <c r="AT25" i="4" l="1"/>
  <c r="AB56" i="4" s="1"/>
  <c r="AC56" i="4" s="1"/>
  <c r="AT24" i="4"/>
  <c r="AB55" i="4" s="1"/>
  <c r="AC55" i="4" s="1"/>
  <c r="X21" i="4"/>
  <c r="AC44" i="4"/>
  <c r="AJ24" i="4"/>
  <c r="Y55" i="4" s="1"/>
  <c r="AJ25" i="4"/>
  <c r="Y56" i="4" s="1"/>
  <c r="AC43" i="4"/>
  <c r="Y21" i="4"/>
  <c r="W21" i="4"/>
  <c r="AC45" i="4"/>
  <c r="W51" i="6" l="1"/>
  <c r="Z55" i="4"/>
  <c r="Z25" i="4"/>
  <c r="V56" i="4" s="1"/>
  <c r="Z24" i="4"/>
  <c r="V55" i="4" s="1"/>
  <c r="Q28" i="4"/>
  <c r="X59" i="4"/>
  <c r="Z56" i="4"/>
  <c r="W60" i="6"/>
  <c r="Q29" i="4"/>
  <c r="X62" i="4"/>
  <c r="W59" i="6" l="1"/>
  <c r="M42" i="6" s="1"/>
  <c r="E59" i="6"/>
  <c r="X61" i="6" s="1"/>
  <c r="Z61" i="6" s="1"/>
  <c r="Z60" i="6" s="1"/>
  <c r="AB60" i="6" s="1"/>
  <c r="AB64" i="6" s="1"/>
  <c r="AA63" i="6"/>
  <c r="AB63" i="6" s="1"/>
  <c r="L29" i="4"/>
  <c r="W62" i="4"/>
  <c r="D40" i="6"/>
  <c r="W56" i="4"/>
  <c r="M60" i="6"/>
  <c r="L28" i="4"/>
  <c r="W59" i="4"/>
  <c r="D29" i="6"/>
  <c r="M51" i="6"/>
  <c r="W55" i="4"/>
  <c r="E58" i="6"/>
  <c r="X52" i="6" s="1"/>
  <c r="Z52" i="6" s="1"/>
  <c r="Z51" i="6" s="1"/>
  <c r="AB51" i="6" s="1"/>
  <c r="AB55" i="6" s="1"/>
  <c r="AA54" i="6"/>
  <c r="AB54" i="6" s="1"/>
  <c r="W50" i="6"/>
  <c r="M31" i="6" s="1"/>
  <c r="D58" i="6" l="1"/>
  <c r="M50" i="6"/>
  <c r="M29" i="6" s="1"/>
  <c r="Q54" i="6"/>
  <c r="R54" i="6" s="1"/>
  <c r="Q30" i="6"/>
  <c r="R30" i="6" s="1"/>
  <c r="Q33" i="6"/>
  <c r="R33" i="6" s="1"/>
  <c r="Q32" i="6"/>
  <c r="R32" i="6" s="1"/>
  <c r="M28" i="6"/>
  <c r="H43" i="6"/>
  <c r="I43" i="6" s="1"/>
  <c r="D39" i="6"/>
  <c r="P42" i="6"/>
  <c r="R42" i="6" s="1"/>
  <c r="AB65" i="6"/>
  <c r="AB56" i="6"/>
  <c r="P31" i="6"/>
  <c r="R31" i="6" s="1"/>
  <c r="V59" i="4"/>
  <c r="E28" i="4"/>
  <c r="D28" i="6"/>
  <c r="H32" i="6"/>
  <c r="I32" i="6" s="1"/>
  <c r="Q63" i="6"/>
  <c r="R63" i="6" s="1"/>
  <c r="D59" i="6"/>
  <c r="M59" i="6"/>
  <c r="M40" i="6" s="1"/>
  <c r="M39" i="6" s="1"/>
  <c r="V62" i="4"/>
  <c r="E29" i="4"/>
  <c r="N61" i="6" l="1"/>
  <c r="P61" i="6" s="1"/>
  <c r="P60" i="6" s="1"/>
  <c r="R60" i="6" s="1"/>
  <c r="R64" i="6" s="1"/>
  <c r="E41" i="6"/>
  <c r="G41" i="6" s="1"/>
  <c r="G40" i="6" s="1"/>
  <c r="I40" i="6" s="1"/>
  <c r="I45" i="6" s="1"/>
  <c r="I46" i="6" s="1"/>
  <c r="Q41" i="6"/>
  <c r="R41" i="6" s="1"/>
  <c r="Q43" i="6"/>
  <c r="R43" i="6" s="1"/>
  <c r="Q44" i="6"/>
  <c r="R44" i="6" s="1"/>
  <c r="N52" i="6"/>
  <c r="P52" i="6" s="1"/>
  <c r="P51" i="6" s="1"/>
  <c r="R51" i="6" s="1"/>
  <c r="R55" i="6" s="1"/>
  <c r="E30" i="6"/>
  <c r="G30" i="6" s="1"/>
  <c r="G29" i="6" s="1"/>
  <c r="I29" i="6" s="1"/>
  <c r="I34" i="6" s="1"/>
  <c r="I35" i="6" s="1"/>
  <c r="R56" i="6" l="1"/>
  <c r="P29" i="6"/>
  <c r="R29" i="6" s="1"/>
  <c r="R35" i="6" s="1"/>
  <c r="R36" i="6" s="1"/>
  <c r="P40" i="6"/>
  <c r="R40" i="6" s="1"/>
  <c r="R46" i="6" s="1"/>
  <c r="R47" i="6" s="1"/>
  <c r="R6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<sst xmlns="http://schemas.openxmlformats.org/spreadsheetml/2006/main" count="1418" uniqueCount="466">
  <si>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</si>
  <si>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</si>
  <si>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</si>
  <si>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</si>
  <si>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</si>
  <si>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</si>
  <si>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</si>
  <si>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</si>
  <si>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</si>
  <si>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</si>
  <si>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</si>
  <si>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</si>
  <si>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</si>
  <si>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</si>
  <si>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</si>
  <si>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</si>
  <si>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</si>
  <si>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</si>
  <si>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</si>
  <si>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</si>
  <si>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</si>
  <si>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</si>
  <si>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</si>
  <si>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</si>
  <si>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</si>
  <si>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</si>
  <si>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</si>
  <si>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</si>
  <si>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</si>
  <si>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</si>
  <si>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</si>
  <si>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</si>
  <si>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</si>
  <si>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</si>
  <si>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</si>
  <si>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</si>
  <si>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</si>
  <si>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</si>
  <si>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</si>
  <si>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</si>
  <si>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</si>
  <si>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</si>
  <si>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</si>
  <si>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</si>
  <si>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</si>
  <si>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</si>
  <si>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</si>
  <si>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</si>
  <si>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C.H. SIN SATURAR</t>
  </si>
  <si>
    <t>Masa de tara (g)</t>
  </si>
  <si>
    <t>Masa de suelo húmedo + tara (g)</t>
  </si>
  <si>
    <t>Masa de suelo húmedo (g) (*)</t>
  </si>
  <si>
    <t>Masa de suelo seco + tara (g)</t>
  </si>
  <si>
    <t>C.H. SATURADO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</si>
  <si>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</si>
  <si>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</si>
  <si>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</si>
  <si>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</si>
  <si>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</si>
  <si>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</si>
  <si>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</si>
  <si>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</si>
  <si>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</si>
  <si>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</si>
  <si>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</si>
  <si>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</si>
  <si>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</si>
  <si>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</si>
  <si>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</si>
  <si>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</si>
  <si>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</si>
  <si>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CODIGOS</t>
  </si>
  <si>
    <t>EQUIPOS UTILIZADOS</t>
  </si>
  <si>
    <t>psi = lbf/in2</t>
  </si>
  <si>
    <t>Expansión  (mm)</t>
  </si>
  <si>
    <t>INS-173</t>
  </si>
  <si>
    <t>MOLDE D</t>
  </si>
  <si>
    <t>0:00</t>
  </si>
  <si>
    <t>INS-174</t>
  </si>
  <si>
    <t>MOLDE J</t>
  </si>
  <si>
    <t>0:30</t>
  </si>
  <si>
    <t>INS-175</t>
  </si>
  <si>
    <t>MOLDE T</t>
  </si>
  <si>
    <t>1:00</t>
  </si>
  <si>
    <t>INS-200</t>
  </si>
  <si>
    <t>MOLDE A</t>
  </si>
  <si>
    <t>1:30</t>
  </si>
  <si>
    <t>INS-201</t>
  </si>
  <si>
    <t>MOLDE B</t>
  </si>
  <si>
    <t>2:00</t>
  </si>
  <si>
    <t>INS-202</t>
  </si>
  <si>
    <t>MOLDE C</t>
  </si>
  <si>
    <t>INS-203</t>
  </si>
  <si>
    <t>MOLDE E</t>
  </si>
  <si>
    <t>Equipo utilizado</t>
  </si>
  <si>
    <t>Código</t>
  </si>
  <si>
    <t>INS-204</t>
  </si>
  <si>
    <t>MOLDE H</t>
  </si>
  <si>
    <t>Equipo CBR</t>
  </si>
  <si>
    <t>INS-205</t>
  </si>
  <si>
    <t>MOLDE L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</si>
  <si>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</si>
  <si>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</si>
  <si>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</si>
  <si>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</si>
  <si>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</si>
  <si>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</si>
  <si>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</si>
  <si>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</si>
  <si>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 xml:space="preserve">Revisado:
Fecha: </t>
  </si>
  <si>
    <t>Página 1 de 1</t>
  </si>
  <si>
    <t>Versión: 02 (11-11-2024)</t>
  </si>
  <si>
    <t>Prohibido reproducir sin  autorización</t>
  </si>
  <si>
    <t>WEB: www.geofal.com.pe   E-MAIL: laboratorio@geofal.com.pe
Av. Marañon 763, Los Olivos-Lima / Teléfono  01 905-1911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</si>
  <si>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</si>
  <si>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</si>
  <si>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</si>
  <si>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</si>
  <si>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</si>
  <si>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</si>
  <si>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</si>
  <si>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</si>
  <si>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</si>
  <si>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</si>
  <si>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</si>
  <si>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</si>
  <si>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</si>
  <si>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</si>
  <si>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</si>
  <si>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</si>
  <si>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</si>
  <si>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</si>
  <si>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</si>
  <si>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</si>
  <si>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</si>
  <si>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</si>
  <si>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</si>
  <si>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</si>
  <si>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</si>
  <si>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</si>
  <si>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Periódo inmersión (hrs)</t>
  </si>
  <si>
    <t>96+/-2 horas</t>
  </si>
  <si>
    <t>Contenido Humedad tal como se recibió</t>
  </si>
  <si>
    <t>-</t>
  </si>
  <si>
    <t>ASTM D2216-19</t>
  </si>
  <si>
    <t xml:space="preserve">Limites de Atterberg </t>
  </si>
  <si>
    <t>ASTM D4318-17ε1</t>
  </si>
  <si>
    <t>ASTM D6913/D6913M-17 (Reapproved 2025)</t>
  </si>
  <si>
    <t>GR. SUELO</t>
  </si>
  <si>
    <t>Clasificaciòn de suelo SUCS</t>
  </si>
  <si>
    <t>ASTM D2487-17 (Reapproved 2025)</t>
  </si>
  <si>
    <t>Analisis granulometrico</t>
  </si>
  <si>
    <t>ASTM C136/C136M-25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</si>
  <si>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</si>
  <si>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</si>
  <si>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</si>
  <si>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</si>
  <si>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</si>
  <si>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</si>
  <si>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</si>
  <si>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</si>
  <si>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</si>
  <si>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</si>
  <si>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</si>
  <si>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>Contenido de humedad (ASTM D2216-19)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</si>
  <si>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</si>
  <si>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</si>
  <si>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</si>
  <si>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</si>
  <si>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</si>
  <si>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</si>
  <si>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</si>
  <si>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</si>
  <si>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Versión: 03 (2026-05-26)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</si>
  <si>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</si>
  <si>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</si>
  <si>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</si>
  <si>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</si>
  <si>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</si>
  <si>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</si>
  <si>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</si>
  <si>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</si>
  <si>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</si>
  <si>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</si>
  <si>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</si>
  <si>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</si>
  <si>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</si>
  <si>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</si>
  <si>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</si>
  <si>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</si>
  <si>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</si>
  <si>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</si>
  <si>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</si>
  <si>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</si>
  <si>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</si>
  <si>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</si>
  <si>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</si>
  <si>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</si>
  <si>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</si>
  <si>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</si>
  <si>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</si>
  <si>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</si>
  <si>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</si>
  <si>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</si>
  <si>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</si>
  <si>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</si>
  <si>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</si>
  <si>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</si>
  <si>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</si>
  <si>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</si>
  <si>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</si>
  <si>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</si>
  <si>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</si>
  <si>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</si>
  <si>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</si>
  <si>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</si>
  <si>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</si>
  <si>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</si>
  <si>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</si>
  <si>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</si>
  <si>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</si>
  <si>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</si>
  <si>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</si>
  <si>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</si>
  <si>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</si>
  <si>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</si>
  <si>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</si>
  <si>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</si>
  <si>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</si>
  <si>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</si>
  <si>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</si>
  <si>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</si>
  <si>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</si>
  <si>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</si>
  <si>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</si>
  <si>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</si>
  <si>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</si>
  <si>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</si>
  <si>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</si>
  <si>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</si>
  <si>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</si>
  <si>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</si>
  <si>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</si>
  <si>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</si>
  <si>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</si>
  <si>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</si>
  <si>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</si>
  <si>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</si>
  <si>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</si>
  <si>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</si>
  <si>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</si>
  <si>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</si>
  <si>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</si>
  <si>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</si>
  <si>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</si>
  <si>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</si>
  <si>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</si>
  <si>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</si>
  <si>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</si>
  <si>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</si>
  <si>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</si>
  <si>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</si>
  <si>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</si>
  <si>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</si>
  <si>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</si>
  <si>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</si>
  <si>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</si>
  <si>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</si>
  <si>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</si>
  <si>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</si>
  <si>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</si>
  <si>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</si>
  <si>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D</t>
  </si>
  <si>
    <t>Metodo de preparación:</t>
  </si>
  <si>
    <t>J</t>
  </si>
  <si>
    <t>T</t>
  </si>
  <si>
    <t>Correccion del dial</t>
  </si>
  <si>
    <t>A</t>
  </si>
  <si>
    <t>Diámetro de pistón</t>
  </si>
  <si>
    <t>mm</t>
  </si>
  <si>
    <t>Verificacion 13-06-26</t>
  </si>
  <si>
    <t>B</t>
  </si>
  <si>
    <t xml:space="preserve">Area de Pistón </t>
  </si>
  <si>
    <t>cm²</t>
  </si>
  <si>
    <t>C</t>
  </si>
  <si>
    <t>PROMEDIO</t>
  </si>
  <si>
    <t>Temperatura Inicial-Compactación:</t>
  </si>
  <si>
    <t>ºC</t>
  </si>
  <si>
    <t>E</t>
  </si>
  <si>
    <t>Temperatura máxima Final-Compactación:</t>
  </si>
  <si>
    <t>H</t>
  </si>
  <si>
    <t>L</t>
  </si>
  <si>
    <t>DENSIDAD Y PESO UNITARIO SECO</t>
  </si>
  <si>
    <t>Condicion de la muestra</t>
  </si>
  <si>
    <t>Código de molde</t>
  </si>
  <si>
    <t>Masa de molde+suelo moldeado</t>
  </si>
  <si>
    <t>Masa de molde</t>
  </si>
  <si>
    <t xml:space="preserve">Contenido de humedad </t>
  </si>
  <si>
    <t>Masa seca del suelo compactado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</si>
  <si>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</si>
  <si>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</si>
  <si>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</si>
  <si>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</si>
  <si>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</si>
  <si>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</si>
  <si>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</si>
  <si>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</si>
  <si>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</si>
  <si>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</si>
  <si>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</si>
  <si>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</si>
  <si>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</si>
  <si>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</si>
  <si>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</si>
  <si>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</si>
  <si>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</si>
  <si>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</si>
  <si>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</si>
  <si>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</si>
  <si>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</si>
  <si>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</si>
  <si>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100 kg-f a 5000 kg-f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</si>
  <si>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</si>
  <si>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</si>
  <si>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</si>
  <si>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</si>
  <si>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</si>
  <si>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</si>
  <si>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</si>
  <si>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</si>
  <si>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</si>
  <si>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</si>
  <si>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</si>
  <si>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</si>
  <si>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</si>
  <si>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</si>
  <si>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</si>
  <si>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</si>
  <si>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</si>
  <si>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</si>
  <si>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</si>
  <si>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</si>
  <si>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</si>
  <si>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</si>
  <si>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</si>
  <si>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</si>
  <si>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</si>
  <si>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</si>
  <si>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</si>
  <si>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</si>
  <si>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</si>
  <si>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</si>
  <si>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</si>
  <si>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</si>
  <si>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</si>
  <si>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</si>
  <si>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</si>
  <si>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</si>
  <si>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</si>
  <si>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</si>
  <si>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</si>
  <si>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</si>
  <si>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</si>
  <si>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</si>
  <si>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</si>
  <si>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</si>
  <si>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</si>
  <si>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</si>
  <si>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</si>
  <si>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</si>
  <si>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</si>
  <si>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</si>
  <si>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</si>
  <si>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</si>
  <si>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</si>
  <si>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</si>
  <si>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</si>
  <si>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</si>
  <si>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</si>
  <si>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</si>
  <si>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</si>
  <si>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</si>
  <si>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</si>
  <si>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</si>
  <si>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</si>
  <si>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</si>
  <si>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</si>
  <si>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</si>
  <si>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</si>
  <si>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</si>
  <si>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</si>
  <si>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</si>
  <si>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</si>
  <si>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</si>
  <si>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</si>
  <si>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</si>
  <si>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</si>
  <si>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</si>
  <si>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</si>
  <si>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</si>
  <si>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</si>
  <si>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</si>
  <si>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</si>
  <si>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</si>
  <si>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</si>
  <si>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</si>
  <si>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</si>
  <si>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</si>
  <si>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</si>
  <si>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</si>
  <si>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</si>
  <si>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</si>
  <si>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</si>
  <si>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</si>
  <si>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</si>
  <si>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</si>
  <si>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</si>
  <si>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</si>
  <si>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</si>
  <si>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</si>
  <si>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2*RAIZ(1.14+0.000000000248*R2)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</si>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</sst>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.0"/>
    <numFmt numFmtId="165" formatCode="000&quot;-20 SU12&quot;"/>
    <numFmt numFmtId="166" formatCode="0.000"/>
    <numFmt numFmtId="167" formatCode="00#&quot;-16 / SU 11&quot;"/>
    <numFmt numFmtId="168" formatCode="0.00000"/>
    <numFmt numFmtId="169" formatCode="000\-\ &quot;24&quot;"/>
    <numFmt numFmtId="170" formatCode="0.\ &quot;mm&quot;"/>
    <numFmt numFmtId="171" formatCode="&quot;Molde&quot;\ 0"/>
    <numFmt numFmtId="172" formatCode="dd\-mm\-yy;@"/>
    <numFmt numFmtId="173" formatCode="0.0000"/>
    <numFmt numFmtId="174" formatCode="yyyy\-mm\-dd;@"/>
    <numFmt numFmtId="175" formatCode="0.00000000000"/>
    <numFmt numFmtId="176" formatCode="&quot;0&quot;0"/>
    <numFmt numFmtId="177" formatCode="#,##0.0"/>
    <numFmt numFmtId="178" formatCode="000\-\ &quot;26&quot;"/>
    <numFmt numFmtId="179" formatCode="&quot;FORMATO F-LEM-P-SU-11.01&quot;"/>
    <numFmt numFmtId="180" formatCode="000&quot;-21 SU07&quot;"/>
    <numFmt numFmtId="181" formatCode="000&quot;-AG-26&quot;"/>
    <numFmt numFmtId="182" formatCode="000&quot;-SU-24&quot;"/>
    <numFmt numFmtId="183" formatCode="000&quot;-AG-23&quot;"/>
    <numFmt numFmtId="184" formatCode="0.0%"/>
    <numFmt numFmtId="185" formatCode="0.0\ &quot;%&quot;"/>
    <numFmt numFmtId="186" formatCode="d\-m\-yyyy;@"/>
    <numFmt numFmtId="187" formatCode="0.00000E+00"/>
    <numFmt numFmtId="188" formatCode="0\ &quot;Golpes&quot;"/>
    <numFmt numFmtId="189" formatCode="&quot;INFORME DE ENSAYO N°&quot;000&quot;-26 SU37&quot;"/>
    <numFmt numFmtId="190" formatCode="0.0000000"/>
    <numFmt numFmtId="191" formatCode="0.000000"/>
    <numFmt numFmtId="192" formatCode="_([$€-2]\ * #,##0.00_);_([$€-2]\ * \(#,##0.00\);_([$€-2]\ * &quot;-&quot;??_)"/>
    <numFmt numFmtId="193" formatCode="dd\-mmm\-yyyy"/>
  </numFmts>
  <fonts count="6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  <font>
      <b/>
      <sz val="7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2" fontId="11" fillId="0" borderId="0"/>
    <xf numFmtId="193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/>
    <xf numFmtId="9" fontId="11" fillId="0" borderId="0"/>
    <xf numFmtId="9" fontId="11" fillId="0" borderId="0"/>
    <xf numFmtId="0" fontId="66" fillId="0" borderId="0">
      <alignment vertical="top"/>
      <protection locked="0"/>
    </xf>
    <xf numFmtId="0" fontId="30" fillId="0" borderId="0"/>
    <xf numFmtId="0" fontId="67" fillId="0" borderId="0"/>
  </cellStyleXfs>
  <cellXfs count="984">
    <xf numFmtId="0" fontId="0" fillId="0" borderId="0" xfId="0"/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164" fontId="31" fillId="0" borderId="0" xfId="3" applyNumberFormat="1" applyFont="1" applyProtection="1"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 applyProtection="1">
      <alignment horizontal="center" vertical="center"/>
      <protection locked="0"/>
    </xf>
    <xf numFmtId="0" fontId="14" fillId="3" borderId="0" xfId="5" applyFont="1" applyFill="1" applyAlignment="1">
      <alignment vertical="center"/>
    </xf>
    <xf numFmtId="0" fontId="14" fillId="3" borderId="0" xfId="5" applyFont="1" applyFill="1" applyAlignment="1">
      <alignment horizontal="center" vertical="center"/>
    </xf>
    <xf numFmtId="0" fontId="14" fillId="3" borderId="0" xfId="0" applyFont="1" applyFill="1" applyAlignment="1">
      <alignment horizontal="right" vertical="center"/>
    </xf>
    <xf numFmtId="0" fontId="1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14" fillId="3" borderId="0" xfId="5" applyFont="1" applyFill="1" applyAlignment="1">
      <alignment horizontal="right" vertical="center"/>
    </xf>
    <xf numFmtId="165" fontId="4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vertical="center"/>
    </xf>
    <xf numFmtId="0" fontId="19" fillId="3" borderId="0" xfId="0" applyFont="1" applyFill="1"/>
    <xf numFmtId="0" fontId="32" fillId="3" borderId="0" xfId="4" quotePrefix="1" applyFont="1" applyFill="1" applyAlignment="1">
      <alignment vertical="center"/>
    </xf>
    <xf numFmtId="0" fontId="32" fillId="3" borderId="0" xfId="4" quotePrefix="1" applyFont="1" applyFill="1" applyAlignment="1">
      <alignment horizontal="left" vertical="center"/>
    </xf>
    <xf numFmtId="0" fontId="33" fillId="3" borderId="0" xfId="4" applyFont="1" applyFill="1" applyAlignment="1">
      <alignment horizontal="right" vertical="center"/>
    </xf>
    <xf numFmtId="0" fontId="11" fillId="3" borderId="0" xfId="0" applyFont="1" applyFill="1" applyAlignment="1">
      <alignment vertical="center" wrapText="1"/>
    </xf>
    <xf numFmtId="0" fontId="22" fillId="3" borderId="6" xfId="3" applyFont="1" applyFill="1" applyBorder="1"/>
    <xf numFmtId="0" fontId="22" fillId="3" borderId="0" xfId="3" applyFont="1" applyFill="1" applyProtection="1">
      <protection hidden="1"/>
    </xf>
    <xf numFmtId="1" fontId="34" fillId="0" borderId="0" xfId="6" applyNumberFormat="1" applyFont="1" applyAlignment="1" applyProtection="1">
      <alignment horizontal="center" vertical="center"/>
      <protection locked="0"/>
    </xf>
    <xf numFmtId="1" fontId="4" fillId="0" borderId="0" xfId="6" applyNumberFormat="1" applyFont="1" applyAlignment="1" applyProtection="1">
      <alignment horizontal="center" vertical="center"/>
      <protection locked="0"/>
    </xf>
    <xf numFmtId="1" fontId="4" fillId="0" borderId="0" xfId="6" applyNumberFormat="1" applyFont="1" applyAlignment="1" applyProtection="1">
      <alignment vertical="center"/>
      <protection locked="0"/>
    </xf>
    <xf numFmtId="0" fontId="22" fillId="3" borderId="7" xfId="3" applyFont="1" applyFill="1" applyBorder="1" applyAlignment="1" applyProtection="1">
      <alignment horizontal="center"/>
      <protection hidden="1"/>
    </xf>
    <xf numFmtId="0" fontId="22" fillId="3" borderId="0" xfId="3" applyFont="1" applyFill="1"/>
    <xf numFmtId="0" fontId="21" fillId="3" borderId="0" xfId="3" applyFont="1" applyFill="1"/>
    <xf numFmtId="0" fontId="22" fillId="3" borderId="7" xfId="3" applyFont="1" applyFill="1" applyBorder="1" applyAlignment="1" applyProtection="1">
      <alignment horizontal="right"/>
      <protection hidden="1"/>
    </xf>
    <xf numFmtId="166" fontId="22" fillId="3" borderId="7" xfId="3" applyNumberFormat="1" applyFont="1" applyFill="1" applyBorder="1" applyAlignment="1" applyProtection="1">
      <alignment horizontal="center"/>
      <protection hidden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0" fontId="22" fillId="3" borderId="7" xfId="3" applyFont="1" applyFill="1" applyBorder="1" applyAlignment="1" applyProtection="1">
      <alignment horizontal="center" vertical="center"/>
      <protection hidden="1"/>
    </xf>
    <xf numFmtId="2" fontId="22" fillId="3" borderId="7" xfId="3" applyNumberFormat="1" applyFont="1" applyFill="1" applyBorder="1" applyAlignment="1" applyProtection="1">
      <alignment horizontal="center"/>
      <protection hidden="1"/>
    </xf>
    <xf numFmtId="164" fontId="22" fillId="3" borderId="7" xfId="3" applyNumberFormat="1" applyFont="1" applyFill="1" applyBorder="1" applyAlignment="1" applyProtection="1">
      <alignment horizontal="center"/>
      <protection hidden="1"/>
    </xf>
    <xf numFmtId="0" fontId="22" fillId="3" borderId="8" xfId="3" applyFont="1" applyFill="1" applyBorder="1" applyProtection="1">
      <protection hidden="1"/>
    </xf>
    <xf numFmtId="166" fontId="22" fillId="3" borderId="9" xfId="3" applyNumberFormat="1" applyFont="1" applyFill="1" applyBorder="1" applyAlignment="1" applyProtection="1">
      <alignment horizontal="center"/>
      <protection hidden="1"/>
    </xf>
    <xf numFmtId="0" fontId="22" fillId="3" borderId="9" xfId="3" applyFont="1" applyFill="1" applyBorder="1" applyProtection="1">
      <protection hidden="1"/>
    </xf>
    <xf numFmtId="2" fontId="22" fillId="3" borderId="0" xfId="3" applyNumberFormat="1" applyFont="1" applyFill="1"/>
    <xf numFmtId="0" fontId="21" fillId="3" borderId="10" xfId="3" applyFont="1" applyFill="1" applyBorder="1" applyProtection="1">
      <protection hidden="1"/>
    </xf>
    <xf numFmtId="0" fontId="4" fillId="0" borderId="7" xfId="0" applyFont="1" applyBorder="1" applyAlignment="1" applyProtection="1">
      <alignment vertical="center"/>
      <protection locked="0"/>
    </xf>
    <xf numFmtId="0" fontId="4" fillId="3" borderId="11" xfId="3" applyFont="1" applyFill="1" applyBorder="1" applyAlignment="1">
      <alignment vertical="center"/>
    </xf>
    <xf numFmtId="164" fontId="4" fillId="3" borderId="7" xfId="3" applyNumberFormat="1" applyFont="1" applyFill="1" applyBorder="1" applyAlignment="1" applyProtection="1">
      <alignment horizontal="center" vertical="center"/>
      <protection locked="0"/>
    </xf>
    <xf numFmtId="166" fontId="4" fillId="3" borderId="7" xfId="3" applyNumberFormat="1" applyFont="1" applyFill="1" applyBorder="1" applyAlignment="1">
      <alignment horizontal="center" vertical="center"/>
    </xf>
    <xf numFmtId="164" fontId="4" fillId="0" borderId="7" xfId="3" applyNumberFormat="1" applyFont="1" applyBorder="1" applyAlignment="1">
      <alignment horizontal="center" vertical="center"/>
    </xf>
    <xf numFmtId="164" fontId="4" fillId="3" borderId="12" xfId="3" applyNumberFormat="1" applyFont="1" applyFill="1" applyBorder="1" applyAlignment="1" applyProtection="1">
      <alignment horizontal="center" vertical="center"/>
      <protection locked="0"/>
    </xf>
    <xf numFmtId="164" fontId="4" fillId="3" borderId="13" xfId="3" applyNumberFormat="1" applyFont="1" applyFill="1" applyBorder="1" applyAlignment="1" applyProtection="1">
      <alignment horizontal="center" vertical="center"/>
      <protection locked="0"/>
    </xf>
    <xf numFmtId="164" fontId="4" fillId="0" borderId="14" xfId="3" applyNumberFormat="1" applyFont="1" applyBorder="1" applyAlignment="1">
      <alignment horizontal="center" vertical="center"/>
    </xf>
    <xf numFmtId="166" fontId="35" fillId="3" borderId="15" xfId="3" applyNumberFormat="1" applyFont="1" applyFill="1" applyBorder="1" applyAlignment="1">
      <alignment horizontal="center" vertical="center"/>
    </xf>
    <xf numFmtId="164" fontId="14" fillId="3" borderId="16" xfId="3" applyNumberFormat="1" applyFont="1" applyFill="1" applyBorder="1" applyAlignment="1" applyProtection="1">
      <alignment horizontal="center" vertical="center"/>
      <protection locked="0"/>
    </xf>
    <xf numFmtId="166" fontId="4" fillId="3" borderId="15" xfId="3" applyNumberFormat="1" applyFont="1" applyFill="1" applyBorder="1" applyAlignment="1">
      <alignment horizontal="center" vertical="center"/>
    </xf>
    <xf numFmtId="0" fontId="4" fillId="0" borderId="6" xfId="0" applyFont="1" applyBorder="1" applyAlignment="1" applyProtection="1">
      <alignment vertical="center"/>
      <protection locked="0"/>
    </xf>
    <xf numFmtId="166" fontId="4" fillId="3" borderId="14" xfId="3" applyNumberFormat="1" applyFont="1" applyFill="1" applyBorder="1" applyAlignment="1">
      <alignment horizontal="center" vertical="center"/>
    </xf>
    <xf numFmtId="0" fontId="4" fillId="0" borderId="14" xfId="0" applyFont="1" applyBorder="1" applyAlignment="1" applyProtection="1">
      <alignment vertical="center"/>
      <protection locked="0"/>
    </xf>
    <xf numFmtId="0" fontId="4" fillId="0" borderId="15" xfId="0" applyFont="1" applyBorder="1" applyAlignment="1" applyProtection="1">
      <alignment vertical="center"/>
      <protection locked="0"/>
    </xf>
    <xf numFmtId="2" fontId="4" fillId="3" borderId="17" xfId="3" applyNumberFormat="1" applyFont="1" applyFill="1" applyBorder="1" applyAlignment="1">
      <alignment horizontal="center" vertical="center"/>
    </xf>
    <xf numFmtId="2" fontId="4" fillId="3" borderId="16" xfId="3" applyNumberFormat="1" applyFont="1" applyFill="1" applyBorder="1" applyAlignment="1">
      <alignment horizontal="center" vertical="center"/>
    </xf>
    <xf numFmtId="2" fontId="4" fillId="3" borderId="15" xfId="3" applyNumberFormat="1" applyFont="1" applyFill="1" applyBorder="1" applyAlignment="1">
      <alignment horizontal="center" vertical="center"/>
    </xf>
    <xf numFmtId="0" fontId="4" fillId="3" borderId="18" xfId="3" applyFont="1" applyFill="1" applyBorder="1" applyAlignment="1">
      <alignment vertical="center"/>
    </xf>
    <xf numFmtId="0" fontId="4" fillId="3" borderId="19" xfId="3" applyFont="1" applyFill="1" applyBorder="1" applyAlignment="1">
      <alignment vertical="center"/>
    </xf>
    <xf numFmtId="0" fontId="4" fillId="3" borderId="16" xfId="3" applyFont="1" applyFill="1" applyBorder="1" applyAlignment="1">
      <alignment horizontal="center" vertical="center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3" borderId="12" xfId="3" applyFont="1" applyFill="1" applyBorder="1" applyAlignment="1">
      <alignment horizontal="center" vertical="center"/>
    </xf>
    <xf numFmtId="0" fontId="19" fillId="0" borderId="21" xfId="3" applyFont="1" applyBorder="1" applyAlignment="1" applyProtection="1">
      <alignment horizontal="center" vertical="center"/>
      <protection hidden="1"/>
    </xf>
    <xf numFmtId="0" fontId="19" fillId="0" borderId="22" xfId="3" applyFont="1" applyBorder="1" applyAlignment="1" applyProtection="1">
      <alignment horizontal="center" vertical="center"/>
      <protection hidden="1"/>
    </xf>
    <xf numFmtId="164" fontId="4" fillId="3" borderId="17" xfId="3" applyNumberFormat="1" applyFont="1" applyFill="1" applyBorder="1" applyAlignment="1">
      <alignment horizontal="center" vertical="center"/>
    </xf>
    <xf numFmtId="164" fontId="4" fillId="3" borderId="16" xfId="3" applyNumberFormat="1" applyFont="1" applyFill="1" applyBorder="1" applyAlignment="1">
      <alignment horizontal="center" vertical="center"/>
    </xf>
    <xf numFmtId="0" fontId="11" fillId="0" borderId="0" xfId="0" applyFont="1" applyAlignment="1" applyProtection="1">
      <alignment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22" fillId="3" borderId="0" xfId="3" applyFont="1" applyFill="1" applyAlignment="1">
      <alignment horizontal="left" vertical="center"/>
    </xf>
    <xf numFmtId="1" fontId="22" fillId="0" borderId="0" xfId="0" applyNumberFormat="1" applyFont="1" applyAlignment="1" applyProtection="1">
      <alignment vertical="center"/>
      <protection locked="0"/>
    </xf>
    <xf numFmtId="0" fontId="23" fillId="3" borderId="0" xfId="0" applyFont="1" applyFill="1" applyAlignment="1">
      <alignment vertical="center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14" fillId="3" borderId="0" xfId="3" applyFont="1" applyFill="1" applyAlignment="1">
      <alignment vertical="center"/>
    </xf>
    <xf numFmtId="0" fontId="19" fillId="3" borderId="0" xfId="0" applyFont="1" applyFill="1" applyAlignment="1">
      <alignment vertical="center"/>
    </xf>
    <xf numFmtId="0" fontId="2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left" vertical="center"/>
    </xf>
    <xf numFmtId="167" fontId="11" fillId="3" borderId="0" xfId="0" applyNumberFormat="1" applyFont="1" applyFill="1" applyAlignment="1">
      <alignment vertical="center"/>
    </xf>
    <xf numFmtId="0" fontId="22" fillId="3" borderId="24" xfId="0" applyFont="1" applyFill="1" applyBorder="1" applyAlignment="1">
      <alignment vertical="center"/>
    </xf>
    <xf numFmtId="0" fontId="22" fillId="3" borderId="3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right" vertical="center"/>
    </xf>
    <xf numFmtId="0" fontId="22" fillId="3" borderId="1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left" vertical="center"/>
    </xf>
    <xf numFmtId="164" fontId="22" fillId="3" borderId="1" xfId="0" applyNumberFormat="1" applyFont="1" applyFill="1" applyBorder="1" applyAlignment="1">
      <alignment horizontal="left" vertical="center"/>
    </xf>
    <xf numFmtId="166" fontId="22" fillId="3" borderId="1" xfId="0" applyNumberFormat="1" applyFont="1" applyFill="1" applyBorder="1" applyAlignment="1">
      <alignment vertical="center"/>
    </xf>
    <xf numFmtId="0" fontId="22" fillId="3" borderId="2" xfId="0" applyFont="1" applyFill="1" applyBorder="1" applyAlignment="1">
      <alignment vertical="center"/>
    </xf>
    <xf numFmtId="0" fontId="14" fillId="3" borderId="4" xfId="0" applyFont="1" applyFill="1" applyBorder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vertical="center"/>
    </xf>
    <xf numFmtId="2" fontId="4" fillId="3" borderId="0" xfId="0" applyNumberFormat="1" applyFont="1" applyFill="1" applyAlignment="1">
      <alignment horizontal="center" vertical="center"/>
    </xf>
    <xf numFmtId="0" fontId="4" fillId="3" borderId="0" xfId="0" quotePrefix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6" fontId="4" fillId="3" borderId="0" xfId="0" applyNumberFormat="1" applyFont="1" applyFill="1" applyAlignment="1">
      <alignment horizontal="center" vertical="center"/>
    </xf>
    <xf numFmtId="166" fontId="4" fillId="3" borderId="0" xfId="0" quotePrefix="1" applyNumberFormat="1" applyFont="1" applyFill="1" applyAlignment="1">
      <alignment horizontal="center"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14" fillId="3" borderId="4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2" fontId="18" fillId="3" borderId="0" xfId="0" applyNumberFormat="1" applyFont="1" applyFill="1" applyAlignment="1">
      <alignment horizontal="center" vertical="center"/>
    </xf>
    <xf numFmtId="166" fontId="4" fillId="3" borderId="4" xfId="0" applyNumberFormat="1" applyFont="1" applyFill="1" applyBorder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166" fontId="22" fillId="0" borderId="14" xfId="0" applyNumberFormat="1" applyFont="1" applyBorder="1" applyAlignment="1">
      <alignment horizontal="center" vertical="center"/>
    </xf>
    <xf numFmtId="164" fontId="22" fillId="0" borderId="7" xfId="0" applyNumberFormat="1" applyFont="1" applyBorder="1" applyAlignment="1" applyProtection="1">
      <alignment horizontal="center" vertical="center"/>
      <protection locked="0"/>
    </xf>
    <xf numFmtId="166" fontId="21" fillId="3" borderId="4" xfId="0" applyNumberFormat="1" applyFont="1" applyFill="1" applyBorder="1" applyAlignment="1">
      <alignment vertical="center"/>
    </xf>
    <xf numFmtId="166" fontId="21" fillId="3" borderId="0" xfId="0" applyNumberFormat="1" applyFont="1" applyFill="1" applyAlignment="1">
      <alignment vertical="center"/>
    </xf>
    <xf numFmtId="166" fontId="21" fillId="3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vertical="center"/>
    </xf>
    <xf numFmtId="1" fontId="22" fillId="3" borderId="0" xfId="0" applyNumberFormat="1" applyFont="1" applyFill="1" applyAlignment="1">
      <alignment horizontal="center" vertical="center"/>
    </xf>
    <xf numFmtId="0" fontId="22" fillId="3" borderId="25" xfId="0" applyFont="1" applyFill="1" applyBorder="1" applyAlignment="1">
      <alignment vertical="center"/>
    </xf>
    <xf numFmtId="0" fontId="22" fillId="3" borderId="26" xfId="0" applyFont="1" applyFill="1" applyBorder="1" applyAlignment="1">
      <alignment vertical="center"/>
    </xf>
    <xf numFmtId="0" fontId="22" fillId="3" borderId="26" xfId="0" applyFont="1" applyFill="1" applyBorder="1" applyAlignment="1">
      <alignment horizontal="right" vertical="center"/>
    </xf>
    <xf numFmtId="166" fontId="22" fillId="3" borderId="27" xfId="0" applyNumberFormat="1" applyFont="1" applyFill="1" applyBorder="1" applyAlignment="1">
      <alignment horizontal="left" vertical="center"/>
    </xf>
    <xf numFmtId="0" fontId="24" fillId="3" borderId="28" xfId="0" applyFont="1" applyFill="1" applyBorder="1" applyAlignment="1">
      <alignment vertical="center"/>
    </xf>
    <xf numFmtId="0" fontId="22" fillId="3" borderId="29" xfId="0" applyFont="1" applyFill="1" applyBorder="1" applyAlignment="1">
      <alignment vertical="center"/>
    </xf>
    <xf numFmtId="0" fontId="22" fillId="3" borderId="29" xfId="0" applyFont="1" applyFill="1" applyBorder="1" applyAlignment="1">
      <alignment horizontal="right" vertical="center"/>
    </xf>
    <xf numFmtId="0" fontId="22" fillId="3" borderId="30" xfId="0" applyFont="1" applyFill="1" applyBorder="1" applyAlignment="1">
      <alignment vertical="center"/>
    </xf>
    <xf numFmtId="0" fontId="22" fillId="3" borderId="25" xfId="0" applyFont="1" applyFill="1" applyBorder="1" applyAlignment="1">
      <alignment horizontal="right" vertical="center"/>
    </xf>
    <xf numFmtId="0" fontId="22" fillId="3" borderId="27" xfId="0" applyFont="1" applyFill="1" applyBorder="1" applyAlignment="1">
      <alignment vertical="center"/>
    </xf>
    <xf numFmtId="0" fontId="22" fillId="3" borderId="31" xfId="0" applyFont="1" applyFill="1" applyBorder="1" applyAlignment="1">
      <alignment horizontal="right" vertical="center"/>
    </xf>
    <xf numFmtId="0" fontId="22" fillId="3" borderId="0" xfId="0" applyFont="1" applyFill="1" applyAlignment="1">
      <alignment horizontal="right" vertical="center"/>
    </xf>
    <xf numFmtId="0" fontId="22" fillId="3" borderId="32" xfId="0" applyFont="1" applyFill="1" applyBorder="1" applyAlignment="1">
      <alignment vertical="center"/>
    </xf>
    <xf numFmtId="0" fontId="36" fillId="3" borderId="0" xfId="0" applyFont="1" applyFill="1" applyAlignment="1">
      <alignment vertical="center"/>
    </xf>
    <xf numFmtId="0" fontId="22" fillId="3" borderId="28" xfId="0" applyFont="1" applyFill="1" applyBorder="1" applyAlignment="1">
      <alignment horizontal="right" vertical="center"/>
    </xf>
    <xf numFmtId="0" fontId="22" fillId="3" borderId="4" xfId="0" applyFont="1" applyFill="1" applyBorder="1" applyAlignment="1">
      <alignment vertical="center"/>
    </xf>
    <xf numFmtId="0" fontId="36" fillId="3" borderId="0" xfId="0" applyFont="1" applyFill="1" applyAlignment="1">
      <alignment horizontal="right" vertical="center"/>
    </xf>
    <xf numFmtId="164" fontId="36" fillId="3" borderId="0" xfId="0" applyNumberFormat="1" applyFont="1" applyFill="1" applyAlignment="1">
      <alignment vertical="center"/>
    </xf>
    <xf numFmtId="168" fontId="37" fillId="3" borderId="0" xfId="0" applyNumberFormat="1" applyFont="1" applyFill="1" applyAlignment="1">
      <alignment vertical="center"/>
    </xf>
    <xf numFmtId="0" fontId="4" fillId="2" borderId="33" xfId="3" applyFont="1" applyFill="1" applyBorder="1" applyAlignment="1">
      <alignment horizontal="left" vertical="center"/>
    </xf>
    <xf numFmtId="0" fontId="4" fillId="2" borderId="34" xfId="3" applyFont="1" applyFill="1" applyBorder="1" applyAlignment="1">
      <alignment horizontal="center" vertical="center"/>
    </xf>
    <xf numFmtId="0" fontId="4" fillId="2" borderId="20" xfId="3" applyFont="1" applyFill="1" applyBorder="1" applyAlignment="1">
      <alignment horizontal="left" vertical="center"/>
    </xf>
    <xf numFmtId="0" fontId="4" fillId="2" borderId="20" xfId="3" applyFont="1" applyFill="1" applyBorder="1" applyAlignment="1">
      <alignment horizontal="center" vertical="center"/>
    </xf>
    <xf numFmtId="164" fontId="4" fillId="2" borderId="13" xfId="3" applyNumberFormat="1" applyFont="1" applyFill="1" applyBorder="1" applyAlignment="1">
      <alignment horizontal="center" vertical="center"/>
    </xf>
    <xf numFmtId="0" fontId="4" fillId="2" borderId="15" xfId="3" applyFont="1" applyFill="1" applyBorder="1" applyAlignment="1">
      <alignment horizontal="center" vertical="center"/>
    </xf>
    <xf numFmtId="0" fontId="17" fillId="3" borderId="0" xfId="0" applyFont="1" applyFill="1"/>
    <xf numFmtId="0" fontId="17" fillId="3" borderId="0" xfId="0" applyFont="1" applyFill="1" applyProtection="1">
      <protection locked="0"/>
    </xf>
    <xf numFmtId="0" fontId="22" fillId="3" borderId="0" xfId="0" quotePrefix="1" applyFont="1" applyFill="1" applyAlignment="1">
      <alignment vertical="center"/>
    </xf>
    <xf numFmtId="0" fontId="17" fillId="3" borderId="0" xfId="0" applyFont="1" applyFill="1" applyAlignment="1">
      <alignment vertical="top" wrapText="1"/>
    </xf>
    <xf numFmtId="166" fontId="22" fillId="3" borderId="4" xfId="0" applyNumberFormat="1" applyFont="1" applyFill="1" applyBorder="1" applyAlignment="1">
      <alignment horizontal="center" vertical="center"/>
    </xf>
    <xf numFmtId="1" fontId="4" fillId="3" borderId="26" xfId="5" applyNumberFormat="1" applyFont="1" applyFill="1" applyBorder="1" applyAlignment="1" applyProtection="1">
      <alignment vertical="center"/>
      <protection hidden="1"/>
    </xf>
    <xf numFmtId="1" fontId="4" fillId="3" borderId="0" xfId="5" applyNumberFormat="1" applyFont="1" applyFill="1" applyAlignment="1" applyProtection="1">
      <alignment vertical="center"/>
      <protection hidden="1"/>
    </xf>
    <xf numFmtId="1" fontId="4" fillId="3" borderId="29" xfId="5" applyNumberFormat="1" applyFont="1" applyFill="1" applyBorder="1" applyAlignment="1" applyProtection="1">
      <alignment vertical="center"/>
      <protection hidden="1"/>
    </xf>
    <xf numFmtId="14" fontId="22" fillId="2" borderId="14" xfId="3" applyNumberFormat="1" applyFont="1" applyFill="1" applyBorder="1" applyAlignment="1" applyProtection="1">
      <alignment horizontal="center" vertical="center"/>
      <protection locked="0"/>
    </xf>
    <xf numFmtId="20" fontId="22" fillId="2" borderId="7" xfId="3" applyNumberFormat="1" applyFont="1" applyFill="1" applyBorder="1" applyAlignment="1" applyProtection="1">
      <alignment horizontal="center" vertical="center"/>
      <protection locked="0"/>
    </xf>
    <xf numFmtId="2" fontId="22" fillId="2" borderId="7" xfId="3" applyNumberFormat="1" applyFont="1" applyFill="1" applyBorder="1" applyAlignment="1" applyProtection="1">
      <alignment horizontal="center" vertical="center"/>
      <protection hidden="1"/>
    </xf>
    <xf numFmtId="164" fontId="22" fillId="2" borderId="7" xfId="3" applyNumberFormat="1" applyFont="1" applyFill="1" applyBorder="1" applyAlignment="1">
      <alignment horizontal="center" vertical="center"/>
    </xf>
    <xf numFmtId="164" fontId="22" fillId="2" borderId="13" xfId="3" applyNumberFormat="1" applyFont="1" applyFill="1" applyBorder="1" applyAlignment="1">
      <alignment horizontal="center" vertical="center"/>
    </xf>
    <xf numFmtId="14" fontId="22" fillId="2" borderId="15" xfId="3" applyNumberFormat="1" applyFont="1" applyFill="1" applyBorder="1" applyAlignment="1" applyProtection="1">
      <alignment horizontal="center" vertical="center"/>
      <protection locked="0"/>
    </xf>
    <xf numFmtId="20" fontId="22" fillId="2" borderId="17" xfId="3" applyNumberFormat="1" applyFont="1" applyFill="1" applyBorder="1" applyAlignment="1" applyProtection="1">
      <alignment horizontal="center" vertical="center"/>
      <protection locked="0"/>
    </xf>
    <xf numFmtId="0" fontId="22" fillId="2" borderId="17" xfId="3" applyFont="1" applyFill="1" applyBorder="1" applyAlignment="1" applyProtection="1">
      <alignment horizontal="center" vertical="center"/>
      <protection hidden="1"/>
    </xf>
    <xf numFmtId="164" fontId="22" fillId="2" borderId="17" xfId="3" applyNumberFormat="1" applyFont="1" applyFill="1" applyBorder="1" applyAlignment="1">
      <alignment horizontal="center" vertical="center"/>
    </xf>
    <xf numFmtId="164" fontId="22" fillId="2" borderId="16" xfId="3" applyNumberFormat="1" applyFont="1" applyFill="1" applyBorder="1" applyAlignment="1">
      <alignment horizontal="center" vertical="center"/>
    </xf>
    <xf numFmtId="0" fontId="21" fillId="0" borderId="35" xfId="3" applyFont="1" applyBorder="1" applyAlignment="1" applyProtection="1">
      <alignment horizontal="center" vertical="center"/>
      <protection hidden="1"/>
    </xf>
    <xf numFmtId="0" fontId="22" fillId="0" borderId="7" xfId="0" applyFont="1" applyBorder="1" applyAlignment="1">
      <alignment horizontal="center"/>
    </xf>
    <xf numFmtId="0" fontId="6" fillId="0" borderId="4" xfId="0" applyFont="1" applyBorder="1" applyAlignment="1" applyProtection="1">
      <alignment vertical="center"/>
      <protection locked="0"/>
    </xf>
    <xf numFmtId="0" fontId="4" fillId="3" borderId="7" xfId="3" applyFont="1" applyFill="1" applyBorder="1" applyAlignment="1">
      <alignment vertical="center"/>
    </xf>
    <xf numFmtId="0" fontId="22" fillId="3" borderId="8" xfId="3" applyFont="1" applyFill="1" applyBorder="1" applyAlignment="1" applyProtection="1">
      <alignment horizontal="center" vertical="center"/>
      <protection hidden="1"/>
    </xf>
    <xf numFmtId="0" fontId="4" fillId="3" borderId="13" xfId="3" applyFont="1" applyFill="1" applyBorder="1" applyAlignment="1">
      <alignment horizontal="center" vertical="center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3" borderId="18" xfId="3" applyFont="1" applyFill="1" applyBorder="1" applyAlignment="1">
      <alignment horizontal="left" vertical="center"/>
    </xf>
    <xf numFmtId="0" fontId="4" fillId="3" borderId="9" xfId="3" applyFont="1" applyFill="1" applyBorder="1" applyAlignment="1">
      <alignment horizontal="left" vertical="center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166" fontId="4" fillId="3" borderId="4" xfId="0" applyNumberFormat="1" applyFont="1" applyFill="1" applyBorder="1" applyAlignment="1">
      <alignment horizontal="left" vertical="center"/>
    </xf>
    <xf numFmtId="166" fontId="4" fillId="3" borderId="0" xfId="0" applyNumberFormat="1" applyFont="1" applyFill="1" applyAlignment="1">
      <alignment horizontal="left" vertical="center"/>
    </xf>
    <xf numFmtId="169" fontId="4" fillId="3" borderId="0" xfId="0" applyNumberFormat="1" applyFont="1" applyFill="1" applyAlignment="1">
      <alignment vertical="center"/>
    </xf>
    <xf numFmtId="14" fontId="4" fillId="3" borderId="0" xfId="0" applyNumberFormat="1" applyFont="1" applyFill="1" applyAlignment="1">
      <alignment vertical="center"/>
    </xf>
    <xf numFmtId="11" fontId="38" fillId="3" borderId="0" xfId="0" applyNumberFormat="1" applyFont="1" applyFill="1" applyAlignment="1" applyProtection="1">
      <alignment horizontal="center" vertical="center"/>
      <protection hidden="1"/>
    </xf>
    <xf numFmtId="14" fontId="19" fillId="3" borderId="0" xfId="0" applyNumberFormat="1" applyFont="1" applyFill="1" applyAlignment="1" applyProtection="1">
      <alignment vertical="center"/>
      <protection hidden="1"/>
    </xf>
    <xf numFmtId="0" fontId="22" fillId="0" borderId="8" xfId="0" applyFont="1" applyBorder="1" applyAlignment="1" applyProtection="1">
      <alignment vertical="center"/>
      <protection locked="0"/>
    </xf>
    <xf numFmtId="0" fontId="22" fillId="0" borderId="11" xfId="0" applyFont="1" applyBorder="1" applyAlignment="1" applyProtection="1">
      <alignment vertical="center"/>
      <protection locked="0"/>
    </xf>
    <xf numFmtId="0" fontId="22" fillId="0" borderId="9" xfId="0" applyFont="1" applyBorder="1" applyAlignment="1" applyProtection="1">
      <alignment vertical="center"/>
      <protection locked="0"/>
    </xf>
    <xf numFmtId="0" fontId="22" fillId="0" borderId="7" xfId="0" applyFont="1" applyBorder="1" applyAlignment="1" applyProtection="1">
      <alignment horizontal="center" vertical="center"/>
      <protection locked="0"/>
    </xf>
    <xf numFmtId="0" fontId="14" fillId="0" borderId="9" xfId="0" applyFont="1" applyBorder="1" applyAlignment="1" applyProtection="1">
      <alignment horizontal="left" vertical="center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vertical="center"/>
      <protection locked="0"/>
    </xf>
    <xf numFmtId="170" fontId="22" fillId="0" borderId="0" xfId="0" applyNumberFormat="1" applyFont="1" applyAlignment="1" applyProtection="1">
      <alignment vertical="center"/>
      <protection locked="0"/>
    </xf>
    <xf numFmtId="0" fontId="11" fillId="0" borderId="0" xfId="0" applyFont="1"/>
    <xf numFmtId="2" fontId="4" fillId="0" borderId="0" xfId="0" applyNumberFormat="1" applyFont="1" applyAlignment="1" applyProtection="1">
      <alignment vertical="center"/>
      <protection locked="0"/>
    </xf>
    <xf numFmtId="171" fontId="4" fillId="0" borderId="7" xfId="0" applyNumberFormat="1" applyFont="1" applyBorder="1" applyAlignment="1" applyProtection="1">
      <alignment horizontal="center" vertical="center"/>
      <protection locked="0"/>
    </xf>
    <xf numFmtId="2" fontId="22" fillId="0" borderId="0" xfId="0" applyNumberFormat="1" applyFont="1" applyAlignment="1" applyProtection="1">
      <alignment vertical="center"/>
      <protection locked="0"/>
    </xf>
    <xf numFmtId="0" fontId="4" fillId="0" borderId="37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2" fontId="22" fillId="0" borderId="7" xfId="0" applyNumberFormat="1" applyFont="1" applyBorder="1" applyAlignment="1">
      <alignment horizontal="center" vertical="center"/>
    </xf>
    <xf numFmtId="164" fontId="22" fillId="0" borderId="13" xfId="0" applyNumberFormat="1" applyFont="1" applyBorder="1" applyAlignment="1" applyProtection="1">
      <alignment horizontal="center" vertical="center"/>
      <protection locked="0"/>
    </xf>
    <xf numFmtId="164" fontId="22" fillId="0" borderId="8" xfId="0" applyNumberFormat="1" applyFont="1" applyBorder="1" applyAlignment="1" applyProtection="1">
      <alignment horizontal="center" vertical="center"/>
      <protection locked="0"/>
    </xf>
    <xf numFmtId="0" fontId="22" fillId="0" borderId="8" xfId="0" applyFont="1" applyBorder="1" applyAlignment="1" applyProtection="1">
      <alignment horizontal="center" vertical="center"/>
      <protection locked="0"/>
    </xf>
    <xf numFmtId="166" fontId="22" fillId="4" borderId="14" xfId="0" applyNumberFormat="1" applyFont="1" applyFill="1" applyBorder="1" applyAlignment="1">
      <alignment horizontal="center" vertical="center"/>
    </xf>
    <xf numFmtId="2" fontId="22" fillId="4" borderId="7" xfId="0" applyNumberFormat="1" applyFont="1" applyFill="1" applyBorder="1" applyAlignment="1">
      <alignment horizontal="center" vertical="center"/>
    </xf>
    <xf numFmtId="0" fontId="22" fillId="4" borderId="8" xfId="0" applyFont="1" applyFill="1" applyBorder="1" applyAlignment="1" applyProtection="1">
      <alignment horizontal="center" vertical="center"/>
      <protection locked="0"/>
    </xf>
    <xf numFmtId="164" fontId="22" fillId="4" borderId="7" xfId="0" applyNumberFormat="1" applyFont="1" applyFill="1" applyBorder="1" applyAlignment="1" applyProtection="1">
      <alignment horizontal="center" vertical="center"/>
      <protection locked="0"/>
    </xf>
    <xf numFmtId="164" fontId="22" fillId="4" borderId="13" xfId="0" applyNumberFormat="1" applyFont="1" applyFill="1" applyBorder="1" applyAlignment="1" applyProtection="1">
      <alignment horizontal="center" vertical="center"/>
      <protection locked="0"/>
    </xf>
    <xf numFmtId="164" fontId="22" fillId="4" borderId="8" xfId="0" applyNumberFormat="1" applyFont="1" applyFill="1" applyBorder="1" applyAlignment="1" applyProtection="1">
      <alignment horizontal="center" vertical="center"/>
      <protection locked="0"/>
    </xf>
    <xf numFmtId="166" fontId="22" fillId="0" borderId="15" xfId="0" applyNumberFormat="1" applyFont="1" applyBorder="1" applyAlignment="1">
      <alignment horizontal="center" vertical="center"/>
    </xf>
    <xf numFmtId="2" fontId="22" fillId="0" borderId="17" xfId="0" applyNumberFormat="1" applyFont="1" applyBorder="1" applyAlignment="1">
      <alignment horizontal="center" vertical="center"/>
    </xf>
    <xf numFmtId="0" fontId="22" fillId="0" borderId="38" xfId="0" applyFont="1" applyBorder="1" applyAlignment="1" applyProtection="1">
      <alignment horizontal="center" vertical="center"/>
      <protection locked="0"/>
    </xf>
    <xf numFmtId="164" fontId="22" fillId="0" borderId="17" xfId="0" applyNumberFormat="1" applyFont="1" applyBorder="1" applyAlignment="1" applyProtection="1">
      <alignment horizontal="center" vertical="center"/>
      <protection locked="0"/>
    </xf>
    <xf numFmtId="164" fontId="22" fillId="0" borderId="16" xfId="0" applyNumberFormat="1" applyFont="1" applyBorder="1" applyAlignment="1" applyProtection="1">
      <alignment horizontal="center" vertical="center"/>
      <protection locked="0"/>
    </xf>
    <xf numFmtId="164" fontId="22" fillId="0" borderId="38" xfId="0" applyNumberFormat="1" applyFont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22" fillId="0" borderId="0" xfId="0" applyFont="1" applyAlignment="1" applyProtection="1">
      <alignment horizontal="left" vertical="center"/>
      <protection locked="0"/>
    </xf>
    <xf numFmtId="1" fontId="22" fillId="0" borderId="0" xfId="0" applyNumberFormat="1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/>
      <protection locked="0"/>
    </xf>
    <xf numFmtId="0" fontId="17" fillId="0" borderId="0" xfId="0" applyFont="1" applyAlignment="1" applyProtection="1">
      <alignment vertical="top" wrapText="1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11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22" fillId="0" borderId="0" xfId="0" applyFont="1" applyAlignment="1" applyProtection="1">
      <alignment horizontal="right" vertical="center" indent="1"/>
      <protection locked="0"/>
    </xf>
    <xf numFmtId="164" fontId="39" fillId="0" borderId="14" xfId="3" applyNumberFormat="1" applyFont="1" applyBorder="1" applyAlignment="1">
      <alignment horizontal="center" vertical="center"/>
    </xf>
    <xf numFmtId="0" fontId="40" fillId="5" borderId="14" xfId="3" applyFont="1" applyFill="1" applyBorder="1" applyAlignment="1">
      <alignment horizontal="center"/>
    </xf>
    <xf numFmtId="164" fontId="40" fillId="5" borderId="7" xfId="3" applyNumberFormat="1" applyFont="1" applyFill="1" applyBorder="1" applyAlignment="1" applyProtection="1">
      <alignment horizontal="center"/>
      <protection hidden="1"/>
    </xf>
    <xf numFmtId="0" fontId="40" fillId="5" borderId="7" xfId="3" applyFont="1" applyFill="1" applyBorder="1" applyAlignment="1" applyProtection="1">
      <alignment horizontal="center" vertical="center"/>
      <protection locked="0"/>
    </xf>
    <xf numFmtId="166" fontId="40" fillId="5" borderId="14" xfId="0" applyNumberFormat="1" applyFont="1" applyFill="1" applyBorder="1" applyAlignment="1">
      <alignment horizontal="center" vertical="center"/>
    </xf>
    <xf numFmtId="164" fontId="40" fillId="5" borderId="7" xfId="0" applyNumberFormat="1" applyFont="1" applyFill="1" applyBorder="1" applyAlignment="1" applyProtection="1">
      <alignment horizontal="center" vertical="center"/>
      <protection locked="0"/>
    </xf>
    <xf numFmtId="0" fontId="4" fillId="3" borderId="7" xfId="3" applyFont="1" applyFill="1" applyBorder="1" applyAlignment="1">
      <alignment horizontal="center" vertical="center" wrapText="1"/>
    </xf>
    <xf numFmtId="1" fontId="4" fillId="0" borderId="14" xfId="4" applyNumberFormat="1" applyFont="1" applyBorder="1" applyAlignment="1" applyProtection="1">
      <alignment horizontal="center" vertical="center"/>
      <protection locked="0" hidden="1"/>
    </xf>
    <xf numFmtId="164" fontId="4" fillId="0" borderId="7" xfId="4" applyNumberFormat="1" applyFont="1" applyBorder="1" applyAlignment="1" applyProtection="1">
      <alignment horizontal="center" vertical="center"/>
      <protection hidden="1"/>
    </xf>
    <xf numFmtId="164" fontId="4" fillId="0" borderId="7" xfId="4" applyNumberFormat="1" applyFont="1" applyBorder="1" applyAlignment="1" applyProtection="1">
      <alignment horizontal="center" vertical="center"/>
      <protection locked="0"/>
    </xf>
    <xf numFmtId="0" fontId="4" fillId="3" borderId="13" xfId="0" applyFont="1" applyFill="1" applyBorder="1" applyAlignment="1">
      <alignment vertical="center"/>
    </xf>
    <xf numFmtId="0" fontId="4" fillId="0" borderId="14" xfId="4" applyFont="1" applyBorder="1" applyAlignment="1" applyProtection="1">
      <alignment horizontal="center" vertical="center"/>
      <protection hidden="1"/>
    </xf>
    <xf numFmtId="164" fontId="4" fillId="0" borderId="7" xfId="4" applyNumberFormat="1" applyFont="1" applyBorder="1" applyAlignment="1" applyProtection="1">
      <alignment horizontal="center" vertical="center"/>
      <protection locked="0" hidden="1"/>
    </xf>
    <xf numFmtId="0" fontId="4" fillId="0" borderId="15" xfId="4" applyFont="1" applyBorder="1" applyAlignment="1" applyProtection="1">
      <alignment horizontal="center" vertical="center"/>
      <protection hidden="1"/>
    </xf>
    <xf numFmtId="0" fontId="4" fillId="3" borderId="16" xfId="0" applyFont="1" applyFill="1" applyBorder="1" applyAlignment="1">
      <alignment vertical="center"/>
    </xf>
    <xf numFmtId="0" fontId="4" fillId="3" borderId="39" xfId="3" applyFont="1" applyFill="1" applyBorder="1" applyAlignment="1">
      <alignment horizontal="left" vertical="center"/>
    </xf>
    <xf numFmtId="0" fontId="4" fillId="3" borderId="40" xfId="3" applyFont="1" applyFill="1" applyBorder="1" applyAlignment="1">
      <alignment horizontal="left" vertical="center"/>
    </xf>
    <xf numFmtId="0" fontId="4" fillId="0" borderId="7" xfId="4" applyFont="1" applyBorder="1" applyAlignment="1" applyProtection="1">
      <alignment horizontal="center" vertical="center"/>
      <protection hidden="1"/>
    </xf>
    <xf numFmtId="0" fontId="4" fillId="0" borderId="13" xfId="4" applyFont="1" applyBorder="1" applyAlignment="1" applyProtection="1">
      <alignment horizontal="center" vertical="center"/>
      <protection hidden="1"/>
    </xf>
    <xf numFmtId="0" fontId="22" fillId="3" borderId="14" xfId="3" applyFont="1" applyFill="1" applyBorder="1" applyAlignment="1">
      <alignment horizontal="center"/>
    </xf>
    <xf numFmtId="0" fontId="22" fillId="3" borderId="7" xfId="3" applyFont="1" applyFill="1" applyBorder="1" applyAlignment="1">
      <alignment horizontal="center"/>
    </xf>
    <xf numFmtId="0" fontId="4" fillId="3" borderId="33" xfId="0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14" xfId="3" applyFont="1" applyFill="1" applyBorder="1" applyAlignment="1">
      <alignment horizontal="center" vertical="center"/>
    </xf>
    <xf numFmtId="0" fontId="22" fillId="0" borderId="7" xfId="3" applyFont="1" applyBorder="1" applyAlignment="1">
      <alignment horizontal="center" vertical="center"/>
    </xf>
    <xf numFmtId="0" fontId="11" fillId="0" borderId="0" xfId="3" applyAlignment="1">
      <alignment vertical="center"/>
    </xf>
    <xf numFmtId="166" fontId="22" fillId="0" borderId="7" xfId="3" applyNumberFormat="1" applyFont="1" applyBorder="1" applyAlignment="1">
      <alignment horizontal="center" vertical="center"/>
    </xf>
    <xf numFmtId="166" fontId="41" fillId="0" borderId="7" xfId="3" applyNumberFormat="1" applyFont="1" applyBorder="1" applyAlignment="1">
      <alignment horizontal="center" vertical="center"/>
    </xf>
    <xf numFmtId="0" fontId="22" fillId="3" borderId="41" xfId="3" applyFont="1" applyFill="1" applyBorder="1"/>
    <xf numFmtId="0" fontId="22" fillId="3" borderId="42" xfId="3" applyFont="1" applyFill="1" applyBorder="1"/>
    <xf numFmtId="0" fontId="22" fillId="3" borderId="42" xfId="0" applyFont="1" applyFill="1" applyBorder="1" applyAlignment="1">
      <alignment vertical="center"/>
    </xf>
    <xf numFmtId="0" fontId="22" fillId="3" borderId="43" xfId="0" applyFont="1" applyFill="1" applyBorder="1" applyAlignment="1">
      <alignment vertical="center"/>
    </xf>
    <xf numFmtId="0" fontId="4" fillId="3" borderId="44" xfId="0" applyFont="1" applyFill="1" applyBorder="1" applyAlignment="1">
      <alignment vertical="center"/>
    </xf>
    <xf numFmtId="0" fontId="4" fillId="3" borderId="45" xfId="0" applyFont="1" applyFill="1" applyBorder="1" applyAlignment="1">
      <alignment vertical="center"/>
    </xf>
    <xf numFmtId="0" fontId="22" fillId="3" borderId="45" xfId="3" applyFont="1" applyFill="1" applyBorder="1" applyProtection="1">
      <protection hidden="1"/>
    </xf>
    <xf numFmtId="0" fontId="4" fillId="3" borderId="46" xfId="0" applyFont="1" applyFill="1" applyBorder="1" applyAlignment="1">
      <alignment vertical="center"/>
    </xf>
    <xf numFmtId="166" fontId="4" fillId="0" borderId="0" xfId="0" applyNumberFormat="1" applyFont="1" applyAlignment="1" applyProtection="1">
      <alignment horizontal="center" vertical="center"/>
      <protection locked="0"/>
    </xf>
    <xf numFmtId="164" fontId="4" fillId="0" borderId="17" xfId="4" applyNumberFormat="1" applyFont="1" applyBorder="1" applyAlignment="1" applyProtection="1">
      <alignment horizontal="center" vertical="center"/>
      <protection hidden="1"/>
    </xf>
    <xf numFmtId="164" fontId="4" fillId="2" borderId="7" xfId="3" applyNumberFormat="1" applyFont="1" applyFill="1" applyBorder="1" applyAlignment="1">
      <alignment horizontal="center" vertical="center"/>
    </xf>
    <xf numFmtId="2" fontId="22" fillId="0" borderId="7" xfId="3" applyNumberFormat="1" applyFont="1" applyBorder="1" applyAlignment="1">
      <alignment horizontal="center" vertical="center"/>
    </xf>
    <xf numFmtId="0" fontId="22" fillId="3" borderId="23" xfId="0" applyFont="1" applyFill="1" applyBorder="1" applyAlignment="1">
      <alignment vertical="center"/>
    </xf>
    <xf numFmtId="0" fontId="42" fillId="6" borderId="70" xfId="0" applyFont="1" applyFill="1" applyBorder="1" applyAlignment="1">
      <alignment horizontal="center" vertical="center"/>
    </xf>
    <xf numFmtId="0" fontId="42" fillId="6" borderId="0" xfId="0" applyFont="1" applyFill="1"/>
    <xf numFmtId="0" fontId="43" fillId="6" borderId="71" xfId="0" applyFont="1" applyFill="1" applyBorder="1" applyAlignment="1">
      <alignment vertical="center"/>
    </xf>
    <xf numFmtId="0" fontId="43" fillId="6" borderId="71" xfId="0" applyFont="1" applyFill="1" applyBorder="1" applyAlignment="1">
      <alignment vertical="center" wrapText="1"/>
    </xf>
    <xf numFmtId="0" fontId="43" fillId="6" borderId="0" xfId="0" applyFont="1" applyFill="1" applyAlignment="1">
      <alignment vertical="center"/>
    </xf>
    <xf numFmtId="0" fontId="42" fillId="6" borderId="0" xfId="0" applyFont="1" applyFill="1" applyAlignment="1">
      <alignment vertical="center"/>
    </xf>
    <xf numFmtId="0" fontId="45" fillId="6" borderId="0" xfId="0" applyFont="1" applyFill="1" applyAlignment="1">
      <alignment vertical="center"/>
    </xf>
    <xf numFmtId="0" fontId="42" fillId="6" borderId="0" xfId="0" applyFont="1" applyFill="1" applyAlignment="1">
      <alignment horizontal="left" vertical="center"/>
    </xf>
    <xf numFmtId="0" fontId="46" fillId="6" borderId="0" xfId="0" applyFont="1" applyFill="1" applyAlignment="1">
      <alignment horizontal="left" vertical="center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49" fillId="6" borderId="0" xfId="0" applyFont="1" applyFill="1" applyAlignment="1">
      <alignment vertical="center" wrapText="1"/>
    </xf>
    <xf numFmtId="0" fontId="11" fillId="3" borderId="0" xfId="0" applyFont="1" applyFill="1"/>
    <xf numFmtId="0" fontId="43" fillId="6" borderId="0" xfId="0" applyFont="1" applyFill="1" applyAlignment="1">
      <alignment horizontal="left"/>
    </xf>
    <xf numFmtId="0" fontId="42" fillId="6" borderId="0" xfId="0" applyFont="1" applyFill="1" applyAlignment="1">
      <alignment horizontal="center"/>
    </xf>
    <xf numFmtId="0" fontId="43" fillId="6" borderId="0" xfId="0" applyFont="1" applyFill="1"/>
    <xf numFmtId="0" fontId="42" fillId="6" borderId="0" xfId="0" quotePrefix="1" applyFont="1" applyFill="1" applyAlignment="1">
      <alignment horizontal="left"/>
    </xf>
    <xf numFmtId="0" fontId="42" fillId="6" borderId="0" xfId="0" applyFont="1" applyFill="1" applyAlignment="1">
      <alignment horizontal="left"/>
    </xf>
    <xf numFmtId="0" fontId="43" fillId="6" borderId="70" xfId="0" applyFont="1" applyFill="1" applyBorder="1" applyAlignment="1">
      <alignment horizontal="center" vertical="center"/>
    </xf>
    <xf numFmtId="0" fontId="39" fillId="3" borderId="7" xfId="3" applyFont="1" applyFill="1" applyBorder="1" applyAlignment="1" applyProtection="1">
      <alignment horizontal="center"/>
      <protection locked="0"/>
    </xf>
    <xf numFmtId="0" fontId="43" fillId="6" borderId="70" xfId="0" applyFont="1" applyFill="1" applyBorder="1" applyAlignment="1">
      <alignment horizontal="center"/>
    </xf>
    <xf numFmtId="172" fontId="50" fillId="3" borderId="7" xfId="3" applyNumberFormat="1" applyFont="1" applyFill="1" applyBorder="1" applyAlignment="1" applyProtection="1">
      <alignment horizontal="center" vertical="center"/>
      <protection locked="0"/>
    </xf>
    <xf numFmtId="1" fontId="50" fillId="3" borderId="7" xfId="3" applyNumberFormat="1" applyFont="1" applyFill="1" applyBorder="1" applyAlignment="1" applyProtection="1">
      <alignment horizontal="center"/>
      <protection locked="0"/>
    </xf>
    <xf numFmtId="164" fontId="50" fillId="6" borderId="70" xfId="0" applyNumberFormat="1" applyFont="1" applyFill="1" applyBorder="1" applyAlignment="1">
      <alignment horizontal="center"/>
    </xf>
    <xf numFmtId="0" fontId="42" fillId="6" borderId="70" xfId="0" applyFont="1" applyFill="1" applyBorder="1" applyAlignment="1">
      <alignment horizontal="center"/>
    </xf>
    <xf numFmtId="0" fontId="43" fillId="6" borderId="70" xfId="0" applyFont="1" applyFill="1" applyBorder="1"/>
    <xf numFmtId="168" fontId="42" fillId="6" borderId="70" xfId="0" applyNumberFormat="1" applyFont="1" applyFill="1" applyBorder="1" applyAlignment="1">
      <alignment horizontal="center"/>
    </xf>
    <xf numFmtId="168" fontId="42" fillId="6" borderId="0" xfId="0" applyNumberFormat="1" applyFont="1" applyFill="1" applyAlignment="1">
      <alignment horizontal="center"/>
    </xf>
    <xf numFmtId="0" fontId="51" fillId="6" borderId="0" xfId="0" applyFont="1" applyFill="1"/>
    <xf numFmtId="0" fontId="52" fillId="6" borderId="0" xfId="0" applyFont="1" applyFill="1" applyAlignment="1">
      <alignment horizontal="left" vertical="center"/>
    </xf>
    <xf numFmtId="1" fontId="42" fillId="6" borderId="70" xfId="0" applyNumberFormat="1" applyFont="1" applyFill="1" applyBorder="1" applyAlignment="1">
      <alignment horizontal="center" vertical="center"/>
    </xf>
    <xf numFmtId="168" fontId="42" fillId="6" borderId="70" xfId="0" applyNumberFormat="1" applyFont="1" applyFill="1" applyBorder="1" applyAlignment="1">
      <alignment horizontal="center" vertical="center"/>
    </xf>
    <xf numFmtId="164" fontId="50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4" fillId="3" borderId="42" xfId="0" applyFont="1" applyFill="1" applyBorder="1" applyAlignment="1">
      <alignment vertical="center"/>
    </xf>
    <xf numFmtId="0" fontId="4" fillId="3" borderId="47" xfId="0" applyFont="1" applyFill="1" applyBorder="1" applyAlignment="1">
      <alignment vertical="center"/>
    </xf>
    <xf numFmtId="0" fontId="4" fillId="3" borderId="43" xfId="0" applyFont="1" applyFill="1" applyBorder="1" applyAlignment="1">
      <alignment vertical="center"/>
    </xf>
    <xf numFmtId="0" fontId="22" fillId="0" borderId="13" xfId="3" applyFont="1" applyBorder="1" applyAlignment="1">
      <alignment horizontal="center" vertical="center"/>
    </xf>
    <xf numFmtId="166" fontId="22" fillId="0" borderId="13" xfId="3" applyNumberFormat="1" applyFont="1" applyBorder="1" applyAlignment="1">
      <alignment horizontal="center" vertical="center"/>
    </xf>
    <xf numFmtId="166" fontId="22" fillId="0" borderId="14" xfId="3" applyNumberFormat="1" applyFont="1" applyBorder="1" applyAlignment="1">
      <alignment horizontal="center" vertical="center"/>
    </xf>
    <xf numFmtId="0" fontId="22" fillId="3" borderId="6" xfId="0" applyFont="1" applyFill="1" applyBorder="1" applyAlignment="1">
      <alignment vertical="center"/>
    </xf>
    <xf numFmtId="2" fontId="22" fillId="0" borderId="14" xfId="3" applyNumberFormat="1" applyFont="1" applyBorder="1" applyAlignment="1">
      <alignment horizontal="center" vertical="center"/>
    </xf>
    <xf numFmtId="0" fontId="11" fillId="0" borderId="6" xfId="3" applyBorder="1" applyAlignment="1">
      <alignment vertical="center"/>
    </xf>
    <xf numFmtId="0" fontId="22" fillId="3" borderId="44" xfId="0" applyFont="1" applyFill="1" applyBorder="1" applyAlignment="1">
      <alignment vertical="center"/>
    </xf>
    <xf numFmtId="0" fontId="22" fillId="3" borderId="45" xfId="0" applyFont="1" applyFill="1" applyBorder="1" applyAlignment="1">
      <alignment vertical="center"/>
    </xf>
    <xf numFmtId="0" fontId="22" fillId="3" borderId="46" xfId="0" applyFont="1" applyFill="1" applyBorder="1" applyAlignment="1">
      <alignment vertical="center"/>
    </xf>
    <xf numFmtId="2" fontId="11" fillId="0" borderId="6" xfId="3" applyNumberFormat="1" applyBorder="1" applyAlignment="1">
      <alignment vertical="center"/>
    </xf>
    <xf numFmtId="2" fontId="11" fillId="0" borderId="0" xfId="3" applyNumberFormat="1" applyAlignment="1">
      <alignment vertical="center"/>
    </xf>
    <xf numFmtId="11" fontId="22" fillId="3" borderId="14" xfId="3" applyNumberFormat="1" applyFont="1" applyFill="1" applyBorder="1" applyAlignment="1" applyProtection="1">
      <alignment horizontal="center"/>
      <protection locked="0"/>
    </xf>
    <xf numFmtId="0" fontId="22" fillId="3" borderId="7" xfId="3" applyFont="1" applyFill="1" applyBorder="1" applyAlignment="1" applyProtection="1">
      <alignment horizontal="center"/>
      <protection locked="0"/>
    </xf>
    <xf numFmtId="1" fontId="22" fillId="3" borderId="7" xfId="3" applyNumberFormat="1" applyFont="1" applyFill="1" applyBorder="1" applyAlignment="1" applyProtection="1">
      <alignment horizontal="center"/>
      <protection locked="0"/>
    </xf>
    <xf numFmtId="164" fontId="22" fillId="3" borderId="7" xfId="3" applyNumberFormat="1" applyFont="1" applyFill="1" applyBorder="1" applyAlignment="1" applyProtection="1">
      <alignment horizontal="center"/>
      <protection locked="0"/>
    </xf>
    <xf numFmtId="2" fontId="22" fillId="3" borderId="7" xfId="3" applyNumberFormat="1" applyFont="1" applyFill="1" applyBorder="1" applyAlignment="1" applyProtection="1">
      <alignment horizontal="left" indent="1"/>
      <protection locked="0"/>
    </xf>
    <xf numFmtId="2" fontId="22" fillId="3" borderId="7" xfId="3" applyNumberFormat="1" applyFont="1" applyFill="1" applyBorder="1" applyAlignment="1" applyProtection="1">
      <alignment horizontal="center"/>
      <protection locked="0"/>
    </xf>
    <xf numFmtId="0" fontId="11" fillId="5" borderId="48" xfId="3" applyFill="1" applyBorder="1" applyAlignment="1">
      <alignment horizontal="center" vertical="center"/>
    </xf>
    <xf numFmtId="0" fontId="11" fillId="5" borderId="49" xfId="3" applyFill="1" applyBorder="1" applyAlignment="1">
      <alignment horizontal="center" vertical="center"/>
    </xf>
    <xf numFmtId="0" fontId="11" fillId="5" borderId="49" xfId="3" applyFill="1" applyBorder="1" applyAlignment="1">
      <alignment horizontal="center" vertical="center" wrapText="1"/>
    </xf>
    <xf numFmtId="0" fontId="11" fillId="5" borderId="50" xfId="3" applyFill="1" applyBorder="1" applyAlignment="1">
      <alignment horizontal="center" vertical="center" wrapText="1"/>
    </xf>
    <xf numFmtId="0" fontId="22" fillId="3" borderId="33" xfId="3" applyFont="1" applyFill="1" applyBorder="1" applyAlignment="1">
      <alignment vertical="center" wrapText="1"/>
    </xf>
    <xf numFmtId="164" fontId="22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2" fillId="3" borderId="34" xfId="3" quotePrefix="1" applyFont="1" applyFill="1" applyBorder="1" applyAlignment="1">
      <alignment horizontal="center" vertical="center" wrapText="1"/>
    </xf>
    <xf numFmtId="0" fontId="22" fillId="3" borderId="20" xfId="3" quotePrefix="1" applyFont="1" applyFill="1" applyBorder="1" applyAlignment="1">
      <alignment horizontal="center" vertical="center" wrapText="1"/>
    </xf>
    <xf numFmtId="0" fontId="22" fillId="5" borderId="14" xfId="3" applyFont="1" applyFill="1" applyBorder="1" applyAlignment="1">
      <alignment vertical="center" wrapText="1"/>
    </xf>
    <xf numFmtId="2" fontId="22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166" fontId="22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2" fillId="5" borderId="7" xfId="3" applyNumberFormat="1" applyFont="1" applyFill="1" applyBorder="1" applyAlignment="1" applyProtection="1">
      <alignment horizontal="center" vertical="center"/>
      <protection hidden="1"/>
    </xf>
    <xf numFmtId="166" fontId="22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4" fillId="3" borderId="14" xfId="3" applyFont="1" applyFill="1" applyBorder="1" applyAlignment="1">
      <alignment vertical="center" wrapText="1"/>
    </xf>
    <xf numFmtId="0" fontId="22" fillId="3" borderId="7" xfId="3" applyFont="1" applyFill="1" applyBorder="1" applyAlignment="1">
      <alignment vertical="center"/>
    </xf>
    <xf numFmtId="173" fontId="22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2" fillId="3" borderId="7" xfId="3" applyNumberFormat="1" applyFont="1" applyFill="1" applyBorder="1" applyAlignment="1" applyProtection="1">
      <alignment vertical="center"/>
      <protection hidden="1"/>
    </xf>
    <xf numFmtId="173" fontId="22" fillId="3" borderId="7" xfId="3" applyNumberFormat="1" applyFont="1" applyFill="1" applyBorder="1" applyAlignment="1" applyProtection="1">
      <alignment horizontal="center" vertical="center"/>
      <protection hidden="1"/>
    </xf>
    <xf numFmtId="173" fontId="22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3" fontId="22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2" fillId="3" borderId="7" xfId="0" applyNumberFormat="1" applyFont="1" applyFill="1" applyBorder="1" applyAlignment="1" applyProtection="1">
      <alignment vertical="center"/>
      <protection hidden="1"/>
    </xf>
    <xf numFmtId="166" fontId="22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2" fillId="3" borderId="7" xfId="3" applyNumberFormat="1" applyFont="1" applyFill="1" applyBorder="1" applyAlignment="1" applyProtection="1">
      <alignment horizontal="left" vertical="center"/>
      <protection hidden="1"/>
    </xf>
    <xf numFmtId="173" fontId="22" fillId="3" borderId="7" xfId="0" applyNumberFormat="1" applyFont="1" applyFill="1" applyBorder="1" applyAlignment="1" applyProtection="1">
      <alignment horizontal="center" vertical="center"/>
      <protection hidden="1"/>
    </xf>
    <xf numFmtId="0" fontId="36" fillId="5" borderId="7" xfId="3" quotePrefix="1" applyFont="1" applyFill="1" applyBorder="1" applyAlignment="1" applyProtection="1">
      <alignment horizontal="center" vertical="center"/>
      <protection hidden="1"/>
    </xf>
    <xf numFmtId="0" fontId="22" fillId="5" borderId="7" xfId="3" applyFont="1" applyFill="1" applyBorder="1" applyAlignment="1" applyProtection="1">
      <alignment horizontal="center" vertical="center"/>
      <protection hidden="1"/>
    </xf>
    <xf numFmtId="173" fontId="22" fillId="5" borderId="13" xfId="3" applyNumberFormat="1" applyFont="1" applyFill="1" applyBorder="1" applyAlignment="1" applyProtection="1">
      <alignment horizontal="center" vertical="center"/>
      <protection hidden="1"/>
    </xf>
    <xf numFmtId="168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168" fontId="22" fillId="5" borderId="13" xfId="3" applyNumberFormat="1" applyFont="1" applyFill="1" applyBorder="1" applyAlignment="1" applyProtection="1">
      <alignment horizontal="center" vertical="center"/>
      <protection hidden="1"/>
    </xf>
    <xf numFmtId="0" fontId="11" fillId="3" borderId="0" xfId="0" applyFont="1" applyFill="1" applyAlignment="1">
      <alignment horizontal="center"/>
    </xf>
    <xf numFmtId="0" fontId="22" fillId="5" borderId="51" xfId="3" applyFont="1" applyFill="1" applyBorder="1" applyAlignment="1">
      <alignment horizontal="left" vertical="center" wrapText="1"/>
    </xf>
    <xf numFmtId="173" fontId="22" fillId="5" borderId="52" xfId="3" quotePrefix="1" applyNumberFormat="1" applyFont="1" applyFill="1" applyBorder="1" applyAlignment="1" applyProtection="1">
      <alignment horizontal="center" vertical="center"/>
      <protection locked="0"/>
    </xf>
    <xf numFmtId="173" fontId="22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2" fillId="5" borderId="52" xfId="3" applyFont="1" applyFill="1" applyBorder="1" applyAlignment="1" applyProtection="1">
      <alignment horizontal="center" vertical="center"/>
      <protection hidden="1"/>
    </xf>
    <xf numFmtId="2" fontId="22" fillId="5" borderId="52" xfId="3" applyNumberFormat="1" applyFont="1" applyFill="1" applyBorder="1" applyAlignment="1" applyProtection="1">
      <alignment vertical="center"/>
      <protection hidden="1"/>
    </xf>
    <xf numFmtId="166" fontId="22" fillId="5" borderId="52" xfId="3" applyNumberFormat="1" applyFont="1" applyFill="1" applyBorder="1" applyAlignment="1" applyProtection="1">
      <alignment horizontal="center" vertical="center"/>
      <protection hidden="1"/>
    </xf>
    <xf numFmtId="173" fontId="22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3" fontId="22" fillId="5" borderId="53" xfId="3" applyNumberFormat="1" applyFont="1" applyFill="1" applyBorder="1" applyAlignment="1">
      <alignment horizontal="center" vertical="center"/>
    </xf>
    <xf numFmtId="2" fontId="22" fillId="3" borderId="7" xfId="3" applyNumberFormat="1" applyFont="1" applyFill="1" applyBorder="1" applyAlignment="1">
      <alignment horizontal="center" vertical="center"/>
    </xf>
    <xf numFmtId="2" fontId="22" fillId="3" borderId="7" xfId="3" applyNumberFormat="1" applyFont="1" applyFill="1" applyBorder="1" applyAlignment="1">
      <alignment vertical="center"/>
    </xf>
    <xf numFmtId="166" fontId="22" fillId="3" borderId="7" xfId="3" applyNumberFormat="1" applyFont="1" applyFill="1" applyBorder="1" applyAlignment="1">
      <alignment vertical="center"/>
    </xf>
    <xf numFmtId="0" fontId="11" fillId="3" borderId="7" xfId="0" applyFont="1" applyFill="1" applyBorder="1"/>
    <xf numFmtId="0" fontId="0" fillId="5" borderId="7" xfId="0" applyFill="1" applyBorder="1"/>
    <xf numFmtId="0" fontId="14" fillId="5" borderId="7" xfId="3" applyFont="1" applyFill="1" applyBorder="1" applyAlignment="1">
      <alignment vertical="center" wrapText="1"/>
    </xf>
    <xf numFmtId="0" fontId="11" fillId="5" borderId="7" xfId="0" applyFont="1" applyFill="1" applyBorder="1" applyAlignment="1">
      <alignment horizontal="center"/>
    </xf>
    <xf numFmtId="0" fontId="11" fillId="5" borderId="7" xfId="0" applyFont="1" applyFill="1" applyBorder="1"/>
    <xf numFmtId="166" fontId="22" fillId="3" borderId="54" xfId="0" applyNumberFormat="1" applyFont="1" applyFill="1" applyBorder="1" applyAlignment="1" applyProtection="1">
      <alignment horizontal="center" vertical="center"/>
      <protection locked="0"/>
    </xf>
    <xf numFmtId="166" fontId="22" fillId="3" borderId="7" xfId="3" applyNumberFormat="1" applyFont="1" applyFill="1" applyBorder="1" applyAlignment="1">
      <alignment horizontal="center" vertical="center"/>
    </xf>
    <xf numFmtId="0" fontId="25" fillId="3" borderId="0" xfId="0" applyFont="1" applyFill="1"/>
    <xf numFmtId="0" fontId="11" fillId="5" borderId="55" xfId="0" applyFont="1" applyFill="1" applyBorder="1" applyAlignment="1">
      <alignment horizontal="center" vertical="center"/>
    </xf>
    <xf numFmtId="0" fontId="11" fillId="5" borderId="56" xfId="0" applyFont="1" applyFill="1" applyBorder="1" applyAlignment="1">
      <alignment horizontal="center" vertical="center" wrapText="1"/>
    </xf>
    <xf numFmtId="0" fontId="11" fillId="5" borderId="57" xfId="0" applyFont="1" applyFill="1" applyBorder="1" applyAlignment="1">
      <alignment horizontal="center" vertical="center" wrapText="1"/>
    </xf>
    <xf numFmtId="0" fontId="11" fillId="5" borderId="58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/>
    </xf>
    <xf numFmtId="0" fontId="40" fillId="3" borderId="7" xfId="0" applyFont="1" applyFill="1" applyBorder="1" applyAlignment="1">
      <alignment horizontal="center" vertical="center"/>
    </xf>
    <xf numFmtId="2" fontId="21" fillId="3" borderId="59" xfId="0" applyNumberFormat="1" applyFont="1" applyFill="1" applyBorder="1" applyAlignment="1">
      <alignment vertical="center"/>
    </xf>
    <xf numFmtId="2" fontId="21" fillId="3" borderId="60" xfId="0" applyNumberFormat="1" applyFont="1" applyFill="1" applyBorder="1" applyAlignment="1" applyProtection="1">
      <alignment vertical="center"/>
      <protection hidden="1"/>
    </xf>
    <xf numFmtId="0" fontId="22" fillId="3" borderId="60" xfId="0" applyFont="1" applyFill="1" applyBorder="1"/>
    <xf numFmtId="0" fontId="14" fillId="3" borderId="7" xfId="3" applyFont="1" applyFill="1" applyBorder="1" applyAlignment="1">
      <alignment vertical="center"/>
    </xf>
    <xf numFmtId="0" fontId="14" fillId="5" borderId="7" xfId="3" applyFont="1" applyFill="1" applyBorder="1" applyAlignment="1">
      <alignment vertical="center"/>
    </xf>
    <xf numFmtId="0" fontId="11" fillId="0" borderId="7" xfId="3" applyBorder="1" applyAlignment="1">
      <alignment horizontal="center" vertical="center" wrapText="1"/>
    </xf>
    <xf numFmtId="1" fontId="11" fillId="3" borderId="7" xfId="0" applyNumberFormat="1" applyFont="1" applyFill="1" applyBorder="1" applyAlignment="1">
      <alignment horizontal="center"/>
    </xf>
    <xf numFmtId="0" fontId="11" fillId="3" borderId="0" xfId="3" applyFill="1"/>
    <xf numFmtId="0" fontId="11" fillId="3" borderId="0" xfId="3" applyFill="1" applyAlignment="1">
      <alignment horizontal="left"/>
    </xf>
    <xf numFmtId="11" fontId="11" fillId="3" borderId="0" xfId="3" applyNumberFormat="1" applyFill="1" applyAlignment="1">
      <alignment horizontal="center"/>
    </xf>
    <xf numFmtId="0" fontId="11" fillId="3" borderId="0" xfId="3" quotePrefix="1" applyFill="1" applyAlignment="1">
      <alignment horizontal="left"/>
    </xf>
    <xf numFmtId="0" fontId="19" fillId="3" borderId="7" xfId="3" applyFont="1" applyFill="1" applyBorder="1"/>
    <xf numFmtId="0" fontId="19" fillId="3" borderId="7" xfId="3" applyFont="1" applyFill="1" applyBorder="1" applyAlignment="1">
      <alignment horizontal="center"/>
    </xf>
    <xf numFmtId="164" fontId="50" fillId="3" borderId="7" xfId="3" applyNumberFormat="1" applyFont="1" applyFill="1" applyBorder="1" applyAlignment="1" applyProtection="1">
      <alignment horizontal="center"/>
      <protection locked="0"/>
    </xf>
    <xf numFmtId="164" fontId="11" fillId="3" borderId="0" xfId="3" applyNumberFormat="1" applyFill="1"/>
    <xf numFmtId="0" fontId="11" fillId="3" borderId="7" xfId="3" applyFill="1" applyBorder="1" applyAlignment="1">
      <alignment horizontal="center"/>
    </xf>
    <xf numFmtId="168" fontId="11" fillId="3" borderId="7" xfId="3" applyNumberFormat="1" applyFill="1" applyBorder="1" applyAlignment="1">
      <alignment horizontal="center"/>
    </xf>
    <xf numFmtId="0" fontId="11" fillId="3" borderId="8" xfId="3" applyFill="1" applyBorder="1"/>
    <xf numFmtId="0" fontId="11" fillId="3" borderId="10" xfId="3" applyFill="1" applyBorder="1" applyAlignment="1">
      <alignment vertical="center"/>
    </xf>
    <xf numFmtId="0" fontId="11" fillId="3" borderId="0" xfId="3" applyFill="1" applyAlignment="1">
      <alignment vertical="center"/>
    </xf>
    <xf numFmtId="1" fontId="42" fillId="3" borderId="70" xfId="0" applyNumberFormat="1" applyFont="1" applyFill="1" applyBorder="1" applyAlignment="1">
      <alignment horizontal="center" vertical="center"/>
    </xf>
    <xf numFmtId="0" fontId="25" fillId="3" borderId="0" xfId="3" applyFont="1" applyFill="1" applyAlignment="1">
      <alignment horizontal="left"/>
    </xf>
    <xf numFmtId="0" fontId="25" fillId="3" borderId="0" xfId="3" applyFont="1" applyFill="1"/>
    <xf numFmtId="0" fontId="11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1" fillId="3" borderId="11" xfId="3" applyFill="1" applyBorder="1" applyAlignment="1">
      <alignment horizontal="right" vertical="center" indent="1"/>
    </xf>
    <xf numFmtId="0" fontId="11" fillId="3" borderId="9" xfId="3" applyFill="1" applyBorder="1"/>
    <xf numFmtId="0" fontId="11" fillId="3" borderId="11" xfId="3" applyFill="1" applyBorder="1" applyAlignment="1">
      <alignment horizontal="left"/>
    </xf>
    <xf numFmtId="2" fontId="11" fillId="3" borderId="7" xfId="3" applyNumberFormat="1" applyFill="1" applyBorder="1" applyAlignment="1">
      <alignment horizontal="center" vertical="center"/>
    </xf>
    <xf numFmtId="168" fontId="11" fillId="3" borderId="7" xfId="3" applyNumberFormat="1" applyFill="1" applyBorder="1" applyAlignment="1">
      <alignment horizontal="center" vertical="center"/>
    </xf>
    <xf numFmtId="17" fontId="38" fillId="3" borderId="0" xfId="0" applyNumberFormat="1" applyFont="1" applyFill="1" applyAlignment="1">
      <alignment horizontal="center"/>
    </xf>
    <xf numFmtId="164" fontId="53" fillId="3" borderId="7" xfId="3" applyNumberFormat="1" applyFont="1" applyFill="1" applyBorder="1" applyAlignment="1" applyProtection="1">
      <alignment horizontal="center" vertical="center"/>
      <protection locked="0"/>
    </xf>
    <xf numFmtId="1" fontId="11" fillId="3" borderId="7" xfId="4" applyNumberFormat="1" applyFill="1" applyBorder="1" applyAlignment="1">
      <alignment horizontal="center" vertical="center"/>
    </xf>
    <xf numFmtId="1" fontId="11" fillId="3" borderId="40" xfId="4" applyNumberForma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73" fontId="11" fillId="3" borderId="0" xfId="0" applyNumberFormat="1" applyFont="1" applyFill="1" applyAlignment="1">
      <alignment horizontal="center"/>
    </xf>
    <xf numFmtId="0" fontId="11" fillId="3" borderId="7" xfId="0" applyFont="1" applyFill="1" applyBorder="1" applyAlignment="1">
      <alignment horizontal="left" vertical="center" wrapText="1"/>
    </xf>
    <xf numFmtId="168" fontId="11" fillId="3" borderId="7" xfId="0" applyNumberFormat="1" applyFont="1" applyFill="1" applyBorder="1" applyAlignment="1">
      <alignment horizontal="center" vertical="center"/>
    </xf>
    <xf numFmtId="2" fontId="22" fillId="3" borderId="17" xfId="3" applyNumberFormat="1" applyFont="1" applyFill="1" applyBorder="1" applyAlignment="1">
      <alignment horizontal="center" vertical="center"/>
    </xf>
    <xf numFmtId="2" fontId="22" fillId="3" borderId="17" xfId="3" applyNumberFormat="1" applyFont="1" applyFill="1" applyBorder="1" applyAlignment="1">
      <alignment vertical="center"/>
    </xf>
    <xf numFmtId="0" fontId="0" fillId="0" borderId="17" xfId="0" applyBorder="1"/>
    <xf numFmtId="166" fontId="22" fillId="3" borderId="17" xfId="3" applyNumberFormat="1" applyFont="1" applyFill="1" applyBorder="1" applyAlignment="1">
      <alignment vertical="center"/>
    </xf>
    <xf numFmtId="166" fontId="22" fillId="3" borderId="16" xfId="3" applyNumberFormat="1" applyFont="1" applyFill="1" applyBorder="1" applyAlignment="1">
      <alignment horizontal="center" vertical="center"/>
    </xf>
    <xf numFmtId="164" fontId="22" fillId="5" borderId="7" xfId="3" applyNumberFormat="1" applyFont="1" applyFill="1" applyBorder="1" applyAlignment="1" applyProtection="1">
      <alignment horizontal="center" vertical="center"/>
      <protection locked="0" hidden="1"/>
    </xf>
    <xf numFmtId="164" fontId="22" fillId="3" borderId="7" xfId="3" applyNumberFormat="1" applyFont="1" applyFill="1" applyBorder="1" applyAlignment="1">
      <alignment vertical="center"/>
    </xf>
    <xf numFmtId="0" fontId="11" fillId="5" borderId="7" xfId="3" applyFill="1" applyBorder="1" applyAlignment="1">
      <alignment horizontal="center" vertical="center"/>
    </xf>
    <xf numFmtId="0" fontId="11" fillId="5" borderId="7" xfId="3" applyFill="1" applyBorder="1" applyAlignment="1">
      <alignment horizontal="center" vertical="center" wrapText="1"/>
    </xf>
    <xf numFmtId="2" fontId="21" fillId="3" borderId="7" xfId="0" applyNumberFormat="1" applyFont="1" applyFill="1" applyBorder="1" applyAlignment="1">
      <alignment vertical="center"/>
    </xf>
    <xf numFmtId="0" fontId="22" fillId="3" borderId="7" xfId="0" applyFont="1" applyFill="1" applyBorder="1"/>
    <xf numFmtId="0" fontId="4" fillId="3" borderId="7" xfId="3" applyFont="1" applyFill="1" applyBorder="1" applyAlignment="1">
      <alignment vertical="center" wrapText="1"/>
    </xf>
    <xf numFmtId="166" fontId="22" fillId="3" borderId="7" xfId="0" applyNumberFormat="1" applyFont="1" applyFill="1" applyBorder="1" applyAlignment="1" applyProtection="1">
      <alignment horizontal="center" vertical="center"/>
      <protection locked="0"/>
    </xf>
    <xf numFmtId="0" fontId="22" fillId="0" borderId="7" xfId="0" applyFont="1" applyBorder="1" applyAlignment="1">
      <alignment horizontal="center" vertical="center"/>
    </xf>
    <xf numFmtId="164" fontId="22" fillId="5" borderId="7" xfId="0" applyNumberFormat="1" applyFont="1" applyFill="1" applyBorder="1" applyAlignment="1">
      <alignment horizontal="center" vertical="center"/>
    </xf>
    <xf numFmtId="1" fontId="4" fillId="5" borderId="7" xfId="3" applyNumberFormat="1" applyFont="1" applyFill="1" applyBorder="1" applyAlignment="1" applyProtection="1">
      <alignment horizontal="center" vertical="center"/>
      <protection locked="0"/>
    </xf>
    <xf numFmtId="1" fontId="4" fillId="3" borderId="7" xfId="3" applyNumberFormat="1" applyFont="1" applyFill="1" applyBorder="1" applyAlignment="1" applyProtection="1">
      <alignment horizontal="center" vertical="center"/>
      <protection locked="0"/>
    </xf>
    <xf numFmtId="0" fontId="4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40" fillId="3" borderId="7" xfId="0" applyNumberFormat="1" applyFont="1" applyFill="1" applyBorder="1" applyAlignment="1">
      <alignment horizontal="center" vertical="center"/>
    </xf>
    <xf numFmtId="2" fontId="21" fillId="3" borderId="61" xfId="0" applyNumberFormat="1" applyFont="1" applyFill="1" applyBorder="1" applyAlignment="1">
      <alignment vertical="center"/>
    </xf>
    <xf numFmtId="2" fontId="21" fillId="3" borderId="62" xfId="0" applyNumberFormat="1" applyFont="1" applyFill="1" applyBorder="1" applyAlignment="1">
      <alignment vertical="center"/>
    </xf>
    <xf numFmtId="0" fontId="22" fillId="3" borderId="62" xfId="0" applyFont="1" applyFill="1" applyBorder="1"/>
    <xf numFmtId="173" fontId="22" fillId="0" borderId="7" xfId="0" applyNumberFormat="1" applyFont="1" applyBorder="1" applyAlignment="1" applyProtection="1">
      <alignment horizontal="center" vertical="center"/>
      <protection locked="0"/>
    </xf>
    <xf numFmtId="166" fontId="22" fillId="0" borderId="7" xfId="0" applyNumberFormat="1" applyFont="1" applyBorder="1"/>
    <xf numFmtId="2" fontId="22" fillId="0" borderId="7" xfId="0" applyNumberFormat="1" applyFont="1" applyBorder="1" applyAlignment="1" applyProtection="1">
      <alignment vertical="center"/>
      <protection hidden="1"/>
    </xf>
    <xf numFmtId="173" fontId="22" fillId="0" borderId="7" xfId="0" applyNumberFormat="1" applyFont="1" applyBorder="1" applyAlignment="1" applyProtection="1">
      <alignment horizontal="center" vertical="center"/>
      <protection hidden="1"/>
    </xf>
    <xf numFmtId="166" fontId="22" fillId="0" borderId="7" xfId="0" quotePrefix="1" applyNumberFormat="1" applyFont="1" applyBorder="1" applyAlignment="1" applyProtection="1">
      <alignment horizontal="center" vertical="center" wrapText="1"/>
      <protection hidden="1"/>
    </xf>
    <xf numFmtId="173" fontId="22" fillId="0" borderId="7" xfId="0" quotePrefix="1" applyNumberFormat="1" applyFont="1" applyBorder="1" applyAlignment="1" applyProtection="1">
      <alignment horizontal="center" vertical="center"/>
      <protection locked="0"/>
    </xf>
    <xf numFmtId="2" fontId="22" fillId="0" borderId="7" xfId="0" applyNumberFormat="1" applyFont="1" applyBorder="1" applyAlignment="1" applyProtection="1">
      <alignment horizontal="left" vertical="center"/>
      <protection hidden="1"/>
    </xf>
    <xf numFmtId="0" fontId="22" fillId="5" borderId="7" xfId="0" applyFont="1" applyFill="1" applyBorder="1" applyAlignment="1">
      <alignment horizontal="center"/>
    </xf>
    <xf numFmtId="0" fontId="22" fillId="5" borderId="7" xfId="0" quotePrefix="1" applyFont="1" applyFill="1" applyBorder="1" applyAlignment="1" applyProtection="1">
      <alignment horizontal="center" vertical="center"/>
      <protection hidden="1"/>
    </xf>
    <xf numFmtId="2" fontId="22" fillId="5" borderId="7" xfId="0" quotePrefix="1" applyNumberFormat="1" applyFont="1" applyFill="1" applyBorder="1" applyAlignment="1" applyProtection="1">
      <alignment horizontal="center" vertical="center"/>
      <protection hidden="1"/>
    </xf>
    <xf numFmtId="166" fontId="22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14" xfId="3" applyFont="1" applyFill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173" fontId="22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1" fillId="5" borderId="14" xfId="0" applyFont="1" applyFill="1" applyBorder="1" applyAlignment="1">
      <alignment vertical="center" wrapText="1"/>
    </xf>
    <xf numFmtId="173" fontId="22" fillId="5" borderId="13" xfId="0" applyNumberFormat="1" applyFont="1" applyFill="1" applyBorder="1" applyAlignment="1" applyProtection="1">
      <alignment horizontal="center" vertical="center"/>
      <protection hidden="1"/>
    </xf>
    <xf numFmtId="0" fontId="21" fillId="3" borderId="39" xfId="0" applyFont="1" applyFill="1" applyBorder="1" applyAlignment="1">
      <alignment vertical="center" wrapText="1"/>
    </xf>
    <xf numFmtId="0" fontId="22" fillId="3" borderId="40" xfId="0" applyFont="1" applyFill="1" applyBorder="1" applyAlignment="1">
      <alignment horizontal="center"/>
    </xf>
    <xf numFmtId="2" fontId="22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2" fillId="3" borderId="40" xfId="0" quotePrefix="1" applyFont="1" applyFill="1" applyBorder="1" applyAlignment="1">
      <alignment horizontal="center" vertical="center" wrapText="1"/>
    </xf>
    <xf numFmtId="0" fontId="22" fillId="3" borderId="12" xfId="0" quotePrefix="1" applyFont="1" applyFill="1" applyBorder="1" applyAlignment="1">
      <alignment horizontal="center" vertical="center" wrapText="1"/>
    </xf>
    <xf numFmtId="0" fontId="21" fillId="3" borderId="40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2" fontId="54" fillId="3" borderId="7" xfId="0" applyNumberFormat="1" applyFont="1" applyFill="1" applyBorder="1" applyAlignment="1">
      <alignment horizontal="center" vertical="center"/>
    </xf>
    <xf numFmtId="173" fontId="22" fillId="3" borderId="7" xfId="0" applyNumberFormat="1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21" fillId="3" borderId="9" xfId="0" applyFont="1" applyFill="1" applyBorder="1"/>
    <xf numFmtId="2" fontId="42" fillId="6" borderId="0" xfId="0" applyNumberFormat="1" applyFont="1" applyFill="1"/>
    <xf numFmtId="2" fontId="22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1" fillId="3" borderId="63" xfId="0" applyNumberFormat="1" applyFont="1" applyFill="1" applyBorder="1" applyAlignment="1">
      <alignment horizontal="center" vertical="center"/>
    </xf>
    <xf numFmtId="2" fontId="21" fillId="3" borderId="64" xfId="0" applyNumberFormat="1" applyFont="1" applyFill="1" applyBorder="1" applyAlignment="1">
      <alignment horizontal="center" vertical="center"/>
    </xf>
    <xf numFmtId="2" fontId="21" fillId="3" borderId="13" xfId="0" applyNumberFormat="1" applyFont="1" applyFill="1" applyBorder="1" applyAlignment="1">
      <alignment horizontal="center" vertical="center"/>
    </xf>
    <xf numFmtId="2" fontId="21" fillId="3" borderId="16" xfId="0" applyNumberFormat="1" applyFont="1" applyFill="1" applyBorder="1" applyAlignment="1" applyProtection="1">
      <alignment horizontal="center" vertical="center"/>
      <protection hidden="1"/>
    </xf>
    <xf numFmtId="0" fontId="22" fillId="3" borderId="7" xfId="3" applyFont="1" applyFill="1" applyBorder="1" applyAlignment="1">
      <alignment horizontal="center" vertical="center"/>
    </xf>
    <xf numFmtId="1" fontId="22" fillId="5" borderId="7" xfId="0" applyNumberFormat="1" applyFont="1" applyFill="1" applyBorder="1" applyAlignment="1">
      <alignment horizontal="center" vertical="center"/>
    </xf>
    <xf numFmtId="0" fontId="22" fillId="5" borderId="7" xfId="0" applyFont="1" applyFill="1" applyBorder="1"/>
    <xf numFmtId="0" fontId="22" fillId="5" borderId="7" xfId="3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2" fontId="22" fillId="5" borderId="7" xfId="0" applyNumberFormat="1" applyFont="1" applyFill="1" applyBorder="1" applyAlignment="1">
      <alignment horizontal="center" vertical="center"/>
    </xf>
    <xf numFmtId="166" fontId="22" fillId="5" borderId="7" xfId="0" applyNumberFormat="1" applyFont="1" applyFill="1" applyBorder="1" applyAlignment="1">
      <alignment horizontal="center" vertical="center"/>
    </xf>
    <xf numFmtId="164" fontId="22" fillId="5" borderId="7" xfId="3" applyNumberFormat="1" applyFont="1" applyFill="1" applyBorder="1" applyAlignment="1" applyProtection="1">
      <alignment horizontal="center" vertical="center"/>
      <protection locked="0"/>
    </xf>
    <xf numFmtId="0" fontId="22" fillId="3" borderId="9" xfId="0" applyFont="1" applyFill="1" applyBorder="1" applyAlignment="1">
      <alignment horizontal="center" vertical="center"/>
    </xf>
    <xf numFmtId="166" fontId="22" fillId="5" borderId="7" xfId="3" applyNumberFormat="1" applyFont="1" applyFill="1" applyBorder="1" applyAlignment="1" applyProtection="1">
      <alignment horizontal="center" vertical="center"/>
      <protection locked="0"/>
    </xf>
    <xf numFmtId="0" fontId="22" fillId="5" borderId="9" xfId="0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 applyProtection="1">
      <alignment horizontal="center" vertical="center"/>
      <protection hidden="1"/>
    </xf>
    <xf numFmtId="173" fontId="22" fillId="5" borderId="7" xfId="0" applyNumberFormat="1" applyFont="1" applyFill="1" applyBorder="1" applyAlignment="1">
      <alignment horizontal="center" vertical="center"/>
    </xf>
    <xf numFmtId="166" fontId="21" fillId="3" borderId="7" xfId="0" applyNumberFormat="1" applyFont="1" applyFill="1" applyBorder="1" applyAlignment="1">
      <alignment horizontal="center" vertical="center"/>
    </xf>
    <xf numFmtId="164" fontId="22" fillId="3" borderId="7" xfId="0" applyNumberFormat="1" applyFont="1" applyFill="1" applyBorder="1" applyAlignment="1">
      <alignment horizontal="center" vertical="center"/>
    </xf>
    <xf numFmtId="11" fontId="22" fillId="0" borderId="7" xfId="0" applyNumberFormat="1" applyFont="1" applyBorder="1" applyAlignment="1" applyProtection="1">
      <alignment horizontal="center" vertical="center"/>
      <protection locked="0"/>
    </xf>
    <xf numFmtId="0" fontId="55" fillId="5" borderId="7" xfId="0" applyFont="1" applyFill="1" applyBorder="1" applyAlignment="1" applyProtection="1">
      <alignment horizontal="center" vertical="center"/>
      <protection locked="0"/>
    </xf>
    <xf numFmtId="0" fontId="4" fillId="0" borderId="8" xfId="5" applyFont="1" applyBorder="1" applyAlignment="1">
      <alignment vertical="center"/>
    </xf>
    <xf numFmtId="0" fontId="11" fillId="0" borderId="11" xfId="0" applyFont="1" applyBorder="1" applyAlignment="1" applyProtection="1">
      <alignment vertical="center"/>
      <protection locked="0"/>
    </xf>
    <xf numFmtId="174" fontId="4" fillId="3" borderId="0" xfId="0" applyNumberFormat="1" applyFont="1" applyFill="1" applyAlignment="1">
      <alignment horizontal="left" vertical="center"/>
    </xf>
    <xf numFmtId="166" fontId="22" fillId="3" borderId="32" xfId="0" applyNumberFormat="1" applyFont="1" applyFill="1" applyBorder="1" applyAlignment="1">
      <alignment horizontal="left" vertical="center"/>
    </xf>
    <xf numFmtId="0" fontId="56" fillId="0" borderId="0" xfId="0" applyFont="1" applyAlignment="1" applyProtection="1">
      <alignment vertical="center"/>
      <protection locked="0"/>
    </xf>
    <xf numFmtId="0" fontId="22" fillId="0" borderId="7" xfId="0" applyFont="1" applyBorder="1" applyAlignment="1" applyProtection="1">
      <alignment horizontal="left" vertical="center"/>
      <protection locked="0"/>
    </xf>
    <xf numFmtId="0" fontId="4" fillId="3" borderId="7" xfId="0" applyFont="1" applyFill="1" applyBorder="1" applyAlignment="1">
      <alignment horizontal="center" vertical="center"/>
    </xf>
    <xf numFmtId="164" fontId="34" fillId="5" borderId="39" xfId="3" applyNumberFormat="1" applyFont="1" applyFill="1" applyBorder="1" applyAlignment="1" applyProtection="1">
      <alignment horizontal="center" vertical="center"/>
      <protection locked="0"/>
    </xf>
    <xf numFmtId="0" fontId="4" fillId="0" borderId="13" xfId="3" applyFont="1" applyBorder="1" applyAlignment="1">
      <alignment horizontal="center" vertical="center"/>
    </xf>
    <xf numFmtId="166" fontId="4" fillId="0" borderId="7" xfId="3" applyNumberFormat="1" applyFont="1" applyBorder="1" applyAlignment="1">
      <alignment horizontal="center" vertical="center"/>
    </xf>
    <xf numFmtId="166" fontId="4" fillId="0" borderId="13" xfId="3" applyNumberFormat="1" applyFont="1" applyBorder="1" applyAlignment="1">
      <alignment horizontal="center" vertical="center"/>
    </xf>
    <xf numFmtId="173" fontId="4" fillId="0" borderId="14" xfId="3" applyNumberFormat="1" applyFont="1" applyBorder="1" applyAlignment="1">
      <alignment horizontal="center" vertical="center"/>
    </xf>
    <xf numFmtId="0" fontId="28" fillId="3" borderId="0" xfId="4" applyFont="1" applyFill="1" applyAlignment="1">
      <alignment horizontal="right" vertical="center"/>
    </xf>
    <xf numFmtId="164" fontId="40" fillId="5" borderId="14" xfId="0" applyNumberFormat="1" applyFont="1" applyFill="1" applyBorder="1" applyAlignment="1" applyProtection="1">
      <alignment horizontal="center" vertical="center"/>
      <protection locked="0"/>
    </xf>
    <xf numFmtId="164" fontId="40" fillId="5" borderId="9" xfId="0" applyNumberFormat="1" applyFont="1" applyFill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vertical="center" wrapText="1"/>
    </xf>
    <xf numFmtId="2" fontId="22" fillId="0" borderId="7" xfId="0" quotePrefix="1" applyNumberFormat="1" applyFont="1" applyBorder="1" applyAlignment="1" applyProtection="1">
      <alignment horizontal="center" vertical="center"/>
      <protection locked="0"/>
    </xf>
    <xf numFmtId="0" fontId="11" fillId="3" borderId="7" xfId="0" applyFont="1" applyFill="1" applyBorder="1" applyAlignment="1">
      <alignment horizontal="center"/>
    </xf>
    <xf numFmtId="164" fontId="11" fillId="3" borderId="7" xfId="0" applyNumberFormat="1" applyFont="1" applyFill="1" applyBorder="1" applyAlignment="1">
      <alignment horizontal="center"/>
    </xf>
    <xf numFmtId="164" fontId="22" fillId="3" borderId="7" xfId="4" applyNumberFormat="1" applyFont="1" applyFill="1" applyBorder="1" applyAlignment="1" applyProtection="1">
      <alignment horizontal="center" vertical="center"/>
      <protection hidden="1"/>
    </xf>
    <xf numFmtId="173" fontId="22" fillId="0" borderId="7" xfId="4" applyNumberFormat="1" applyFont="1" applyBorder="1" applyAlignment="1" applyProtection="1">
      <alignment horizontal="center" vertical="center" wrapText="1"/>
      <protection hidden="1"/>
    </xf>
    <xf numFmtId="168" fontId="22" fillId="3" borderId="7" xfId="0" applyNumberFormat="1" applyFont="1" applyFill="1" applyBorder="1" applyAlignment="1">
      <alignment horizontal="center" vertical="center"/>
    </xf>
    <xf numFmtId="175" fontId="42" fillId="6" borderId="0" xfId="0" applyNumberFormat="1" applyFont="1" applyFill="1"/>
    <xf numFmtId="2" fontId="11" fillId="5" borderId="7" xfId="0" applyNumberFormat="1" applyFont="1" applyFill="1" applyBorder="1" applyAlignment="1">
      <alignment horizontal="center"/>
    </xf>
    <xf numFmtId="173" fontId="11" fillId="5" borderId="7" xfId="0" applyNumberFormat="1" applyFont="1" applyFill="1" applyBorder="1" applyAlignment="1">
      <alignment horizontal="center"/>
    </xf>
    <xf numFmtId="2" fontId="22" fillId="3" borderId="0" xfId="0" applyNumberFormat="1" applyFont="1" applyFill="1" applyAlignment="1">
      <alignment vertical="center"/>
    </xf>
    <xf numFmtId="2" fontId="22" fillId="3" borderId="0" xfId="0" applyNumberFormat="1" applyFont="1" applyFill="1" applyAlignment="1" applyProtection="1">
      <alignment vertical="center"/>
      <protection hidden="1"/>
    </xf>
    <xf numFmtId="0" fontId="22" fillId="3" borderId="0" xfId="0" applyFont="1" applyFill="1"/>
    <xf numFmtId="2" fontId="22" fillId="3" borderId="0" xfId="0" applyNumberFormat="1" applyFont="1" applyFill="1" applyAlignment="1">
      <alignment horizontal="center" vertical="center"/>
    </xf>
    <xf numFmtId="2" fontId="22" fillId="3" borderId="0" xfId="0" applyNumberFormat="1" applyFont="1" applyFill="1" applyAlignment="1" applyProtection="1">
      <alignment horizontal="center" vertical="center"/>
      <protection hidden="1"/>
    </xf>
    <xf numFmtId="11" fontId="22" fillId="5" borderId="7" xfId="4" applyNumberFormat="1" applyFont="1" applyFill="1" applyBorder="1" applyAlignment="1" applyProtection="1">
      <alignment horizontal="center" vertical="center"/>
      <protection hidden="1"/>
    </xf>
    <xf numFmtId="173" fontId="22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1" fillId="3" borderId="7" xfId="3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vertical="center" wrapText="1"/>
    </xf>
    <xf numFmtId="2" fontId="22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1" fillId="5" borderId="7" xfId="0" applyFont="1" applyFill="1" applyBorder="1" applyAlignment="1">
      <alignment vertical="center" wrapText="1"/>
    </xf>
    <xf numFmtId="2" fontId="21" fillId="3" borderId="7" xfId="0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166" fontId="4" fillId="3" borderId="7" xfId="0" applyNumberFormat="1" applyFont="1" applyFill="1" applyBorder="1" applyAlignment="1">
      <alignment horizontal="left" vertical="center"/>
    </xf>
    <xf numFmtId="166" fontId="14" fillId="5" borderId="7" xfId="0" applyNumberFormat="1" applyFont="1" applyFill="1" applyBorder="1" applyAlignment="1">
      <alignment horizontal="left" vertical="center"/>
    </xf>
    <xf numFmtId="0" fontId="4" fillId="3" borderId="7" xfId="4" applyFont="1" applyFill="1" applyBorder="1" applyAlignment="1">
      <alignment vertical="center" wrapText="1"/>
    </xf>
    <xf numFmtId="173" fontId="0" fillId="0" borderId="7" xfId="0" applyNumberFormat="1" applyBorder="1" applyAlignment="1">
      <alignment horizontal="center" vertical="center"/>
    </xf>
    <xf numFmtId="0" fontId="20" fillId="3" borderId="7" xfId="0" applyFont="1" applyFill="1" applyBorder="1" applyAlignment="1">
      <alignment horizontal="left" vertical="center"/>
    </xf>
    <xf numFmtId="166" fontId="4" fillId="5" borderId="7" xfId="0" applyNumberFormat="1" applyFont="1" applyFill="1" applyBorder="1" applyAlignment="1">
      <alignment horizontal="left" vertical="center"/>
    </xf>
    <xf numFmtId="0" fontId="4" fillId="5" borderId="7" xfId="3" applyFont="1" applyFill="1" applyBorder="1" applyAlignment="1">
      <alignment vertical="center" wrapText="1"/>
    </xf>
    <xf numFmtId="166" fontId="54" fillId="5" borderId="7" xfId="0" applyNumberFormat="1" applyFont="1" applyFill="1" applyBorder="1" applyAlignment="1">
      <alignment horizontal="center" vertical="center"/>
    </xf>
    <xf numFmtId="0" fontId="22" fillId="5" borderId="7" xfId="3" applyFont="1" applyFill="1" applyBorder="1" applyAlignment="1">
      <alignment horizontal="left" vertical="center" wrapText="1"/>
    </xf>
    <xf numFmtId="166" fontId="22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2" fillId="5" borderId="7" xfId="3" applyNumberFormat="1" applyFont="1" applyFill="1" applyBorder="1" applyAlignment="1" applyProtection="1">
      <alignment vertical="center"/>
      <protection hidden="1"/>
    </xf>
    <xf numFmtId="166" fontId="22" fillId="5" borderId="7" xfId="3" applyNumberFormat="1" applyFont="1" applyFill="1" applyBorder="1" applyAlignment="1" applyProtection="1">
      <alignment horizontal="center" vertical="center"/>
      <protection hidden="1"/>
    </xf>
    <xf numFmtId="173" fontId="22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3" fontId="22" fillId="5" borderId="7" xfId="3" applyNumberFormat="1" applyFont="1" applyFill="1" applyBorder="1" applyAlignment="1">
      <alignment horizontal="center" vertical="center"/>
    </xf>
    <xf numFmtId="2" fontId="22" fillId="3" borderId="7" xfId="0" applyNumberFormat="1" applyFont="1" applyFill="1" applyBorder="1" applyAlignment="1">
      <alignment vertical="center"/>
    </xf>
    <xf numFmtId="2" fontId="22" fillId="3" borderId="7" xfId="0" applyNumberFormat="1" applyFont="1" applyFill="1" applyBorder="1" applyAlignment="1" applyProtection="1">
      <alignment horizontal="center" vertical="center"/>
      <protection hidden="1"/>
    </xf>
    <xf numFmtId="0" fontId="22" fillId="0" borderId="7" xfId="3" applyFont="1" applyBorder="1" applyAlignment="1">
      <alignment horizontal="center" vertical="center" wrapText="1"/>
    </xf>
    <xf numFmtId="2" fontId="22" fillId="3" borderId="15" xfId="3" applyNumberFormat="1" applyFont="1" applyFill="1" applyBorder="1" applyAlignment="1">
      <alignment vertical="center"/>
    </xf>
    <xf numFmtId="0" fontId="42" fillId="6" borderId="0" xfId="0" applyFont="1" applyFill="1" applyAlignment="1">
      <alignment horizontal="center" vertical="center"/>
    </xf>
    <xf numFmtId="176" fontId="42" fillId="6" borderId="0" xfId="0" applyNumberFormat="1" applyFont="1" applyFill="1" applyAlignment="1">
      <alignment horizontal="center" vertical="center"/>
    </xf>
    <xf numFmtId="14" fontId="42" fillId="6" borderId="0" xfId="0" applyNumberFormat="1" applyFont="1" applyFill="1" applyAlignment="1">
      <alignment horizontal="center" vertical="center"/>
    </xf>
    <xf numFmtId="0" fontId="44" fillId="6" borderId="3" xfId="0" applyFont="1" applyFill="1" applyBorder="1"/>
    <xf numFmtId="0" fontId="44" fillId="6" borderId="2" xfId="0" applyFont="1" applyFill="1" applyBorder="1"/>
    <xf numFmtId="0" fontId="11" fillId="3" borderId="4" xfId="0" applyFont="1" applyFill="1" applyBorder="1"/>
    <xf numFmtId="0" fontId="11" fillId="3" borderId="5" xfId="0" applyFont="1" applyFill="1" applyBorder="1"/>
    <xf numFmtId="0" fontId="11" fillId="3" borderId="23" xfId="0" applyFont="1" applyFill="1" applyBorder="1"/>
    <xf numFmtId="0" fontId="11" fillId="3" borderId="21" xfId="0" applyFont="1" applyFill="1" applyBorder="1"/>
    <xf numFmtId="166" fontId="4" fillId="0" borderId="7" xfId="0" applyNumberFormat="1" applyFont="1" applyBorder="1" applyAlignment="1" applyProtection="1">
      <alignment horizontal="center" vertical="center"/>
      <protection locked="0"/>
    </xf>
    <xf numFmtId="0" fontId="22" fillId="0" borderId="7" xfId="0" applyFont="1" applyBorder="1" applyAlignment="1" applyProtection="1">
      <alignment vertical="center"/>
      <protection locked="0"/>
    </xf>
    <xf numFmtId="164" fontId="22" fillId="3" borderId="7" xfId="0" applyNumberFormat="1" applyFont="1" applyFill="1" applyBorder="1" applyAlignment="1" applyProtection="1">
      <alignment horizontal="center" vertical="center"/>
      <protection locked="0"/>
    </xf>
    <xf numFmtId="0" fontId="30" fillId="3" borderId="0" xfId="0" applyFont="1" applyFill="1"/>
    <xf numFmtId="0" fontId="44" fillId="3" borderId="0" xfId="0" applyFont="1" applyFill="1"/>
    <xf numFmtId="15" fontId="11" fillId="3" borderId="7" xfId="0" applyNumberFormat="1" applyFont="1" applyFill="1" applyBorder="1" applyAlignment="1" applyProtection="1">
      <alignment horizontal="center"/>
      <protection locked="0"/>
    </xf>
    <xf numFmtId="0" fontId="4" fillId="3" borderId="7" xfId="0" applyFont="1" applyFill="1" applyBorder="1" applyAlignment="1">
      <alignment vertical="center" wrapText="1"/>
    </xf>
    <xf numFmtId="0" fontId="50" fillId="3" borderId="7" xfId="0" applyFont="1" applyFill="1" applyBorder="1" applyAlignment="1" applyProtection="1">
      <alignment horizontal="center" vertical="center"/>
      <protection locked="0"/>
    </xf>
    <xf numFmtId="173" fontId="11" fillId="3" borderId="7" xfId="0" applyNumberFormat="1" applyFont="1" applyFill="1" applyBorder="1" applyAlignment="1">
      <alignment horizontal="center" vertical="center"/>
    </xf>
    <xf numFmtId="173" fontId="50" fillId="3" borderId="7" xfId="0" applyNumberFormat="1" applyFont="1" applyFill="1" applyBorder="1" applyAlignment="1" applyProtection="1">
      <alignment horizontal="center" vertical="center"/>
      <protection locked="0"/>
    </xf>
    <xf numFmtId="1" fontId="11" fillId="3" borderId="0" xfId="4" applyNumberFormat="1" applyFill="1" applyAlignment="1">
      <alignment horizontal="center" vertical="center"/>
    </xf>
    <xf numFmtId="2" fontId="11" fillId="3" borderId="0" xfId="4" applyNumberFormat="1" applyFill="1" applyAlignment="1">
      <alignment horizontal="center" vertical="center"/>
    </xf>
    <xf numFmtId="0" fontId="57" fillId="3" borderId="0" xfId="0" applyFont="1" applyFill="1"/>
    <xf numFmtId="0" fontId="11" fillId="3" borderId="0" xfId="4" applyFill="1"/>
    <xf numFmtId="0" fontId="11" fillId="3" borderId="7" xfId="0" applyFont="1" applyFill="1" applyBorder="1" applyAlignment="1">
      <alignment horizontal="center" wrapText="1"/>
    </xf>
    <xf numFmtId="1" fontId="22" fillId="3" borderId="7" xfId="0" applyNumberFormat="1" applyFont="1" applyFill="1" applyBorder="1" applyAlignment="1">
      <alignment horizontal="center" vertical="center"/>
    </xf>
    <xf numFmtId="1" fontId="22" fillId="0" borderId="7" xfId="3" applyNumberFormat="1" applyFont="1" applyBorder="1" applyAlignment="1">
      <alignment horizontal="center" vertical="center"/>
    </xf>
    <xf numFmtId="164" fontId="22" fillId="7" borderId="7" xfId="0" applyNumberFormat="1" applyFont="1" applyFill="1" applyBorder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vertical="center"/>
      <protection locked="0"/>
    </xf>
    <xf numFmtId="0" fontId="58" fillId="0" borderId="7" xfId="0" applyFont="1" applyBorder="1" applyAlignment="1" applyProtection="1">
      <alignment horizontal="center" vertical="center"/>
      <protection locked="0"/>
    </xf>
    <xf numFmtId="0" fontId="21" fillId="3" borderId="8" xfId="0" applyFont="1" applyFill="1" applyBorder="1" applyAlignment="1">
      <alignment vertical="center"/>
    </xf>
    <xf numFmtId="1" fontId="42" fillId="6" borderId="7" xfId="0" applyNumberFormat="1" applyFont="1" applyFill="1" applyBorder="1" applyAlignment="1">
      <alignment horizontal="center"/>
    </xf>
    <xf numFmtId="0" fontId="21" fillId="3" borderId="0" xfId="0" applyFont="1" applyFill="1"/>
    <xf numFmtId="0" fontId="59" fillId="6" borderId="0" xfId="0" applyFont="1" applyFill="1" applyAlignment="1">
      <alignment horizontal="center" vertical="center"/>
    </xf>
    <xf numFmtId="0" fontId="59" fillId="6" borderId="0" xfId="0" applyFont="1" applyFill="1"/>
    <xf numFmtId="0" fontId="40" fillId="3" borderId="0" xfId="0" applyFont="1" applyFill="1" applyAlignment="1">
      <alignment horizontal="center" vertical="center"/>
    </xf>
    <xf numFmtId="2" fontId="54" fillId="3" borderId="0" xfId="0" applyNumberFormat="1" applyFont="1" applyFill="1" applyAlignment="1">
      <alignment horizontal="center" vertical="center"/>
    </xf>
    <xf numFmtId="2" fontId="40" fillId="3" borderId="0" xfId="0" applyNumberFormat="1" applyFont="1" applyFill="1" applyAlignment="1">
      <alignment horizontal="center" vertical="center"/>
    </xf>
    <xf numFmtId="173" fontId="22" fillId="3" borderId="0" xfId="0" applyNumberFormat="1" applyFont="1" applyFill="1" applyAlignment="1">
      <alignment horizontal="center" vertical="center"/>
    </xf>
    <xf numFmtId="0" fontId="32" fillId="6" borderId="0" xfId="0" applyFont="1" applyFill="1"/>
    <xf numFmtId="0" fontId="21" fillId="3" borderId="0" xfId="0" applyFont="1" applyFill="1" applyAlignment="1">
      <alignment horizontal="left" vertical="center"/>
    </xf>
    <xf numFmtId="2" fontId="0" fillId="3" borderId="7" xfId="0" applyNumberFormat="1" applyFill="1" applyBorder="1" applyAlignment="1">
      <alignment horizontal="center" vertical="center"/>
    </xf>
    <xf numFmtId="173" fontId="11" fillId="3" borderId="7" xfId="0" applyNumberFormat="1" applyFont="1" applyFill="1" applyBorder="1" applyAlignment="1">
      <alignment horizontal="center"/>
    </xf>
    <xf numFmtId="11" fontId="42" fillId="3" borderId="0" xfId="0" applyNumberFormat="1" applyFont="1" applyFill="1" applyAlignment="1">
      <alignment horizontal="center" vertical="center"/>
    </xf>
    <xf numFmtId="11" fontId="42" fillId="6" borderId="0" xfId="0" applyNumberFormat="1" applyFont="1" applyFill="1" applyAlignment="1">
      <alignment horizontal="center"/>
    </xf>
    <xf numFmtId="0" fontId="21" fillId="0" borderId="7" xfId="0" applyFont="1" applyBorder="1" applyAlignment="1" applyProtection="1">
      <alignment horizontal="center" vertical="center"/>
      <protection locked="0"/>
    </xf>
    <xf numFmtId="14" fontId="22" fillId="0" borderId="7" xfId="0" applyNumberFormat="1" applyFont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6" fillId="0" borderId="3" xfId="0" applyFont="1" applyBorder="1" applyAlignment="1" applyProtection="1">
      <alignment vertical="center"/>
      <protection locked="0"/>
    </xf>
    <xf numFmtId="0" fontId="6" fillId="0" borderId="1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5" xfId="0" applyFont="1" applyBorder="1" applyAlignment="1" applyProtection="1">
      <alignment vertical="center"/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21" xfId="0" applyFont="1" applyBorder="1" applyAlignment="1" applyProtection="1">
      <alignment vertical="center"/>
      <protection locked="0"/>
    </xf>
    <xf numFmtId="0" fontId="42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1" fillId="3" borderId="11" xfId="0" applyFont="1" applyFill="1" applyBorder="1"/>
    <xf numFmtId="0" fontId="11" fillId="3" borderId="9" xfId="0" applyFont="1" applyFill="1" applyBorder="1"/>
    <xf numFmtId="0" fontId="42" fillId="6" borderId="77" xfId="0" applyFont="1" applyFill="1" applyBorder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2" fillId="6" borderId="73" xfId="0" applyFont="1" applyFill="1" applyBorder="1"/>
    <xf numFmtId="0" fontId="44" fillId="6" borderId="11" xfId="0" applyFont="1" applyFill="1" applyBorder="1" applyAlignment="1">
      <alignment vertical="center"/>
    </xf>
    <xf numFmtId="0" fontId="42" fillId="6" borderId="11" xfId="0" applyFont="1" applyFill="1" applyBorder="1"/>
    <xf numFmtId="0" fontId="42" fillId="6" borderId="9" xfId="0" applyFont="1" applyFill="1" applyBorder="1"/>
    <xf numFmtId="0" fontId="3" fillId="6" borderId="0" xfId="0" applyFont="1" applyFill="1"/>
    <xf numFmtId="0" fontId="3" fillId="3" borderId="0" xfId="0" applyFont="1" applyFill="1"/>
    <xf numFmtId="0" fontId="62" fillId="3" borderId="0" xfId="0" applyFont="1" applyFill="1"/>
    <xf numFmtId="15" fontId="3" fillId="3" borderId="7" xfId="0" applyNumberFormat="1" applyFont="1" applyFill="1" applyBorder="1" applyAlignment="1" applyProtection="1">
      <alignment horizontal="center"/>
      <protection locked="0"/>
    </xf>
    <xf numFmtId="17" fontId="3" fillId="3" borderId="0" xfId="0" applyNumberFormat="1" applyFont="1" applyFill="1" applyAlignment="1">
      <alignment horizontal="center"/>
    </xf>
    <xf numFmtId="0" fontId="63" fillId="3" borderId="0" xfId="0" applyFont="1" applyFill="1"/>
    <xf numFmtId="0" fontId="3" fillId="3" borderId="7" xfId="0" applyFont="1" applyFill="1" applyBorder="1" applyAlignment="1">
      <alignment horizontal="left" vertical="center" wrapText="1"/>
    </xf>
    <xf numFmtId="0" fontId="22" fillId="3" borderId="7" xfId="0" applyFont="1" applyFill="1" applyBorder="1" applyAlignment="1" applyProtection="1">
      <alignment horizontal="center" vertical="center"/>
      <protection locked="0"/>
    </xf>
    <xf numFmtId="0" fontId="50" fillId="3" borderId="7" xfId="3" applyFont="1" applyFill="1" applyBorder="1" applyAlignment="1" applyProtection="1">
      <alignment horizontal="center" vertical="center"/>
      <protection locked="0"/>
    </xf>
    <xf numFmtId="177" fontId="34" fillId="5" borderId="39" xfId="3" applyNumberFormat="1" applyFont="1" applyFill="1" applyBorder="1" applyAlignment="1" applyProtection="1">
      <alignment horizontal="center" vertical="center"/>
      <protection locked="0"/>
    </xf>
    <xf numFmtId="177" fontId="40" fillId="5" borderId="14" xfId="0" applyNumberFormat="1" applyFont="1" applyFill="1" applyBorder="1" applyAlignment="1" applyProtection="1">
      <alignment horizontal="center" vertical="center"/>
      <protection locked="0"/>
    </xf>
    <xf numFmtId="178" fontId="4" fillId="3" borderId="0" xfId="0" applyNumberFormat="1" applyFont="1" applyFill="1" applyAlignment="1">
      <alignment horizontal="left" vertical="center"/>
    </xf>
    <xf numFmtId="0" fontId="20" fillId="3" borderId="0" xfId="0" applyFont="1" applyFill="1" applyAlignment="1">
      <alignment horizontal="center" vertical="center"/>
    </xf>
    <xf numFmtId="0" fontId="19" fillId="3" borderId="3" xfId="0" applyFont="1" applyFill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19" fillId="3" borderId="2" xfId="0" applyFont="1" applyFill="1" applyBorder="1" applyAlignment="1">
      <alignment vertical="center"/>
    </xf>
    <xf numFmtId="0" fontId="19" fillId="3" borderId="4" xfId="0" applyFont="1" applyFill="1" applyBorder="1" applyAlignment="1">
      <alignment vertical="center"/>
    </xf>
    <xf numFmtId="0" fontId="19" fillId="3" borderId="5" xfId="0" applyFont="1" applyFill="1" applyBorder="1" applyAlignment="1">
      <alignment vertical="center"/>
    </xf>
    <xf numFmtId="0" fontId="19" fillId="3" borderId="23" xfId="0" applyFont="1" applyFill="1" applyBorder="1" applyAlignment="1">
      <alignment vertical="center"/>
    </xf>
    <xf numFmtId="0" fontId="19" fillId="3" borderId="10" xfId="0" applyFont="1" applyFill="1" applyBorder="1" applyAlignment="1">
      <alignment vertical="center"/>
    </xf>
    <xf numFmtId="0" fontId="19" fillId="3" borderId="21" xfId="0" applyFont="1" applyFill="1" applyBorder="1" applyAlignment="1">
      <alignment vertical="center"/>
    </xf>
    <xf numFmtId="0" fontId="22" fillId="3" borderId="40" xfId="0" applyFont="1" applyFill="1" applyBorder="1" applyAlignment="1">
      <alignment horizontal="center" vertical="center"/>
    </xf>
    <xf numFmtId="0" fontId="22" fillId="3" borderId="0" xfId="0" applyFont="1" applyFill="1" applyProtection="1">
      <protection hidden="1"/>
    </xf>
    <xf numFmtId="0" fontId="40" fillId="3" borderId="0" xfId="0" applyFont="1" applyFill="1" applyAlignment="1">
      <alignment vertical="center"/>
    </xf>
    <xf numFmtId="164" fontId="22" fillId="3" borderId="0" xfId="0" applyNumberFormat="1" applyFont="1" applyFill="1" applyAlignment="1">
      <alignment horizontal="left" vertical="center"/>
    </xf>
    <xf numFmtId="0" fontId="4" fillId="3" borderId="4" xfId="3" applyFont="1" applyFill="1" applyBorder="1" applyAlignment="1">
      <alignment horizontal="left" vertical="center"/>
    </xf>
    <xf numFmtId="0" fontId="22" fillId="3" borderId="0" xfId="3" applyFont="1" applyFill="1" applyAlignment="1">
      <alignment horizontal="left" vertical="center" wrapText="1"/>
    </xf>
    <xf numFmtId="0" fontId="22" fillId="3" borderId="0" xfId="3" applyFont="1" applyFill="1" applyAlignment="1">
      <alignment horizontal="center" vertical="center" wrapText="1"/>
    </xf>
    <xf numFmtId="0" fontId="21" fillId="3" borderId="7" xfId="0" quotePrefix="1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20" fontId="22" fillId="3" borderId="7" xfId="0" quotePrefix="1" applyNumberFormat="1" applyFont="1" applyFill="1" applyBorder="1" applyAlignment="1">
      <alignment horizontal="center" vertical="center"/>
    </xf>
    <xf numFmtId="166" fontId="22" fillId="3" borderId="7" xfId="0" applyNumberFormat="1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0" fontId="22" fillId="3" borderId="0" xfId="0" applyFont="1" applyFill="1" applyAlignment="1" applyProtection="1">
      <alignment vertical="center"/>
      <protection hidden="1"/>
    </xf>
    <xf numFmtId="179" fontId="13" fillId="3" borderId="0" xfId="0" applyNumberFormat="1" applyFont="1" applyFill="1" applyAlignment="1" applyProtection="1">
      <alignment horizontal="center" vertical="center"/>
      <protection hidden="1"/>
    </xf>
    <xf numFmtId="0" fontId="21" fillId="3" borderId="0" xfId="5" applyFont="1" applyFill="1" applyAlignment="1">
      <alignment vertical="center"/>
    </xf>
    <xf numFmtId="0" fontId="21" fillId="3" borderId="0" xfId="5" applyFont="1" applyFill="1" applyAlignment="1">
      <alignment horizontal="center" vertical="center"/>
    </xf>
    <xf numFmtId="0" fontId="22" fillId="3" borderId="0" xfId="0" applyFont="1" applyFill="1" applyAlignment="1">
      <alignment horizontal="left" vertical="center" wrapText="1"/>
    </xf>
    <xf numFmtId="17" fontId="22" fillId="3" borderId="0" xfId="0" applyNumberFormat="1" applyFont="1" applyFill="1" applyAlignment="1">
      <alignment vertical="center"/>
    </xf>
    <xf numFmtId="0" fontId="21" fillId="3" borderId="3" xfId="5" applyFont="1" applyFill="1" applyBorder="1" applyAlignment="1">
      <alignment vertical="center"/>
    </xf>
    <xf numFmtId="0" fontId="21" fillId="3" borderId="1" xfId="5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left" vertical="center" wrapText="1"/>
    </xf>
    <xf numFmtId="17" fontId="22" fillId="3" borderId="1" xfId="0" applyNumberFormat="1" applyFont="1" applyFill="1" applyBorder="1" applyAlignment="1">
      <alignment vertical="center"/>
    </xf>
    <xf numFmtId="0" fontId="22" fillId="3" borderId="1" xfId="0" applyFont="1" applyFill="1" applyBorder="1" applyProtection="1">
      <protection hidden="1"/>
    </xf>
    <xf numFmtId="0" fontId="22" fillId="3" borderId="2" xfId="0" applyFont="1" applyFill="1" applyBorder="1" applyProtection="1">
      <protection hidden="1"/>
    </xf>
    <xf numFmtId="0" fontId="22" fillId="3" borderId="4" xfId="0" applyFont="1" applyFill="1" applyBorder="1" applyAlignment="1">
      <alignment horizontal="left" vertical="center"/>
    </xf>
    <xf numFmtId="0" fontId="22" fillId="3" borderId="0" xfId="0" applyFont="1" applyFill="1" applyAlignment="1" applyProtection="1">
      <alignment horizontal="left" vertical="center"/>
      <protection hidden="1"/>
    </xf>
    <xf numFmtId="166" fontId="22" fillId="3" borderId="0" xfId="0" applyNumberFormat="1" applyFont="1" applyFill="1" applyAlignment="1">
      <alignment vertical="center"/>
    </xf>
    <xf numFmtId="0" fontId="22" fillId="3" borderId="4" xfId="0" applyFont="1" applyFill="1" applyBorder="1" applyAlignment="1">
      <alignment horizontal="right" vertical="center"/>
    </xf>
    <xf numFmtId="0" fontId="22" fillId="3" borderId="0" xfId="0" applyFont="1" applyFill="1" applyAlignment="1" applyProtection="1">
      <alignment horizontal="right" vertical="center"/>
      <protection hidden="1"/>
    </xf>
    <xf numFmtId="0" fontId="22" fillId="3" borderId="23" xfId="0" applyFont="1" applyFill="1" applyBorder="1" applyAlignment="1">
      <alignment horizontal="left" vertical="center"/>
    </xf>
    <xf numFmtId="0" fontId="22" fillId="3" borderId="10" xfId="0" applyFont="1" applyFill="1" applyBorder="1" applyAlignment="1">
      <alignment vertical="center"/>
    </xf>
    <xf numFmtId="0" fontId="22" fillId="3" borderId="10" xfId="0" applyFont="1" applyFill="1" applyBorder="1" applyAlignment="1">
      <alignment horizontal="center" vertical="center"/>
    </xf>
    <xf numFmtId="0" fontId="22" fillId="3" borderId="0" xfId="3" applyFont="1" applyFill="1" applyAlignment="1">
      <alignment horizontal="center" vertical="center"/>
    </xf>
    <xf numFmtId="0" fontId="22" fillId="3" borderId="5" xfId="3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left" vertical="center"/>
    </xf>
    <xf numFmtId="164" fontId="22" fillId="3" borderId="0" xfId="0" applyNumberFormat="1" applyFont="1" applyFill="1" applyAlignment="1">
      <alignment vertical="center"/>
    </xf>
    <xf numFmtId="0" fontId="22" fillId="3" borderId="52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2" fillId="3" borderId="78" xfId="0" applyFont="1" applyFill="1" applyBorder="1" applyAlignment="1">
      <alignment horizontal="center" vertical="center"/>
    </xf>
    <xf numFmtId="0" fontId="22" fillId="3" borderId="7" xfId="0" applyFont="1" applyFill="1" applyBorder="1" applyAlignment="1" applyProtection="1">
      <alignment horizontal="center" vertical="center"/>
      <protection hidden="1"/>
    </xf>
    <xf numFmtId="0" fontId="22" fillId="3" borderId="8" xfId="0" applyFont="1" applyFill="1" applyBorder="1" applyAlignment="1" applyProtection="1">
      <alignment horizontal="center" vertical="center"/>
      <protection locked="0"/>
    </xf>
    <xf numFmtId="0" fontId="21" fillId="3" borderId="0" xfId="0" applyFont="1" applyFill="1" applyProtection="1">
      <protection hidden="1"/>
    </xf>
    <xf numFmtId="0" fontId="22" fillId="3" borderId="7" xfId="0" quotePrefix="1" applyFont="1" applyFill="1" applyBorder="1" applyAlignment="1">
      <alignment horizontal="center" vertical="center"/>
    </xf>
    <xf numFmtId="0" fontId="22" fillId="3" borderId="7" xfId="0" applyFont="1" applyFill="1" applyBorder="1" applyProtection="1">
      <protection hidden="1"/>
    </xf>
    <xf numFmtId="1" fontId="40" fillId="3" borderId="4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 applyProtection="1">
      <alignment horizontal="left" vertical="center" indent="1"/>
      <protection hidden="1"/>
    </xf>
    <xf numFmtId="0" fontId="4" fillId="3" borderId="11" xfId="0" applyFont="1" applyFill="1" applyBorder="1" applyAlignment="1" applyProtection="1">
      <alignment horizontal="left" vertical="center" indent="1"/>
      <protection hidden="1"/>
    </xf>
    <xf numFmtId="0" fontId="4" fillId="3" borderId="9" xfId="0" applyFont="1" applyFill="1" applyBorder="1" applyAlignment="1" applyProtection="1">
      <alignment horizontal="left" vertical="center" indent="1"/>
      <protection hidden="1"/>
    </xf>
    <xf numFmtId="1" fontId="65" fillId="3" borderId="4" xfId="0" applyNumberFormat="1" applyFont="1" applyFill="1" applyBorder="1" applyAlignment="1">
      <alignment horizontal="center" vertical="center"/>
    </xf>
    <xf numFmtId="0" fontId="65" fillId="3" borderId="4" xfId="0" applyFont="1" applyFill="1" applyBorder="1" applyAlignment="1">
      <alignment horizontal="center" vertical="center"/>
    </xf>
    <xf numFmtId="0" fontId="21" fillId="3" borderId="10" xfId="0" applyFont="1" applyFill="1" applyBorder="1" applyAlignment="1">
      <alignment vertical="center"/>
    </xf>
    <xf numFmtId="164" fontId="22" fillId="3" borderId="10" xfId="0" applyNumberFormat="1" applyFont="1" applyFill="1" applyBorder="1" applyAlignment="1">
      <alignment vertical="center"/>
    </xf>
    <xf numFmtId="0" fontId="22" fillId="3" borderId="8" xfId="0" applyFont="1" applyFill="1" applyBorder="1" applyAlignment="1">
      <alignment vertical="center"/>
    </xf>
    <xf numFmtId="0" fontId="22" fillId="3" borderId="11" xfId="0" applyFont="1" applyFill="1" applyBorder="1" applyAlignment="1">
      <alignment vertical="center"/>
    </xf>
    <xf numFmtId="0" fontId="21" fillId="3" borderId="9" xfId="0" applyFont="1" applyFill="1" applyBorder="1" applyAlignment="1">
      <alignment vertical="center"/>
    </xf>
    <xf numFmtId="0" fontId="22" fillId="3" borderId="21" xfId="0" applyFont="1" applyFill="1" applyBorder="1" applyAlignment="1">
      <alignment vertical="center"/>
    </xf>
    <xf numFmtId="0" fontId="21" fillId="3" borderId="3" xfId="0" applyFont="1" applyFill="1" applyBorder="1" applyAlignment="1" applyProtection="1">
      <alignment horizontal="left" vertical="center"/>
      <protection hidden="1"/>
    </xf>
    <xf numFmtId="0" fontId="21" fillId="3" borderId="1" xfId="0" applyFont="1" applyFill="1" applyBorder="1" applyAlignment="1">
      <alignment vertical="center"/>
    </xf>
    <xf numFmtId="164" fontId="22" fillId="3" borderId="1" xfId="0" applyNumberFormat="1" applyFont="1" applyFill="1" applyBorder="1" applyAlignment="1">
      <alignment vertical="center"/>
    </xf>
    <xf numFmtId="0" fontId="22" fillId="3" borderId="23" xfId="0" applyFont="1" applyFill="1" applyBorder="1" applyAlignment="1" applyProtection="1">
      <alignment horizontal="left" vertical="center" indent="2"/>
      <protection hidden="1"/>
    </xf>
    <xf numFmtId="0" fontId="21" fillId="3" borderId="0" xfId="0" applyFont="1" applyFill="1" applyAlignment="1" applyProtection="1">
      <alignment vertical="center"/>
      <protection hidden="1"/>
    </xf>
    <xf numFmtId="0" fontId="19" fillId="3" borderId="0" xfId="3" applyFont="1" applyFill="1" applyAlignment="1">
      <alignment horizontal="left"/>
    </xf>
    <xf numFmtId="0" fontId="19" fillId="3" borderId="0" xfId="3" applyFont="1" applyFill="1"/>
    <xf numFmtId="174" fontId="11" fillId="3" borderId="0" xfId="3" applyNumberFormat="1" applyFill="1" applyAlignment="1">
      <alignment horizontal="center" vertical="center"/>
    </xf>
    <xf numFmtId="0" fontId="42" fillId="3" borderId="7" xfId="11" applyFont="1" applyFill="1" applyBorder="1" applyAlignment="1">
      <alignment horizontal="center" vertical="center"/>
    </xf>
    <xf numFmtId="176" fontId="42" fillId="3" borderId="7" xfId="11" quotePrefix="1" applyNumberFormat="1" applyFont="1" applyFill="1" applyBorder="1" applyAlignment="1">
      <alignment horizontal="center" vertical="center"/>
    </xf>
    <xf numFmtId="174" fontId="42" fillId="3" borderId="7" xfId="11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3" borderId="0" xfId="3" applyFont="1" applyFill="1" applyAlignment="1">
      <alignment horizontal="center" vertical="center"/>
    </xf>
    <xf numFmtId="0" fontId="19" fillId="3" borderId="0" xfId="0" applyFont="1" applyFill="1" applyAlignment="1">
      <alignment horizontal="right"/>
    </xf>
    <xf numFmtId="0" fontId="3" fillId="3" borderId="52" xfId="0" applyFont="1" applyFill="1" applyBorder="1" applyAlignment="1">
      <alignment horizontal="left" indent="1"/>
    </xf>
    <xf numFmtId="0" fontId="3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4" fillId="3" borderId="78" xfId="5" applyFont="1" applyFill="1" applyBorder="1" applyAlignment="1">
      <alignment horizontal="left" vertical="center" indent="1"/>
    </xf>
    <xf numFmtId="0" fontId="4" fillId="3" borderId="40" xfId="5" applyFont="1" applyFill="1" applyBorder="1" applyAlignment="1">
      <alignment horizontal="left" vertical="center" indent="1"/>
    </xf>
    <xf numFmtId="0" fontId="4" fillId="3" borderId="7" xfId="3" applyFont="1" applyFill="1" applyBorder="1" applyAlignment="1">
      <alignment horizontal="left" vertical="center"/>
    </xf>
    <xf numFmtId="0" fontId="4" fillId="3" borderId="7" xfId="3" applyFont="1" applyFill="1" applyBorder="1" applyAlignment="1">
      <alignment horizontal="center" vertical="center"/>
    </xf>
    <xf numFmtId="0" fontId="22" fillId="3" borderId="0" xfId="0" applyFont="1" applyFill="1" applyAlignment="1" applyProtection="1">
      <alignment horizontal="left" vertical="center" indent="2"/>
      <protection hidden="1"/>
    </xf>
    <xf numFmtId="21" fontId="22" fillId="3" borderId="7" xfId="0" applyNumberFormat="1" applyFont="1" applyFill="1" applyBorder="1" applyProtection="1">
      <protection hidden="1"/>
    </xf>
    <xf numFmtId="0" fontId="4" fillId="3" borderId="8" xfId="3" applyFont="1" applyFill="1" applyBorder="1" applyAlignment="1">
      <alignment vertical="center"/>
    </xf>
    <xf numFmtId="2" fontId="22" fillId="3" borderId="26" xfId="0" applyNumberFormat="1" applyFont="1" applyFill="1" applyBorder="1" applyAlignment="1">
      <alignment horizontal="center" vertical="center"/>
    </xf>
    <xf numFmtId="2" fontId="22" fillId="3" borderId="29" xfId="0" applyNumberFormat="1" applyFont="1" applyFill="1" applyBorder="1" applyAlignment="1">
      <alignment horizontal="center" vertical="center"/>
    </xf>
    <xf numFmtId="0" fontId="6" fillId="3" borderId="0" xfId="0" applyFont="1" applyFill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center" vertical="center" wrapText="1"/>
      <protection locked="0"/>
    </xf>
    <xf numFmtId="0" fontId="14" fillId="3" borderId="0" xfId="3" applyFont="1" applyFill="1" applyAlignment="1" applyProtection="1">
      <alignment vertical="center"/>
      <protection locked="0"/>
    </xf>
    <xf numFmtId="0" fontId="19" fillId="3" borderId="0" xfId="0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4" fillId="3" borderId="0" xfId="0" applyFont="1" applyFill="1" applyAlignment="1" applyProtection="1">
      <alignment horizontal="left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167" fontId="11" fillId="3" borderId="0" xfId="0" applyNumberFormat="1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4" fillId="3" borderId="0" xfId="5" applyFont="1" applyFill="1" applyAlignment="1">
      <alignment horizontal="right" vertical="center" wrapText="1"/>
    </xf>
    <xf numFmtId="178" fontId="4" fillId="3" borderId="0" xfId="5" applyNumberFormat="1" applyFont="1" applyFill="1" applyAlignment="1" applyProtection="1">
      <alignment horizontal="left" vertical="center"/>
      <protection locked="0"/>
    </xf>
    <xf numFmtId="17" fontId="11" fillId="3" borderId="0" xfId="0" applyNumberFormat="1" applyFont="1" applyFill="1" applyAlignment="1" applyProtection="1">
      <alignment horizontal="left" vertical="center"/>
      <protection locked="0"/>
    </xf>
    <xf numFmtId="17" fontId="7" fillId="3" borderId="0" xfId="0" applyNumberFormat="1" applyFont="1" applyFill="1" applyAlignment="1" applyProtection="1">
      <alignment horizontal="left" vertical="center"/>
      <protection locked="0"/>
    </xf>
    <xf numFmtId="172" fontId="4" fillId="3" borderId="0" xfId="0" applyNumberFormat="1" applyFont="1" applyFill="1" applyAlignment="1" applyProtection="1">
      <alignment horizontal="left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174" fontId="4" fillId="3" borderId="0" xfId="5" applyNumberFormat="1" applyFont="1" applyFill="1" applyAlignment="1" applyProtection="1">
      <alignment horizontal="left" vertical="center"/>
      <protection locked="0"/>
    </xf>
    <xf numFmtId="180" fontId="4" fillId="3" borderId="0" xfId="0" applyNumberFormat="1" applyFont="1" applyFill="1" applyAlignment="1" applyProtection="1">
      <alignment horizontal="left" vertical="center"/>
      <protection locked="0"/>
    </xf>
    <xf numFmtId="0" fontId="18" fillId="3" borderId="10" xfId="0" applyFont="1" applyFill="1" applyBorder="1" applyAlignment="1">
      <alignment vertical="center"/>
    </xf>
    <xf numFmtId="0" fontId="22" fillId="3" borderId="0" xfId="0" applyFont="1" applyFill="1" applyAlignment="1" applyProtection="1">
      <alignment vertical="center"/>
      <protection locked="0"/>
    </xf>
    <xf numFmtId="0" fontId="4" fillId="3" borderId="0" xfId="0" applyFont="1" applyFill="1" applyAlignment="1" applyProtection="1">
      <alignment vertical="center"/>
      <protection locked="0"/>
    </xf>
    <xf numFmtId="165" fontId="4" fillId="3" borderId="0" xfId="0" applyNumberFormat="1" applyFont="1" applyFill="1" applyAlignment="1" applyProtection="1">
      <alignment horizontal="left" vertical="center"/>
      <protection locked="0"/>
    </xf>
    <xf numFmtId="0" fontId="15" fillId="3" borderId="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 applyProtection="1">
      <alignment horizontal="center" vertical="center" wrapText="1"/>
      <protection locked="0"/>
    </xf>
    <xf numFmtId="0" fontId="15" fillId="3" borderId="2" xfId="0" applyFont="1" applyFill="1" applyBorder="1" applyAlignment="1" applyProtection="1">
      <alignment horizontal="center" vertical="center" wrapText="1"/>
      <protection locked="0"/>
    </xf>
    <xf numFmtId="0" fontId="4" fillId="3" borderId="4" xfId="5" applyFont="1" applyFill="1" applyBorder="1" applyAlignment="1">
      <alignment vertical="center"/>
    </xf>
    <xf numFmtId="0" fontId="17" fillId="3" borderId="0" xfId="0" applyFont="1" applyFill="1" applyAlignment="1" applyProtection="1">
      <alignment vertical="center"/>
      <protection locked="0"/>
    </xf>
    <xf numFmtId="0" fontId="4" fillId="3" borderId="0" xfId="5" applyFont="1" applyFill="1" applyAlignment="1">
      <alignment horizontal="right" vertical="center"/>
    </xf>
    <xf numFmtId="181" fontId="4" fillId="3" borderId="0" xfId="5" applyNumberFormat="1" applyFont="1" applyFill="1" applyAlignment="1" applyProtection="1">
      <alignment horizontal="left" vertical="center"/>
      <protection locked="0"/>
    </xf>
    <xf numFmtId="182" fontId="4" fillId="3" borderId="5" xfId="3" applyNumberFormat="1" applyFont="1" applyFill="1" applyBorder="1" applyAlignment="1" applyProtection="1">
      <alignment horizontal="left" vertical="center"/>
      <protection locked="0"/>
    </xf>
    <xf numFmtId="172" fontId="4" fillId="3" borderId="5" xfId="3" applyNumberFormat="1" applyFont="1" applyFill="1" applyBorder="1" applyAlignment="1" applyProtection="1">
      <alignment horizontal="left" vertical="center"/>
      <protection locked="0"/>
    </xf>
    <xf numFmtId="0" fontId="4" fillId="3" borderId="0" xfId="0" applyFont="1" applyFill="1" applyAlignment="1" applyProtection="1">
      <alignment horizontal="center" vertical="center"/>
      <protection locked="0"/>
    </xf>
    <xf numFmtId="183" fontId="4" fillId="3" borderId="5" xfId="0" applyNumberFormat="1" applyFont="1" applyFill="1" applyBorder="1" applyAlignment="1" applyProtection="1">
      <alignment vertical="center"/>
      <protection locked="0"/>
    </xf>
    <xf numFmtId="0" fontId="22" fillId="3" borderId="10" xfId="0" applyFont="1" applyFill="1" applyBorder="1" applyAlignment="1" applyProtection="1">
      <alignment vertical="center"/>
      <protection locked="0"/>
    </xf>
    <xf numFmtId="0" fontId="22" fillId="3" borderId="21" xfId="0" applyFont="1" applyFill="1" applyBorder="1" applyAlignment="1" applyProtection="1">
      <alignment vertical="center"/>
      <protection locked="0"/>
    </xf>
    <xf numFmtId="0" fontId="4" fillId="3" borderId="3" xfId="5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 applyProtection="1">
      <alignment horizontal="center" vertical="center"/>
      <protection locked="0"/>
    </xf>
    <xf numFmtId="0" fontId="22" fillId="3" borderId="1" xfId="0" applyFont="1" applyFill="1" applyBorder="1" applyAlignment="1" applyProtection="1">
      <alignment vertical="center"/>
      <protection locked="0"/>
    </xf>
    <xf numFmtId="166" fontId="22" fillId="3" borderId="1" xfId="0" applyNumberFormat="1" applyFont="1" applyFill="1" applyBorder="1" applyAlignment="1" applyProtection="1">
      <alignment vertical="center"/>
      <protection locked="0"/>
    </xf>
    <xf numFmtId="0" fontId="4" fillId="3" borderId="1" xfId="5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16" fillId="3" borderId="4" xfId="5" applyFont="1" applyFill="1" applyBorder="1" applyAlignment="1">
      <alignment vertical="center"/>
    </xf>
    <xf numFmtId="0" fontId="6" fillId="3" borderId="0" xfId="0" quotePrefix="1" applyFont="1" applyFill="1" applyAlignment="1" applyProtection="1">
      <alignment vertical="center"/>
      <protection locked="0"/>
    </xf>
    <xf numFmtId="0" fontId="4" fillId="3" borderId="4" xfId="0" applyFont="1" applyFill="1" applyBorder="1" applyAlignment="1" applyProtection="1">
      <alignment vertical="center"/>
      <protection locked="0"/>
    </xf>
    <xf numFmtId="9" fontId="4" fillId="3" borderId="7" xfId="0" applyNumberFormat="1" applyFont="1" applyFill="1" applyBorder="1" applyAlignment="1" applyProtection="1">
      <alignment horizontal="center" vertical="center"/>
      <protection locked="0"/>
    </xf>
    <xf numFmtId="0" fontId="6" fillId="3" borderId="4" xfId="0" applyFont="1" applyFill="1" applyBorder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left" vertical="center"/>
      <protection locked="0"/>
    </xf>
    <xf numFmtId="184" fontId="10" fillId="3" borderId="0" xfId="0" applyNumberFormat="1" applyFont="1" applyFill="1" applyAlignment="1" applyProtection="1">
      <alignment vertical="center"/>
      <protection locked="0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36" xfId="0" applyFont="1" applyFill="1" applyBorder="1" applyAlignment="1" applyProtection="1">
      <alignment vertical="center"/>
      <protection locked="0"/>
    </xf>
    <xf numFmtId="164" fontId="11" fillId="3" borderId="0" xfId="3" applyNumberFormat="1" applyFill="1" applyAlignment="1" applyProtection="1">
      <alignment vertical="center"/>
      <protection locked="0"/>
    </xf>
    <xf numFmtId="0" fontId="27" fillId="3" borderId="0" xfId="0" applyFont="1" applyFill="1" applyAlignment="1" applyProtection="1">
      <alignment vertical="center"/>
      <protection locked="0"/>
    </xf>
    <xf numFmtId="0" fontId="22" fillId="3" borderId="0" xfId="0" quotePrefix="1" applyFont="1" applyFill="1" applyAlignment="1" applyProtection="1">
      <alignment vertical="center"/>
      <protection locked="0"/>
    </xf>
    <xf numFmtId="0" fontId="22" fillId="3" borderId="0" xfId="0" applyFont="1" applyFill="1" applyAlignment="1" applyProtection="1">
      <alignment horizontal="center" vertical="center"/>
      <protection locked="0"/>
    </xf>
    <xf numFmtId="0" fontId="12" fillId="3" borderId="0" xfId="0" applyFont="1" applyFill="1" applyAlignment="1" applyProtection="1">
      <alignment vertical="center" wrapText="1"/>
      <protection locked="0"/>
    </xf>
    <xf numFmtId="0" fontId="5" fillId="3" borderId="0" xfId="0" applyFont="1" applyFill="1" applyAlignment="1" applyProtection="1">
      <alignment vertical="center"/>
      <protection locked="0"/>
    </xf>
    <xf numFmtId="1" fontId="22" fillId="3" borderId="0" xfId="0" applyNumberFormat="1" applyFont="1" applyFill="1" applyAlignment="1" applyProtection="1">
      <alignment vertical="center"/>
      <protection locked="0"/>
    </xf>
    <xf numFmtId="0" fontId="22" fillId="3" borderId="0" xfId="0" applyFont="1" applyFill="1" applyAlignment="1" applyProtection="1">
      <alignment horizontal="right" vertical="center"/>
      <protection locked="0"/>
    </xf>
    <xf numFmtId="184" fontId="55" fillId="5" borderId="7" xfId="0" applyNumberFormat="1" applyFont="1" applyFill="1" applyBorder="1" applyAlignment="1" applyProtection="1">
      <alignment horizontal="center" vertical="center"/>
      <protection locked="0"/>
    </xf>
    <xf numFmtId="0" fontId="32" fillId="0" borderId="0" xfId="0" applyFont="1" applyAlignment="1" applyProtection="1">
      <alignment horizontal="center" vertical="center"/>
      <protection locked="0"/>
    </xf>
    <xf numFmtId="0" fontId="22" fillId="0" borderId="7" xfId="0" applyFont="1" applyBorder="1" applyAlignment="1" applyProtection="1">
      <alignment vertical="center"/>
      <protection hidden="1"/>
    </xf>
    <xf numFmtId="0" fontId="22" fillId="0" borderId="7" xfId="0" applyFont="1" applyBorder="1" applyAlignment="1" applyProtection="1">
      <alignment horizontal="center" vertical="center"/>
      <protection hidden="1"/>
    </xf>
    <xf numFmtId="164" fontId="22" fillId="0" borderId="7" xfId="3" applyNumberFormat="1" applyFont="1" applyBorder="1" applyAlignment="1">
      <alignment vertical="center" wrapText="1"/>
    </xf>
    <xf numFmtId="0" fontId="22" fillId="0" borderId="0" xfId="0" applyFont="1" applyProtection="1">
      <protection hidden="1"/>
    </xf>
    <xf numFmtId="0" fontId="14" fillId="9" borderId="85" xfId="12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184" fontId="4" fillId="3" borderId="0" xfId="0" applyNumberFormat="1" applyFont="1" applyFill="1" applyAlignment="1" applyProtection="1">
      <alignment horizontal="center" vertical="center"/>
      <protection locked="0"/>
    </xf>
    <xf numFmtId="164" fontId="22" fillId="3" borderId="0" xfId="0" applyNumberFormat="1" applyFont="1" applyFill="1" applyAlignment="1" applyProtection="1">
      <alignment vertical="center"/>
      <protection locked="0"/>
    </xf>
    <xf numFmtId="185" fontId="22" fillId="3" borderId="0" xfId="0" applyNumberFormat="1" applyFont="1" applyFill="1" applyAlignment="1" applyProtection="1">
      <alignment vertical="center"/>
      <protection locked="0"/>
    </xf>
    <xf numFmtId="185" fontId="4" fillId="3" borderId="0" xfId="0" applyNumberFormat="1" applyFont="1" applyFill="1" applyAlignment="1" applyProtection="1">
      <alignment vertical="center"/>
      <protection locked="0"/>
    </xf>
    <xf numFmtId="0" fontId="10" fillId="3" borderId="23" xfId="0" applyFont="1" applyFill="1" applyBorder="1" applyAlignment="1" applyProtection="1">
      <alignment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4" fillId="3" borderId="10" xfId="0" applyFont="1" applyFill="1" applyBorder="1" applyAlignment="1">
      <alignment vertical="center"/>
    </xf>
    <xf numFmtId="0" fontId="4" fillId="3" borderId="21" xfId="0" applyFont="1" applyFill="1" applyBorder="1" applyAlignment="1" applyProtection="1">
      <alignment horizontal="center" vertical="center"/>
      <protection locked="0"/>
    </xf>
    <xf numFmtId="1" fontId="54" fillId="3" borderId="7" xfId="0" applyNumberFormat="1" applyFont="1" applyFill="1" applyBorder="1" applyAlignment="1" applyProtection="1">
      <alignment horizontal="center" vertical="center"/>
      <protection locked="0"/>
    </xf>
    <xf numFmtId="0" fontId="68" fillId="0" borderId="0" xfId="0" applyFont="1" applyAlignment="1" applyProtection="1">
      <alignment horizontal="center" vertical="center" wrapText="1"/>
      <protection locked="0"/>
    </xf>
    <xf numFmtId="2" fontId="22" fillId="0" borderId="0" xfId="0" applyNumberFormat="1" applyFont="1" applyAlignment="1" applyProtection="1">
      <alignment horizontal="left" vertical="center" indent="1"/>
      <protection locked="0"/>
    </xf>
    <xf numFmtId="164" fontId="22" fillId="0" borderId="0" xfId="0" applyNumberFormat="1" applyFont="1" applyAlignment="1" applyProtection="1">
      <alignment horizontal="left" vertical="center" indent="1"/>
      <protection locked="0"/>
    </xf>
    <xf numFmtId="164" fontId="31" fillId="3" borderId="0" xfId="3" applyNumberFormat="1" applyFont="1" applyFill="1" applyProtection="1">
      <protection locked="0"/>
    </xf>
    <xf numFmtId="164" fontId="54" fillId="3" borderId="7" xfId="0" applyNumberFormat="1" applyFont="1" applyFill="1" applyBorder="1" applyAlignment="1" applyProtection="1">
      <alignment horizontal="center" vertical="center"/>
      <protection locked="0"/>
    </xf>
    <xf numFmtId="2" fontId="54" fillId="3" borderId="7" xfId="0" applyNumberFormat="1" applyFont="1" applyFill="1" applyBorder="1" applyAlignment="1" applyProtection="1">
      <alignment horizontal="center" vertical="center"/>
      <protection locked="0"/>
    </xf>
    <xf numFmtId="0" fontId="54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Protection="1">
      <protection locked="0"/>
    </xf>
    <xf numFmtId="1" fontId="22" fillId="3" borderId="0" xfId="0" applyNumberFormat="1" applyFont="1" applyFill="1" applyAlignment="1" applyProtection="1">
      <alignment horizontal="center" vertical="center"/>
      <protection locked="0"/>
    </xf>
    <xf numFmtId="164" fontId="22" fillId="3" borderId="0" xfId="0" applyNumberFormat="1" applyFont="1" applyFill="1" applyAlignment="1" applyProtection="1">
      <alignment horizontal="center" vertical="center"/>
      <protection locked="0"/>
    </xf>
    <xf numFmtId="2" fontId="22" fillId="3" borderId="0" xfId="0" applyNumberFormat="1" applyFont="1" applyFill="1" applyAlignment="1" applyProtection="1">
      <alignment horizontal="center" vertical="center"/>
      <protection locked="0"/>
    </xf>
    <xf numFmtId="1" fontId="54" fillId="3" borderId="0" xfId="0" applyNumberFormat="1" applyFont="1" applyFill="1" applyAlignment="1" applyProtection="1">
      <alignment horizontal="center" vertical="center"/>
      <protection locked="0"/>
    </xf>
    <xf numFmtId="164" fontId="54" fillId="3" borderId="0" xfId="0" applyNumberFormat="1" applyFont="1" applyFill="1" applyAlignment="1" applyProtection="1">
      <alignment horizontal="center" vertical="center"/>
      <protection locked="0"/>
    </xf>
    <xf numFmtId="0" fontId="54" fillId="3" borderId="0" xfId="0" applyFont="1" applyFill="1" applyAlignment="1" applyProtection="1">
      <alignment horizontal="center" vertical="center"/>
      <protection locked="0"/>
    </xf>
    <xf numFmtId="2" fontId="54" fillId="3" borderId="0" xfId="0" applyNumberFormat="1" applyFont="1" applyFill="1" applyAlignment="1" applyProtection="1">
      <alignment horizontal="center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0" fontId="0" fillId="0" borderId="40" xfId="0" applyBorder="1"/>
    <xf numFmtId="0" fontId="22" fillId="3" borderId="7" xfId="0" applyFont="1" applyFill="1" applyBorder="1" applyAlignment="1">
      <alignment horizontal="center" vertical="center"/>
    </xf>
    <xf numFmtId="0" fontId="0" fillId="0" borderId="9" xfId="0" applyBorder="1"/>
    <xf numFmtId="0" fontId="21" fillId="3" borderId="52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22" fillId="3" borderId="7" xfId="3" applyFont="1" applyFill="1" applyBorder="1" applyAlignment="1">
      <alignment horizontal="center" vertical="center"/>
    </xf>
    <xf numFmtId="0" fontId="0" fillId="0" borderId="11" xfId="0" applyBorder="1"/>
    <xf numFmtId="49" fontId="22" fillId="3" borderId="7" xfId="3" applyNumberFormat="1" applyFont="1" applyFill="1" applyBorder="1" applyAlignment="1">
      <alignment horizontal="center" vertical="center"/>
    </xf>
    <xf numFmtId="0" fontId="22" fillId="3" borderId="7" xfId="3" applyFont="1" applyFill="1" applyBorder="1" applyAlignment="1">
      <alignment horizontal="left" vertical="center" wrapText="1"/>
    </xf>
    <xf numFmtId="0" fontId="22" fillId="3" borderId="7" xfId="3" applyFont="1" applyFill="1" applyBorder="1" applyAlignment="1">
      <alignment horizontal="center" vertical="center" wrapText="1"/>
    </xf>
    <xf numFmtId="0" fontId="21" fillId="3" borderId="7" xfId="3" applyFont="1" applyFill="1" applyBorder="1" applyAlignment="1">
      <alignment horizontal="center" vertical="center"/>
    </xf>
    <xf numFmtId="0" fontId="22" fillId="3" borderId="7" xfId="0" applyFont="1" applyFill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64" fillId="3" borderId="7" xfId="0" applyFont="1" applyFill="1" applyBorder="1" applyAlignment="1">
      <alignment horizontal="center" vertical="center"/>
    </xf>
    <xf numFmtId="0" fontId="0" fillId="0" borderId="2" xfId="0" applyBorder="1"/>
    <xf numFmtId="0" fontId="0" fillId="0" borderId="23" xfId="0" applyBorder="1"/>
    <xf numFmtId="0" fontId="0" fillId="0" borderId="21" xfId="0" applyBorder="1"/>
    <xf numFmtId="0" fontId="21" fillId="3" borderId="7" xfId="0" applyFont="1" applyFill="1" applyBorder="1" applyAlignment="1">
      <alignment horizontal="center" vertical="center"/>
    </xf>
    <xf numFmtId="164" fontId="22" fillId="3" borderId="7" xfId="0" applyNumberFormat="1" applyFont="1" applyFill="1" applyBorder="1" applyAlignment="1">
      <alignment horizontal="center" vertical="center"/>
    </xf>
    <xf numFmtId="0" fontId="22" fillId="3" borderId="1" xfId="10" applyFont="1" applyFill="1" applyBorder="1" applyAlignment="1" applyProtection="1">
      <alignment horizontal="center" vertical="center" wrapText="1"/>
    </xf>
    <xf numFmtId="0" fontId="0" fillId="0" borderId="1" xfId="0" applyBorder="1"/>
    <xf numFmtId="0" fontId="40" fillId="3" borderId="7" xfId="0" applyFont="1" applyFill="1" applyBorder="1" applyAlignment="1">
      <alignment horizontal="center" vertical="center"/>
    </xf>
    <xf numFmtId="186" fontId="22" fillId="3" borderId="7" xfId="0" applyNumberFormat="1" applyFont="1" applyFill="1" applyBorder="1" applyAlignment="1">
      <alignment horizontal="center" vertical="center"/>
    </xf>
    <xf numFmtId="0" fontId="22" fillId="3" borderId="21" xfId="0" applyFont="1" applyFill="1" applyBorder="1" applyAlignment="1">
      <alignment horizontal="left" vertical="center"/>
    </xf>
    <xf numFmtId="0" fontId="0" fillId="0" borderId="10" xfId="0" applyBorder="1"/>
    <xf numFmtId="0" fontId="19" fillId="3" borderId="7" xfId="0" applyFont="1" applyFill="1" applyBorder="1" applyAlignment="1" applyProtection="1">
      <alignment horizontal="left" vertical="center" wrapText="1"/>
      <protection hidden="1"/>
    </xf>
    <xf numFmtId="0" fontId="0" fillId="0" borderId="4" xfId="0" applyBorder="1" applyProtection="1"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0" fillId="0" borderId="23" xfId="0" applyBorder="1" applyProtection="1">
      <protection hidden="1"/>
    </xf>
    <xf numFmtId="0" fontId="0" fillId="0" borderId="10" xfId="0" applyBorder="1" applyProtection="1">
      <protection hidden="1"/>
    </xf>
    <xf numFmtId="0" fontId="0" fillId="0" borderId="21" xfId="0" applyBorder="1" applyProtection="1">
      <protection hidden="1"/>
    </xf>
    <xf numFmtId="0" fontId="4" fillId="3" borderId="7" xfId="0" applyFont="1" applyFill="1" applyBorder="1" applyAlignment="1" applyProtection="1">
      <alignment horizontal="left" vertical="center" indent="1"/>
      <protection hidden="1"/>
    </xf>
    <xf numFmtId="0" fontId="21" fillId="3" borderId="7" xfId="5" applyFont="1" applyFill="1" applyBorder="1" applyAlignment="1">
      <alignment horizontal="center" vertical="center"/>
    </xf>
    <xf numFmtId="179" fontId="13" fillId="3" borderId="78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left" vertical="center" wrapText="1"/>
    </xf>
    <xf numFmtId="0" fontId="22" fillId="3" borderId="7" xfId="3" applyFont="1" applyFill="1" applyBorder="1" applyAlignment="1">
      <alignment horizontal="left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13" fillId="3" borderId="78" xfId="0" applyFont="1" applyFill="1" applyBorder="1" applyAlignment="1">
      <alignment horizontal="center" vertical="center"/>
    </xf>
    <xf numFmtId="0" fontId="22" fillId="3" borderId="0" xfId="0" applyFont="1" applyFill="1" applyProtection="1">
      <protection hidden="1"/>
    </xf>
    <xf numFmtId="0" fontId="0" fillId="0" borderId="5" xfId="0" applyBorder="1"/>
    <xf numFmtId="0" fontId="14" fillId="3" borderId="7" xfId="0" applyFont="1" applyFill="1" applyBorder="1" applyAlignment="1" applyProtection="1">
      <alignment horizontal="center" vertical="center" wrapText="1"/>
      <protection hidden="1"/>
    </xf>
    <xf numFmtId="0" fontId="21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40" xfId="0" applyBorder="1" applyProtection="1">
      <protection hidden="1"/>
    </xf>
    <xf numFmtId="166" fontId="22" fillId="3" borderId="7" xfId="0" applyNumberFormat="1" applyFont="1" applyFill="1" applyBorder="1" applyAlignment="1">
      <alignment horizontal="center" vertical="center"/>
    </xf>
    <xf numFmtId="166" fontId="4" fillId="3" borderId="7" xfId="3" applyNumberFormat="1" applyFont="1" applyFill="1" applyBorder="1" applyAlignment="1">
      <alignment horizontal="center" vertical="center"/>
    </xf>
    <xf numFmtId="0" fontId="4" fillId="3" borderId="7" xfId="3" applyFont="1" applyFill="1" applyBorder="1" applyAlignment="1">
      <alignment horizontal="left" vertical="center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0" fillId="0" borderId="9" xfId="0" applyBorder="1" applyProtection="1">
      <protection locked="0"/>
    </xf>
    <xf numFmtId="164" fontId="4" fillId="3" borderId="7" xfId="0" applyNumberFormat="1" applyFont="1" applyFill="1" applyBorder="1" applyAlignment="1" applyProtection="1">
      <alignment horizontal="center" vertical="center"/>
      <protection locked="0"/>
    </xf>
    <xf numFmtId="0" fontId="4" fillId="3" borderId="7" xfId="3" applyFont="1" applyFill="1" applyBorder="1" applyAlignment="1">
      <alignment horizontal="center" vertical="center"/>
    </xf>
    <xf numFmtId="1" fontId="22" fillId="3" borderId="7" xfId="0" applyNumberFormat="1" applyFont="1" applyFill="1" applyBorder="1" applyAlignment="1">
      <alignment horizontal="center"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4" fillId="3" borderId="7" xfId="0" applyFont="1" applyFill="1" applyBorder="1" applyAlignment="1" applyProtection="1">
      <alignment horizontal="center" vertical="center"/>
      <protection locked="0"/>
    </xf>
    <xf numFmtId="2" fontId="4" fillId="3" borderId="7" xfId="3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22" fillId="3" borderId="0" xfId="0" applyFont="1" applyFill="1" applyAlignment="1" applyProtection="1">
      <alignment horizontal="left" vertical="center"/>
      <protection locked="0"/>
    </xf>
    <xf numFmtId="164" fontId="4" fillId="3" borderId="7" xfId="3" applyNumberFormat="1" applyFont="1" applyFill="1" applyBorder="1" applyAlignment="1">
      <alignment horizontal="center" vertical="center"/>
    </xf>
    <xf numFmtId="188" fontId="14" fillId="3" borderId="7" xfId="0" applyNumberFormat="1" applyFont="1" applyFill="1" applyBorder="1" applyAlignment="1" applyProtection="1">
      <alignment horizontal="center" vertical="center"/>
      <protection locked="0"/>
    </xf>
    <xf numFmtId="0" fontId="14" fillId="3" borderId="7" xfId="3" applyFont="1" applyFill="1" applyBorder="1" applyAlignment="1">
      <alignment horizontal="center" vertical="center"/>
    </xf>
    <xf numFmtId="187" fontId="4" fillId="3" borderId="0" xfId="5" applyNumberFormat="1" applyFont="1" applyFill="1" applyAlignment="1" applyProtection="1">
      <alignment horizontal="left" vertical="center"/>
      <protection locked="0"/>
    </xf>
    <xf numFmtId="0" fontId="29" fillId="3" borderId="0" xfId="0" applyFont="1" applyFill="1" applyAlignment="1" applyProtection="1">
      <alignment horizontal="center" vertical="center"/>
      <protection locked="0"/>
    </xf>
    <xf numFmtId="0" fontId="13" fillId="3" borderId="0" xfId="0" applyFont="1" applyFill="1" applyAlignment="1">
      <alignment horizontal="center" vertical="center" wrapText="1"/>
    </xf>
    <xf numFmtId="0" fontId="22" fillId="3" borderId="0" xfId="0" applyFont="1" applyFill="1" applyAlignment="1" applyProtection="1">
      <alignment vertical="center"/>
      <protection locked="0"/>
    </xf>
    <xf numFmtId="0" fontId="15" fillId="3" borderId="40" xfId="0" applyFont="1" applyFill="1" applyBorder="1" applyAlignment="1">
      <alignment horizontal="center" vertical="center" wrapText="1"/>
    </xf>
    <xf numFmtId="0" fontId="15" fillId="3" borderId="52" xfId="0" applyFont="1" applyFill="1" applyBorder="1" applyAlignment="1">
      <alignment horizontal="center" vertical="center" wrapText="1"/>
    </xf>
    <xf numFmtId="189" fontId="13" fillId="3" borderId="0" xfId="0" applyNumberFormat="1" applyFont="1" applyFill="1" applyAlignment="1" applyProtection="1">
      <alignment horizontal="center" vertical="center" wrapText="1"/>
      <protection locked="0"/>
    </xf>
    <xf numFmtId="0" fontId="4" fillId="3" borderId="7" xfId="0" applyFont="1" applyFill="1" applyBorder="1" applyAlignment="1" applyProtection="1">
      <alignment horizontal="center" vertical="center" wrapText="1"/>
      <protection locked="0"/>
    </xf>
    <xf numFmtId="0" fontId="4" fillId="3" borderId="2" xfId="0" applyFont="1" applyFill="1" applyBorder="1" applyAlignment="1" applyProtection="1">
      <alignment horizontal="center" vertical="center"/>
      <protection locked="0"/>
    </xf>
    <xf numFmtId="0" fontId="0" fillId="0" borderId="2" xfId="0" applyBorder="1" applyProtection="1">
      <protection locked="0"/>
    </xf>
    <xf numFmtId="0" fontId="4" fillId="3" borderId="4" xfId="0" applyFont="1" applyFill="1" applyBorder="1" applyAlignment="1">
      <alignment horizontal="left" vertical="center" wrapText="1"/>
    </xf>
    <xf numFmtId="0" fontId="32" fillId="3" borderId="0" xfId="4" quotePrefix="1" applyFont="1" applyFill="1" applyAlignment="1">
      <alignment horizontal="left" vertical="center" wrapText="1"/>
    </xf>
    <xf numFmtId="0" fontId="22" fillId="3" borderId="0" xfId="0" applyFont="1" applyFill="1" applyAlignment="1">
      <alignment vertical="center"/>
    </xf>
    <xf numFmtId="0" fontId="22" fillId="3" borderId="14" xfId="3" applyFont="1" applyFill="1" applyBorder="1" applyAlignment="1">
      <alignment horizontal="center"/>
    </xf>
    <xf numFmtId="0" fontId="4" fillId="3" borderId="0" xfId="0" applyFont="1" applyFill="1" applyAlignment="1">
      <alignment horizontal="left" vertical="center"/>
    </xf>
    <xf numFmtId="0" fontId="4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189" fontId="13" fillId="3" borderId="0" xfId="0" applyNumberFormat="1" applyFont="1" applyFill="1" applyAlignment="1" applyProtection="1">
      <alignment horizontal="center" wrapText="1"/>
      <protection hidden="1"/>
    </xf>
    <xf numFmtId="0" fontId="15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4" fillId="3" borderId="0" xfId="0" applyFont="1" applyFill="1" applyAlignment="1">
      <alignment horizontal="left" vertical="center" wrapText="1"/>
    </xf>
    <xf numFmtId="0" fontId="4" fillId="0" borderId="33" xfId="0" applyFont="1" applyBorder="1" applyAlignment="1" applyProtection="1">
      <alignment horizontal="center" vertical="center"/>
      <protection locked="0"/>
    </xf>
    <xf numFmtId="0" fontId="0" fillId="0" borderId="39" xfId="0" applyBorder="1" applyProtection="1">
      <protection locked="0"/>
    </xf>
    <xf numFmtId="166" fontId="22" fillId="3" borderId="4" xfId="0" applyNumberFormat="1" applyFont="1" applyFill="1" applyBorder="1" applyAlignment="1">
      <alignment horizontal="center" vertical="center"/>
    </xf>
    <xf numFmtId="0" fontId="20" fillId="3" borderId="78" xfId="0" applyFont="1" applyFill="1" applyBorder="1" applyAlignment="1">
      <alignment horizontal="center" vertical="center"/>
    </xf>
    <xf numFmtId="188" fontId="4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2" fontId="22" fillId="0" borderId="7" xfId="0" applyNumberFormat="1" applyFont="1" applyBorder="1" applyAlignment="1" applyProtection="1">
      <alignment horizontal="center" vertical="center"/>
      <protection locked="0"/>
    </xf>
    <xf numFmtId="172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19" fillId="0" borderId="7" xfId="0" applyFont="1" applyBorder="1" applyAlignment="1" applyProtection="1">
      <alignment horizontal="center" vertical="center"/>
      <protection locked="0"/>
    </xf>
    <xf numFmtId="0" fontId="4" fillId="3" borderId="14" xfId="3" applyFont="1" applyFill="1" applyBorder="1" applyAlignment="1">
      <alignment horizontal="left" vertical="center"/>
    </xf>
    <xf numFmtId="1" fontId="40" fillId="5" borderId="7" xfId="0" applyNumberFormat="1" applyFont="1" applyFill="1" applyBorder="1" applyAlignment="1" applyProtection="1">
      <alignment horizontal="center" vertical="center"/>
      <protection locked="0"/>
    </xf>
    <xf numFmtId="2" fontId="40" fillId="0" borderId="7" xfId="0" applyNumberFormat="1" applyFont="1" applyBorder="1" applyAlignment="1" applyProtection="1">
      <alignment horizontal="center" vertical="center"/>
      <protection locked="0"/>
    </xf>
    <xf numFmtId="0" fontId="34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49" fontId="39" fillId="5" borderId="82" xfId="3" applyNumberFormat="1" applyFont="1" applyFill="1" applyBorder="1" applyAlignment="1" applyProtection="1">
      <alignment horizontal="center" vertical="center"/>
      <protection locked="0"/>
    </xf>
    <xf numFmtId="0" fontId="0" fillId="0" borderId="19" xfId="0" applyBorder="1" applyProtection="1">
      <protection locked="0"/>
    </xf>
    <xf numFmtId="0" fontId="21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0" fontId="21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40" fillId="5" borderId="7" xfId="0" applyFont="1" applyFill="1" applyBorder="1" applyAlignment="1" applyProtection="1">
      <alignment horizontal="center" vertical="center"/>
      <protection locked="0"/>
    </xf>
    <xf numFmtId="0" fontId="0" fillId="0" borderId="69" xfId="0" applyBorder="1" applyProtection="1">
      <protection locked="0"/>
    </xf>
    <xf numFmtId="0" fontId="4" fillId="3" borderId="15" xfId="3" applyFont="1" applyFill="1" applyBorder="1" applyAlignment="1">
      <alignment horizontal="left" vertical="center"/>
    </xf>
    <xf numFmtId="0" fontId="0" fillId="0" borderId="68" xfId="0" applyBorder="1"/>
    <xf numFmtId="0" fontId="40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4" fillId="0" borderId="14" xfId="3" applyFont="1" applyBorder="1" applyAlignment="1">
      <alignment horizontal="left" vertical="center"/>
    </xf>
    <xf numFmtId="0" fontId="14" fillId="3" borderId="33" xfId="3" applyFont="1" applyFill="1" applyBorder="1" applyAlignment="1">
      <alignment horizontal="center" vertical="center"/>
    </xf>
    <xf numFmtId="0" fontId="0" fillId="0" borderId="69" xfId="0" applyBorder="1"/>
    <xf numFmtId="0" fontId="21" fillId="0" borderId="34" xfId="3" applyFont="1" applyBorder="1" applyAlignment="1" applyProtection="1">
      <alignment horizontal="center" vertical="center"/>
      <protection hidden="1"/>
    </xf>
    <xf numFmtId="0" fontId="0" fillId="0" borderId="35" xfId="0" applyBorder="1" applyProtection="1">
      <protection hidden="1"/>
    </xf>
    <xf numFmtId="0" fontId="4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0" fillId="0" borderId="69" xfId="0" applyBorder="1" applyProtection="1">
      <protection hidden="1"/>
    </xf>
    <xf numFmtId="0" fontId="22" fillId="0" borderId="7" xfId="0" applyFont="1" applyBorder="1" applyAlignment="1">
      <alignment horizontal="center" vertical="center"/>
    </xf>
    <xf numFmtId="0" fontId="4" fillId="3" borderId="33" xfId="3" applyFont="1" applyFill="1" applyBorder="1" applyAlignment="1">
      <alignment horizontal="left" vertical="center"/>
    </xf>
    <xf numFmtId="0" fontId="4" fillId="3" borderId="14" xfId="3" applyFont="1" applyFill="1" applyBorder="1" applyAlignment="1">
      <alignment horizontal="center" vertical="center"/>
    </xf>
    <xf numFmtId="0" fontId="14" fillId="3" borderId="14" xfId="3" applyFont="1" applyFill="1" applyBorder="1" applyAlignment="1">
      <alignment horizontal="left" vertical="center"/>
    </xf>
    <xf numFmtId="0" fontId="22" fillId="0" borderId="7" xfId="0" applyFont="1" applyBorder="1" applyAlignment="1" applyProtection="1">
      <alignment horizontal="center" vertical="center"/>
      <protection locked="0"/>
    </xf>
    <xf numFmtId="0" fontId="22" fillId="0" borderId="7" xfId="0" applyFont="1" applyBorder="1" applyAlignment="1" applyProtection="1">
      <alignment horizontal="left" vertical="center"/>
      <protection locked="0"/>
    </xf>
    <xf numFmtId="0" fontId="40" fillId="8" borderId="7" xfId="0" applyFont="1" applyFill="1" applyBorder="1" applyAlignment="1" applyProtection="1">
      <alignment horizontal="center" vertical="center"/>
      <protection locked="0"/>
    </xf>
    <xf numFmtId="0" fontId="56" fillId="0" borderId="0" xfId="0" applyFont="1" applyAlignment="1" applyProtection="1">
      <alignment horizontal="center" vertical="center" wrapText="1"/>
      <protection locked="0"/>
    </xf>
    <xf numFmtId="0" fontId="60" fillId="0" borderId="79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66" xfId="0" applyBorder="1" applyProtection="1">
      <protection locked="0"/>
    </xf>
    <xf numFmtId="0" fontId="60" fillId="0" borderId="48" xfId="0" applyFont="1" applyBorder="1" applyAlignment="1" applyProtection="1">
      <alignment horizontal="center" vertical="center"/>
      <protection locked="0"/>
    </xf>
    <xf numFmtId="0" fontId="0" fillId="0" borderId="83" xfId="0" applyBorder="1" applyProtection="1">
      <protection locked="0"/>
    </xf>
    <xf numFmtId="0" fontId="39" fillId="5" borderId="82" xfId="3" applyFont="1" applyFill="1" applyBorder="1" applyAlignment="1" applyProtection="1">
      <alignment horizontal="center" vertical="center"/>
      <protection locked="0"/>
    </xf>
    <xf numFmtId="0" fontId="14" fillId="3" borderId="15" xfId="3" applyFont="1" applyFill="1" applyBorder="1" applyAlignment="1">
      <alignment horizontal="left" vertical="center"/>
    </xf>
    <xf numFmtId="0" fontId="26" fillId="3" borderId="7" xfId="0" applyFont="1" applyFill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61" fillId="6" borderId="84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174" fontId="11" fillId="3" borderId="8" xfId="3" applyNumberFormat="1" applyFill="1" applyBorder="1" applyAlignment="1">
      <alignment horizontal="center" vertical="center"/>
    </xf>
    <xf numFmtId="174" fontId="11" fillId="3" borderId="9" xfId="3" applyNumberFormat="1" applyFill="1" applyBorder="1" applyAlignment="1">
      <alignment horizontal="center" vertical="center"/>
    </xf>
    <xf numFmtId="0" fontId="19" fillId="3" borderId="0" xfId="3" applyFont="1" applyFill="1" applyAlignment="1">
      <alignment horizontal="center" vertical="center"/>
    </xf>
    <xf numFmtId="174" fontId="42" fillId="0" borderId="7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51" fillId="6" borderId="0" xfId="0" applyFont="1" applyFill="1" applyAlignment="1">
      <alignment horizontal="center"/>
    </xf>
    <xf numFmtId="0" fontId="32" fillId="6" borderId="70" xfId="0" applyFont="1" applyFill="1" applyBorder="1" applyAlignment="1">
      <alignment horizontal="left" vertical="center"/>
    </xf>
    <xf numFmtId="0" fontId="0" fillId="0" borderId="72" xfId="0" applyBorder="1"/>
    <xf numFmtId="0" fontId="42" fillId="6" borderId="0" xfId="0" applyFont="1" applyFill="1" applyAlignment="1">
      <alignment horizontal="center"/>
    </xf>
    <xf numFmtId="0" fontId="32" fillId="6" borderId="70" xfId="0" applyFont="1" applyFill="1" applyBorder="1" applyAlignment="1">
      <alignment horizontal="left" vertical="center" wrapText="1"/>
    </xf>
    <xf numFmtId="168" fontId="3" fillId="0" borderId="7" xfId="0" applyNumberFormat="1" applyFont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190" fontId="11" fillId="0" borderId="7" xfId="0" applyNumberFormat="1" applyFont="1" applyBorder="1" applyAlignment="1">
      <alignment horizontal="center" vertical="center"/>
    </xf>
    <xf numFmtId="168" fontId="11" fillId="0" borderId="7" xfId="0" applyNumberFormat="1" applyFont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 wrapText="1"/>
    </xf>
    <xf numFmtId="166" fontId="11" fillId="0" borderId="7" xfId="0" applyNumberFormat="1" applyFont="1" applyBorder="1" applyAlignment="1">
      <alignment horizontal="center" vertical="center"/>
    </xf>
    <xf numFmtId="191" fontId="11" fillId="0" borderId="7" xfId="0" applyNumberFormat="1" applyFont="1" applyBorder="1" applyAlignment="1">
      <alignment horizontal="center" vertical="center"/>
    </xf>
    <xf numFmtId="173" fontId="11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00000000-0005-0000-0000-00000C000000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E2-43A9-BC6F-C8AFF50BB15D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E2-43A9-BC6F-C8AFF50BB15D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1E2-43A9-BC6F-C8AFF50BB15D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E2-43A9-BC6F-C8AFF50BB15D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31E2-43A9-BC6F-C8AFF50BB15D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1E2-43A9-BC6F-C8AFF50BB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2-4A95-877C-57F28ECD9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A2-471A-B870-73BEFBCC0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B0-4C47-99A8-59EBFDBE0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9-454B-94E8-0C2003F39A64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9-454B-94E8-0C2003F39A64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F69-454B-94E8-0C2003F39A64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F69-454B-94E8-0C2003F39A64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F69-454B-94E8-0C2003F39A64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F69-454B-94E8-0C2003F39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D9F-86C6-DFF9A89D754C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D9F-86C6-DFF9A89D754C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B8-4D9F-86C6-DFF9A89D754C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D9F-86C6-DFF9A89D754C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B8B8-4D9F-86C6-DFF9A89D754C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8B8-4D9F-86C6-DFF9A89D7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83-4470-8DB7-EE1639009920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83-4470-8DB7-EE1639009920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83-4470-8DB7-EE1639009920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EB83-4470-8DB7-EE1639009920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B83-4470-8DB7-EE1639009920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B83-4470-8DB7-EE1639009920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B83-4470-8DB7-EE1639009920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B83-4470-8DB7-EE1639009920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B83-4470-8DB7-EE1639009920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B83-4470-8DB7-EE1639009920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B83-4470-8DB7-EE1639009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3.2" x14ac:dyDescent="0.25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topLeftCell="A12" zoomScaleNormal="100" zoomScaleSheetLayoutView="115" workbookViewId="0">
      <selection activeCell="S24" sqref="S24"/>
    </sheetView>
  </sheetViews>
  <sheetFormatPr baseColWidth="10" defaultColWidth="10.33203125" defaultRowHeight="11.4" x14ac:dyDescent="0.2"/>
  <cols>
    <col min="1" max="1" width="8" style="633" customWidth="1"/>
    <col min="2" max="3" width="9.33203125" style="633" customWidth="1"/>
    <col min="4" max="4" width="10.109375" style="633" customWidth="1"/>
    <col min="5" max="5" width="4.6640625" style="633" customWidth="1"/>
    <col min="6" max="6" width="7.33203125" style="633" customWidth="1"/>
    <col min="7" max="7" width="6.6640625" style="633" customWidth="1"/>
    <col min="8" max="8" width="6.5546875" style="633" customWidth="1"/>
    <col min="9" max="9" width="6" style="633" customWidth="1"/>
    <col min="10" max="10" width="6.5546875" style="633" customWidth="1"/>
    <col min="11" max="11" width="11.33203125" style="633" customWidth="1"/>
    <col min="12" max="12" width="7.44140625" style="633" customWidth="1"/>
    <col min="13" max="13" width="9" style="633" customWidth="1"/>
    <col min="14" max="14" width="5" style="633" customWidth="1"/>
    <col min="15" max="15" width="5.6640625" style="633" customWidth="1"/>
    <col min="16" max="17" width="6.33203125" style="633" customWidth="1"/>
    <col min="18" max="18" width="10.6640625" style="633" customWidth="1"/>
    <col min="19" max="19" width="16.109375" style="633" customWidth="1"/>
    <col min="20" max="20" width="13.33203125" style="633" customWidth="1"/>
    <col min="21" max="21" width="10.33203125" style="633" customWidth="1"/>
    <col min="22" max="16384" width="10.33203125" style="633"/>
  </cols>
  <sheetData>
    <row r="1" spans="1:21" ht="11.4" customHeight="1" x14ac:dyDescent="0.2">
      <c r="A1" s="624"/>
      <c r="B1" s="625"/>
      <c r="C1" s="626"/>
      <c r="D1" s="624"/>
      <c r="E1" s="625"/>
      <c r="F1" s="625"/>
      <c r="G1" s="625"/>
      <c r="H1" s="625"/>
      <c r="I1" s="625"/>
      <c r="J1" s="625"/>
      <c r="K1" s="625"/>
      <c r="L1" s="625"/>
      <c r="M1" s="625"/>
      <c r="N1" s="625"/>
      <c r="O1" s="625"/>
      <c r="P1" s="625"/>
      <c r="Q1" s="626"/>
    </row>
    <row r="2" spans="1:21" ht="11.4" customHeight="1" x14ac:dyDescent="0.25">
      <c r="A2" s="627"/>
      <c r="B2" s="74"/>
      <c r="C2" s="628"/>
      <c r="D2" s="859" t="s">
        <v>0</v>
      </c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1"/>
      <c r="T2" s="11" t="s">
        <v>1</v>
      </c>
      <c r="U2" s="702"/>
    </row>
    <row r="3" spans="1:21" ht="11.4" customHeight="1" x14ac:dyDescent="0.25">
      <c r="A3" s="627"/>
      <c r="B3" s="74"/>
      <c r="C3" s="628"/>
      <c r="D3" s="855" t="s">
        <v>2</v>
      </c>
      <c r="E3" s="848"/>
      <c r="F3" s="848"/>
      <c r="G3" s="848"/>
      <c r="H3" s="848"/>
      <c r="I3" s="848"/>
      <c r="J3" s="848"/>
      <c r="K3" s="848"/>
      <c r="L3" s="848"/>
      <c r="M3" s="848"/>
      <c r="N3" s="848"/>
      <c r="O3" s="848"/>
      <c r="P3" s="848"/>
      <c r="Q3" s="849"/>
      <c r="T3" s="11" t="s">
        <v>3</v>
      </c>
      <c r="U3" s="703"/>
    </row>
    <row r="4" spans="1:21" ht="11.4" customHeight="1" x14ac:dyDescent="0.25">
      <c r="A4" s="627"/>
      <c r="B4" s="74"/>
      <c r="C4" s="628"/>
      <c r="D4" s="627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28"/>
      <c r="T4" s="11" t="s">
        <v>4</v>
      </c>
      <c r="U4" s="703"/>
    </row>
    <row r="5" spans="1:21" ht="11.4" customHeight="1" x14ac:dyDescent="0.25">
      <c r="A5" s="629"/>
      <c r="B5" s="630"/>
      <c r="C5" s="631"/>
      <c r="D5" s="629"/>
      <c r="E5" s="630"/>
      <c r="F5" s="630"/>
      <c r="G5" s="630"/>
      <c r="H5" s="630"/>
      <c r="I5" s="630"/>
      <c r="J5" s="630"/>
      <c r="K5" s="630"/>
      <c r="L5" s="630"/>
      <c r="M5" s="630"/>
      <c r="N5" s="630"/>
      <c r="O5" s="630"/>
      <c r="P5" s="630"/>
      <c r="Q5" s="631"/>
      <c r="T5" s="11" t="s">
        <v>5</v>
      </c>
      <c r="U5" s="703"/>
    </row>
    <row r="6" spans="1:21" ht="3" customHeight="1" x14ac:dyDescent="0.25">
      <c r="A6" s="645"/>
      <c r="B6" s="645"/>
      <c r="C6" s="645"/>
      <c r="D6" s="645"/>
      <c r="E6" s="645"/>
      <c r="F6" s="645"/>
      <c r="G6" s="645"/>
      <c r="H6" s="645"/>
      <c r="I6" s="645"/>
      <c r="J6" s="645"/>
      <c r="K6" s="645"/>
      <c r="L6" s="645"/>
      <c r="M6" s="645"/>
      <c r="N6" s="645"/>
      <c r="O6" s="645"/>
      <c r="P6" s="645"/>
      <c r="Q6" s="645"/>
      <c r="T6" s="701"/>
      <c r="U6" s="704"/>
    </row>
    <row r="7" spans="1:21" ht="15.75" customHeight="1" x14ac:dyDescent="0.25">
      <c r="A7" s="623"/>
      <c r="B7" s="623"/>
      <c r="C7" s="623"/>
      <c r="D7" s="623"/>
      <c r="E7" s="623"/>
      <c r="F7" s="623"/>
      <c r="G7" s="623"/>
      <c r="H7" s="623"/>
      <c r="I7" s="623"/>
      <c r="J7" s="623"/>
      <c r="K7" s="623"/>
      <c r="L7" s="623"/>
      <c r="M7" s="623"/>
      <c r="N7" s="623"/>
      <c r="O7" s="623"/>
      <c r="T7" s="11" t="s">
        <v>6</v>
      </c>
      <c r="U7" s="704"/>
    </row>
    <row r="8" spans="1:21" ht="15.75" customHeight="1" x14ac:dyDescent="0.25">
      <c r="B8" s="646"/>
      <c r="C8" s="646"/>
      <c r="D8" s="834" t="s">
        <v>7</v>
      </c>
      <c r="E8" s="821"/>
      <c r="F8" s="834" t="s">
        <v>8</v>
      </c>
      <c r="G8" s="821"/>
      <c r="H8" s="834" t="s">
        <v>9</v>
      </c>
      <c r="I8" s="826"/>
      <c r="J8" s="821"/>
      <c r="K8" s="834" t="s">
        <v>10</v>
      </c>
      <c r="L8" s="826"/>
      <c r="M8" s="826"/>
      <c r="N8" s="821"/>
      <c r="T8" s="11" t="s">
        <v>11</v>
      </c>
      <c r="U8" s="705"/>
    </row>
    <row r="9" spans="1:21" ht="15.75" customHeight="1" x14ac:dyDescent="0.25">
      <c r="A9" s="646"/>
      <c r="B9" s="646"/>
      <c r="C9" s="646"/>
      <c r="D9" s="854"/>
      <c r="E9" s="821"/>
      <c r="F9" s="854"/>
      <c r="G9" s="821"/>
      <c r="H9" s="854"/>
      <c r="I9" s="826"/>
      <c r="J9" s="821"/>
      <c r="K9" s="854"/>
      <c r="L9" s="826"/>
      <c r="M9" s="826"/>
      <c r="N9" s="821"/>
      <c r="T9" s="11" t="s">
        <v>12</v>
      </c>
      <c r="U9" s="704"/>
    </row>
    <row r="10" spans="1:21" ht="15.75" customHeight="1" x14ac:dyDescent="0.25">
      <c r="A10" s="646"/>
      <c r="B10" s="647"/>
      <c r="C10" s="648"/>
      <c r="D10" s="648"/>
      <c r="E10" s="648"/>
      <c r="F10" s="648"/>
      <c r="G10" s="648"/>
      <c r="H10" s="648"/>
      <c r="I10" s="648"/>
      <c r="J10" s="648"/>
      <c r="K10" s="649"/>
      <c r="L10" s="649"/>
      <c r="M10" s="649"/>
      <c r="N10" s="649"/>
      <c r="O10" s="649"/>
      <c r="T10" s="701"/>
      <c r="U10" s="704"/>
    </row>
    <row r="11" spans="1:21" ht="15" customHeight="1" x14ac:dyDescent="0.25">
      <c r="A11" s="822" t="s">
        <v>13</v>
      </c>
      <c r="B11" s="823"/>
      <c r="C11" s="823"/>
      <c r="D11" s="823"/>
      <c r="E11" s="823"/>
      <c r="F11" s="823"/>
      <c r="G11" s="823"/>
      <c r="H11" s="823"/>
      <c r="I11" s="823"/>
      <c r="J11" s="823"/>
      <c r="K11" s="823"/>
      <c r="L11" s="823"/>
      <c r="M11" s="823"/>
      <c r="N11" s="823"/>
      <c r="O11" s="823"/>
      <c r="P11" s="823"/>
      <c r="Q11" s="824"/>
      <c r="T11" s="11" t="s">
        <v>14</v>
      </c>
      <c r="U11" s="704"/>
    </row>
    <row r="12" spans="1:21" ht="13.5" customHeight="1" x14ac:dyDescent="0.25">
      <c r="A12" s="863" t="s">
        <v>15</v>
      </c>
      <c r="B12" s="851"/>
      <c r="C12" s="851"/>
      <c r="D12" s="851"/>
      <c r="E12" s="851"/>
      <c r="F12" s="851"/>
      <c r="G12" s="851"/>
      <c r="H12" s="851"/>
      <c r="I12" s="851"/>
      <c r="J12" s="851"/>
      <c r="K12" s="851"/>
      <c r="L12" s="851"/>
      <c r="M12" s="851"/>
      <c r="N12" s="851"/>
      <c r="O12" s="851"/>
      <c r="P12" s="851"/>
      <c r="Q12" s="852"/>
      <c r="T12" s="11" t="s">
        <v>16</v>
      </c>
      <c r="U12" s="705"/>
    </row>
    <row r="13" spans="1:21" ht="11.25" customHeight="1" x14ac:dyDescent="0.25">
      <c r="A13" s="650"/>
      <c r="B13" s="651"/>
      <c r="C13" s="652"/>
      <c r="D13" s="652"/>
      <c r="E13" s="652"/>
      <c r="F13" s="652"/>
      <c r="G13" s="652"/>
      <c r="H13" s="652"/>
      <c r="I13" s="652"/>
      <c r="J13" s="652"/>
      <c r="K13" s="653"/>
      <c r="L13" s="653"/>
      <c r="M13" s="653"/>
      <c r="N13" s="653"/>
      <c r="O13" s="653"/>
      <c r="P13" s="654"/>
      <c r="Q13" s="655"/>
      <c r="T13" s="11" t="s">
        <v>17</v>
      </c>
      <c r="U13" s="705"/>
    </row>
    <row r="14" spans="1:21" ht="19.5" customHeight="1" x14ac:dyDescent="0.25">
      <c r="A14" s="656" t="s">
        <v>18</v>
      </c>
      <c r="B14" s="71"/>
      <c r="C14" s="127"/>
      <c r="D14" s="71"/>
      <c r="E14" s="820"/>
      <c r="F14" s="821"/>
      <c r="G14" s="657" t="s">
        <v>19</v>
      </c>
      <c r="H14" s="71"/>
      <c r="K14" s="658"/>
      <c r="L14" s="71"/>
      <c r="N14" s="659" t="s">
        <v>20</v>
      </c>
      <c r="O14" s="839"/>
      <c r="P14" s="821"/>
      <c r="Q14" s="91"/>
      <c r="T14" s="701"/>
      <c r="U14" s="704"/>
    </row>
    <row r="15" spans="1:21" ht="19.5" customHeight="1" x14ac:dyDescent="0.25">
      <c r="A15" s="656" t="s">
        <v>21</v>
      </c>
      <c r="B15" s="71"/>
      <c r="C15" s="71"/>
      <c r="D15" s="71"/>
      <c r="E15" s="820"/>
      <c r="F15" s="821"/>
      <c r="G15" s="657" t="s">
        <v>22</v>
      </c>
      <c r="H15" s="71"/>
      <c r="K15" s="71"/>
      <c r="L15" s="71"/>
      <c r="N15" s="659" t="s">
        <v>23</v>
      </c>
      <c r="O15" s="839"/>
      <c r="P15" s="821"/>
      <c r="Q15" s="91"/>
      <c r="T15" s="11" t="s">
        <v>24</v>
      </c>
      <c r="U15" s="706"/>
    </row>
    <row r="16" spans="1:21" ht="19.5" customHeight="1" x14ac:dyDescent="0.25">
      <c r="A16" s="656" t="s">
        <v>25</v>
      </c>
      <c r="B16" s="71"/>
      <c r="C16" s="71"/>
      <c r="D16" s="127" t="s">
        <v>26</v>
      </c>
      <c r="E16" s="632"/>
      <c r="G16" s="644"/>
      <c r="H16" s="71"/>
      <c r="K16" s="71"/>
      <c r="L16" s="71"/>
      <c r="N16" s="127" t="s">
        <v>27</v>
      </c>
      <c r="O16" s="839"/>
      <c r="P16" s="821"/>
      <c r="Q16" s="91"/>
      <c r="T16" s="11" t="s">
        <v>28</v>
      </c>
      <c r="U16" s="706"/>
    </row>
    <row r="17" spans="1:21" ht="17.399999999999999" customHeight="1" x14ac:dyDescent="0.25">
      <c r="A17" s="656"/>
      <c r="B17" s="71"/>
      <c r="C17" s="71"/>
      <c r="D17" s="660" t="s">
        <v>29</v>
      </c>
      <c r="E17" s="372"/>
      <c r="F17" s="71"/>
      <c r="H17" s="71"/>
      <c r="K17" s="71"/>
      <c r="L17" s="71"/>
      <c r="N17" s="127" t="s">
        <v>30</v>
      </c>
      <c r="O17" s="839"/>
      <c r="P17" s="821"/>
      <c r="Q17" s="91"/>
      <c r="T17" s="11" t="s">
        <v>31</v>
      </c>
      <c r="U17" s="707"/>
    </row>
    <row r="18" spans="1:21" ht="6" customHeight="1" x14ac:dyDescent="0.2">
      <c r="A18" s="656"/>
      <c r="B18" s="71"/>
      <c r="C18" s="71"/>
      <c r="D18" s="660"/>
      <c r="E18" s="579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5">
      <c r="A19" s="131" t="s">
        <v>32</v>
      </c>
      <c r="B19" s="71"/>
      <c r="C19" s="71"/>
      <c r="D19" s="71"/>
      <c r="E19" s="634"/>
      <c r="F19" s="634"/>
      <c r="G19" s="842"/>
      <c r="H19" s="821"/>
      <c r="K19" s="71"/>
      <c r="L19" s="71"/>
      <c r="N19" s="127"/>
      <c r="O19" s="635"/>
      <c r="P19" s="71"/>
      <c r="Q19" s="91"/>
    </row>
    <row r="20" spans="1:21" ht="24.75" customHeight="1" x14ac:dyDescent="0.25">
      <c r="A20" s="661" t="s">
        <v>33</v>
      </c>
      <c r="B20" s="662"/>
      <c r="C20" s="662"/>
      <c r="D20" s="663"/>
      <c r="E20" s="844"/>
      <c r="F20" s="845"/>
      <c r="G20" s="845"/>
      <c r="H20" s="845"/>
      <c r="I20" s="845"/>
      <c r="J20" s="845"/>
      <c r="K20" s="845"/>
      <c r="L20" s="845"/>
      <c r="M20" s="845"/>
      <c r="N20" s="845"/>
      <c r="O20" s="845"/>
      <c r="P20" s="845"/>
      <c r="Q20" s="837"/>
    </row>
    <row r="21" spans="1:21" ht="13.95" customHeight="1" x14ac:dyDescent="0.25">
      <c r="A21" s="830" t="s">
        <v>34</v>
      </c>
      <c r="B21" s="826"/>
      <c r="C21" s="821"/>
      <c r="D21" s="830" t="s">
        <v>35</v>
      </c>
      <c r="E21" s="826"/>
      <c r="F21" s="826"/>
      <c r="G21" s="821"/>
      <c r="H21" s="830" t="s">
        <v>36</v>
      </c>
      <c r="I21" s="826"/>
      <c r="J21" s="826"/>
      <c r="K21" s="821"/>
      <c r="L21" s="830" t="s">
        <v>37</v>
      </c>
      <c r="M21" s="826"/>
      <c r="N21" s="826"/>
      <c r="O21" s="826"/>
      <c r="P21" s="826"/>
      <c r="Q21" s="821"/>
      <c r="R21" s="108"/>
    </row>
    <row r="22" spans="1:21" ht="13.95" customHeight="1" x14ac:dyDescent="0.25">
      <c r="A22" s="830" t="s">
        <v>38</v>
      </c>
      <c r="B22" s="826"/>
      <c r="C22" s="821"/>
      <c r="D22" s="830" t="s">
        <v>39</v>
      </c>
      <c r="E22" s="821"/>
      <c r="F22" s="830" t="s">
        <v>40</v>
      </c>
      <c r="G22" s="821"/>
      <c r="H22" s="830" t="s">
        <v>39</v>
      </c>
      <c r="I22" s="821"/>
      <c r="J22" s="830" t="s">
        <v>40</v>
      </c>
      <c r="K22" s="821"/>
      <c r="L22" s="830" t="s">
        <v>39</v>
      </c>
      <c r="M22" s="826"/>
      <c r="N22" s="821"/>
      <c r="O22" s="830" t="s">
        <v>40</v>
      </c>
      <c r="P22" s="826"/>
      <c r="Q22" s="821"/>
      <c r="R22" s="108"/>
    </row>
    <row r="23" spans="1:21" ht="19.5" customHeight="1" x14ac:dyDescent="0.25">
      <c r="A23" s="828" t="s">
        <v>41</v>
      </c>
      <c r="B23" s="826"/>
      <c r="C23" s="821"/>
      <c r="D23" s="827">
        <v>56</v>
      </c>
      <c r="E23" s="826"/>
      <c r="F23" s="826"/>
      <c r="G23" s="821"/>
      <c r="H23" s="825">
        <v>25</v>
      </c>
      <c r="I23" s="826"/>
      <c r="J23" s="826"/>
      <c r="K23" s="821"/>
      <c r="L23" s="825">
        <v>10</v>
      </c>
      <c r="M23" s="826"/>
      <c r="N23" s="826"/>
      <c r="O23" s="826"/>
      <c r="P23" s="826"/>
      <c r="Q23" s="821"/>
    </row>
    <row r="24" spans="1:21" ht="19.5" customHeight="1" x14ac:dyDescent="0.25">
      <c r="A24" s="828" t="s">
        <v>42</v>
      </c>
      <c r="B24" s="826"/>
      <c r="C24" s="821"/>
      <c r="D24" s="827"/>
      <c r="E24" s="826"/>
      <c r="F24" s="826"/>
      <c r="G24" s="821"/>
      <c r="H24" s="827"/>
      <c r="I24" s="826"/>
      <c r="J24" s="826"/>
      <c r="K24" s="821"/>
      <c r="L24" s="825"/>
      <c r="M24" s="826"/>
      <c r="N24" s="826"/>
      <c r="O24" s="826"/>
      <c r="P24" s="826"/>
      <c r="Q24" s="821"/>
    </row>
    <row r="25" spans="1:21" ht="19.5" customHeight="1" x14ac:dyDescent="0.25">
      <c r="A25" s="857" t="s">
        <v>43</v>
      </c>
      <c r="B25" s="826"/>
      <c r="C25" s="821"/>
      <c r="D25" s="825"/>
      <c r="E25" s="826"/>
      <c r="F25" s="826"/>
      <c r="G25" s="821"/>
      <c r="H25" s="825"/>
      <c r="I25" s="826"/>
      <c r="J25" s="826"/>
      <c r="K25" s="821"/>
      <c r="L25" s="829"/>
      <c r="M25" s="826"/>
      <c r="N25" s="826"/>
      <c r="O25" s="826"/>
      <c r="P25" s="826"/>
      <c r="Q25" s="821"/>
    </row>
    <row r="26" spans="1:21" ht="19.5" customHeight="1" x14ac:dyDescent="0.25">
      <c r="A26" s="857" t="s">
        <v>44</v>
      </c>
      <c r="B26" s="826"/>
      <c r="C26" s="821"/>
      <c r="D26" s="825"/>
      <c r="E26" s="826"/>
      <c r="F26" s="826"/>
      <c r="G26" s="821"/>
      <c r="H26" s="825"/>
      <c r="I26" s="826"/>
      <c r="J26" s="826"/>
      <c r="K26" s="821"/>
      <c r="L26" s="829"/>
      <c r="M26" s="826"/>
      <c r="N26" s="826"/>
      <c r="O26" s="826"/>
      <c r="P26" s="826"/>
      <c r="Q26" s="821"/>
      <c r="S26" s="295"/>
      <c r="T26" s="295"/>
    </row>
    <row r="27" spans="1:21" ht="19.5" customHeight="1" x14ac:dyDescent="0.25">
      <c r="A27" s="828" t="s">
        <v>45</v>
      </c>
      <c r="B27" s="826"/>
      <c r="C27" s="821"/>
      <c r="D27" s="829"/>
      <c r="E27" s="821"/>
      <c r="F27" s="825"/>
      <c r="G27" s="821"/>
      <c r="H27" s="825"/>
      <c r="I27" s="821"/>
      <c r="J27" s="825"/>
      <c r="K27" s="821"/>
      <c r="L27" s="825"/>
      <c r="M27" s="826"/>
      <c r="N27" s="821"/>
      <c r="O27" s="825"/>
      <c r="P27" s="826"/>
      <c r="Q27" s="821"/>
      <c r="S27" s="295"/>
      <c r="T27" s="295"/>
    </row>
    <row r="28" spans="1:21" ht="11.4" customHeight="1" x14ac:dyDescent="0.25">
      <c r="A28" s="856" t="s">
        <v>46</v>
      </c>
      <c r="B28" s="826"/>
      <c r="C28" s="826"/>
      <c r="D28" s="826"/>
      <c r="E28" s="826"/>
      <c r="F28" s="826"/>
      <c r="G28" s="826"/>
      <c r="H28" s="826"/>
      <c r="I28" s="826"/>
      <c r="J28" s="826"/>
      <c r="K28" s="826"/>
      <c r="L28" s="826"/>
      <c r="M28" s="826"/>
      <c r="N28" s="826"/>
      <c r="O28" s="826"/>
      <c r="P28" s="826"/>
      <c r="Q28" s="821"/>
      <c r="S28" s="295"/>
      <c r="T28" s="295"/>
    </row>
    <row r="29" spans="1:21" ht="19.5" customHeight="1" x14ac:dyDescent="0.25">
      <c r="A29" s="828" t="s">
        <v>47</v>
      </c>
      <c r="B29" s="826"/>
      <c r="C29" s="821"/>
      <c r="D29" s="829"/>
      <c r="E29" s="821"/>
      <c r="F29" s="825"/>
      <c r="G29" s="821"/>
      <c r="H29" s="825"/>
      <c r="I29" s="821"/>
      <c r="J29" s="825"/>
      <c r="K29" s="821"/>
      <c r="L29" s="825"/>
      <c r="M29" s="826"/>
      <c r="N29" s="821"/>
      <c r="O29" s="825"/>
      <c r="P29" s="826"/>
      <c r="Q29" s="821"/>
      <c r="S29" s="780" t="s">
        <v>48</v>
      </c>
      <c r="T29" s="781">
        <v>2500</v>
      </c>
    </row>
    <row r="30" spans="1:21" ht="19.5" customHeight="1" x14ac:dyDescent="0.25">
      <c r="A30" s="828" t="s">
        <v>49</v>
      </c>
      <c r="B30" s="826"/>
      <c r="C30" s="821"/>
      <c r="D30" s="829"/>
      <c r="E30" s="821"/>
      <c r="F30" s="825"/>
      <c r="G30" s="821"/>
      <c r="H30" s="825"/>
      <c r="I30" s="821"/>
      <c r="J30" s="825"/>
      <c r="K30" s="821"/>
      <c r="L30" s="825"/>
      <c r="M30" s="826"/>
      <c r="N30" s="821"/>
      <c r="O30" s="825"/>
      <c r="P30" s="826"/>
      <c r="Q30" s="821"/>
      <c r="S30" s="782" t="e">
        <f>+(D32-(D34-D30))/(D34-D30)*100</f>
        <v>#DIV/0!</v>
      </c>
      <c r="T30" s="781" t="str">
        <f>+IF(D32&gt;T29,"Cumple","No Cumple")</f>
        <v>No Cumple</v>
      </c>
    </row>
    <row r="31" spans="1:21" ht="19.5" customHeight="1" x14ac:dyDescent="0.25">
      <c r="A31" s="828" t="s">
        <v>50</v>
      </c>
      <c r="B31" s="826"/>
      <c r="C31" s="821"/>
      <c r="D31" s="829"/>
      <c r="E31" s="821"/>
      <c r="F31" s="825"/>
      <c r="G31" s="821"/>
      <c r="H31" s="825"/>
      <c r="I31" s="821"/>
      <c r="J31" s="825"/>
      <c r="K31" s="821"/>
      <c r="L31" s="825"/>
      <c r="M31" s="826"/>
      <c r="N31" s="821"/>
      <c r="O31" s="825"/>
      <c r="P31" s="826"/>
      <c r="Q31" s="821"/>
      <c r="S31" s="782" t="e">
        <f>+(H32-(H34-H30))/(H34-H30)*100</f>
        <v>#DIV/0!</v>
      </c>
      <c r="T31" s="781" t="str">
        <f>+IF(H32&gt;T29,"Cumple","No Cumple")</f>
        <v>No Cumple</v>
      </c>
    </row>
    <row r="32" spans="1:21" ht="19.5" customHeight="1" x14ac:dyDescent="0.25">
      <c r="A32" s="828" t="s">
        <v>51</v>
      </c>
      <c r="B32" s="826"/>
      <c r="C32" s="821"/>
      <c r="D32" s="829">
        <f>+D31-D30</f>
        <v>0</v>
      </c>
      <c r="E32" s="821"/>
      <c r="F32" s="829">
        <f>+F31-F30</f>
        <v>0</v>
      </c>
      <c r="G32" s="821"/>
      <c r="H32" s="829">
        <f>+H31-H30</f>
        <v>0</v>
      </c>
      <c r="I32" s="821"/>
      <c r="J32" s="829">
        <f>+J31-J30</f>
        <v>0</v>
      </c>
      <c r="K32" s="821"/>
      <c r="L32" s="829">
        <f>+L31-L30</f>
        <v>0</v>
      </c>
      <c r="M32" s="826"/>
      <c r="N32" s="821"/>
      <c r="O32" s="829">
        <f>+O31-O30</f>
        <v>0</v>
      </c>
      <c r="P32" s="826"/>
      <c r="Q32" s="821"/>
      <c r="S32" s="782" t="e">
        <f>+(L32-(L34-L30))/(L34-L30)*100</f>
        <v>#DIV/0!</v>
      </c>
      <c r="T32" s="781" t="str">
        <f>+IF(L32&gt;T29,"Cumple","No Cumple")</f>
        <v>No Cumple</v>
      </c>
    </row>
    <row r="33" spans="1:20" ht="19.5" customHeight="1" x14ac:dyDescent="0.25">
      <c r="A33" s="828" t="s">
        <v>52</v>
      </c>
      <c r="B33" s="826"/>
      <c r="C33" s="821"/>
      <c r="D33" s="829"/>
      <c r="E33" s="821"/>
      <c r="F33" s="825"/>
      <c r="G33" s="821"/>
      <c r="H33" s="825"/>
      <c r="I33" s="821"/>
      <c r="J33" s="825"/>
      <c r="K33" s="821"/>
      <c r="L33" s="825"/>
      <c r="M33" s="826"/>
      <c r="N33" s="821"/>
      <c r="O33" s="825"/>
      <c r="P33" s="826"/>
      <c r="Q33" s="821"/>
      <c r="S33" s="781" t="s">
        <v>53</v>
      </c>
    </row>
    <row r="34" spans="1:20" ht="22.5" customHeight="1" x14ac:dyDescent="0.25">
      <c r="A34" s="828" t="s">
        <v>54</v>
      </c>
      <c r="B34" s="826"/>
      <c r="C34" s="821"/>
      <c r="D34" s="829"/>
      <c r="E34" s="821"/>
      <c r="F34" s="825"/>
      <c r="G34" s="821"/>
      <c r="H34" s="825"/>
      <c r="I34" s="821"/>
      <c r="J34" s="825"/>
      <c r="K34" s="821"/>
      <c r="L34" s="825"/>
      <c r="M34" s="826"/>
      <c r="N34" s="821"/>
      <c r="O34" s="825"/>
      <c r="P34" s="826"/>
      <c r="Q34" s="821"/>
      <c r="S34" s="782" t="e">
        <f>+(F32-(F34-F30))/(F34-F30)*100</f>
        <v>#DIV/0!</v>
      </c>
    </row>
    <row r="35" spans="1:20" ht="12.75" customHeight="1" x14ac:dyDescent="0.2">
      <c r="A35" s="636" t="s">
        <v>55</v>
      </c>
      <c r="B35" s="637"/>
      <c r="C35" s="637"/>
      <c r="D35" s="638"/>
      <c r="E35" s="638"/>
      <c r="F35" s="664"/>
      <c r="G35" s="664"/>
      <c r="H35" s="664"/>
      <c r="I35" s="664"/>
      <c r="J35" s="664"/>
      <c r="K35" s="664"/>
      <c r="L35" s="664"/>
      <c r="M35" s="664"/>
      <c r="N35" s="664"/>
      <c r="O35" s="664"/>
      <c r="P35" s="664"/>
      <c r="Q35" s="665"/>
      <c r="S35" s="782" t="e">
        <f>+(J32-(J34-J30))/(J34-J30)*100</f>
        <v>#DIV/0!</v>
      </c>
    </row>
    <row r="36" spans="1:20" ht="15" customHeight="1" x14ac:dyDescent="0.2">
      <c r="A36" s="666" t="s">
        <v>56</v>
      </c>
      <c r="B36" s="584"/>
      <c r="C36" s="584"/>
      <c r="D36" s="584"/>
      <c r="E36" s="584"/>
      <c r="F36" s="584"/>
      <c r="G36" s="584"/>
      <c r="H36" s="584"/>
      <c r="I36" s="584"/>
      <c r="J36" s="584"/>
      <c r="K36" s="584"/>
      <c r="L36" s="584"/>
      <c r="M36" s="71"/>
      <c r="N36" s="667"/>
      <c r="O36" s="667"/>
      <c r="P36" s="667"/>
      <c r="Q36" s="91"/>
      <c r="S36" s="782" t="e">
        <f>+(O32-(O34-O30))/(O34-O30)*100</f>
        <v>#DIV/0!</v>
      </c>
    </row>
    <row r="37" spans="1:20" ht="19.5" customHeight="1" x14ac:dyDescent="0.25">
      <c r="A37" s="817" t="s">
        <v>57</v>
      </c>
      <c r="B37" s="820" t="s">
        <v>58</v>
      </c>
      <c r="C37" s="821"/>
      <c r="D37" s="668" t="s">
        <v>59</v>
      </c>
      <c r="E37" s="820" t="s">
        <v>60</v>
      </c>
      <c r="F37" s="826"/>
      <c r="G37" s="826"/>
      <c r="H37" s="826"/>
      <c r="I37" s="826"/>
      <c r="J37" s="821"/>
      <c r="K37" s="669"/>
      <c r="L37" s="838" t="s">
        <v>61</v>
      </c>
      <c r="M37" s="826"/>
      <c r="N37" s="826"/>
      <c r="O37" s="826"/>
      <c r="P37" s="826"/>
      <c r="Q37" s="821"/>
      <c r="S37" s="783"/>
      <c r="T37" s="783"/>
    </row>
    <row r="38" spans="1:20" ht="21" customHeight="1" x14ac:dyDescent="0.2">
      <c r="A38" s="818"/>
      <c r="B38" s="820" t="s">
        <v>62</v>
      </c>
      <c r="C38" s="820" t="s">
        <v>63</v>
      </c>
      <c r="D38" s="670" t="s">
        <v>64</v>
      </c>
      <c r="E38" s="820" t="s">
        <v>65</v>
      </c>
      <c r="F38" s="835"/>
      <c r="G38" s="820" t="s">
        <v>65</v>
      </c>
      <c r="H38" s="835"/>
      <c r="I38" s="820" t="s">
        <v>65</v>
      </c>
      <c r="J38" s="835"/>
      <c r="K38" s="669"/>
      <c r="L38" s="820" t="s">
        <v>66</v>
      </c>
      <c r="M38" s="835"/>
      <c r="N38" s="831" t="s">
        <v>67</v>
      </c>
      <c r="O38" s="671" t="s">
        <v>68</v>
      </c>
      <c r="P38" s="671" t="s">
        <v>69</v>
      </c>
      <c r="Q38" s="671" t="s">
        <v>70</v>
      </c>
      <c r="S38" s="784" t="s">
        <v>71</v>
      </c>
      <c r="T38" s="784" t="s">
        <v>72</v>
      </c>
    </row>
    <row r="39" spans="1:20" ht="19.5" customHeight="1" x14ac:dyDescent="0.25">
      <c r="A39" s="819"/>
      <c r="B39" s="819"/>
      <c r="C39" s="819"/>
      <c r="D39" s="672" t="s">
        <v>73</v>
      </c>
      <c r="E39" s="836"/>
      <c r="F39" s="837"/>
      <c r="G39" s="836"/>
      <c r="H39" s="837"/>
      <c r="I39" s="836"/>
      <c r="J39" s="837"/>
      <c r="K39" s="669"/>
      <c r="L39" s="836"/>
      <c r="M39" s="837"/>
      <c r="N39" s="864"/>
      <c r="O39" s="820" t="s">
        <v>74</v>
      </c>
      <c r="P39" s="826"/>
      <c r="Q39" s="821"/>
      <c r="R39" s="673"/>
      <c r="S39" s="815" t="s">
        <v>75</v>
      </c>
      <c r="T39" s="816" t="s">
        <v>76</v>
      </c>
    </row>
    <row r="40" spans="1:20" ht="16.2" customHeight="1" x14ac:dyDescent="0.25">
      <c r="A40" s="674" t="s">
        <v>77</v>
      </c>
      <c r="B40" s="642">
        <v>0</v>
      </c>
      <c r="C40" s="463">
        <v>0</v>
      </c>
      <c r="D40" s="372"/>
      <c r="E40" s="820"/>
      <c r="F40" s="821"/>
      <c r="G40" s="820"/>
      <c r="H40" s="821"/>
      <c r="I40" s="820"/>
      <c r="J40" s="821"/>
      <c r="K40" s="669"/>
      <c r="L40" s="843"/>
      <c r="M40" s="821"/>
      <c r="N40" s="711"/>
      <c r="O40" s="640"/>
      <c r="P40" s="640"/>
      <c r="Q40" s="372"/>
      <c r="R40" s="673"/>
      <c r="S40" s="815" t="s">
        <v>78</v>
      </c>
      <c r="T40" s="816" t="s">
        <v>79</v>
      </c>
    </row>
    <row r="41" spans="1:20" ht="16.2" customHeight="1" x14ac:dyDescent="0.25">
      <c r="A41" s="674" t="s">
        <v>80</v>
      </c>
      <c r="B41" s="642">
        <v>2.5000000000000001E-2</v>
      </c>
      <c r="C41" s="463">
        <v>0.64</v>
      </c>
      <c r="D41" s="372"/>
      <c r="E41" s="820"/>
      <c r="F41" s="821"/>
      <c r="G41" s="820"/>
      <c r="H41" s="821"/>
      <c r="I41" s="820"/>
      <c r="J41" s="821"/>
      <c r="K41" s="676"/>
      <c r="L41" s="843"/>
      <c r="M41" s="821"/>
      <c r="N41" s="675"/>
      <c r="O41" s="642"/>
      <c r="P41" s="642"/>
      <c r="Q41" s="642"/>
      <c r="R41" s="515"/>
      <c r="S41" s="815" t="s">
        <v>81</v>
      </c>
      <c r="T41" s="816" t="s">
        <v>82</v>
      </c>
    </row>
    <row r="42" spans="1:20" ht="16.2" customHeight="1" x14ac:dyDescent="0.25">
      <c r="A42" s="674" t="s">
        <v>83</v>
      </c>
      <c r="B42" s="642">
        <v>0.05</v>
      </c>
      <c r="C42" s="463">
        <v>1.3</v>
      </c>
      <c r="D42" s="372"/>
      <c r="E42" s="820"/>
      <c r="F42" s="821"/>
      <c r="G42" s="820"/>
      <c r="H42" s="821"/>
      <c r="I42" s="820"/>
      <c r="J42" s="821"/>
      <c r="K42" s="676"/>
      <c r="L42" s="843"/>
      <c r="M42" s="821"/>
      <c r="N42" s="675"/>
      <c r="O42" s="642"/>
      <c r="P42" s="642"/>
      <c r="Q42" s="642"/>
      <c r="R42" s="515"/>
      <c r="S42" s="815" t="s">
        <v>84</v>
      </c>
      <c r="T42" s="786" t="s">
        <v>85</v>
      </c>
    </row>
    <row r="43" spans="1:20" ht="18" customHeight="1" x14ac:dyDescent="0.25">
      <c r="A43" s="674" t="s">
        <v>86</v>
      </c>
      <c r="B43" s="642">
        <v>7.4999999999999997E-2</v>
      </c>
      <c r="C43" s="463">
        <v>1.9</v>
      </c>
      <c r="D43" s="372"/>
      <c r="E43" s="820"/>
      <c r="F43" s="821"/>
      <c r="G43" s="820"/>
      <c r="H43" s="821"/>
      <c r="I43" s="820"/>
      <c r="J43" s="821"/>
      <c r="K43" s="676"/>
      <c r="L43" s="843"/>
      <c r="M43" s="821"/>
      <c r="N43" s="675"/>
      <c r="O43" s="642"/>
      <c r="P43" s="642"/>
      <c r="Q43" s="642"/>
      <c r="R43" s="515"/>
      <c r="S43" s="815" t="s">
        <v>87</v>
      </c>
      <c r="T43" s="786" t="s">
        <v>88</v>
      </c>
    </row>
    <row r="44" spans="1:20" ht="16.2" customHeight="1" x14ac:dyDescent="0.25">
      <c r="A44" s="639" t="s">
        <v>89</v>
      </c>
      <c r="B44" s="482">
        <v>0.1</v>
      </c>
      <c r="C44" s="524">
        <v>2.5</v>
      </c>
      <c r="D44" s="457">
        <v>1000</v>
      </c>
      <c r="E44" s="820"/>
      <c r="F44" s="821"/>
      <c r="G44" s="820"/>
      <c r="H44" s="821"/>
      <c r="I44" s="820"/>
      <c r="J44" s="821"/>
      <c r="K44" s="676"/>
      <c r="L44" s="843"/>
      <c r="M44" s="821"/>
      <c r="N44" s="675"/>
      <c r="O44" s="642"/>
      <c r="P44" s="642"/>
      <c r="Q44" s="642"/>
      <c r="R44" s="515"/>
      <c r="S44" s="815" t="s">
        <v>90</v>
      </c>
      <c r="T44" s="786" t="s">
        <v>91</v>
      </c>
    </row>
    <row r="45" spans="1:20" ht="16.2" customHeight="1" x14ac:dyDescent="0.25">
      <c r="A45" s="641">
        <v>0.1041666666666667</v>
      </c>
      <c r="B45" s="642">
        <v>0.125</v>
      </c>
      <c r="C45" s="463">
        <v>3.18</v>
      </c>
      <c r="D45" s="372"/>
      <c r="E45" s="820"/>
      <c r="F45" s="821"/>
      <c r="G45" s="820"/>
      <c r="H45" s="821"/>
      <c r="I45" s="820"/>
      <c r="J45" s="821"/>
      <c r="K45" s="676"/>
      <c r="L45" s="654"/>
      <c r="M45" s="654"/>
      <c r="N45" s="654"/>
      <c r="O45" s="654"/>
      <c r="P45" s="654"/>
      <c r="Q45" s="655"/>
      <c r="R45" s="515"/>
      <c r="S45" s="815" t="s">
        <v>92</v>
      </c>
      <c r="T45" s="786" t="s">
        <v>93</v>
      </c>
    </row>
    <row r="46" spans="1:20" ht="16.2" customHeight="1" x14ac:dyDescent="0.25">
      <c r="A46" s="641">
        <v>0.125</v>
      </c>
      <c r="B46" s="642">
        <v>0.15</v>
      </c>
      <c r="C46" s="463">
        <v>3.8</v>
      </c>
      <c r="D46" s="372"/>
      <c r="E46" s="820"/>
      <c r="F46" s="821"/>
      <c r="G46" s="820"/>
      <c r="H46" s="821"/>
      <c r="I46" s="820"/>
      <c r="J46" s="821"/>
      <c r="K46" s="676"/>
      <c r="L46" s="862" t="s">
        <v>94</v>
      </c>
      <c r="M46" s="832"/>
      <c r="N46" s="833"/>
      <c r="O46" s="858" t="s">
        <v>95</v>
      </c>
      <c r="P46" s="832"/>
      <c r="Q46" s="833"/>
      <c r="R46" s="515"/>
      <c r="S46" s="815" t="s">
        <v>96</v>
      </c>
      <c r="T46" s="786" t="s">
        <v>97</v>
      </c>
    </row>
    <row r="47" spans="1:20" ht="16.2" customHeight="1" x14ac:dyDescent="0.25">
      <c r="A47" s="641">
        <v>0.14583333333333329</v>
      </c>
      <c r="B47" s="642">
        <v>0.17499999999999999</v>
      </c>
      <c r="C47" s="463">
        <v>4.45</v>
      </c>
      <c r="D47" s="372"/>
      <c r="E47" s="820"/>
      <c r="F47" s="821"/>
      <c r="G47" s="820"/>
      <c r="H47" s="821"/>
      <c r="I47" s="820"/>
      <c r="J47" s="821"/>
      <c r="K47" s="676"/>
      <c r="L47" s="853" t="s">
        <v>98</v>
      </c>
      <c r="M47" s="832"/>
      <c r="N47" s="833"/>
      <c r="O47" s="831"/>
      <c r="P47" s="832"/>
      <c r="Q47" s="833"/>
      <c r="R47" s="515"/>
      <c r="S47" s="815" t="s">
        <v>99</v>
      </c>
      <c r="T47" s="786" t="s">
        <v>100</v>
      </c>
    </row>
    <row r="48" spans="1:20" ht="16.2" customHeight="1" x14ac:dyDescent="0.25">
      <c r="A48" s="643">
        <v>0.16666666666666671</v>
      </c>
      <c r="B48" s="482">
        <v>0.2</v>
      </c>
      <c r="C48" s="524">
        <v>5.0999999999999996</v>
      </c>
      <c r="D48" s="457">
        <v>1500</v>
      </c>
      <c r="E48" s="820"/>
      <c r="F48" s="821"/>
      <c r="G48" s="820"/>
      <c r="H48" s="821"/>
      <c r="I48" s="820"/>
      <c r="J48" s="821"/>
      <c r="K48" s="676"/>
      <c r="L48" s="853" t="s">
        <v>101</v>
      </c>
      <c r="M48" s="832"/>
      <c r="N48" s="833"/>
      <c r="O48" s="831"/>
      <c r="P48" s="832"/>
      <c r="Q48" s="833"/>
      <c r="R48" s="515"/>
      <c r="S48" s="785"/>
      <c r="T48" s="786"/>
    </row>
    <row r="49" spans="1:20" ht="16.2" customHeight="1" x14ac:dyDescent="0.25">
      <c r="A49" s="641">
        <v>0.25</v>
      </c>
      <c r="B49" s="642">
        <v>0.3</v>
      </c>
      <c r="C49" s="463">
        <v>7.6</v>
      </c>
      <c r="D49" s="372"/>
      <c r="E49" s="820"/>
      <c r="F49" s="821"/>
      <c r="G49" s="820"/>
      <c r="H49" s="821"/>
      <c r="I49" s="820"/>
      <c r="J49" s="821"/>
      <c r="K49" s="680"/>
      <c r="L49" s="853" t="s">
        <v>102</v>
      </c>
      <c r="M49" s="832"/>
      <c r="N49" s="833"/>
      <c r="O49" s="831"/>
      <c r="P49" s="832"/>
      <c r="Q49" s="833"/>
      <c r="R49" s="515"/>
      <c r="S49" s="785"/>
      <c r="T49" s="786"/>
    </row>
    <row r="50" spans="1:20" ht="16.2" customHeight="1" x14ac:dyDescent="0.25">
      <c r="A50" s="641">
        <v>0.33333333333333331</v>
      </c>
      <c r="B50" s="642">
        <v>0.4</v>
      </c>
      <c r="C50" s="463">
        <v>10</v>
      </c>
      <c r="D50" s="372"/>
      <c r="E50" s="820"/>
      <c r="F50" s="821"/>
      <c r="G50" s="820"/>
      <c r="H50" s="821"/>
      <c r="I50" s="820"/>
      <c r="J50" s="821"/>
      <c r="K50" s="680"/>
      <c r="L50" s="677" t="s">
        <v>103</v>
      </c>
      <c r="M50" s="678"/>
      <c r="N50" s="679"/>
      <c r="O50" s="831"/>
      <c r="P50" s="832"/>
      <c r="Q50" s="833"/>
      <c r="R50" s="515"/>
      <c r="S50" s="785"/>
      <c r="T50" s="786"/>
    </row>
    <row r="51" spans="1:20" ht="16.2" customHeight="1" x14ac:dyDescent="0.25">
      <c r="A51" s="641">
        <v>0.41666666666666669</v>
      </c>
      <c r="B51" s="642">
        <v>0.5</v>
      </c>
      <c r="C51" s="463">
        <v>13</v>
      </c>
      <c r="D51" s="372"/>
      <c r="E51" s="820"/>
      <c r="F51" s="821"/>
      <c r="G51" s="820"/>
      <c r="H51" s="821"/>
      <c r="I51" s="820"/>
      <c r="J51" s="821"/>
      <c r="K51" s="681"/>
      <c r="L51" s="677" t="s">
        <v>104</v>
      </c>
      <c r="M51" s="678"/>
      <c r="N51" s="679"/>
      <c r="O51" s="831"/>
      <c r="P51" s="832"/>
      <c r="Q51" s="833"/>
      <c r="R51" s="515"/>
      <c r="S51" s="785"/>
      <c r="T51" s="786"/>
    </row>
    <row r="52" spans="1:20" ht="16.2" customHeight="1" x14ac:dyDescent="0.25">
      <c r="A52" s="260"/>
      <c r="B52" s="662"/>
      <c r="C52" s="662"/>
      <c r="D52" s="682"/>
      <c r="E52" s="662"/>
      <c r="F52" s="662"/>
      <c r="G52" s="662"/>
      <c r="H52" s="662"/>
      <c r="I52" s="683"/>
      <c r="J52" s="662"/>
      <c r="K52" s="71"/>
      <c r="L52" s="853" t="s">
        <v>105</v>
      </c>
      <c r="M52" s="832"/>
      <c r="N52" s="833"/>
      <c r="O52" s="831"/>
      <c r="P52" s="832"/>
      <c r="Q52" s="833"/>
      <c r="S52" s="785"/>
      <c r="T52" s="786"/>
    </row>
    <row r="53" spans="1:20" ht="16.2" customHeight="1" x14ac:dyDescent="0.25">
      <c r="A53" s="684" t="s">
        <v>106</v>
      </c>
      <c r="B53" s="685"/>
      <c r="C53" s="685"/>
      <c r="D53" s="686"/>
      <c r="E53" s="820"/>
      <c r="F53" s="821"/>
      <c r="G53" s="820"/>
      <c r="H53" s="821"/>
      <c r="I53" s="839"/>
      <c r="J53" s="821"/>
      <c r="K53" s="131"/>
      <c r="L53" s="853" t="s">
        <v>107</v>
      </c>
      <c r="M53" s="832"/>
      <c r="N53" s="833"/>
      <c r="O53" s="831"/>
      <c r="P53" s="832"/>
      <c r="Q53" s="833"/>
      <c r="S53" s="785"/>
      <c r="T53" s="786"/>
    </row>
    <row r="54" spans="1:20" ht="16.2" customHeight="1" x14ac:dyDescent="0.2">
      <c r="A54" s="71"/>
      <c r="B54" s="71"/>
      <c r="C54" s="71"/>
      <c r="D54" s="72"/>
      <c r="E54" s="71"/>
      <c r="F54" s="71"/>
      <c r="G54" s="71"/>
      <c r="H54" s="71"/>
      <c r="I54" s="667"/>
      <c r="J54" s="71"/>
      <c r="K54" s="71"/>
      <c r="L54" s="71"/>
      <c r="M54" s="71"/>
      <c r="N54" s="71"/>
      <c r="O54" s="71"/>
      <c r="P54" s="71"/>
      <c r="Q54" s="71"/>
      <c r="S54" s="785"/>
      <c r="T54" s="786"/>
    </row>
    <row r="55" spans="1:20" ht="15.6" customHeight="1" x14ac:dyDescent="0.2">
      <c r="A55" s="260"/>
      <c r="B55" s="662"/>
      <c r="C55" s="662"/>
      <c r="D55" s="682"/>
      <c r="E55" s="662"/>
      <c r="F55" s="662"/>
      <c r="G55" s="662"/>
      <c r="H55" s="662"/>
      <c r="I55" s="683"/>
      <c r="J55" s="662"/>
      <c r="K55" s="662"/>
      <c r="L55" s="682"/>
      <c r="M55" s="662"/>
      <c r="N55" s="662"/>
      <c r="O55" s="662"/>
      <c r="P55" s="662"/>
      <c r="Q55" s="687"/>
      <c r="S55" s="785"/>
      <c r="T55" s="786"/>
    </row>
    <row r="56" spans="1:20" ht="15.75" customHeight="1" x14ac:dyDescent="0.2">
      <c r="A56" s="688" t="s">
        <v>108</v>
      </c>
      <c r="B56" s="83"/>
      <c r="C56" s="83"/>
      <c r="D56" s="689"/>
      <c r="E56" s="83"/>
      <c r="F56" s="83"/>
      <c r="G56" s="83"/>
      <c r="H56" s="83"/>
      <c r="I56" s="690"/>
      <c r="J56" s="83"/>
      <c r="K56" s="83"/>
      <c r="L56" s="689"/>
      <c r="M56" s="83"/>
      <c r="N56" s="83"/>
      <c r="O56" s="83"/>
      <c r="P56" s="83"/>
      <c r="Q56" s="87"/>
      <c r="S56" s="785"/>
      <c r="T56" s="786"/>
    </row>
    <row r="57" spans="1:20" ht="15" customHeight="1" x14ac:dyDescent="0.25">
      <c r="A57" s="691"/>
      <c r="B57" s="662"/>
      <c r="C57" s="662"/>
      <c r="D57" s="682"/>
      <c r="E57" s="662"/>
      <c r="F57" s="662"/>
      <c r="G57" s="662"/>
      <c r="H57" s="662"/>
      <c r="I57" s="683"/>
      <c r="J57" s="662"/>
      <c r="K57" s="662"/>
      <c r="L57" s="682"/>
      <c r="M57" s="662"/>
      <c r="N57" s="662"/>
      <c r="O57" s="662"/>
      <c r="P57" s="662"/>
      <c r="Q57" s="687"/>
      <c r="S57" s="295"/>
      <c r="T57" s="295"/>
    </row>
    <row r="58" spans="1:20" ht="6" customHeight="1" x14ac:dyDescent="0.25">
      <c r="A58" s="710"/>
      <c r="C58" s="71"/>
      <c r="D58" s="72"/>
      <c r="E58" s="71"/>
      <c r="F58" s="71"/>
      <c r="G58" s="71"/>
      <c r="H58" s="71"/>
      <c r="I58" s="667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5">
      <c r="A59" s="710"/>
      <c r="B59" s="71"/>
      <c r="C59" s="846" t="s">
        <v>109</v>
      </c>
      <c r="D59" s="823"/>
      <c r="E59" s="823"/>
      <c r="F59" s="824"/>
      <c r="G59" s="71"/>
      <c r="H59" s="71"/>
      <c r="I59" s="846" t="s">
        <v>109</v>
      </c>
      <c r="J59" s="823"/>
      <c r="K59" s="823"/>
      <c r="L59" s="824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847"/>
      <c r="D60" s="848"/>
      <c r="E60" s="848"/>
      <c r="F60" s="849"/>
      <c r="I60" s="847"/>
      <c r="J60" s="848"/>
      <c r="K60" s="848"/>
      <c r="L60" s="849"/>
    </row>
    <row r="61" spans="1:20" ht="23.4" customHeight="1" x14ac:dyDescent="0.2">
      <c r="C61" s="850"/>
      <c r="D61" s="851"/>
      <c r="E61" s="851"/>
      <c r="F61" s="852"/>
      <c r="I61" s="850"/>
      <c r="J61" s="851"/>
      <c r="K61" s="851"/>
      <c r="L61" s="852"/>
    </row>
    <row r="62" spans="1:20" ht="15.75" customHeight="1" x14ac:dyDescent="0.2">
      <c r="A62" s="644" t="s">
        <v>110</v>
      </c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</row>
    <row r="63" spans="1:20" ht="15.75" customHeight="1" x14ac:dyDescent="0.2">
      <c r="A63" s="644" t="s">
        <v>111</v>
      </c>
      <c r="B63" s="692"/>
      <c r="C63" s="692"/>
      <c r="D63" s="692"/>
      <c r="E63" s="644"/>
      <c r="F63" s="644" t="s">
        <v>112</v>
      </c>
      <c r="G63" s="692"/>
      <c r="I63" s="692"/>
      <c r="J63" s="692"/>
      <c r="K63" s="692"/>
      <c r="L63" s="692"/>
      <c r="M63" s="692"/>
      <c r="N63" s="692"/>
      <c r="O63" s="692"/>
    </row>
    <row r="64" spans="1:20" ht="7.2" customHeight="1" x14ac:dyDescent="0.2"/>
    <row r="65" spans="1:17" ht="30.75" customHeight="1" x14ac:dyDescent="0.25">
      <c r="A65" s="840" t="s">
        <v>113</v>
      </c>
      <c r="B65" s="841"/>
      <c r="C65" s="841"/>
      <c r="D65" s="841"/>
      <c r="E65" s="841"/>
      <c r="F65" s="841"/>
      <c r="G65" s="841"/>
      <c r="H65" s="841"/>
      <c r="I65" s="841"/>
      <c r="J65" s="841"/>
      <c r="K65" s="841"/>
      <c r="L65" s="841"/>
      <c r="M65" s="841"/>
      <c r="N65" s="841"/>
      <c r="O65" s="841"/>
      <c r="P65" s="841"/>
      <c r="Q65" s="841"/>
    </row>
    <row r="66" spans="1:17" ht="15.9" customHeight="1" x14ac:dyDescent="0.2"/>
    <row r="67" spans="1:17" ht="15.9" customHeight="1" x14ac:dyDescent="0.2"/>
  </sheetData>
  <sheetProtection sheet="1" objects="1" scenarios="1"/>
  <mergeCells count="170">
    <mergeCell ref="F29:G29"/>
    <mergeCell ref="O22:Q22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H23:K23"/>
    <mergeCell ref="H34:I34"/>
    <mergeCell ref="H25:K25"/>
    <mergeCell ref="J22:K22"/>
    <mergeCell ref="E15:F15"/>
    <mergeCell ref="L27:N27"/>
    <mergeCell ref="I59:L61"/>
    <mergeCell ref="D26:G26"/>
    <mergeCell ref="F30:G30"/>
    <mergeCell ref="J34:K34"/>
    <mergeCell ref="O46:Q46"/>
    <mergeCell ref="A32:C32"/>
    <mergeCell ref="I41:J41"/>
    <mergeCell ref="L42:M42"/>
    <mergeCell ref="F33:G33"/>
    <mergeCell ref="O52:Q52"/>
    <mergeCell ref="J27:K27"/>
    <mergeCell ref="L34:N34"/>
    <mergeCell ref="A29:C29"/>
    <mergeCell ref="E40:F40"/>
    <mergeCell ref="O48:Q48"/>
    <mergeCell ref="L52:N52"/>
    <mergeCell ref="G49:H49"/>
    <mergeCell ref="I43:J43"/>
    <mergeCell ref="L49:N49"/>
    <mergeCell ref="B37:C37"/>
    <mergeCell ref="A31:C31"/>
    <mergeCell ref="E37:J37"/>
    <mergeCell ref="D31:E31"/>
    <mergeCell ref="A26:C26"/>
    <mergeCell ref="D3:Q3"/>
    <mergeCell ref="D29:E29"/>
    <mergeCell ref="A28:Q28"/>
    <mergeCell ref="A25:C25"/>
    <mergeCell ref="E50:F50"/>
    <mergeCell ref="O49:Q49"/>
    <mergeCell ref="J29:K29"/>
    <mergeCell ref="G42:H42"/>
    <mergeCell ref="I45:J45"/>
    <mergeCell ref="H31:I31"/>
    <mergeCell ref="L38:M39"/>
    <mergeCell ref="E44:F44"/>
    <mergeCell ref="L43:M43"/>
    <mergeCell ref="I47:J47"/>
    <mergeCell ref="O27:Q27"/>
    <mergeCell ref="D27:E27"/>
    <mergeCell ref="A22:C22"/>
    <mergeCell ref="K9:N9"/>
    <mergeCell ref="F8:G8"/>
    <mergeCell ref="L21:Q21"/>
    <mergeCell ref="O15:P15"/>
    <mergeCell ref="O31:Q31"/>
    <mergeCell ref="A21:C21"/>
    <mergeCell ref="H24:K24"/>
    <mergeCell ref="D9:E9"/>
    <mergeCell ref="E53:F53"/>
    <mergeCell ref="O39:Q39"/>
    <mergeCell ref="I46:J46"/>
    <mergeCell ref="D34:E34"/>
    <mergeCell ref="F34:G34"/>
    <mergeCell ref="D24:G24"/>
    <mergeCell ref="L23:Q23"/>
    <mergeCell ref="E14:F14"/>
    <mergeCell ref="F31:G31"/>
    <mergeCell ref="L44:M44"/>
    <mergeCell ref="F9:G9"/>
    <mergeCell ref="D22:E22"/>
    <mergeCell ref="H27:I27"/>
    <mergeCell ref="E51:F51"/>
    <mergeCell ref="O51:Q51"/>
    <mergeCell ref="H26:K26"/>
    <mergeCell ref="O47:Q47"/>
    <mergeCell ref="I38:J39"/>
    <mergeCell ref="O50:Q50"/>
    <mergeCell ref="O32:Q32"/>
    <mergeCell ref="D25:G25"/>
    <mergeCell ref="I49:J49"/>
    <mergeCell ref="L30:N30"/>
    <mergeCell ref="A65:Q65"/>
    <mergeCell ref="G19:H19"/>
    <mergeCell ref="L31:N31"/>
    <mergeCell ref="D32:E32"/>
    <mergeCell ref="G53:H53"/>
    <mergeCell ref="F32:G32"/>
    <mergeCell ref="I53:J53"/>
    <mergeCell ref="H32:I32"/>
    <mergeCell ref="J32:K32"/>
    <mergeCell ref="E45:F45"/>
    <mergeCell ref="L41:M41"/>
    <mergeCell ref="G45:H45"/>
    <mergeCell ref="H21:K21"/>
    <mergeCell ref="F27:G27"/>
    <mergeCell ref="I48:J48"/>
    <mergeCell ref="O34:Q34"/>
    <mergeCell ref="E20:Q20"/>
    <mergeCell ref="F22:G22"/>
    <mergeCell ref="A30:C30"/>
    <mergeCell ref="H22:I22"/>
    <mergeCell ref="C59:F61"/>
    <mergeCell ref="G51:H51"/>
    <mergeCell ref="E46:F46"/>
    <mergeCell ref="G44:H44"/>
    <mergeCell ref="O53:Q53"/>
    <mergeCell ref="I51:J51"/>
    <mergeCell ref="D8:E8"/>
    <mergeCell ref="G47:H47"/>
    <mergeCell ref="G38:H39"/>
    <mergeCell ref="L37:Q37"/>
    <mergeCell ref="H33:I33"/>
    <mergeCell ref="O14:P14"/>
    <mergeCell ref="J33:K33"/>
    <mergeCell ref="O30:Q30"/>
    <mergeCell ref="H8:J8"/>
    <mergeCell ref="E48:F48"/>
    <mergeCell ref="G48:H48"/>
    <mergeCell ref="E41:F41"/>
    <mergeCell ref="G41:H41"/>
    <mergeCell ref="L53:N53"/>
    <mergeCell ref="G50:H50"/>
    <mergeCell ref="K8:N8"/>
    <mergeCell ref="H9:J9"/>
    <mergeCell ref="I50:J50"/>
    <mergeCell ref="E38:F39"/>
    <mergeCell ref="H30:I30"/>
    <mergeCell ref="E43:F43"/>
    <mergeCell ref="G43:H43"/>
    <mergeCell ref="A37:A39"/>
    <mergeCell ref="G46:H46"/>
    <mergeCell ref="G40:H40"/>
    <mergeCell ref="I40:J40"/>
    <mergeCell ref="E47:F47"/>
    <mergeCell ref="A11:Q11"/>
    <mergeCell ref="B38:B39"/>
    <mergeCell ref="L29:N29"/>
    <mergeCell ref="D23:G23"/>
    <mergeCell ref="J30:K30"/>
    <mergeCell ref="A33:C33"/>
    <mergeCell ref="L25:Q25"/>
    <mergeCell ref="L22:N22"/>
    <mergeCell ref="D30:E30"/>
    <mergeCell ref="C38:C39"/>
    <mergeCell ref="L24:Q24"/>
    <mergeCell ref="H29:I29"/>
    <mergeCell ref="A24:C24"/>
    <mergeCell ref="A27:C27"/>
    <mergeCell ref="A23:C23"/>
    <mergeCell ref="E42:F42"/>
    <mergeCell ref="L26:Q26"/>
    <mergeCell ref="O29:Q29"/>
    <mergeCell ref="L33:N33"/>
  </mergeCells>
  <pageMargins left="0.39" right="0.12" top="0.46" bottom="0.36" header="0.3" footer="0.3"/>
  <pageSetup paperSize="9" scale="7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showWhiteSpace="0" topLeftCell="A25" zoomScaleNormal="100" zoomScaleSheetLayoutView="100" workbookViewId="0">
      <selection activeCell="N46" sqref="N46:Q46"/>
    </sheetView>
  </sheetViews>
  <sheetFormatPr baseColWidth="10" defaultColWidth="11.44140625" defaultRowHeight="15" customHeight="1" x14ac:dyDescent="0.25"/>
  <cols>
    <col min="1" max="1" width="11" style="735" customWidth="1"/>
    <col min="2" max="2" width="3.109375" style="735" customWidth="1"/>
    <col min="3" max="3" width="4.6640625" style="735" customWidth="1"/>
    <col min="4" max="4" width="7.88671875" style="735" customWidth="1"/>
    <col min="5" max="5" width="5.33203125" style="735" customWidth="1"/>
    <col min="6" max="12" width="6.109375" style="735" customWidth="1"/>
    <col min="13" max="13" width="8.44140625" style="735" customWidth="1"/>
    <col min="14" max="14" width="11.33203125" style="735" customWidth="1"/>
    <col min="15" max="15" width="1.33203125" style="735" customWidth="1"/>
    <col min="16" max="16" width="8.88671875" style="735" customWidth="1"/>
    <col min="17" max="17" width="4.5546875" style="735" customWidth="1"/>
    <col min="18" max="18" width="10" style="715" customWidth="1"/>
    <col min="19" max="19" width="16.33203125" style="715" customWidth="1"/>
    <col min="20" max="21" width="11.44140625" style="715" customWidth="1"/>
    <col min="22" max="16384" width="11.44140625" style="715"/>
  </cols>
  <sheetData>
    <row r="1" spans="1:18" ht="12" customHeight="1" x14ac:dyDescent="0.25">
      <c r="A1" s="788"/>
      <c r="B1" s="788"/>
      <c r="C1" s="788"/>
      <c r="D1" s="788"/>
      <c r="E1" s="788"/>
      <c r="F1" s="788"/>
      <c r="G1" s="788"/>
      <c r="H1" s="788"/>
      <c r="I1" s="788"/>
      <c r="J1" s="788"/>
      <c r="K1" s="788"/>
      <c r="L1" s="788"/>
      <c r="M1" s="788"/>
      <c r="N1" s="788"/>
      <c r="O1" s="788"/>
      <c r="P1" s="788"/>
      <c r="Q1" s="788"/>
      <c r="R1" s="2"/>
    </row>
    <row r="2" spans="1:18" ht="12" customHeight="1" x14ac:dyDescent="0.25">
      <c r="A2" s="788"/>
      <c r="B2" s="788"/>
      <c r="C2" s="788"/>
      <c r="D2" s="788"/>
      <c r="E2" s="788"/>
      <c r="F2" s="788"/>
      <c r="G2" s="788"/>
      <c r="H2" s="788"/>
      <c r="I2" s="788"/>
      <c r="J2" s="788"/>
      <c r="K2" s="788"/>
      <c r="L2" s="788"/>
      <c r="M2" s="788"/>
      <c r="N2" s="788"/>
      <c r="O2" s="788"/>
      <c r="P2" s="788"/>
      <c r="Q2" s="788"/>
      <c r="R2" s="2"/>
    </row>
    <row r="3" spans="1:18" ht="10.5" customHeight="1" x14ac:dyDescent="0.25">
      <c r="A3" s="788"/>
      <c r="B3" s="788"/>
      <c r="C3" s="788"/>
      <c r="D3" s="788"/>
      <c r="E3" s="788"/>
      <c r="F3" s="788"/>
      <c r="G3" s="788"/>
      <c r="H3" s="788"/>
      <c r="I3" s="788"/>
      <c r="J3" s="788"/>
      <c r="K3" s="788"/>
      <c r="L3" s="788"/>
      <c r="M3" s="788"/>
      <c r="N3" s="788"/>
      <c r="O3" s="788"/>
      <c r="P3" s="788"/>
      <c r="Q3" s="788"/>
      <c r="R3" s="2"/>
    </row>
    <row r="4" spans="1:18" ht="10.5" customHeight="1" x14ac:dyDescent="0.25">
      <c r="A4" s="788"/>
      <c r="B4" s="788"/>
      <c r="C4" s="788"/>
      <c r="D4" s="788"/>
      <c r="E4" s="788"/>
      <c r="F4" s="788"/>
      <c r="G4" s="788"/>
      <c r="H4" s="788"/>
      <c r="I4" s="788"/>
      <c r="J4" s="788"/>
      <c r="K4" s="788"/>
      <c r="L4" s="788"/>
      <c r="M4" s="788"/>
      <c r="N4" s="788"/>
      <c r="O4" s="788"/>
      <c r="P4" s="788"/>
      <c r="Q4" s="788"/>
      <c r="R4" s="2"/>
    </row>
    <row r="5" spans="1:18" ht="7.5" customHeight="1" x14ac:dyDescent="0.25">
      <c r="A5" s="788"/>
      <c r="B5" s="788"/>
      <c r="C5" s="788"/>
      <c r="D5" s="788"/>
      <c r="E5" s="788"/>
      <c r="F5" s="788"/>
      <c r="G5" s="788"/>
      <c r="H5" s="788"/>
      <c r="I5" s="788"/>
      <c r="J5" s="788"/>
      <c r="K5" s="788"/>
      <c r="L5" s="788"/>
      <c r="M5" s="788"/>
      <c r="N5" s="788"/>
      <c r="O5" s="788"/>
      <c r="P5" s="788"/>
      <c r="Q5" s="788"/>
      <c r="R5" s="2"/>
    </row>
    <row r="6" spans="1:18" ht="7.5" customHeight="1" x14ac:dyDescent="0.25">
      <c r="A6" s="789"/>
      <c r="B6" s="789"/>
      <c r="C6" s="790"/>
      <c r="D6" s="790"/>
      <c r="E6" s="789"/>
      <c r="F6" s="790"/>
      <c r="G6" s="790"/>
      <c r="H6" s="790"/>
      <c r="I6" s="790"/>
      <c r="J6" s="790"/>
      <c r="K6" s="790"/>
      <c r="L6" s="790"/>
      <c r="M6" s="790"/>
      <c r="N6" s="789"/>
      <c r="O6" s="790"/>
      <c r="P6" s="790"/>
      <c r="Q6" s="790"/>
      <c r="R6" s="2"/>
    </row>
    <row r="7" spans="1:18" ht="15.75" customHeight="1" x14ac:dyDescent="0.25">
      <c r="A7" s="886" t="s">
        <v>0</v>
      </c>
      <c r="B7" s="887"/>
      <c r="C7" s="887"/>
      <c r="D7" s="887"/>
      <c r="E7" s="887"/>
      <c r="F7" s="887"/>
      <c r="G7" s="887"/>
      <c r="H7" s="887"/>
      <c r="I7" s="887"/>
      <c r="J7" s="887"/>
      <c r="K7" s="887"/>
      <c r="L7" s="887"/>
      <c r="M7" s="887"/>
      <c r="N7" s="887"/>
      <c r="O7" s="887"/>
      <c r="P7" s="887"/>
      <c r="Q7" s="887"/>
    </row>
    <row r="8" spans="1:18" ht="15.75" customHeight="1" x14ac:dyDescent="0.25">
      <c r="A8" s="890">
        <v>0</v>
      </c>
      <c r="B8" s="875"/>
      <c r="C8" s="875"/>
      <c r="D8" s="875"/>
      <c r="E8" s="875"/>
      <c r="F8" s="875"/>
      <c r="G8" s="875"/>
      <c r="H8" s="875"/>
      <c r="I8" s="875"/>
      <c r="J8" s="875"/>
      <c r="K8" s="875"/>
      <c r="L8" s="875"/>
      <c r="M8" s="875"/>
      <c r="N8" s="875"/>
      <c r="O8" s="875"/>
      <c r="P8" s="875"/>
      <c r="Q8" s="875"/>
      <c r="R8" s="716"/>
    </row>
    <row r="9" spans="1:18" ht="15.75" customHeight="1" x14ac:dyDescent="0.25">
      <c r="A9" s="717"/>
      <c r="B9" s="718"/>
      <c r="C9" s="719"/>
      <c r="D9" s="719"/>
      <c r="E9" s="720"/>
      <c r="F9" s="721"/>
      <c r="G9" s="722"/>
      <c r="H9" s="722"/>
      <c r="I9" s="721"/>
      <c r="J9" s="721"/>
      <c r="K9" s="721"/>
      <c r="L9" s="721"/>
      <c r="M9" s="721"/>
      <c r="N9" s="721"/>
      <c r="O9" s="721"/>
      <c r="P9" s="723"/>
      <c r="Q9" s="723"/>
      <c r="R9" s="724"/>
    </row>
    <row r="10" spans="1:18" ht="13.95" customHeight="1" x14ac:dyDescent="0.25">
      <c r="A10" s="6" t="s">
        <v>1</v>
      </c>
      <c r="B10" s="7" t="s">
        <v>114</v>
      </c>
      <c r="C10" s="874">
        <f>+FORMATO!U2</f>
        <v>0</v>
      </c>
      <c r="D10" s="875"/>
      <c r="E10" s="875"/>
      <c r="F10" s="875"/>
      <c r="G10" s="875"/>
      <c r="H10" s="875"/>
      <c r="I10" s="875"/>
      <c r="J10" s="875"/>
      <c r="K10" s="875"/>
      <c r="L10" s="875"/>
      <c r="M10" s="875"/>
      <c r="N10" s="8" t="s">
        <v>115</v>
      </c>
      <c r="O10" s="9" t="s">
        <v>114</v>
      </c>
      <c r="P10" s="10" t="s">
        <v>116</v>
      </c>
      <c r="Q10" s="10"/>
      <c r="R10" s="725"/>
    </row>
    <row r="11" spans="1:18" ht="17.399999999999999" customHeight="1" x14ac:dyDescent="0.25">
      <c r="A11" s="6" t="s">
        <v>117</v>
      </c>
      <c r="B11" s="7" t="s">
        <v>114</v>
      </c>
      <c r="C11" s="874">
        <f>+FORMATO!U3</f>
        <v>0</v>
      </c>
      <c r="D11" s="875"/>
      <c r="E11" s="875"/>
      <c r="F11" s="875"/>
      <c r="G11" s="875"/>
      <c r="H11" s="875"/>
      <c r="I11" s="875"/>
      <c r="J11" s="875"/>
      <c r="K11" s="875"/>
      <c r="L11" s="875"/>
      <c r="M11" s="875"/>
      <c r="N11" s="726" t="s">
        <v>6</v>
      </c>
      <c r="O11" s="7" t="s">
        <v>114</v>
      </c>
      <c r="P11" s="727">
        <f>+FORMATO!U7</f>
        <v>0</v>
      </c>
      <c r="Q11" s="728"/>
      <c r="R11" s="729"/>
    </row>
    <row r="12" spans="1:18" ht="13.95" customHeight="1" x14ac:dyDescent="0.25">
      <c r="A12" s="6" t="s">
        <v>118</v>
      </c>
      <c r="B12" s="7" t="s">
        <v>114</v>
      </c>
      <c r="C12" s="874">
        <f>+FORMATO!U4</f>
        <v>0</v>
      </c>
      <c r="D12" s="875"/>
      <c r="E12" s="875"/>
      <c r="F12" s="875"/>
      <c r="G12" s="875"/>
      <c r="H12" s="875"/>
      <c r="I12" s="875"/>
      <c r="J12" s="875"/>
      <c r="K12" s="875"/>
      <c r="L12" s="875"/>
      <c r="M12" s="875"/>
      <c r="N12" s="11" t="s">
        <v>12</v>
      </c>
      <c r="O12" s="7" t="s">
        <v>114</v>
      </c>
      <c r="P12" s="727">
        <f>+FORMATO!U9</f>
        <v>0</v>
      </c>
      <c r="Q12" s="730"/>
      <c r="R12" s="731"/>
    </row>
    <row r="13" spans="1:18" ht="13.95" customHeight="1" x14ac:dyDescent="0.25">
      <c r="A13" s="6" t="s">
        <v>119</v>
      </c>
      <c r="B13" s="7" t="s">
        <v>114</v>
      </c>
      <c r="C13" s="874">
        <f>+FORMATO!U5</f>
        <v>0</v>
      </c>
      <c r="D13" s="875"/>
      <c r="E13" s="875"/>
      <c r="F13" s="875"/>
      <c r="G13" s="875"/>
      <c r="H13" s="875"/>
      <c r="I13" s="875"/>
      <c r="J13" s="875"/>
      <c r="K13" s="875"/>
      <c r="L13" s="875"/>
      <c r="M13" s="875"/>
      <c r="N13" s="726" t="s">
        <v>11</v>
      </c>
      <c r="O13" s="7" t="s">
        <v>114</v>
      </c>
      <c r="P13" s="732">
        <f>+FORMATO!U8</f>
        <v>0</v>
      </c>
      <c r="Q13" s="733"/>
      <c r="R13" s="731"/>
    </row>
    <row r="14" spans="1:18" ht="10.199999999999999" customHeight="1" x14ac:dyDescent="0.25">
      <c r="A14" s="734" t="s">
        <v>120</v>
      </c>
      <c r="B14" s="7"/>
      <c r="C14" s="10"/>
      <c r="D14" s="10"/>
      <c r="F14" s="736"/>
      <c r="G14" s="736"/>
      <c r="H14" s="736"/>
      <c r="I14" s="736"/>
      <c r="N14" s="11"/>
      <c r="O14" s="7"/>
      <c r="P14" s="737"/>
      <c r="Q14" s="737"/>
      <c r="R14" s="731"/>
    </row>
    <row r="15" spans="1:18" ht="15" customHeight="1" x14ac:dyDescent="0.25">
      <c r="A15" s="889" t="s">
        <v>121</v>
      </c>
      <c r="B15" s="841"/>
      <c r="C15" s="841"/>
      <c r="D15" s="841"/>
      <c r="E15" s="841"/>
      <c r="F15" s="841"/>
      <c r="G15" s="841"/>
      <c r="H15" s="841"/>
      <c r="I15" s="841"/>
      <c r="J15" s="841"/>
      <c r="K15" s="841"/>
      <c r="L15" s="841"/>
      <c r="M15" s="841"/>
      <c r="N15" s="841"/>
      <c r="O15" s="841"/>
      <c r="P15" s="841"/>
      <c r="Q15" s="835"/>
      <c r="R15" s="731"/>
    </row>
    <row r="16" spans="1:18" ht="15" customHeight="1" x14ac:dyDescent="0.25">
      <c r="A16" s="888" t="s">
        <v>122</v>
      </c>
      <c r="B16" s="845"/>
      <c r="C16" s="845"/>
      <c r="D16" s="845"/>
      <c r="E16" s="845"/>
      <c r="F16" s="845"/>
      <c r="G16" s="845"/>
      <c r="H16" s="845"/>
      <c r="I16" s="845"/>
      <c r="J16" s="845"/>
      <c r="K16" s="845"/>
      <c r="L16" s="845"/>
      <c r="M16" s="845"/>
      <c r="N16" s="845"/>
      <c r="O16" s="845"/>
      <c r="P16" s="845"/>
      <c r="Q16" s="837"/>
      <c r="R16" s="731"/>
    </row>
    <row r="17" spans="1:22" ht="6" customHeight="1" x14ac:dyDescent="0.25">
      <c r="A17" s="738"/>
      <c r="B17" s="739"/>
      <c r="C17" s="739"/>
      <c r="D17" s="739"/>
      <c r="E17" s="739"/>
      <c r="F17" s="740"/>
      <c r="G17" s="740"/>
      <c r="H17" s="740"/>
      <c r="I17" s="740"/>
      <c r="J17" s="740"/>
      <c r="K17" s="740"/>
      <c r="L17" s="740"/>
      <c r="M17" s="740"/>
      <c r="N17" s="740"/>
      <c r="O17" s="740"/>
      <c r="P17" s="740"/>
      <c r="Q17" s="741"/>
      <c r="R17" s="731"/>
    </row>
    <row r="18" spans="1:22" ht="12.9" customHeight="1" x14ac:dyDescent="0.25">
      <c r="A18" s="742" t="s">
        <v>123</v>
      </c>
      <c r="B18" s="71"/>
      <c r="C18" s="71"/>
      <c r="D18" s="7" t="s">
        <v>114</v>
      </c>
      <c r="E18" s="736">
        <f>+FORMATO!U15</f>
        <v>0</v>
      </c>
      <c r="F18" s="715"/>
      <c r="G18" s="736"/>
      <c r="H18" s="736"/>
      <c r="I18" s="743"/>
      <c r="M18" s="71"/>
      <c r="N18" s="744" t="s">
        <v>124</v>
      </c>
      <c r="O18" s="9" t="s">
        <v>114</v>
      </c>
      <c r="P18" s="745">
        <f>+FORMATO!D9</f>
        <v>0</v>
      </c>
      <c r="Q18" s="746"/>
      <c r="R18" s="731"/>
    </row>
    <row r="19" spans="1:22" ht="12.9" customHeight="1" x14ac:dyDescent="0.25">
      <c r="A19" s="742" t="s">
        <v>125</v>
      </c>
      <c r="B19" s="71"/>
      <c r="C19" s="71"/>
      <c r="D19" s="7" t="s">
        <v>114</v>
      </c>
      <c r="E19" s="736">
        <f>+FORMATO!U16</f>
        <v>0</v>
      </c>
      <c r="F19" s="715"/>
      <c r="G19" s="736"/>
      <c r="H19" s="736"/>
      <c r="I19" s="743"/>
      <c r="M19" s="71"/>
      <c r="N19" s="744" t="s">
        <v>126</v>
      </c>
      <c r="O19" s="9" t="s">
        <v>114</v>
      </c>
      <c r="P19" s="732">
        <f>+FORMATO!U12</f>
        <v>0</v>
      </c>
      <c r="Q19" s="747"/>
      <c r="R19" s="731"/>
      <c r="T19" s="736"/>
    </row>
    <row r="20" spans="1:22" ht="12.9" customHeight="1" x14ac:dyDescent="0.25">
      <c r="A20" s="742" t="s">
        <v>127</v>
      </c>
      <c r="B20" s="71"/>
      <c r="C20" s="71"/>
      <c r="D20" s="7" t="s">
        <v>114</v>
      </c>
      <c r="E20" s="736">
        <f>+FORMATO!U17</f>
        <v>0</v>
      </c>
      <c r="F20" s="715"/>
      <c r="G20" s="736"/>
      <c r="H20" s="736"/>
      <c r="I20" s="743"/>
      <c r="M20" s="71"/>
      <c r="N20" s="744" t="s">
        <v>128</v>
      </c>
      <c r="O20" s="9" t="s">
        <v>114</v>
      </c>
      <c r="P20" s="732">
        <f>+FORMATO!U13</f>
        <v>0</v>
      </c>
      <c r="Q20" s="747"/>
      <c r="R20" s="731">
        <f>+FORMATO!H9</f>
        <v>0</v>
      </c>
    </row>
    <row r="21" spans="1:22" ht="12.9" customHeight="1" x14ac:dyDescent="0.25">
      <c r="A21" s="742" t="s">
        <v>129</v>
      </c>
      <c r="B21" s="71"/>
      <c r="C21" s="71"/>
      <c r="D21" s="7" t="s">
        <v>114</v>
      </c>
      <c r="E21" s="736" t="s">
        <v>130</v>
      </c>
      <c r="F21" s="715"/>
      <c r="G21" s="736"/>
      <c r="H21" s="736"/>
      <c r="I21" s="743"/>
      <c r="N21" s="744" t="s">
        <v>131</v>
      </c>
      <c r="O21" s="9" t="s">
        <v>114</v>
      </c>
      <c r="P21" s="748" t="str">
        <f>+DATOS!D2</f>
        <v>-</v>
      </c>
      <c r="Q21" s="749"/>
    </row>
    <row r="22" spans="1:22" ht="6" customHeight="1" x14ac:dyDescent="0.25">
      <c r="A22" s="260"/>
      <c r="B22" s="662"/>
      <c r="C22" s="662"/>
      <c r="D22" s="662"/>
      <c r="E22" s="682"/>
      <c r="F22" s="750"/>
      <c r="G22" s="750"/>
      <c r="H22" s="750"/>
      <c r="I22" s="750"/>
      <c r="J22" s="750"/>
      <c r="K22" s="750"/>
      <c r="L22" s="750"/>
      <c r="M22" s="662"/>
      <c r="N22" s="662"/>
      <c r="O22" s="682"/>
      <c r="P22" s="750"/>
      <c r="Q22" s="751"/>
    </row>
    <row r="23" spans="1:22" ht="7.5" customHeight="1" x14ac:dyDescent="0.25"/>
    <row r="24" spans="1:22" ht="12.9" customHeight="1" x14ac:dyDescent="0.25">
      <c r="A24" s="868" t="s">
        <v>132</v>
      </c>
      <c r="B24" s="869"/>
      <c r="C24" s="869"/>
      <c r="D24" s="869"/>
      <c r="E24" s="869"/>
      <c r="F24" s="869"/>
      <c r="G24" s="869"/>
      <c r="H24" s="869"/>
      <c r="I24" s="869"/>
      <c r="J24" s="869"/>
      <c r="K24" s="869"/>
      <c r="L24" s="869"/>
      <c r="M24" s="869"/>
      <c r="N24" s="869"/>
      <c r="O24" s="869"/>
      <c r="P24" s="869"/>
      <c r="Q24" s="870"/>
    </row>
    <row r="25" spans="1:22" ht="12.9" customHeight="1" x14ac:dyDescent="0.25">
      <c r="A25" s="752" t="s">
        <v>133</v>
      </c>
      <c r="B25" s="83"/>
      <c r="C25" s="82"/>
      <c r="D25" s="82"/>
      <c r="E25" s="753" t="s">
        <v>114</v>
      </c>
      <c r="F25" s="754">
        <f>+DATOS!J2</f>
        <v>0</v>
      </c>
      <c r="G25" s="755"/>
      <c r="H25" s="755"/>
      <c r="I25" s="755"/>
      <c r="J25" s="756"/>
      <c r="K25" s="756"/>
      <c r="L25" s="755"/>
      <c r="M25" s="755"/>
      <c r="N25" s="757" t="s">
        <v>134</v>
      </c>
      <c r="O25" s="758" t="s">
        <v>114</v>
      </c>
      <c r="P25" s="892" t="str">
        <f>+DATOS!D4</f>
        <v>-</v>
      </c>
      <c r="Q25" s="893"/>
    </row>
    <row r="26" spans="1:22" ht="12.9" customHeight="1" x14ac:dyDescent="0.25">
      <c r="A26" s="742" t="s">
        <v>135</v>
      </c>
      <c r="B26" s="71"/>
      <c r="C26" s="71"/>
      <c r="D26" s="71"/>
      <c r="E26" s="7" t="s">
        <v>114</v>
      </c>
      <c r="F26" s="748">
        <f>+DATOS!J3</f>
        <v>0</v>
      </c>
      <c r="N26" s="744" t="s">
        <v>136</v>
      </c>
      <c r="O26" s="9" t="s">
        <v>114</v>
      </c>
      <c r="P26" s="748" t="str">
        <f>+DATOS!D5</f>
        <v>-</v>
      </c>
      <c r="Q26" s="759"/>
    </row>
    <row r="27" spans="1:22" ht="12.9" customHeight="1" x14ac:dyDescent="0.25">
      <c r="A27" s="742" t="s">
        <v>137</v>
      </c>
      <c r="B27" s="71"/>
      <c r="C27" s="71"/>
      <c r="D27" s="71"/>
      <c r="E27" s="7" t="s">
        <v>114</v>
      </c>
      <c r="F27" s="791">
        <f>+DATOS!J4</f>
        <v>0</v>
      </c>
      <c r="H27" s="792"/>
      <c r="N27" s="744" t="s">
        <v>138</v>
      </c>
      <c r="O27" s="9" t="s">
        <v>114</v>
      </c>
      <c r="P27" s="748">
        <v>10</v>
      </c>
      <c r="Q27" s="759"/>
    </row>
    <row r="28" spans="1:22" ht="13.5" customHeight="1" x14ac:dyDescent="0.25">
      <c r="A28" s="760" t="s">
        <v>139</v>
      </c>
      <c r="B28" s="71"/>
      <c r="C28" s="71"/>
      <c r="D28" s="71"/>
      <c r="E28" s="7"/>
      <c r="F28" s="748"/>
      <c r="G28" s="793"/>
      <c r="H28" s="793"/>
      <c r="I28" s="793"/>
      <c r="J28" s="793"/>
      <c r="K28" s="793"/>
      <c r="L28" s="793"/>
      <c r="N28" s="744" t="s">
        <v>140</v>
      </c>
      <c r="O28" s="9" t="s">
        <v>114</v>
      </c>
      <c r="P28" s="748"/>
      <c r="Q28" s="759"/>
      <c r="R28" s="761" t="s">
        <v>141</v>
      </c>
      <c r="S28" s="594"/>
      <c r="T28" s="595"/>
      <c r="U28" s="595"/>
      <c r="V28" s="596"/>
    </row>
    <row r="29" spans="1:22" ht="13.5" customHeight="1" x14ac:dyDescent="0.25">
      <c r="A29" s="762" t="s">
        <v>142</v>
      </c>
      <c r="B29" s="736"/>
      <c r="C29" s="736"/>
      <c r="D29" s="736"/>
      <c r="E29" s="736"/>
      <c r="F29" s="763" t="s">
        <v>143</v>
      </c>
      <c r="G29" s="736" t="s">
        <v>144</v>
      </c>
      <c r="H29" s="725"/>
      <c r="I29" s="725"/>
      <c r="J29" s="736" t="s">
        <v>145</v>
      </c>
      <c r="K29" s="794"/>
      <c r="L29" s="794"/>
      <c r="M29" s="736"/>
      <c r="N29" s="787" t="s">
        <v>143</v>
      </c>
      <c r="O29" s="10" t="s">
        <v>146</v>
      </c>
      <c r="P29" s="748"/>
      <c r="Q29" s="759"/>
      <c r="S29" s="161" t="s">
        <v>147</v>
      </c>
      <c r="T29" s="2"/>
      <c r="U29" s="2" t="s">
        <v>148</v>
      </c>
      <c r="V29" s="597"/>
    </row>
    <row r="30" spans="1:22" ht="21.6" customHeight="1" x14ac:dyDescent="0.25">
      <c r="A30" s="762" t="s">
        <v>149</v>
      </c>
      <c r="B30" s="10"/>
      <c r="C30" s="10"/>
      <c r="D30" s="10"/>
      <c r="E30" s="10"/>
      <c r="F30" s="763" t="s">
        <v>143</v>
      </c>
      <c r="G30" s="894" t="s">
        <v>150</v>
      </c>
      <c r="H30" s="887"/>
      <c r="I30" s="887"/>
      <c r="J30" s="736" t="s">
        <v>151</v>
      </c>
      <c r="K30" s="794"/>
      <c r="L30" s="794"/>
      <c r="M30" s="736"/>
      <c r="N30" s="492" t="s">
        <v>143</v>
      </c>
      <c r="O30" s="10" t="s">
        <v>152</v>
      </c>
      <c r="P30" s="748"/>
      <c r="Q30" s="759"/>
      <c r="S30" s="161" t="s">
        <v>152</v>
      </c>
      <c r="T30" s="2"/>
      <c r="U30" s="2" t="s">
        <v>153</v>
      </c>
      <c r="V30" s="597"/>
    </row>
    <row r="31" spans="1:22" ht="13.5" customHeight="1" x14ac:dyDescent="0.25">
      <c r="A31" s="795" t="s">
        <v>154</v>
      </c>
      <c r="B31" s="796"/>
      <c r="C31" s="796"/>
      <c r="D31" s="796"/>
      <c r="E31" s="796"/>
      <c r="F31" s="796"/>
      <c r="G31" s="796"/>
      <c r="H31" s="796"/>
      <c r="I31" s="796"/>
      <c r="J31" s="797"/>
      <c r="K31" s="797"/>
      <c r="L31" s="797"/>
      <c r="M31" s="797"/>
      <c r="N31" s="797"/>
      <c r="O31" s="797"/>
      <c r="P31" s="797"/>
      <c r="Q31" s="798"/>
      <c r="S31" s="598"/>
      <c r="T31" s="599"/>
      <c r="U31" s="599"/>
      <c r="V31" s="600"/>
    </row>
    <row r="32" spans="1:22" ht="8.25" customHeight="1" x14ac:dyDescent="0.25">
      <c r="A32" s="764"/>
      <c r="B32" s="715"/>
      <c r="C32" s="715"/>
      <c r="D32" s="715"/>
      <c r="E32" s="715"/>
      <c r="F32" s="715"/>
      <c r="G32" s="715"/>
      <c r="H32" s="715"/>
      <c r="I32" s="715"/>
      <c r="J32" s="715"/>
      <c r="K32" s="715"/>
      <c r="L32" s="715"/>
      <c r="M32" s="715"/>
      <c r="N32" s="715"/>
      <c r="O32" s="715"/>
      <c r="P32" s="715"/>
      <c r="Q32" s="751"/>
      <c r="S32" s="77"/>
    </row>
    <row r="33" spans="1:19" ht="15.75" customHeight="1" x14ac:dyDescent="0.25">
      <c r="A33" s="868" t="s">
        <v>155</v>
      </c>
      <c r="B33" s="869"/>
      <c r="C33" s="869"/>
      <c r="D33" s="869"/>
      <c r="E33" s="869"/>
      <c r="F33" s="869"/>
      <c r="G33" s="869"/>
      <c r="H33" s="869"/>
      <c r="I33" s="869"/>
      <c r="J33" s="869"/>
      <c r="K33" s="869"/>
      <c r="L33" s="869"/>
      <c r="M33" s="869"/>
      <c r="N33" s="869"/>
      <c r="O33" s="869"/>
      <c r="P33" s="869"/>
      <c r="Q33" s="870"/>
      <c r="S33" s="77"/>
    </row>
    <row r="34" spans="1:19" s="725" customFormat="1" ht="15.75" customHeight="1" x14ac:dyDescent="0.25">
      <c r="A34" s="867" t="s">
        <v>156</v>
      </c>
      <c r="B34" s="826"/>
      <c r="C34" s="826"/>
      <c r="D34" s="826"/>
      <c r="E34" s="821"/>
      <c r="F34" s="883">
        <f>+DATOS!D15</f>
        <v>56</v>
      </c>
      <c r="G34" s="826"/>
      <c r="H34" s="826"/>
      <c r="I34" s="821"/>
      <c r="J34" s="883">
        <f>+DATOS!H15</f>
        <v>25</v>
      </c>
      <c r="K34" s="826"/>
      <c r="L34" s="826"/>
      <c r="M34" s="821"/>
      <c r="N34" s="883">
        <f>+DATOS!L15</f>
        <v>10</v>
      </c>
      <c r="O34" s="826"/>
      <c r="P34" s="826"/>
      <c r="Q34" s="821"/>
      <c r="R34" s="765"/>
      <c r="S34" s="77"/>
    </row>
    <row r="35" spans="1:19" s="725" customFormat="1" ht="15.75" customHeight="1" x14ac:dyDescent="0.25">
      <c r="A35" s="867" t="s">
        <v>157</v>
      </c>
      <c r="B35" s="826"/>
      <c r="C35" s="826"/>
      <c r="D35" s="826"/>
      <c r="E35" s="821"/>
      <c r="F35" s="872" t="str">
        <f>+DATOS!D6</f>
        <v>-</v>
      </c>
      <c r="G35" s="826"/>
      <c r="H35" s="826"/>
      <c r="I35" s="821"/>
      <c r="J35" s="872" t="str">
        <f>+DATOS!D6</f>
        <v>-</v>
      </c>
      <c r="K35" s="826"/>
      <c r="L35" s="826"/>
      <c r="M35" s="821"/>
      <c r="N35" s="872" t="str">
        <f>+DATOS!D6</f>
        <v>-</v>
      </c>
      <c r="O35" s="826"/>
      <c r="P35" s="826"/>
      <c r="Q35" s="821"/>
      <c r="S35" s="77"/>
    </row>
    <row r="36" spans="1:19" s="725" customFormat="1" ht="15.75" customHeight="1" x14ac:dyDescent="0.25">
      <c r="A36" s="712" t="s">
        <v>158</v>
      </c>
      <c r="B36" s="40"/>
      <c r="C36" s="40"/>
      <c r="D36" s="168"/>
      <c r="E36" s="709" t="s">
        <v>159</v>
      </c>
      <c r="F36" s="866" t="e">
        <f>+DATOS!E23</f>
        <v>#N/A</v>
      </c>
      <c r="G36" s="826"/>
      <c r="H36" s="826"/>
      <c r="I36" s="821"/>
      <c r="J36" s="866" t="e">
        <f>+DATOS!I23</f>
        <v>#N/A</v>
      </c>
      <c r="K36" s="826"/>
      <c r="L36" s="826"/>
      <c r="M36" s="821"/>
      <c r="N36" s="866" t="e">
        <f>+DATOS!M23</f>
        <v>#N/A</v>
      </c>
      <c r="O36" s="826"/>
      <c r="P36" s="826"/>
      <c r="Q36" s="821"/>
      <c r="R36" s="725" t="s">
        <v>160</v>
      </c>
      <c r="S36" s="77"/>
    </row>
    <row r="37" spans="1:19" s="725" customFormat="1" ht="15.75" customHeight="1" x14ac:dyDescent="0.25">
      <c r="A37" s="162" t="s">
        <v>161</v>
      </c>
      <c r="B37" s="162"/>
      <c r="C37" s="162"/>
      <c r="D37" s="708"/>
      <c r="E37" s="709" t="s">
        <v>162</v>
      </c>
      <c r="F37" s="877" t="e">
        <f>+DATOS!E24</f>
        <v>#N/A</v>
      </c>
      <c r="G37" s="826"/>
      <c r="H37" s="826"/>
      <c r="I37" s="821"/>
      <c r="J37" s="877" t="e">
        <f>+DATOS!I24</f>
        <v>#N/A</v>
      </c>
      <c r="K37" s="826"/>
      <c r="L37" s="826"/>
      <c r="M37" s="821"/>
      <c r="N37" s="877" t="e">
        <f>+DATOS!M24</f>
        <v>#N/A</v>
      </c>
      <c r="O37" s="826"/>
      <c r="P37" s="826"/>
      <c r="Q37" s="821"/>
      <c r="R37" s="725" t="s">
        <v>160</v>
      </c>
      <c r="S37" s="77"/>
    </row>
    <row r="38" spans="1:19" s="725" customFormat="1" ht="15.75" customHeight="1" x14ac:dyDescent="0.25">
      <c r="A38" s="868" t="s">
        <v>163</v>
      </c>
      <c r="B38" s="869"/>
      <c r="C38" s="869"/>
      <c r="D38" s="869"/>
      <c r="E38" s="869"/>
      <c r="F38" s="869"/>
      <c r="G38" s="869"/>
      <c r="H38" s="869"/>
      <c r="I38" s="869"/>
      <c r="J38" s="869"/>
      <c r="K38" s="869"/>
      <c r="L38" s="869"/>
      <c r="M38" s="869"/>
      <c r="N38" s="869"/>
      <c r="O38" s="869"/>
      <c r="P38" s="869"/>
      <c r="Q38" s="870"/>
      <c r="S38" s="77"/>
    </row>
    <row r="39" spans="1:19" s="725" customFormat="1" ht="15.75" customHeight="1" x14ac:dyDescent="0.25">
      <c r="A39" s="867" t="s">
        <v>164</v>
      </c>
      <c r="B39" s="826"/>
      <c r="C39" s="826"/>
      <c r="D39" s="821"/>
      <c r="E39" s="709" t="s">
        <v>19</v>
      </c>
      <c r="F39" s="881" t="e">
        <f>+DATOS!E32</f>
        <v>#DIV/0!</v>
      </c>
      <c r="G39" s="826"/>
      <c r="H39" s="826"/>
      <c r="I39" s="821"/>
      <c r="J39" s="881" t="e">
        <f>+DATOS!I32</f>
        <v>#DIV/0!</v>
      </c>
      <c r="K39" s="826"/>
      <c r="L39" s="826"/>
      <c r="M39" s="821"/>
      <c r="N39" s="881" t="e">
        <f>+DATOS!M32</f>
        <v>#DIV/0!</v>
      </c>
      <c r="O39" s="826"/>
      <c r="P39" s="826"/>
      <c r="Q39" s="821"/>
      <c r="R39" s="766">
        <v>1E-3</v>
      </c>
      <c r="S39" s="77"/>
    </row>
    <row r="40" spans="1:19" s="725" customFormat="1" ht="15.75" customHeight="1" x14ac:dyDescent="0.25">
      <c r="A40" s="868" t="s">
        <v>165</v>
      </c>
      <c r="B40" s="869"/>
      <c r="C40" s="869"/>
      <c r="D40" s="869"/>
      <c r="E40" s="869"/>
      <c r="F40" s="869"/>
      <c r="G40" s="869"/>
      <c r="H40" s="869"/>
      <c r="I40" s="869"/>
      <c r="J40" s="869"/>
      <c r="K40" s="869"/>
      <c r="L40" s="869"/>
      <c r="M40" s="869"/>
      <c r="N40" s="869"/>
      <c r="O40" s="869"/>
      <c r="P40" s="869"/>
      <c r="Q40" s="870"/>
      <c r="S40" s="77"/>
    </row>
    <row r="41" spans="1:19" s="725" customFormat="1" ht="15.75" customHeight="1" x14ac:dyDescent="0.25">
      <c r="A41" s="867" t="s">
        <v>164</v>
      </c>
      <c r="B41" s="826"/>
      <c r="C41" s="826"/>
      <c r="D41" s="821"/>
      <c r="E41" s="709" t="s">
        <v>19</v>
      </c>
      <c r="F41" s="871" t="e">
        <f>+DATOS!G32</f>
        <v>#DIV/0!</v>
      </c>
      <c r="G41" s="869"/>
      <c r="H41" s="869"/>
      <c r="I41" s="870"/>
      <c r="J41" s="871" t="e">
        <f>+DATOS!K32</f>
        <v>#DIV/0!</v>
      </c>
      <c r="K41" s="869"/>
      <c r="L41" s="869"/>
      <c r="M41" s="870"/>
      <c r="N41" s="871" t="e">
        <f>+DATOS!O32</f>
        <v>#DIV/0!</v>
      </c>
      <c r="O41" s="869"/>
      <c r="P41" s="869"/>
      <c r="Q41" s="870"/>
      <c r="R41" s="766">
        <v>1E-3</v>
      </c>
      <c r="S41" s="77"/>
    </row>
    <row r="42" spans="1:19" s="725" customFormat="1" ht="15.75" customHeight="1" x14ac:dyDescent="0.25">
      <c r="A42" s="868" t="s">
        <v>61</v>
      </c>
      <c r="B42" s="869"/>
      <c r="C42" s="869"/>
      <c r="D42" s="869"/>
      <c r="E42" s="869"/>
      <c r="F42" s="869"/>
      <c r="G42" s="869"/>
      <c r="H42" s="869"/>
      <c r="I42" s="869"/>
      <c r="J42" s="869"/>
      <c r="K42" s="869"/>
      <c r="L42" s="869"/>
      <c r="M42" s="869"/>
      <c r="N42" s="869"/>
      <c r="O42" s="869"/>
      <c r="P42" s="869"/>
      <c r="Q42" s="870"/>
      <c r="S42" s="77"/>
    </row>
    <row r="43" spans="1:19" s="725" customFormat="1" ht="15.75" customHeight="1" x14ac:dyDescent="0.25">
      <c r="A43" s="867" t="s">
        <v>166</v>
      </c>
      <c r="B43" s="826"/>
      <c r="C43" s="826"/>
      <c r="D43" s="821"/>
      <c r="E43" s="709" t="s">
        <v>19</v>
      </c>
      <c r="F43" s="881" t="e">
        <f>+DATOS!G40</f>
        <v>#N/A</v>
      </c>
      <c r="G43" s="826"/>
      <c r="H43" s="826"/>
      <c r="I43" s="821"/>
      <c r="J43" s="881" t="e">
        <f>+DATOS!K40</f>
        <v>#N/A</v>
      </c>
      <c r="K43" s="826"/>
      <c r="L43" s="826"/>
      <c r="M43" s="821"/>
      <c r="N43" s="881" t="e">
        <f>+DATOS!O40</f>
        <v>#N/A</v>
      </c>
      <c r="O43" s="826"/>
      <c r="P43" s="826"/>
      <c r="Q43" s="821"/>
      <c r="R43" s="766">
        <v>1E-3</v>
      </c>
      <c r="S43" s="77"/>
    </row>
    <row r="44" spans="1:19" s="725" customFormat="1" ht="6" customHeight="1" x14ac:dyDescent="0.25">
      <c r="A44" s="825"/>
      <c r="B44" s="826"/>
      <c r="C44" s="826"/>
      <c r="D44" s="826"/>
      <c r="E44" s="826"/>
      <c r="F44" s="826"/>
      <c r="G44" s="826"/>
      <c r="H44" s="826"/>
      <c r="I44" s="826"/>
      <c r="J44" s="826"/>
      <c r="K44" s="826"/>
      <c r="L44" s="826"/>
      <c r="M44" s="826"/>
      <c r="N44" s="826"/>
      <c r="O44" s="826"/>
      <c r="P44" s="826"/>
      <c r="Q44" s="821"/>
      <c r="S44" s="77"/>
    </row>
    <row r="45" spans="1:19" s="725" customFormat="1" ht="15.75" customHeight="1" x14ac:dyDescent="0.25">
      <c r="A45" s="868" t="s">
        <v>167</v>
      </c>
      <c r="B45" s="869"/>
      <c r="C45" s="869"/>
      <c r="D45" s="869"/>
      <c r="E45" s="869"/>
      <c r="F45" s="869"/>
      <c r="G45" s="869"/>
      <c r="H45" s="869"/>
      <c r="I45" s="869"/>
      <c r="J45" s="869"/>
      <c r="K45" s="869"/>
      <c r="L45" s="869"/>
      <c r="M45" s="869"/>
      <c r="N45" s="869"/>
      <c r="O45" s="869"/>
      <c r="P45" s="869"/>
      <c r="Q45" s="870"/>
      <c r="S45" s="77"/>
    </row>
    <row r="46" spans="1:19" s="725" customFormat="1" ht="22.5" customHeight="1" x14ac:dyDescent="0.25">
      <c r="A46" s="767" t="s">
        <v>58</v>
      </c>
      <c r="B46" s="768"/>
      <c r="C46" s="891" t="s">
        <v>168</v>
      </c>
      <c r="D46" s="869"/>
      <c r="E46" s="870"/>
      <c r="F46" s="882">
        <f>+F34</f>
        <v>56</v>
      </c>
      <c r="G46" s="869"/>
      <c r="H46" s="869"/>
      <c r="I46" s="870"/>
      <c r="J46" s="882">
        <f>+J34</f>
        <v>25</v>
      </c>
      <c r="K46" s="869"/>
      <c r="L46" s="869"/>
      <c r="M46" s="870"/>
      <c r="N46" s="882">
        <f>+N34</f>
        <v>10</v>
      </c>
      <c r="O46" s="869"/>
      <c r="P46" s="869"/>
      <c r="Q46" s="870"/>
      <c r="S46" s="77"/>
    </row>
    <row r="47" spans="1:19" s="725" customFormat="1" ht="21" customHeight="1" x14ac:dyDescent="0.25">
      <c r="A47" s="878" t="s">
        <v>169</v>
      </c>
      <c r="B47" s="821"/>
      <c r="C47" s="876" t="s">
        <v>73</v>
      </c>
      <c r="D47" s="869"/>
      <c r="E47" s="870"/>
      <c r="F47" s="879" t="s">
        <v>170</v>
      </c>
      <c r="G47" s="821"/>
      <c r="H47" s="876" t="s">
        <v>171</v>
      </c>
      <c r="I47" s="870"/>
      <c r="J47" s="879" t="s">
        <v>170</v>
      </c>
      <c r="K47" s="821"/>
      <c r="L47" s="876" t="s">
        <v>171</v>
      </c>
      <c r="M47" s="870"/>
      <c r="N47" s="879" t="s">
        <v>170</v>
      </c>
      <c r="O47" s="821"/>
      <c r="P47" s="876" t="s">
        <v>171</v>
      </c>
      <c r="Q47" s="870"/>
      <c r="S47" s="77"/>
    </row>
    <row r="48" spans="1:19" s="725" customFormat="1" ht="15.75" customHeight="1" x14ac:dyDescent="0.25">
      <c r="A48" s="865">
        <f>+DATOS!A44</f>
        <v>0</v>
      </c>
      <c r="B48" s="821"/>
      <c r="C48" s="876"/>
      <c r="D48" s="869"/>
      <c r="E48" s="870"/>
      <c r="F48" s="873">
        <f>+DATOS!D44*2.2046</f>
        <v>0</v>
      </c>
      <c r="G48" s="821"/>
      <c r="H48" s="871">
        <f>+DATOS!G44</f>
        <v>0</v>
      </c>
      <c r="I48" s="870"/>
      <c r="J48" s="873">
        <f>+DATOS!H44*2.2046</f>
        <v>0</v>
      </c>
      <c r="K48" s="821"/>
      <c r="L48" s="871">
        <f>+DATOS!K44</f>
        <v>0</v>
      </c>
      <c r="M48" s="870"/>
      <c r="N48" s="873">
        <f>+DATOS!L44*2.2046</f>
        <v>0</v>
      </c>
      <c r="O48" s="821"/>
      <c r="P48" s="871">
        <f>+DATOS!O44</f>
        <v>0</v>
      </c>
      <c r="Q48" s="870"/>
      <c r="S48" s="77"/>
    </row>
    <row r="49" spans="1:20" s="725" customFormat="1" ht="15.75" customHeight="1" x14ac:dyDescent="0.25">
      <c r="A49" s="865">
        <f>+DATOS!A45</f>
        <v>2.5000000000000001E-2</v>
      </c>
      <c r="B49" s="821"/>
      <c r="C49" s="876"/>
      <c r="D49" s="869"/>
      <c r="E49" s="870"/>
      <c r="F49" s="873">
        <f>+DATOS!D45*2.2046</f>
        <v>0</v>
      </c>
      <c r="G49" s="821"/>
      <c r="H49" s="871">
        <f>+DATOS!G45</f>
        <v>0.78855422374304684</v>
      </c>
      <c r="I49" s="870"/>
      <c r="J49" s="873">
        <f>+DATOS!H45*2.2046</f>
        <v>0</v>
      </c>
      <c r="K49" s="821"/>
      <c r="L49" s="871">
        <f>+DATOS!K45</f>
        <v>0.78855422374304684</v>
      </c>
      <c r="M49" s="870"/>
      <c r="N49" s="873">
        <f>+DATOS!L45*2.2046</f>
        <v>0</v>
      </c>
      <c r="O49" s="821"/>
      <c r="P49" s="871">
        <f>+DATOS!O45</f>
        <v>0.78855422374304684</v>
      </c>
      <c r="Q49" s="870"/>
      <c r="S49" s="77"/>
    </row>
    <row r="50" spans="1:20" s="725" customFormat="1" ht="15.75" customHeight="1" x14ac:dyDescent="0.25">
      <c r="A50" s="865">
        <f>+DATOS!A46</f>
        <v>0.05</v>
      </c>
      <c r="B50" s="821"/>
      <c r="C50" s="876"/>
      <c r="D50" s="869"/>
      <c r="E50" s="870"/>
      <c r="F50" s="873">
        <f>+DATOS!D46*2.2046</f>
        <v>0</v>
      </c>
      <c r="G50" s="821"/>
      <c r="H50" s="871">
        <f>+DATOS!G46</f>
        <v>0.78855422374304684</v>
      </c>
      <c r="I50" s="870"/>
      <c r="J50" s="873">
        <f>+DATOS!H46*2.2046</f>
        <v>0</v>
      </c>
      <c r="K50" s="821"/>
      <c r="L50" s="871">
        <f>+DATOS!K46</f>
        <v>0.78855422374304684</v>
      </c>
      <c r="M50" s="870"/>
      <c r="N50" s="873">
        <f>+DATOS!L46*2.2046</f>
        <v>0</v>
      </c>
      <c r="O50" s="821"/>
      <c r="P50" s="871">
        <f>+DATOS!O46</f>
        <v>0.78855422374304684</v>
      </c>
      <c r="Q50" s="870"/>
      <c r="S50" s="77"/>
    </row>
    <row r="51" spans="1:20" s="725" customFormat="1" ht="15.75" customHeight="1" x14ac:dyDescent="0.25">
      <c r="A51" s="865">
        <f>+DATOS!A47</f>
        <v>7.4999999999999997E-2</v>
      </c>
      <c r="B51" s="821"/>
      <c r="C51" s="876"/>
      <c r="D51" s="869"/>
      <c r="E51" s="870"/>
      <c r="F51" s="873">
        <f>+DATOS!D47*2.2046</f>
        <v>0</v>
      </c>
      <c r="G51" s="821"/>
      <c r="H51" s="871">
        <f>+DATOS!G47</f>
        <v>0.78855422374304684</v>
      </c>
      <c r="I51" s="870"/>
      <c r="J51" s="873">
        <f>+DATOS!H47*2.2046</f>
        <v>0</v>
      </c>
      <c r="K51" s="821"/>
      <c r="L51" s="871">
        <f>+DATOS!K47</f>
        <v>0.78855422374304684</v>
      </c>
      <c r="M51" s="870"/>
      <c r="N51" s="873">
        <f>+DATOS!L47*2.2046</f>
        <v>0</v>
      </c>
      <c r="O51" s="821"/>
      <c r="P51" s="871">
        <f>+DATOS!O47</f>
        <v>0.78855422374304684</v>
      </c>
      <c r="Q51" s="870"/>
    </row>
    <row r="52" spans="1:20" s="725" customFormat="1" ht="15.75" customHeight="1" x14ac:dyDescent="0.25">
      <c r="A52" s="865">
        <f>+DATOS!A48</f>
        <v>0.1</v>
      </c>
      <c r="B52" s="821"/>
      <c r="C52" s="876">
        <v>1000</v>
      </c>
      <c r="D52" s="869"/>
      <c r="E52" s="870"/>
      <c r="F52" s="873">
        <f>+DATOS!D48*2.2046</f>
        <v>0</v>
      </c>
      <c r="G52" s="821"/>
      <c r="H52" s="871">
        <f>+DATOS!G48</f>
        <v>0.78855422374304684</v>
      </c>
      <c r="I52" s="870"/>
      <c r="J52" s="873">
        <f>+DATOS!H48*2.2046</f>
        <v>0</v>
      </c>
      <c r="K52" s="821"/>
      <c r="L52" s="871">
        <f>+DATOS!K48</f>
        <v>0.78855422374304684</v>
      </c>
      <c r="M52" s="870"/>
      <c r="N52" s="873">
        <f>+DATOS!L48*2.2046</f>
        <v>0</v>
      </c>
      <c r="O52" s="821"/>
      <c r="P52" s="871">
        <f>+DATOS!O48</f>
        <v>0.78855422374304684</v>
      </c>
      <c r="Q52" s="870"/>
    </row>
    <row r="53" spans="1:20" s="725" customFormat="1" ht="15.75" customHeight="1" x14ac:dyDescent="0.25">
      <c r="A53" s="865">
        <f>+DATOS!A49</f>
        <v>0.125</v>
      </c>
      <c r="B53" s="821"/>
      <c r="C53" s="876"/>
      <c r="D53" s="869"/>
      <c r="E53" s="870"/>
      <c r="F53" s="873">
        <f>+DATOS!D49*2.2046</f>
        <v>0</v>
      </c>
      <c r="G53" s="821"/>
      <c r="H53" s="871">
        <f>+DATOS!G49</f>
        <v>0.78855422374304684</v>
      </c>
      <c r="I53" s="870"/>
      <c r="J53" s="873">
        <f>+DATOS!H49*2.2046</f>
        <v>0</v>
      </c>
      <c r="K53" s="821"/>
      <c r="L53" s="871">
        <f>+DATOS!K49</f>
        <v>0.78855422374304684</v>
      </c>
      <c r="M53" s="870"/>
      <c r="N53" s="873">
        <f>+DATOS!L49*2.2046</f>
        <v>0</v>
      </c>
      <c r="O53" s="821"/>
      <c r="P53" s="871">
        <f>+DATOS!O49</f>
        <v>0.78855422374304684</v>
      </c>
      <c r="Q53" s="870"/>
    </row>
    <row r="54" spans="1:20" s="725" customFormat="1" ht="15.75" customHeight="1" x14ac:dyDescent="0.25">
      <c r="A54" s="865">
        <f>+DATOS!A50</f>
        <v>0.15</v>
      </c>
      <c r="B54" s="821"/>
      <c r="C54" s="876"/>
      <c r="D54" s="869"/>
      <c r="E54" s="870"/>
      <c r="F54" s="873">
        <f>+DATOS!D50*2.2046</f>
        <v>0</v>
      </c>
      <c r="G54" s="821"/>
      <c r="H54" s="871">
        <f>+DATOS!G50</f>
        <v>0.78855422374304684</v>
      </c>
      <c r="I54" s="870"/>
      <c r="J54" s="873">
        <f>+DATOS!H50*2.2046</f>
        <v>0</v>
      </c>
      <c r="K54" s="821"/>
      <c r="L54" s="871">
        <f>+DATOS!K50</f>
        <v>0.78855422374304684</v>
      </c>
      <c r="M54" s="870"/>
      <c r="N54" s="873">
        <f>+DATOS!L50*2.2046</f>
        <v>0</v>
      </c>
      <c r="O54" s="821"/>
      <c r="P54" s="871">
        <f>+DATOS!O50</f>
        <v>0.78855422374304684</v>
      </c>
      <c r="Q54" s="870"/>
    </row>
    <row r="55" spans="1:20" s="725" customFormat="1" ht="15.75" customHeight="1" x14ac:dyDescent="0.25">
      <c r="A55" s="865">
        <f>+DATOS!A51</f>
        <v>0.17499999999999999</v>
      </c>
      <c r="B55" s="821"/>
      <c r="C55" s="876"/>
      <c r="D55" s="869"/>
      <c r="E55" s="870"/>
      <c r="F55" s="873">
        <f>+DATOS!D51*2.2046</f>
        <v>0</v>
      </c>
      <c r="G55" s="821"/>
      <c r="H55" s="871">
        <f>+DATOS!G51</f>
        <v>0.78855422374304684</v>
      </c>
      <c r="I55" s="870"/>
      <c r="J55" s="873">
        <f>+DATOS!H51*2.2046</f>
        <v>0</v>
      </c>
      <c r="K55" s="821"/>
      <c r="L55" s="871">
        <f>+DATOS!K51</f>
        <v>0.78855422374304684</v>
      </c>
      <c r="M55" s="870"/>
      <c r="N55" s="873">
        <f>+DATOS!L51*2.2046</f>
        <v>0</v>
      </c>
      <c r="O55" s="821"/>
      <c r="P55" s="871">
        <f>+DATOS!O51</f>
        <v>0.78855422374304684</v>
      </c>
      <c r="Q55" s="870"/>
    </row>
    <row r="56" spans="1:20" s="725" customFormat="1" ht="15.75" customHeight="1" x14ac:dyDescent="0.25">
      <c r="A56" s="865">
        <f>+DATOS!A52</f>
        <v>0.2</v>
      </c>
      <c r="B56" s="821"/>
      <c r="C56" s="876">
        <v>1500</v>
      </c>
      <c r="D56" s="869"/>
      <c r="E56" s="870"/>
      <c r="F56" s="873">
        <f>+DATOS!D52*2.2046</f>
        <v>0</v>
      </c>
      <c r="G56" s="821"/>
      <c r="H56" s="871">
        <f>+DATOS!G52</f>
        <v>0.78855422374304684</v>
      </c>
      <c r="I56" s="870"/>
      <c r="J56" s="873">
        <f>+DATOS!H52*2.2046</f>
        <v>0</v>
      </c>
      <c r="K56" s="821"/>
      <c r="L56" s="871">
        <f>+DATOS!K52</f>
        <v>0.78855422374304684</v>
      </c>
      <c r="M56" s="870"/>
      <c r="N56" s="873">
        <f>+DATOS!L52*2.2046</f>
        <v>0</v>
      </c>
      <c r="O56" s="821"/>
      <c r="P56" s="871">
        <f>+DATOS!O52</f>
        <v>0.78855422374304684</v>
      </c>
      <c r="Q56" s="870"/>
    </row>
    <row r="57" spans="1:20" s="725" customFormat="1" ht="15.75" customHeight="1" x14ac:dyDescent="0.25">
      <c r="A57" s="865">
        <f>+DATOS!A53</f>
        <v>0.3</v>
      </c>
      <c r="B57" s="821"/>
      <c r="C57" s="876"/>
      <c r="D57" s="869"/>
      <c r="E57" s="870"/>
      <c r="F57" s="873">
        <f>+DATOS!D53*2.2046</f>
        <v>0</v>
      </c>
      <c r="G57" s="821"/>
      <c r="H57" s="871">
        <f>+DATOS!G53</f>
        <v>0.78855422374304684</v>
      </c>
      <c r="I57" s="870"/>
      <c r="J57" s="873">
        <f>+DATOS!H53*2.2046</f>
        <v>0</v>
      </c>
      <c r="K57" s="821"/>
      <c r="L57" s="871">
        <f>+DATOS!K53</f>
        <v>0.78855422374304684</v>
      </c>
      <c r="M57" s="870"/>
      <c r="N57" s="873">
        <f>+DATOS!L53*2.2046</f>
        <v>0</v>
      </c>
      <c r="O57" s="821"/>
      <c r="P57" s="871">
        <f>+DATOS!O53</f>
        <v>0.78855422374304684</v>
      </c>
      <c r="Q57" s="870"/>
    </row>
    <row r="58" spans="1:20" s="725" customFormat="1" ht="15.75" customHeight="1" x14ac:dyDescent="0.25">
      <c r="A58" s="865">
        <f>+DATOS!A54</f>
        <v>0.4</v>
      </c>
      <c r="B58" s="821"/>
      <c r="C58" s="876"/>
      <c r="D58" s="869"/>
      <c r="E58" s="870"/>
      <c r="F58" s="873">
        <f>+DATOS!D54*2.2046</f>
        <v>0</v>
      </c>
      <c r="G58" s="821"/>
      <c r="H58" s="871">
        <f>+DATOS!G54</f>
        <v>0.78855422374304684</v>
      </c>
      <c r="I58" s="870"/>
      <c r="J58" s="873">
        <f>+DATOS!H54*2.2046</f>
        <v>0</v>
      </c>
      <c r="K58" s="821"/>
      <c r="L58" s="871">
        <f>+DATOS!K54</f>
        <v>0.78855422374304684</v>
      </c>
      <c r="M58" s="870"/>
      <c r="N58" s="873">
        <f>+DATOS!L54*2.2046</f>
        <v>0</v>
      </c>
      <c r="O58" s="821"/>
      <c r="P58" s="871">
        <f>+DATOS!O54</f>
        <v>0.78855422374304684</v>
      </c>
      <c r="Q58" s="870"/>
    </row>
    <row r="59" spans="1:20" s="725" customFormat="1" ht="15.75" customHeight="1" x14ac:dyDescent="0.25">
      <c r="A59" s="865">
        <f>+DATOS!A55</f>
        <v>0.5</v>
      </c>
      <c r="B59" s="821"/>
      <c r="C59" s="876"/>
      <c r="D59" s="869"/>
      <c r="E59" s="870"/>
      <c r="F59" s="873">
        <f>+DATOS!D55*2.2046</f>
        <v>0</v>
      </c>
      <c r="G59" s="821"/>
      <c r="H59" s="871">
        <f>+DATOS!G55</f>
        <v>0.78855422374304684</v>
      </c>
      <c r="I59" s="870"/>
      <c r="J59" s="873">
        <f>+DATOS!H55*2.2046</f>
        <v>0</v>
      </c>
      <c r="K59" s="821"/>
      <c r="L59" s="871">
        <f>+DATOS!K55</f>
        <v>0.78855422374304684</v>
      </c>
      <c r="M59" s="870"/>
      <c r="N59" s="873">
        <f>+DATOS!L55*2.2046</f>
        <v>0</v>
      </c>
      <c r="O59" s="821"/>
      <c r="P59" s="871">
        <f>+DATOS!O55</f>
        <v>0.78855422374304684</v>
      </c>
      <c r="Q59" s="870"/>
    </row>
    <row r="60" spans="1:20" s="725" customFormat="1" ht="21.75" customHeight="1" x14ac:dyDescent="0.25">
      <c r="A60" s="13" t="s">
        <v>108</v>
      </c>
      <c r="B60" s="736"/>
      <c r="C60" s="769"/>
      <c r="D60" s="769"/>
      <c r="E60" s="769"/>
      <c r="F60" s="769"/>
      <c r="G60" s="769"/>
      <c r="H60" s="769"/>
      <c r="I60" s="769"/>
      <c r="J60" s="769"/>
      <c r="K60" s="769"/>
      <c r="L60" s="769"/>
      <c r="M60" s="769"/>
      <c r="N60" s="769"/>
      <c r="O60" s="769"/>
      <c r="P60" s="769"/>
      <c r="Q60" s="769"/>
    </row>
    <row r="61" spans="1:20" s="725" customFormat="1" ht="14.25" customHeight="1" x14ac:dyDescent="0.25">
      <c r="S61" s="770"/>
      <c r="T61" s="770"/>
    </row>
    <row r="62" spans="1:20" s="725" customFormat="1" ht="14.25" customHeight="1" x14ac:dyDescent="0.25">
      <c r="A62" s="68"/>
      <c r="B62" s="736"/>
      <c r="C62" s="736"/>
      <c r="D62" s="736"/>
      <c r="E62" s="736"/>
      <c r="F62" s="736"/>
      <c r="G62" s="736"/>
      <c r="H62" s="736"/>
      <c r="I62" s="736"/>
      <c r="J62" s="736"/>
      <c r="K62" s="736"/>
      <c r="L62" s="736"/>
      <c r="M62" s="736"/>
      <c r="N62" s="736"/>
      <c r="O62" s="736"/>
      <c r="P62" s="736"/>
      <c r="Q62" s="736"/>
      <c r="S62" s="770"/>
      <c r="T62" s="770"/>
    </row>
    <row r="63" spans="1:20" ht="14.25" customHeight="1" x14ac:dyDescent="0.25">
      <c r="A63" s="68"/>
      <c r="R63" s="725"/>
      <c r="S63" s="770"/>
      <c r="T63" s="770"/>
    </row>
    <row r="64" spans="1:20" ht="14.25" customHeight="1" x14ac:dyDescent="0.25">
      <c r="A64" s="715"/>
      <c r="S64" s="770"/>
      <c r="T64" s="770"/>
    </row>
    <row r="65" spans="1:20" ht="14.25" customHeight="1" x14ac:dyDescent="0.25">
      <c r="A65" s="715"/>
      <c r="S65" s="770"/>
      <c r="T65" s="770"/>
    </row>
    <row r="66" spans="1:20" ht="14.25" customHeight="1" x14ac:dyDescent="0.25">
      <c r="A66" s="10" t="s">
        <v>172</v>
      </c>
      <c r="B66" s="715"/>
      <c r="C66" s="715"/>
      <c r="D66" s="715"/>
      <c r="S66" s="770"/>
      <c r="T66" s="770"/>
    </row>
    <row r="67" spans="1:20" ht="14.25" customHeight="1" x14ac:dyDescent="0.25">
      <c r="A67" s="10" t="s">
        <v>173</v>
      </c>
      <c r="B67" s="715"/>
      <c r="C67" s="715"/>
      <c r="D67" s="715"/>
      <c r="P67" s="771"/>
      <c r="Q67" s="498" t="s">
        <v>174</v>
      </c>
      <c r="S67" s="770"/>
      <c r="T67" s="770"/>
    </row>
    <row r="68" spans="1:20" ht="14.25" customHeight="1" x14ac:dyDescent="0.25">
      <c r="S68" s="770"/>
      <c r="T68" s="770"/>
    </row>
    <row r="69" spans="1:20" ht="14.25" customHeight="1" x14ac:dyDescent="0.25">
      <c r="S69" s="770"/>
      <c r="T69" s="770"/>
    </row>
    <row r="70" spans="1:20" ht="14.25" customHeight="1" x14ac:dyDescent="0.25">
      <c r="S70" s="770"/>
      <c r="T70" s="770"/>
    </row>
    <row r="71" spans="1:20" ht="14.25" customHeight="1" x14ac:dyDescent="0.25">
      <c r="A71" s="715"/>
      <c r="B71" s="715"/>
      <c r="C71" s="715"/>
      <c r="D71" s="715"/>
      <c r="E71" s="715"/>
      <c r="F71" s="715"/>
      <c r="G71" s="715"/>
      <c r="H71" s="715"/>
      <c r="I71" s="715"/>
      <c r="J71" s="715"/>
      <c r="S71" s="770"/>
      <c r="T71" s="770"/>
    </row>
    <row r="72" spans="1:20" ht="12" customHeight="1" x14ac:dyDescent="0.25">
      <c r="A72" s="715"/>
      <c r="B72" s="715"/>
      <c r="C72" s="715"/>
      <c r="D72" s="715"/>
      <c r="E72" s="715"/>
      <c r="F72" s="715"/>
      <c r="G72" s="715"/>
      <c r="H72" s="715"/>
      <c r="I72" s="715"/>
      <c r="J72" s="715"/>
      <c r="K72" s="71"/>
      <c r="L72" s="71"/>
      <c r="M72" s="71"/>
      <c r="N72" s="71"/>
      <c r="O72" s="71"/>
      <c r="P72" s="71"/>
      <c r="Q72" s="71"/>
      <c r="S72" s="770"/>
      <c r="T72" s="770"/>
    </row>
    <row r="73" spans="1:20" ht="12" customHeight="1" x14ac:dyDescent="0.25">
      <c r="A73" s="715"/>
      <c r="B73" s="715"/>
      <c r="C73" s="715"/>
      <c r="D73" s="715"/>
      <c r="E73" s="715"/>
      <c r="F73" s="715"/>
      <c r="G73" s="715"/>
      <c r="H73" s="715"/>
      <c r="I73" s="715"/>
      <c r="J73" s="715"/>
      <c r="K73" s="71"/>
      <c r="L73" s="71"/>
      <c r="M73" s="71"/>
      <c r="N73" s="71"/>
      <c r="O73" s="71"/>
      <c r="P73" s="71"/>
      <c r="Q73" s="71"/>
      <c r="S73" s="770"/>
      <c r="T73" s="770"/>
    </row>
    <row r="74" spans="1:20" ht="12" customHeight="1" x14ac:dyDescent="0.25">
      <c r="A74" s="715"/>
      <c r="B74" s="715"/>
      <c r="C74" s="715"/>
      <c r="D74" s="715"/>
      <c r="E74" s="715"/>
      <c r="F74" s="715"/>
      <c r="G74" s="715"/>
      <c r="H74" s="715"/>
      <c r="I74" s="715"/>
      <c r="J74" s="715"/>
      <c r="K74" s="71"/>
      <c r="L74" s="71"/>
      <c r="M74" s="71"/>
      <c r="N74" s="71"/>
      <c r="O74" s="71"/>
      <c r="P74" s="71"/>
      <c r="Q74" s="71"/>
      <c r="S74" s="770"/>
      <c r="T74" s="770"/>
    </row>
    <row r="75" spans="1:20" ht="12" customHeight="1" x14ac:dyDescent="0.25">
      <c r="A75" s="715"/>
      <c r="B75" s="715"/>
      <c r="C75" s="715"/>
      <c r="D75" s="715"/>
      <c r="E75" s="715"/>
      <c r="F75" s="715"/>
      <c r="G75" s="715"/>
      <c r="H75" s="715"/>
      <c r="I75" s="715"/>
      <c r="J75" s="715"/>
      <c r="K75" s="71"/>
      <c r="L75" s="71"/>
      <c r="M75" s="71"/>
      <c r="N75" s="71"/>
      <c r="O75" s="71"/>
      <c r="P75" s="71"/>
      <c r="Q75" s="71"/>
      <c r="S75" s="770"/>
      <c r="T75" s="770"/>
    </row>
    <row r="76" spans="1:20" ht="12" customHeight="1" x14ac:dyDescent="0.25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0"/>
      <c r="T76" s="770"/>
    </row>
    <row r="77" spans="1:20" ht="15.6" customHeight="1" x14ac:dyDescent="0.25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0"/>
      <c r="T77" s="770"/>
    </row>
    <row r="78" spans="1:20" ht="15.6" customHeight="1" x14ac:dyDescent="0.25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0"/>
      <c r="T78" s="770"/>
    </row>
    <row r="79" spans="1:20" ht="15.6" customHeight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0"/>
      <c r="T79" s="770"/>
    </row>
    <row r="80" spans="1:20" ht="15.6" customHeight="1" x14ac:dyDescent="0.25">
      <c r="S80" s="770"/>
      <c r="T80" s="770"/>
    </row>
    <row r="81" spans="1:20" ht="15.6" customHeight="1" x14ac:dyDescent="0.25">
      <c r="S81" s="770"/>
      <c r="T81" s="770"/>
    </row>
    <row r="82" spans="1:20" ht="15.6" customHeight="1" x14ac:dyDescent="0.25">
      <c r="S82" s="770"/>
      <c r="T82" s="770"/>
    </row>
    <row r="83" spans="1:20" ht="15.6" customHeight="1" x14ac:dyDescent="0.25">
      <c r="A83" s="772"/>
      <c r="F83" s="773"/>
      <c r="J83" s="772"/>
      <c r="K83" s="772"/>
      <c r="S83" s="770"/>
      <c r="T83" s="770"/>
    </row>
    <row r="84" spans="1:20" ht="15.6" customHeight="1" x14ac:dyDescent="0.25">
      <c r="A84" s="772"/>
      <c r="F84" s="773"/>
      <c r="J84" s="772"/>
      <c r="K84" s="772"/>
      <c r="R84" s="774"/>
    </row>
    <row r="85" spans="1:20" ht="15.6" customHeight="1" x14ac:dyDescent="0.25">
      <c r="A85" s="772"/>
      <c r="F85" s="773"/>
      <c r="J85" s="772"/>
      <c r="K85" s="772"/>
    </row>
    <row r="86" spans="1:20" ht="19.2" customHeight="1" x14ac:dyDescent="0.25">
      <c r="A86" s="772"/>
      <c r="F86" s="773"/>
      <c r="J86" s="772"/>
      <c r="K86" s="772"/>
    </row>
    <row r="87" spans="1:20" ht="19.2" customHeight="1" x14ac:dyDescent="0.25">
      <c r="A87" s="772"/>
      <c r="F87" s="773"/>
      <c r="J87" s="772"/>
      <c r="K87" s="772"/>
    </row>
    <row r="88" spans="1:20" ht="19.2" customHeight="1" x14ac:dyDescent="0.25"/>
    <row r="89" spans="1:20" ht="19.2" customHeight="1" x14ac:dyDescent="0.25">
      <c r="A89" s="775"/>
      <c r="B89" s="775"/>
      <c r="C89" s="775"/>
      <c r="D89" s="775"/>
    </row>
    <row r="90" spans="1:20" ht="19.2" customHeight="1" x14ac:dyDescent="0.25">
      <c r="A90" s="885"/>
      <c r="B90" s="875"/>
      <c r="C90" s="875"/>
      <c r="D90" s="875"/>
      <c r="E90" s="875"/>
      <c r="F90" s="875"/>
      <c r="G90" s="875"/>
      <c r="H90" s="875"/>
      <c r="I90" s="875"/>
      <c r="J90" s="875"/>
      <c r="K90" s="875"/>
      <c r="L90" s="875"/>
    </row>
    <row r="91" spans="1:20" ht="15.6" customHeight="1" x14ac:dyDescent="0.25">
      <c r="A91" s="875"/>
      <c r="B91" s="875"/>
      <c r="C91" s="875"/>
      <c r="D91" s="875"/>
      <c r="E91" s="875"/>
      <c r="F91" s="875"/>
      <c r="G91" s="875"/>
      <c r="H91" s="875"/>
      <c r="I91" s="875"/>
      <c r="J91" s="875"/>
      <c r="K91" s="875"/>
      <c r="L91" s="875"/>
    </row>
    <row r="92" spans="1:20" ht="15.6" customHeight="1" x14ac:dyDescent="0.25"/>
    <row r="93" spans="1:20" ht="15.6" customHeight="1" x14ac:dyDescent="0.25"/>
    <row r="94" spans="1:20" ht="15.6" customHeight="1" x14ac:dyDescent="0.25">
      <c r="L94" s="776"/>
    </row>
    <row r="95" spans="1:20" ht="15.6" customHeight="1" x14ac:dyDescent="0.25">
      <c r="E95" s="777"/>
      <c r="F95" s="880"/>
      <c r="G95" s="875"/>
      <c r="J95" s="773"/>
      <c r="K95" s="773"/>
      <c r="L95" s="773"/>
      <c r="M95" s="736"/>
      <c r="N95" s="736"/>
      <c r="O95" s="736"/>
      <c r="P95" s="736"/>
      <c r="Q95" s="736"/>
      <c r="R95" s="731"/>
    </row>
    <row r="96" spans="1:20" ht="15.6" customHeight="1" x14ac:dyDescent="0.25">
      <c r="E96" s="777"/>
      <c r="F96" s="880"/>
      <c r="G96" s="875"/>
      <c r="M96" s="736"/>
      <c r="N96" s="736"/>
      <c r="O96" s="736"/>
      <c r="P96" s="736"/>
      <c r="Q96" s="736"/>
      <c r="R96" s="731"/>
    </row>
    <row r="97" spans="5:7" ht="15.6" customHeight="1" x14ac:dyDescent="0.25">
      <c r="E97" s="777"/>
      <c r="F97" s="884"/>
      <c r="G97" s="875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P59:Q59"/>
    <mergeCell ref="J53:K53"/>
    <mergeCell ref="N58:O58"/>
    <mergeCell ref="L58:M58"/>
    <mergeCell ref="N59:O59"/>
    <mergeCell ref="P54:Q54"/>
    <mergeCell ref="C54:E54"/>
    <mergeCell ref="N47:O47"/>
    <mergeCell ref="C56:E56"/>
    <mergeCell ref="F59:G59"/>
    <mergeCell ref="F55:G55"/>
    <mergeCell ref="C58:E58"/>
    <mergeCell ref="L56:M56"/>
    <mergeCell ref="J54:K54"/>
    <mergeCell ref="L54:M54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F56:G56"/>
    <mergeCell ref="A24:Q24"/>
    <mergeCell ref="P25:Q25"/>
    <mergeCell ref="G30:I30"/>
    <mergeCell ref="H56:I56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F96:G96"/>
    <mergeCell ref="P47:Q47"/>
    <mergeCell ref="A53:B53"/>
    <mergeCell ref="A38:Q38"/>
    <mergeCell ref="P58:Q58"/>
    <mergeCell ref="J58:K58"/>
    <mergeCell ref="F57:G57"/>
    <mergeCell ref="A48:B48"/>
    <mergeCell ref="A34:E34"/>
    <mergeCell ref="A40:Q40"/>
    <mergeCell ref="A59:B59"/>
    <mergeCell ref="F54:G54"/>
    <mergeCell ref="F43:I43"/>
    <mergeCell ref="H54:I54"/>
    <mergeCell ref="A58:B58"/>
    <mergeCell ref="N50:O50"/>
    <mergeCell ref="J57:K57"/>
    <mergeCell ref="P50:Q50"/>
    <mergeCell ref="F37:I37"/>
    <mergeCell ref="L57:M57"/>
    <mergeCell ref="N51:O51"/>
    <mergeCell ref="C59:E59"/>
    <mergeCell ref="H50:I50"/>
    <mergeCell ref="C46:E46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J35:M35"/>
    <mergeCell ref="F97:G97"/>
    <mergeCell ref="L55:M55"/>
    <mergeCell ref="J37:M37"/>
    <mergeCell ref="F58:G58"/>
    <mergeCell ref="A90:L91"/>
    <mergeCell ref="J34:M34"/>
    <mergeCell ref="A42:Q42"/>
    <mergeCell ref="J36:M36"/>
    <mergeCell ref="L59:M59"/>
    <mergeCell ref="A52:B52"/>
    <mergeCell ref="F48:G48"/>
    <mergeCell ref="H48:I48"/>
    <mergeCell ref="N39:Q39"/>
    <mergeCell ref="J51:K51"/>
    <mergeCell ref="N55:O55"/>
    <mergeCell ref="J48:K48"/>
    <mergeCell ref="F46:I46"/>
    <mergeCell ref="P55:Q55"/>
    <mergeCell ref="L48:M48"/>
    <mergeCell ref="A44:Q44"/>
    <mergeCell ref="C50:E50"/>
    <mergeCell ref="C55:E55"/>
    <mergeCell ref="P51:Q51"/>
    <mergeCell ref="A49:B49"/>
    <mergeCell ref="C11:M11"/>
    <mergeCell ref="N57:O57"/>
    <mergeCell ref="P57:Q57"/>
    <mergeCell ref="H47:I47"/>
    <mergeCell ref="J47:K47"/>
    <mergeCell ref="F52:G52"/>
    <mergeCell ref="J56:K56"/>
    <mergeCell ref="H59:I59"/>
    <mergeCell ref="F95:G95"/>
    <mergeCell ref="J39:M39"/>
    <mergeCell ref="F51:G51"/>
    <mergeCell ref="H51:I51"/>
    <mergeCell ref="J55:K55"/>
    <mergeCell ref="F39:I39"/>
    <mergeCell ref="N54:O54"/>
    <mergeCell ref="J46:M46"/>
    <mergeCell ref="H58:I58"/>
    <mergeCell ref="H53:I53"/>
    <mergeCell ref="J43:M43"/>
    <mergeCell ref="N34:Q34"/>
    <mergeCell ref="H55:I55"/>
    <mergeCell ref="J59:K59"/>
    <mergeCell ref="L53:M53"/>
    <mergeCell ref="N53:O53"/>
    <mergeCell ref="C13:M13"/>
    <mergeCell ref="J41:M41"/>
    <mergeCell ref="F53:G53"/>
    <mergeCell ref="C47:E47"/>
    <mergeCell ref="A50:B50"/>
    <mergeCell ref="N37:Q37"/>
    <mergeCell ref="L51:M51"/>
    <mergeCell ref="C53:E53"/>
    <mergeCell ref="A47:B47"/>
    <mergeCell ref="A51:B51"/>
    <mergeCell ref="C51:E51"/>
    <mergeCell ref="A54:B54"/>
    <mergeCell ref="N36:Q36"/>
    <mergeCell ref="A43:D43"/>
    <mergeCell ref="A45:Q45"/>
    <mergeCell ref="A35:E35"/>
    <mergeCell ref="F41:I41"/>
    <mergeCell ref="F35:I35"/>
    <mergeCell ref="L49:M49"/>
    <mergeCell ref="N49:O49"/>
  </mergeCells>
  <printOptions horizontalCentered="1"/>
  <pageMargins left="0.39370078740157483" right="0.39370078740157483" top="0.82677165354330717" bottom="0" header="0" footer="0"/>
  <pageSetup paperSize="274" scale="77" orientation="portrait"/>
  <headerFooter scaleWithDoc="0">
    <oddHeader>&amp;C&amp;G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topLeftCell="A39" zoomScaleNormal="120" zoomScaleSheetLayoutView="100" workbookViewId="0">
      <selection activeCell="D7" sqref="D7:M7"/>
    </sheetView>
  </sheetViews>
  <sheetFormatPr baseColWidth="10" defaultColWidth="5.5546875" defaultRowHeight="15" customHeight="1" x14ac:dyDescent="0.25"/>
  <cols>
    <col min="1" max="1" width="5.5546875" style="71" customWidth="1"/>
    <col min="2" max="2" width="4.6640625" style="71" customWidth="1"/>
    <col min="3" max="3" width="2" style="71" customWidth="1"/>
    <col min="4" max="4" width="9.6640625" style="71" customWidth="1"/>
    <col min="5" max="5" width="7.109375" style="71" customWidth="1"/>
    <col min="6" max="6" width="3.6640625" style="71" customWidth="1"/>
    <col min="7" max="9" width="5.5546875" style="71" customWidth="1"/>
    <col min="10" max="10" width="11.109375" style="71" customWidth="1"/>
    <col min="11" max="11" width="8.88671875" style="71" customWidth="1"/>
    <col min="12" max="12" width="6.6640625" style="71" customWidth="1"/>
    <col min="13" max="13" width="3.109375" style="71" customWidth="1"/>
    <col min="14" max="14" width="8.88671875" style="71" customWidth="1"/>
    <col min="15" max="15" width="7.33203125" style="71" customWidth="1"/>
    <col min="16" max="16" width="6.33203125" style="71" customWidth="1"/>
    <col min="17" max="17" width="11.44140625" style="71" customWidth="1"/>
    <col min="18" max="18" width="3" style="71" customWidth="1"/>
    <col min="19" max="19" width="2.44140625" style="71" customWidth="1"/>
    <col min="20" max="20" width="5.6640625" style="71" customWidth="1"/>
    <col min="21" max="24" width="10.109375" style="71" customWidth="1"/>
    <col min="25" max="25" width="12.5546875" style="71" customWidth="1"/>
    <col min="26" max="26" width="9.5546875" style="71" customWidth="1"/>
    <col min="27" max="27" width="7" style="71" customWidth="1"/>
    <col min="28" max="29" width="11.33203125" style="71" customWidth="1"/>
    <col min="30" max="30" width="8.44140625" style="71" customWidth="1"/>
    <col min="31" max="34" width="11.44140625" style="71" customWidth="1"/>
    <col min="35" max="35" width="13.109375" style="71" customWidth="1"/>
    <col min="36" max="36" width="11.33203125" style="71" customWidth="1"/>
    <col min="37" max="37" width="11.6640625" style="71" customWidth="1"/>
    <col min="38" max="38" width="10.109375" style="71" customWidth="1"/>
    <col min="39" max="40" width="9.109375" style="71" customWidth="1"/>
    <col min="41" max="48" width="12.33203125" style="71" customWidth="1"/>
    <col min="49" max="50" width="10.109375" style="71" customWidth="1"/>
    <col min="51" max="52" width="5.5546875" style="71" customWidth="1"/>
    <col min="53" max="16384" width="5.5546875" style="71"/>
  </cols>
  <sheetData>
    <row r="1" spans="1:50" ht="15.75" customHeight="1" x14ac:dyDescent="0.25">
      <c r="A1" s="886" t="s">
        <v>0</v>
      </c>
      <c r="B1" s="896"/>
      <c r="C1" s="896"/>
      <c r="D1" s="896"/>
      <c r="E1" s="896"/>
      <c r="F1" s="896"/>
      <c r="G1" s="896"/>
      <c r="H1" s="896"/>
      <c r="I1" s="896"/>
      <c r="J1" s="896"/>
      <c r="K1" s="896"/>
      <c r="L1" s="896"/>
      <c r="M1" s="896"/>
      <c r="N1" s="896"/>
      <c r="O1" s="896"/>
      <c r="P1" s="896"/>
      <c r="Q1" s="896"/>
      <c r="R1" s="896"/>
    </row>
    <row r="2" spans="1:50" ht="15.75" customHeight="1" x14ac:dyDescent="0.25">
      <c r="A2" s="901">
        <f>+'INFORME-1'!A8:Q8</f>
        <v>0</v>
      </c>
      <c r="B2" s="848"/>
      <c r="C2" s="848"/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</row>
    <row r="3" spans="1:50" ht="9" customHeight="1" x14ac:dyDescent="0.25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5">
      <c r="A4" s="6" t="s">
        <v>1</v>
      </c>
      <c r="C4" s="7" t="s">
        <v>114</v>
      </c>
      <c r="D4" s="898">
        <f>+'INFORME-1'!C10</f>
        <v>0</v>
      </c>
      <c r="E4" s="896"/>
      <c r="F4" s="896"/>
      <c r="G4" s="896"/>
      <c r="H4" s="896"/>
      <c r="I4" s="896"/>
      <c r="J4" s="896"/>
      <c r="K4" s="896"/>
      <c r="L4" s="896"/>
      <c r="M4" s="896"/>
      <c r="O4" s="8" t="s">
        <v>115</v>
      </c>
      <c r="P4" s="9" t="s">
        <v>114</v>
      </c>
      <c r="Q4" s="10" t="str">
        <f>+'INFORME-1'!P10</f>
        <v>F-LEM-P-SU.37.02</v>
      </c>
      <c r="R4" s="10"/>
    </row>
    <row r="5" spans="1:50" ht="15.6" customHeight="1" x14ac:dyDescent="0.25">
      <c r="A5" s="6" t="s">
        <v>117</v>
      </c>
      <c r="C5" s="7" t="s">
        <v>114</v>
      </c>
      <c r="D5" s="898">
        <f>+'INFORME-1'!C11</f>
        <v>0</v>
      </c>
      <c r="E5" s="896"/>
      <c r="F5" s="896"/>
      <c r="G5" s="896"/>
      <c r="H5" s="896"/>
      <c r="I5" s="896"/>
      <c r="J5" s="896"/>
      <c r="K5" s="896"/>
      <c r="L5" s="896"/>
      <c r="M5" s="896"/>
      <c r="O5" s="11" t="s">
        <v>6</v>
      </c>
      <c r="P5" s="7" t="s">
        <v>114</v>
      </c>
      <c r="Q5" s="622">
        <f>+'INFORME-1'!P11</f>
        <v>0</v>
      </c>
      <c r="R5" s="173"/>
    </row>
    <row r="6" spans="1:50" ht="15.6" customHeight="1" x14ac:dyDescent="0.25">
      <c r="A6" s="6" t="s">
        <v>118</v>
      </c>
      <c r="C6" s="7" t="s">
        <v>114</v>
      </c>
      <c r="D6" s="905">
        <f>+'INFORME-1'!C12</f>
        <v>0</v>
      </c>
      <c r="E6" s="896"/>
      <c r="F6" s="896"/>
      <c r="G6" s="896"/>
      <c r="H6" s="896"/>
      <c r="I6" s="896"/>
      <c r="J6" s="896"/>
      <c r="K6" s="896"/>
      <c r="L6" s="896"/>
      <c r="M6" s="896"/>
      <c r="O6" s="11" t="s">
        <v>12</v>
      </c>
      <c r="P6" s="7" t="s">
        <v>114</v>
      </c>
      <c r="Q6" s="622">
        <f>+'INFORME-1'!P12</f>
        <v>0</v>
      </c>
      <c r="R6" s="173"/>
    </row>
    <row r="7" spans="1:50" ht="15.6" customHeight="1" x14ac:dyDescent="0.25">
      <c r="A7" s="6" t="s">
        <v>119</v>
      </c>
      <c r="C7" s="7" t="s">
        <v>114</v>
      </c>
      <c r="D7" s="905">
        <f>+'INFORME-1'!C13</f>
        <v>0</v>
      </c>
      <c r="E7" s="896"/>
      <c r="F7" s="896"/>
      <c r="G7" s="896"/>
      <c r="H7" s="896"/>
      <c r="I7" s="896"/>
      <c r="J7" s="896"/>
      <c r="K7" s="896"/>
      <c r="L7" s="896"/>
      <c r="M7" s="896"/>
      <c r="O7" s="11" t="s">
        <v>11</v>
      </c>
      <c r="P7" s="7" t="s">
        <v>114</v>
      </c>
      <c r="Q7" s="488">
        <f>+'INFORME-1'!P13</f>
        <v>0</v>
      </c>
      <c r="R7" s="174"/>
    </row>
    <row r="8" spans="1:50" ht="9" customHeight="1" thickBot="1" x14ac:dyDescent="0.3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3">
      <c r="A9" s="889" t="str">
        <f>+'INFORME-1'!A15</f>
        <v>Standard Test Method for California Bearing Ratio (CBR) of Laboratory-Compacted Soils</v>
      </c>
      <c r="B9" s="841"/>
      <c r="C9" s="841"/>
      <c r="D9" s="841"/>
      <c r="E9" s="841"/>
      <c r="F9" s="841"/>
      <c r="G9" s="841"/>
      <c r="H9" s="841"/>
      <c r="I9" s="841"/>
      <c r="J9" s="841"/>
      <c r="K9" s="841"/>
      <c r="L9" s="841"/>
      <c r="M9" s="841"/>
      <c r="N9" s="841"/>
      <c r="O9" s="841"/>
      <c r="P9" s="841"/>
      <c r="Q9" s="841"/>
      <c r="R9" s="835"/>
      <c r="U9" s="902" t="s">
        <v>175</v>
      </c>
      <c r="V9" s="903"/>
      <c r="W9" s="903"/>
      <c r="X9" s="903"/>
      <c r="Y9" s="903"/>
      <c r="Z9" s="903"/>
      <c r="AA9" s="903"/>
      <c r="AB9" s="903"/>
      <c r="AC9" s="903"/>
      <c r="AD9" s="904"/>
      <c r="AE9" s="902" t="s">
        <v>176</v>
      </c>
      <c r="AF9" s="903"/>
      <c r="AG9" s="903"/>
      <c r="AH9" s="903"/>
      <c r="AI9" s="903"/>
      <c r="AJ9" s="903"/>
      <c r="AK9" s="903"/>
      <c r="AL9" s="903"/>
      <c r="AM9" s="903"/>
      <c r="AN9" s="904"/>
      <c r="AO9" s="902" t="s">
        <v>177</v>
      </c>
      <c r="AP9" s="903"/>
      <c r="AQ9" s="903"/>
      <c r="AR9" s="903"/>
      <c r="AS9" s="903"/>
      <c r="AT9" s="903"/>
      <c r="AU9" s="903"/>
      <c r="AV9" s="903"/>
      <c r="AW9" s="903"/>
      <c r="AX9" s="904"/>
    </row>
    <row r="10" spans="1:50" ht="14.25" customHeight="1" x14ac:dyDescent="0.25">
      <c r="A10" s="888" t="str">
        <f>+'INFORME-1'!A16</f>
        <v>ASTM D1883-21</v>
      </c>
      <c r="B10" s="845"/>
      <c r="C10" s="845"/>
      <c r="D10" s="845"/>
      <c r="E10" s="845"/>
      <c r="F10" s="845"/>
      <c r="G10" s="845"/>
      <c r="H10" s="845"/>
      <c r="I10" s="845"/>
      <c r="J10" s="845"/>
      <c r="K10" s="845"/>
      <c r="L10" s="845"/>
      <c r="M10" s="845"/>
      <c r="N10" s="845"/>
      <c r="O10" s="845"/>
      <c r="P10" s="845"/>
      <c r="Q10" s="845"/>
      <c r="R10" s="837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" customHeight="1" x14ac:dyDescent="0.25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897" t="s">
        <v>178</v>
      </c>
      <c r="V11" s="826"/>
      <c r="W11" s="826"/>
      <c r="X11" s="821"/>
      <c r="Y11" s="222" t="s">
        <v>179</v>
      </c>
      <c r="Z11" s="25"/>
      <c r="AD11" s="80"/>
      <c r="AE11" s="897" t="s">
        <v>178</v>
      </c>
      <c r="AF11" s="826"/>
      <c r="AG11" s="826"/>
      <c r="AH11" s="821"/>
      <c r="AI11" s="222" t="s">
        <v>179</v>
      </c>
      <c r="AJ11" s="25"/>
      <c r="AN11" s="80"/>
      <c r="AO11" s="897" t="s">
        <v>178</v>
      </c>
      <c r="AP11" s="826"/>
      <c r="AQ11" s="826"/>
      <c r="AR11" s="821"/>
      <c r="AS11" s="222" t="s">
        <v>179</v>
      </c>
      <c r="AT11" s="25"/>
      <c r="AX11" s="80"/>
    </row>
    <row r="12" spans="1:50" ht="15.45" customHeight="1" x14ac:dyDescent="0.25">
      <c r="A12" s="909" t="s">
        <v>180</v>
      </c>
      <c r="B12" s="896"/>
      <c r="C12" s="896"/>
      <c r="D12" s="896"/>
      <c r="E12" s="896"/>
      <c r="F12" s="896"/>
      <c r="G12" s="896"/>
      <c r="H12" s="896"/>
      <c r="I12" s="896"/>
      <c r="J12" s="896"/>
      <c r="K12" s="896"/>
      <c r="L12" s="896"/>
      <c r="M12" s="896"/>
      <c r="N12" s="896"/>
      <c r="O12" s="896"/>
      <c r="P12" s="896"/>
      <c r="Q12" s="896"/>
      <c r="R12" s="861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5" customHeight="1" x14ac:dyDescent="0.25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181</v>
      </c>
      <c r="V13" s="20"/>
      <c r="X13" s="30" t="s">
        <v>182</v>
      </c>
      <c r="Y13" s="20"/>
      <c r="Z13" s="25"/>
      <c r="AA13" s="38" t="s">
        <v>183</v>
      </c>
      <c r="AB13" s="38"/>
      <c r="AD13" s="92"/>
      <c r="AE13" s="29" t="s">
        <v>181</v>
      </c>
      <c r="AF13" s="20"/>
      <c r="AH13" s="30" t="s">
        <v>182</v>
      </c>
      <c r="AI13" s="20"/>
      <c r="AJ13" s="25"/>
      <c r="AK13" s="30" t="s">
        <v>183</v>
      </c>
      <c r="AN13" s="92"/>
      <c r="AO13" s="29" t="s">
        <v>181</v>
      </c>
      <c r="AP13" s="20"/>
      <c r="AR13" s="30" t="s">
        <v>182</v>
      </c>
      <c r="AS13" s="20"/>
      <c r="AT13" s="25"/>
      <c r="AU13" s="30" t="s">
        <v>183</v>
      </c>
      <c r="AX13" s="92"/>
    </row>
    <row r="14" spans="1:50" s="10" customFormat="1" ht="15.45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184</v>
      </c>
      <c r="V14" s="24" t="s">
        <v>185</v>
      </c>
      <c r="X14" s="27" t="s">
        <v>186</v>
      </c>
      <c r="Y14" s="33">
        <f>(V17-V15)/(U17-U15)</f>
        <v>0</v>
      </c>
      <c r="AA14" s="24" t="s">
        <v>187</v>
      </c>
      <c r="AB14" s="24" t="s">
        <v>188</v>
      </c>
      <c r="AD14" s="92"/>
      <c r="AE14" s="238" t="s">
        <v>184</v>
      </c>
      <c r="AF14" s="24" t="s">
        <v>185</v>
      </c>
      <c r="AH14" s="27" t="s">
        <v>186</v>
      </c>
      <c r="AI14" s="33">
        <f>(AF17-AF15)/(AE17-AE15)</f>
        <v>0</v>
      </c>
      <c r="AK14" s="24" t="s">
        <v>187</v>
      </c>
      <c r="AL14" s="24" t="s">
        <v>188</v>
      </c>
      <c r="AN14" s="92"/>
      <c r="AO14" s="238" t="s">
        <v>184</v>
      </c>
      <c r="AP14" s="24" t="s">
        <v>185</v>
      </c>
      <c r="AR14" s="27" t="s">
        <v>186</v>
      </c>
      <c r="AS14" s="33">
        <f>(AP17-AP15)/(AO17-AO15)</f>
        <v>0</v>
      </c>
      <c r="AU14" s="24" t="s">
        <v>187</v>
      </c>
      <c r="AV14" s="24" t="s">
        <v>188</v>
      </c>
      <c r="AX14" s="92"/>
    </row>
    <row r="15" spans="1:50" s="10" customFormat="1" ht="15.45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189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189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189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5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190</v>
      </c>
      <c r="V16" s="24" t="s">
        <v>191</v>
      </c>
      <c r="W16" s="20"/>
      <c r="X16" s="27" t="s">
        <v>192</v>
      </c>
      <c r="Y16" s="28" t="e">
        <f>(Y15-V15)/Y14+U15</f>
        <v>#DIV/0!</v>
      </c>
      <c r="Z16" s="10" t="s">
        <v>193</v>
      </c>
      <c r="AA16" s="28">
        <f>IF(Y11="SI",Y16,0)</f>
        <v>0</v>
      </c>
      <c r="AB16" s="24">
        <f>+Y15</f>
        <v>0</v>
      </c>
      <c r="AD16" s="92"/>
      <c r="AE16" s="238" t="s">
        <v>190</v>
      </c>
      <c r="AF16" s="24" t="s">
        <v>191</v>
      </c>
      <c r="AG16" s="20"/>
      <c r="AH16" s="27" t="s">
        <v>192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190</v>
      </c>
      <c r="AP16" s="24" t="s">
        <v>191</v>
      </c>
      <c r="AQ16" s="20"/>
      <c r="AR16" s="27" t="s">
        <v>192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5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5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5" customHeight="1" x14ac:dyDescent="0.25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194</v>
      </c>
      <c r="X19" s="25"/>
      <c r="Y19" s="25"/>
      <c r="Z19" s="25"/>
      <c r="AD19" s="92"/>
      <c r="AE19" s="19"/>
      <c r="AF19" s="26" t="s">
        <v>194</v>
      </c>
      <c r="AH19" s="25"/>
      <c r="AI19" s="25"/>
      <c r="AJ19" s="25"/>
      <c r="AN19" s="92"/>
      <c r="AO19" s="19"/>
      <c r="AP19" s="26" t="s">
        <v>194</v>
      </c>
      <c r="AR19" s="25"/>
      <c r="AS19" s="25"/>
      <c r="AT19" s="25"/>
      <c r="AX19" s="92"/>
    </row>
    <row r="20" spans="1:50" s="10" customFormat="1" ht="15.45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195</v>
      </c>
      <c r="V20" s="239" t="s">
        <v>196</v>
      </c>
      <c r="W20" s="239" t="s">
        <v>197</v>
      </c>
      <c r="X20" s="239" t="s">
        <v>198</v>
      </c>
      <c r="Y20" s="239" t="s">
        <v>199</v>
      </c>
      <c r="Z20" s="239" t="s">
        <v>200</v>
      </c>
      <c r="AD20" s="92"/>
      <c r="AE20" s="238" t="s">
        <v>195</v>
      </c>
      <c r="AF20" s="239" t="s">
        <v>196</v>
      </c>
      <c r="AG20" s="239" t="s">
        <v>197</v>
      </c>
      <c r="AH20" s="239" t="s">
        <v>198</v>
      </c>
      <c r="AI20" s="239" t="s">
        <v>199</v>
      </c>
      <c r="AJ20" s="239" t="s">
        <v>200</v>
      </c>
      <c r="AN20" s="92"/>
      <c r="AO20" s="238" t="s">
        <v>195</v>
      </c>
      <c r="AP20" s="239" t="s">
        <v>196</v>
      </c>
      <c r="AQ20" s="239" t="s">
        <v>197</v>
      </c>
      <c r="AR20" s="239" t="s">
        <v>198</v>
      </c>
      <c r="AS20" s="239" t="s">
        <v>199</v>
      </c>
      <c r="AT20" s="239" t="s">
        <v>200</v>
      </c>
      <c r="AX20" s="92"/>
    </row>
    <row r="21" spans="1:50" s="10" customFormat="1" ht="15.45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5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5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201</v>
      </c>
      <c r="Z23" s="31" t="s">
        <v>202</v>
      </c>
      <c r="AD23" s="92"/>
      <c r="AE23" s="101"/>
      <c r="AG23" s="20"/>
      <c r="AH23" s="20"/>
      <c r="AI23" s="31" t="s">
        <v>201</v>
      </c>
      <c r="AJ23" s="31" t="s">
        <v>202</v>
      </c>
      <c r="AN23" s="92"/>
      <c r="AO23" s="101"/>
      <c r="AQ23" s="20"/>
      <c r="AR23" s="20"/>
      <c r="AS23" s="31" t="s">
        <v>201</v>
      </c>
      <c r="AT23" s="31" t="s">
        <v>202</v>
      </c>
      <c r="AX23" s="92"/>
    </row>
    <row r="24" spans="1:50" s="10" customFormat="1" ht="15.45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203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203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203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5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204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204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204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5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5" customHeight="1" x14ac:dyDescent="0.25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906" t="s">
        <v>205</v>
      </c>
      <c r="V27" s="899" t="s">
        <v>206</v>
      </c>
      <c r="W27" s="250"/>
      <c r="X27" s="250"/>
      <c r="Y27" s="250"/>
      <c r="Z27" s="250"/>
      <c r="AA27" s="296"/>
      <c r="AB27" s="296"/>
      <c r="AC27" s="297"/>
      <c r="AD27" s="298"/>
      <c r="AE27" s="906" t="s">
        <v>205</v>
      </c>
      <c r="AF27" s="899" t="s">
        <v>206</v>
      </c>
      <c r="AG27" s="250"/>
      <c r="AH27" s="250"/>
      <c r="AI27" s="250"/>
      <c r="AJ27" s="250"/>
      <c r="AK27" s="296"/>
      <c r="AL27" s="296"/>
      <c r="AM27" s="297"/>
      <c r="AN27" s="298"/>
      <c r="AO27" s="906" t="s">
        <v>205</v>
      </c>
      <c r="AP27" s="899" t="s">
        <v>206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5">
      <c r="A28" s="171" t="s">
        <v>207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208</v>
      </c>
      <c r="L28" s="107">
        <f>+Z55</f>
        <v>8.3166496524545608E-2</v>
      </c>
      <c r="N28" s="172" t="s">
        <v>209</v>
      </c>
      <c r="O28" s="98"/>
      <c r="Q28" s="107">
        <f>+AC55</f>
        <v>8.3166496524545608E-2</v>
      </c>
      <c r="R28" s="94"/>
      <c r="S28" s="10" t="s">
        <v>210</v>
      </c>
      <c r="U28" s="907"/>
      <c r="V28" s="900"/>
      <c r="W28" s="244" t="s">
        <v>211</v>
      </c>
      <c r="X28" s="244" t="s">
        <v>212</v>
      </c>
      <c r="Y28" s="244" t="s">
        <v>213</v>
      </c>
      <c r="Z28" s="244" t="s">
        <v>214</v>
      </c>
      <c r="AA28" s="244" t="s">
        <v>215</v>
      </c>
      <c r="AB28" s="244" t="s">
        <v>216</v>
      </c>
      <c r="AC28" s="244" t="s">
        <v>217</v>
      </c>
      <c r="AD28" s="299" t="s">
        <v>218</v>
      </c>
      <c r="AE28" s="907"/>
      <c r="AF28" s="900"/>
      <c r="AG28" s="244" t="s">
        <v>211</v>
      </c>
      <c r="AH28" s="244" t="s">
        <v>212</v>
      </c>
      <c r="AI28" s="244" t="s">
        <v>213</v>
      </c>
      <c r="AJ28" s="244" t="s">
        <v>214</v>
      </c>
      <c r="AK28" s="244" t="s">
        <v>215</v>
      </c>
      <c r="AL28" s="244" t="s">
        <v>216</v>
      </c>
      <c r="AM28" s="244" t="s">
        <v>217</v>
      </c>
      <c r="AN28" s="299" t="s">
        <v>218</v>
      </c>
      <c r="AO28" s="907"/>
      <c r="AP28" s="900"/>
      <c r="AQ28" s="244" t="s">
        <v>211</v>
      </c>
      <c r="AR28" s="244" t="s">
        <v>212</v>
      </c>
      <c r="AS28" s="244" t="s">
        <v>213</v>
      </c>
      <c r="AT28" s="244" t="s">
        <v>214</v>
      </c>
      <c r="AU28" s="244" t="s">
        <v>215</v>
      </c>
      <c r="AV28" s="244" t="s">
        <v>216</v>
      </c>
      <c r="AW28" s="244" t="s">
        <v>217</v>
      </c>
      <c r="AX28" s="299" t="s">
        <v>218</v>
      </c>
    </row>
    <row r="29" spans="1:50" s="10" customFormat="1" ht="15.45" customHeight="1" x14ac:dyDescent="0.25">
      <c r="A29" s="171" t="s">
        <v>219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220</v>
      </c>
      <c r="L29" s="107">
        <f>+Z56</f>
        <v>5.3890668418181138E-2</v>
      </c>
      <c r="N29" s="172" t="s">
        <v>221</v>
      </c>
      <c r="O29" s="98"/>
      <c r="Q29" s="107">
        <f>+AC56</f>
        <v>5.3890668418181138E-2</v>
      </c>
      <c r="R29" s="94"/>
      <c r="S29" s="10" t="s">
        <v>210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5" customHeight="1" x14ac:dyDescent="0.25">
      <c r="A30" s="171" t="s">
        <v>222</v>
      </c>
      <c r="B30" s="98"/>
      <c r="C30" s="98"/>
      <c r="D30" s="98"/>
      <c r="E30" s="95" t="e">
        <f>+DATOS!E24</f>
        <v>#N/A</v>
      </c>
      <c r="F30" s="98"/>
      <c r="G30" s="107"/>
      <c r="I30" s="172" t="s">
        <v>222</v>
      </c>
      <c r="J30" s="10"/>
      <c r="L30" s="95" t="e">
        <f>+DATOS!I24</f>
        <v>#N/A</v>
      </c>
      <c r="N30" s="172" t="s">
        <v>222</v>
      </c>
      <c r="O30" s="98"/>
      <c r="Q30" s="95" t="e">
        <f>+DATOS!M24</f>
        <v>#N/A</v>
      </c>
      <c r="R30" s="94"/>
      <c r="S30" s="10" t="s">
        <v>223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5" customHeight="1" x14ac:dyDescent="0.25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3">
      <c r="A32" s="908"/>
      <c r="B32" s="896"/>
      <c r="C32" s="896"/>
      <c r="D32" s="896"/>
      <c r="E32" s="896"/>
      <c r="F32" s="896"/>
      <c r="G32" s="896"/>
      <c r="H32" s="896"/>
      <c r="I32" s="896"/>
      <c r="J32" s="896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5" customHeight="1" thickTop="1" x14ac:dyDescent="0.25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224</v>
      </c>
      <c r="O33" s="713">
        <f>+'INFORME-1'!F25</f>
        <v>0</v>
      </c>
      <c r="P33" s="119" t="s">
        <v>162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5" customHeight="1" thickBot="1" x14ac:dyDescent="0.3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225</v>
      </c>
      <c r="O34" s="714">
        <f>+O33*0.95</f>
        <v>0</v>
      </c>
      <c r="P34" s="489" t="s">
        <v>162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5" customHeight="1" thickTop="1" x14ac:dyDescent="0.25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226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5" customHeight="1" thickBot="1" x14ac:dyDescent="0.3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227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5" customHeight="1" thickTop="1" x14ac:dyDescent="0.25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228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5" customHeight="1" thickBot="1" x14ac:dyDescent="0.3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229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5" customHeight="1" thickTop="1" x14ac:dyDescent="0.25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5" customHeight="1" x14ac:dyDescent="0.25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5" customHeight="1" x14ac:dyDescent="0.25">
      <c r="A41" s="131"/>
      <c r="R41" s="91"/>
      <c r="U41" s="302"/>
      <c r="AD41" s="80"/>
      <c r="AE41" s="302"/>
      <c r="AN41" s="80"/>
      <c r="AO41" s="302"/>
      <c r="AX41" s="80"/>
    </row>
    <row r="42" spans="1:50" ht="15.45" customHeight="1" x14ac:dyDescent="0.25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200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200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200</v>
      </c>
      <c r="AV42" s="259">
        <f t="array" ref="AV42:AV45">MMULT(AO47:AR50,AS47:AS50)</f>
        <v>0.27517333231365804</v>
      </c>
      <c r="AW42" s="247"/>
      <c r="AX42" s="80"/>
    </row>
    <row r="43" spans="1:50" ht="15.45" customHeight="1" x14ac:dyDescent="0.25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187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187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187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5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190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190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190</v>
      </c>
      <c r="AV44" s="259">
        <v>-51.590400340557608</v>
      </c>
      <c r="AW44" s="247">
        <f>2*AV44</f>
        <v>-103.18080068111522</v>
      </c>
      <c r="AX44" s="80"/>
    </row>
    <row r="45" spans="1:50" ht="15.45" customHeight="1" x14ac:dyDescent="0.25">
      <c r="A45" s="13" t="s">
        <v>230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231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231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231</v>
      </c>
      <c r="AV45" s="259">
        <v>75.335239151102542</v>
      </c>
      <c r="AW45" s="247">
        <f>3*AV45</f>
        <v>226.00571745330762</v>
      </c>
      <c r="AX45" s="80"/>
    </row>
    <row r="46" spans="1:50" ht="13.2" customHeight="1" x14ac:dyDescent="0.25">
      <c r="A46" s="15" t="s">
        <v>232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5">
      <c r="A47" s="895" t="s">
        <v>233</v>
      </c>
      <c r="B47" s="896"/>
      <c r="C47" s="896"/>
      <c r="D47" s="896"/>
      <c r="E47" s="896"/>
      <c r="F47" s="896"/>
      <c r="G47" s="896"/>
      <c r="H47" s="896"/>
      <c r="I47" s="896"/>
      <c r="J47" s="896"/>
      <c r="K47" s="896"/>
      <c r="L47" s="896"/>
      <c r="M47" s="896"/>
      <c r="N47" s="896"/>
      <c r="O47" s="896"/>
      <c r="P47" s="896"/>
      <c r="Q47" s="896"/>
      <c r="R47" s="896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95" customHeight="1" x14ac:dyDescent="0.25">
      <c r="A48" s="15" t="s">
        <v>234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5">
      <c r="A49" s="895" t="s">
        <v>235</v>
      </c>
      <c r="B49" s="896"/>
      <c r="C49" s="896"/>
      <c r="D49" s="896"/>
      <c r="E49" s="896"/>
      <c r="F49" s="896"/>
      <c r="G49" s="896"/>
      <c r="H49" s="896"/>
      <c r="I49" s="896"/>
      <c r="J49" s="896"/>
      <c r="K49" s="896"/>
      <c r="L49" s="896"/>
      <c r="M49" s="896"/>
      <c r="N49" s="896"/>
      <c r="O49" s="896"/>
      <c r="P49" s="896"/>
      <c r="Q49" s="896"/>
      <c r="R49" s="896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5">
      <c r="A50" s="895" t="s">
        <v>236</v>
      </c>
      <c r="B50" s="896"/>
      <c r="C50" s="896"/>
      <c r="D50" s="896"/>
      <c r="E50" s="896"/>
      <c r="F50" s="896"/>
      <c r="G50" s="896"/>
      <c r="H50" s="896"/>
      <c r="I50" s="896"/>
      <c r="J50" s="896"/>
      <c r="K50" s="896"/>
      <c r="L50" s="896"/>
      <c r="M50" s="896"/>
      <c r="N50" s="896"/>
      <c r="O50" s="896"/>
      <c r="P50" s="896"/>
      <c r="Q50" s="896"/>
      <c r="R50" s="896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3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3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5" customHeight="1" x14ac:dyDescent="0.25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237</v>
      </c>
      <c r="V53" s="136"/>
      <c r="W53" s="137"/>
      <c r="X53" s="135" t="s">
        <v>238</v>
      </c>
      <c r="Y53" s="136"/>
      <c r="Z53" s="136"/>
      <c r="AA53" s="135" t="s">
        <v>239</v>
      </c>
      <c r="AB53" s="136"/>
      <c r="AC53" s="138"/>
    </row>
    <row r="54" spans="1:50" ht="12" customHeight="1" x14ac:dyDescent="0.25">
      <c r="E54" s="74"/>
      <c r="L54" s="74"/>
      <c r="U54" s="243" t="s">
        <v>240</v>
      </c>
      <c r="V54" s="225" t="s">
        <v>241</v>
      </c>
      <c r="W54" s="164" t="s">
        <v>19</v>
      </c>
      <c r="X54" s="243" t="s">
        <v>240</v>
      </c>
      <c r="Y54" s="225" t="s">
        <v>241</v>
      </c>
      <c r="Z54" s="164" t="s">
        <v>19</v>
      </c>
      <c r="AA54" s="243" t="s">
        <v>240</v>
      </c>
      <c r="AB54" s="225" t="s">
        <v>241</v>
      </c>
      <c r="AC54" s="164" t="s">
        <v>19</v>
      </c>
    </row>
    <row r="55" spans="1:50" ht="12" customHeight="1" x14ac:dyDescent="0.25">
      <c r="E55" s="74"/>
      <c r="L55" s="74"/>
      <c r="U55" s="243" t="s">
        <v>242</v>
      </c>
      <c r="V55" s="258">
        <f>+Z24</f>
        <v>0.83166496524545597</v>
      </c>
      <c r="W55" s="139">
        <f>V55/1000*100</f>
        <v>8.3166496524545608E-2</v>
      </c>
      <c r="X55" s="243" t="s">
        <v>242</v>
      </c>
      <c r="Y55" s="258">
        <f>+AJ24</f>
        <v>0.83166496524545597</v>
      </c>
      <c r="Z55" s="139">
        <f>Y55/1000*100</f>
        <v>8.3166496524545608E-2</v>
      </c>
      <c r="AA55" s="243" t="s">
        <v>242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3">
      <c r="E56" s="74"/>
      <c r="L56" s="74"/>
      <c r="U56" s="140" t="s">
        <v>243</v>
      </c>
      <c r="V56" s="64">
        <f>+Z25</f>
        <v>0.80836002627271708</v>
      </c>
      <c r="W56" s="65">
        <f>V56/1500*100</f>
        <v>5.3890668418181138E-2</v>
      </c>
      <c r="X56" s="140" t="s">
        <v>243</v>
      </c>
      <c r="Y56" s="64">
        <f>+AJ25</f>
        <v>0.80836002627271708</v>
      </c>
      <c r="Z56" s="65">
        <f>Y56/1500*100</f>
        <v>5.3890668418181138E-2</v>
      </c>
      <c r="AA56" s="140" t="s">
        <v>243</v>
      </c>
      <c r="AB56" s="64">
        <f>+AT25</f>
        <v>0.80836002627271708</v>
      </c>
      <c r="AC56" s="65">
        <f>AB56/1500*100</f>
        <v>5.3890668418181138E-2</v>
      </c>
    </row>
    <row r="57" spans="1:50" ht="7.95" customHeight="1" thickBot="1" x14ac:dyDescent="0.3">
      <c r="E57" s="74"/>
      <c r="L57" s="74"/>
    </row>
    <row r="58" spans="1:50" ht="10.95" customHeight="1" x14ac:dyDescent="0.25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244</v>
      </c>
      <c r="V58" s="241" t="s">
        <v>245</v>
      </c>
      <c r="W58" s="241" t="s">
        <v>246</v>
      </c>
      <c r="X58" s="241" t="s">
        <v>247</v>
      </c>
      <c r="Y58" s="242"/>
    </row>
    <row r="59" spans="1:50" ht="13.95" customHeight="1" x14ac:dyDescent="0.25">
      <c r="A59" s="4" t="s">
        <v>248</v>
      </c>
      <c r="E59" s="74"/>
      <c r="L59" s="74"/>
      <c r="U59" s="226" t="s">
        <v>249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250</v>
      </c>
    </row>
    <row r="60" spans="1:50" ht="16.95" customHeight="1" x14ac:dyDescent="0.25">
      <c r="A60" s="10" t="s">
        <v>173</v>
      </c>
      <c r="R60" s="17" t="s">
        <v>174</v>
      </c>
      <c r="U60" s="226" t="s">
        <v>187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251</v>
      </c>
    </row>
    <row r="61" spans="1:50" ht="15.75" customHeight="1" x14ac:dyDescent="0.25">
      <c r="U61" s="230" t="s">
        <v>252</v>
      </c>
      <c r="V61" s="236"/>
      <c r="W61" s="236"/>
      <c r="X61" s="236"/>
      <c r="Y61" s="237"/>
    </row>
    <row r="62" spans="1:50" ht="15.75" customHeight="1" x14ac:dyDescent="0.25">
      <c r="A62" s="143"/>
      <c r="J62" s="143"/>
      <c r="U62" s="230" t="s">
        <v>188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253</v>
      </c>
    </row>
    <row r="63" spans="1:50" ht="15.75" customHeight="1" thickBot="1" x14ac:dyDescent="0.3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187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254</v>
      </c>
    </row>
    <row r="64" spans="1:50" ht="15" customHeight="1" x14ac:dyDescent="0.25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5">
      <c r="P72" s="175"/>
      <c r="Q72" s="175"/>
    </row>
    <row r="73" spans="16:17" ht="15" customHeight="1" x14ac:dyDescent="0.25">
      <c r="P73" s="176"/>
      <c r="Q73" s="176"/>
    </row>
    <row r="85" spans="26:31" ht="15" customHeight="1" x14ac:dyDescent="0.25">
      <c r="AE85" s="245"/>
    </row>
    <row r="86" spans="26:31" ht="15" customHeight="1" x14ac:dyDescent="0.25">
      <c r="Z86" s="245"/>
      <c r="AA86" s="245"/>
      <c r="AB86" s="245"/>
      <c r="AC86" s="245"/>
      <c r="AD86" s="245"/>
    </row>
    <row r="87" spans="26:31" ht="15" customHeight="1" x14ac:dyDescent="0.25">
      <c r="Z87" s="245"/>
      <c r="AA87" s="245"/>
      <c r="AB87" s="245"/>
      <c r="AC87" s="245"/>
      <c r="AD87" s="245"/>
    </row>
    <row r="88" spans="26:31" ht="15" customHeight="1" x14ac:dyDescent="0.25">
      <c r="Z88" s="245"/>
      <c r="AD88" s="245"/>
    </row>
    <row r="89" spans="26:31" ht="15" customHeight="1" x14ac:dyDescent="0.25">
      <c r="Z89" s="245"/>
      <c r="AD89" s="245"/>
    </row>
    <row r="90" spans="26:31" ht="15" customHeight="1" x14ac:dyDescent="0.25">
      <c r="Z90" s="245"/>
      <c r="AD90" s="245"/>
    </row>
    <row r="91" spans="26:31" ht="15" customHeight="1" x14ac:dyDescent="0.25">
      <c r="Z91" s="245"/>
      <c r="AD91" s="245"/>
    </row>
    <row r="92" spans="26:31" ht="15" customHeight="1" x14ac:dyDescent="0.25">
      <c r="Z92" s="245"/>
      <c r="AA92" s="245"/>
      <c r="AB92" s="245"/>
      <c r="AC92" s="245"/>
      <c r="AD92" s="245"/>
    </row>
  </sheetData>
  <sheetProtection algorithmName="SHA-512" hashValue="BMoqYqj8N6iHSL9PTSW0yNvSp8I+XXTm3BmETABO0YZonc6Be+dUgmJ4pliNQL2QgJCWvW1k8wOLEyY7Nq6U/Q==" saltValue="a9kmzddIiA27SP0uqv3ohA==" spinCount="100000" sheet="1" selectLockedCells="1" selectUnlockedCells="1"/>
  <mergeCells count="25">
    <mergeCell ref="AP27:AP28"/>
    <mergeCell ref="D7:M7"/>
    <mergeCell ref="AO27:AO28"/>
    <mergeCell ref="D4:M4"/>
    <mergeCell ref="AE9:AN9"/>
    <mergeCell ref="A1:R1"/>
    <mergeCell ref="AO9:AX9"/>
    <mergeCell ref="A12:R12"/>
    <mergeCell ref="AO11:AR11"/>
    <mergeCell ref="A50:R50"/>
    <mergeCell ref="AE11:AH11"/>
    <mergeCell ref="D5:M5"/>
    <mergeCell ref="V27:V28"/>
    <mergeCell ref="A2:R2"/>
    <mergeCell ref="A47:R47"/>
    <mergeCell ref="U9:AD9"/>
    <mergeCell ref="A10:R10"/>
    <mergeCell ref="D6:M6"/>
    <mergeCell ref="U11:X11"/>
    <mergeCell ref="A9:R9"/>
    <mergeCell ref="AE27:AE28"/>
    <mergeCell ref="A49:R49"/>
    <mergeCell ref="AF27:AF28"/>
    <mergeCell ref="A32:J32"/>
    <mergeCell ref="U27:U28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1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showWhiteSpace="0" topLeftCell="A7" zoomScale="85" zoomScaleNormal="85" zoomScaleSheetLayoutView="100" workbookViewId="0">
      <selection activeCell="W9" sqref="W9"/>
    </sheetView>
  </sheetViews>
  <sheetFormatPr baseColWidth="10" defaultColWidth="11.44140625" defaultRowHeight="15" customHeight="1" x14ac:dyDescent="0.25"/>
  <cols>
    <col min="1" max="1" width="14" style="67" customWidth="1"/>
    <col min="2" max="2" width="17.88671875" style="67" customWidth="1"/>
    <col min="3" max="3" width="9.5546875" style="67" customWidth="1"/>
    <col min="4" max="9" width="8.6640625" style="67" customWidth="1"/>
    <col min="10" max="10" width="10.44140625" style="67" customWidth="1"/>
    <col min="11" max="12" width="8.6640625" style="67" customWidth="1"/>
    <col min="13" max="13" width="9.6640625" style="67" customWidth="1"/>
    <col min="14" max="14" width="10.33203125" style="67" customWidth="1"/>
    <col min="15" max="16" width="11.33203125" style="67" customWidth="1"/>
    <col min="17" max="17" width="9" style="67" customWidth="1"/>
    <col min="18" max="18" width="8.33203125" style="67" customWidth="1"/>
    <col min="19" max="19" width="9.6640625" style="67" customWidth="1"/>
    <col min="20" max="20" width="10.5546875" style="67" customWidth="1"/>
    <col min="21" max="21" width="15.109375" style="67" customWidth="1"/>
    <col min="22" max="22" width="7.88671875" style="67" customWidth="1"/>
    <col min="23" max="25" width="8.88671875" style="67" customWidth="1"/>
    <col min="26" max="26" width="3" style="67" customWidth="1"/>
    <col min="27" max="28" width="11.44140625" style="67" customWidth="1"/>
    <col min="29" max="16384" width="11.44140625" style="67"/>
  </cols>
  <sheetData>
    <row r="1" spans="1:28" ht="8.25" customHeight="1" x14ac:dyDescent="0.25"/>
    <row r="2" spans="1:28" ht="15" customHeight="1" x14ac:dyDescent="0.25">
      <c r="A2" s="947" t="s">
        <v>255</v>
      </c>
      <c r="B2" s="869"/>
      <c r="C2" s="870"/>
      <c r="D2" s="928" t="s">
        <v>143</v>
      </c>
      <c r="E2" s="870"/>
      <c r="F2" s="5">
        <f>+FORMATO!K9</f>
        <v>0</v>
      </c>
      <c r="G2" s="486" t="s">
        <v>133</v>
      </c>
      <c r="H2" s="487"/>
      <c r="I2" s="179"/>
      <c r="J2" s="485"/>
      <c r="K2" s="801">
        <v>0.02</v>
      </c>
      <c r="L2" s="915" t="s">
        <v>256</v>
      </c>
      <c r="M2" s="869"/>
      <c r="N2" s="870"/>
      <c r="O2" s="589" t="s">
        <v>257</v>
      </c>
      <c r="Q2" s="946" t="s">
        <v>258</v>
      </c>
      <c r="R2" s="869"/>
      <c r="S2" s="869"/>
      <c r="T2" s="869"/>
      <c r="U2" s="870"/>
      <c r="W2" s="942" t="s">
        <v>259</v>
      </c>
      <c r="X2" s="826"/>
      <c r="Y2" s="821"/>
      <c r="AA2" s="574" t="s">
        <v>260</v>
      </c>
      <c r="AB2" s="461"/>
    </row>
    <row r="3" spans="1:28" ht="15" customHeight="1" x14ac:dyDescent="0.25">
      <c r="A3" s="177" t="s">
        <v>261</v>
      </c>
      <c r="B3" s="178"/>
      <c r="C3" s="179"/>
      <c r="D3" s="914" t="s">
        <v>143</v>
      </c>
      <c r="E3" s="870"/>
      <c r="F3" s="66"/>
      <c r="G3" s="486" t="s">
        <v>135</v>
      </c>
      <c r="H3" s="178"/>
      <c r="I3" s="179"/>
      <c r="J3" s="485"/>
      <c r="K3" s="801"/>
      <c r="L3" s="591" t="s">
        <v>262</v>
      </c>
      <c r="M3" s="592" t="s">
        <v>263</v>
      </c>
      <c r="N3" s="593"/>
      <c r="O3" s="589" t="s">
        <v>264</v>
      </c>
      <c r="Q3" s="180" t="s">
        <v>262</v>
      </c>
      <c r="R3" s="180" t="s">
        <v>265</v>
      </c>
      <c r="S3" s="491" t="s">
        <v>266</v>
      </c>
      <c r="T3" s="491" t="s">
        <v>267</v>
      </c>
      <c r="U3" s="491" t="s">
        <v>268</v>
      </c>
      <c r="W3" s="187">
        <f>+D17</f>
        <v>0</v>
      </c>
      <c r="X3" s="187">
        <f>+H17</f>
        <v>0</v>
      </c>
      <c r="Y3" s="187">
        <f>+L17</f>
        <v>0</v>
      </c>
      <c r="AA3" s="456" t="s">
        <v>269</v>
      </c>
      <c r="AB3" s="457" t="s">
        <v>270</v>
      </c>
    </row>
    <row r="4" spans="1:28" ht="15" customHeight="1" x14ac:dyDescent="0.25">
      <c r="A4" s="177" t="s">
        <v>271</v>
      </c>
      <c r="B4" s="178"/>
      <c r="C4" s="179"/>
      <c r="D4" s="932" t="s">
        <v>143</v>
      </c>
      <c r="E4" s="933"/>
      <c r="F4" s="5"/>
      <c r="G4" s="486" t="s">
        <v>137</v>
      </c>
      <c r="H4" s="178"/>
      <c r="I4" s="179"/>
      <c r="J4" s="778"/>
      <c r="K4" s="802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0">
        <f>+Balanza!D12</f>
        <v>46160</v>
      </c>
      <c r="Q4" s="618" t="s">
        <v>272</v>
      </c>
      <c r="R4" s="799">
        <v>8178</v>
      </c>
      <c r="S4" s="804">
        <v>2122.1999999999998</v>
      </c>
      <c r="T4" s="805">
        <v>116.5</v>
      </c>
      <c r="U4" s="805">
        <v>152.29499999999999</v>
      </c>
      <c r="V4" s="735" t="s">
        <v>75</v>
      </c>
      <c r="W4" s="425" t="e">
        <f>VLOOKUP(D17,Q4:U21,4,FALSE)</f>
        <v>#N/A</v>
      </c>
      <c r="X4" s="425" t="e">
        <f>VLOOKUP(H17,Q4:U21,4,FALSE)</f>
        <v>#N/A</v>
      </c>
      <c r="Y4" s="425" t="e">
        <f>VLOOKUP(L17,Q4:U21,4,FALSE)</f>
        <v>#N/A</v>
      </c>
      <c r="AA4" s="373">
        <v>1</v>
      </c>
      <c r="AB4" s="458">
        <v>49.6</v>
      </c>
    </row>
    <row r="5" spans="1:28" ht="15" customHeight="1" x14ac:dyDescent="0.25">
      <c r="A5" s="177" t="s">
        <v>273</v>
      </c>
      <c r="B5" s="178"/>
      <c r="C5" s="178"/>
      <c r="D5" s="928" t="s">
        <v>143</v>
      </c>
      <c r="E5" s="870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0">
        <f>+Balanza!O12</f>
        <v>46132</v>
      </c>
      <c r="Q5" s="618" t="s">
        <v>274</v>
      </c>
      <c r="R5" s="799">
        <v>7715</v>
      </c>
      <c r="S5" s="804">
        <v>2119.4</v>
      </c>
      <c r="T5" s="806">
        <v>116.35</v>
      </c>
      <c r="U5" s="805">
        <v>152.29499999999999</v>
      </c>
      <c r="V5" s="735" t="s">
        <v>78</v>
      </c>
      <c r="AA5" s="373">
        <v>2</v>
      </c>
      <c r="AB5" s="458">
        <v>49.61</v>
      </c>
    </row>
    <row r="6" spans="1:28" ht="15" customHeight="1" x14ac:dyDescent="0.25">
      <c r="A6" s="177" t="s">
        <v>157</v>
      </c>
      <c r="B6" s="178"/>
      <c r="C6" s="179"/>
      <c r="D6" s="928" t="s">
        <v>143</v>
      </c>
      <c r="E6" s="870"/>
      <c r="F6" s="66"/>
      <c r="G6" s="66"/>
      <c r="Q6" s="618" t="s">
        <v>275</v>
      </c>
      <c r="R6" s="799">
        <v>8378</v>
      </c>
      <c r="S6" s="804">
        <v>2121.3000000000002</v>
      </c>
      <c r="T6" s="806">
        <v>116.62</v>
      </c>
      <c r="U6" s="805">
        <v>152.185</v>
      </c>
      <c r="V6" s="735" t="s">
        <v>81</v>
      </c>
      <c r="AA6" s="373">
        <v>3</v>
      </c>
      <c r="AB6" s="458">
        <v>49.6</v>
      </c>
    </row>
    <row r="7" spans="1:28" ht="15" customHeight="1" x14ac:dyDescent="0.25">
      <c r="L7" s="949" t="s">
        <v>276</v>
      </c>
      <c r="M7" s="875"/>
      <c r="N7" s="490">
        <v>1</v>
      </c>
      <c r="Q7" s="618" t="s">
        <v>277</v>
      </c>
      <c r="R7" s="799">
        <v>8105</v>
      </c>
      <c r="S7" s="804">
        <v>2125</v>
      </c>
      <c r="T7" s="806">
        <v>116.59</v>
      </c>
      <c r="U7" s="805">
        <v>152.33500000000001</v>
      </c>
      <c r="V7" s="807" t="s">
        <v>84</v>
      </c>
      <c r="AA7" s="373">
        <v>4</v>
      </c>
      <c r="AB7" s="458">
        <v>49.6</v>
      </c>
    </row>
    <row r="8" spans="1:28" ht="15" customHeight="1" x14ac:dyDescent="0.25">
      <c r="A8" s="177" t="s">
        <v>278</v>
      </c>
      <c r="B8" s="181"/>
      <c r="C8" s="180" t="s">
        <v>279</v>
      </c>
      <c r="D8" s="918">
        <f>+AB9+INCERT!D80</f>
        <v>49.603844559999999</v>
      </c>
      <c r="E8" s="870"/>
      <c r="F8" s="735" t="s">
        <v>280</v>
      </c>
      <c r="G8" s="735"/>
      <c r="P8" s="218"/>
      <c r="Q8" s="618" t="s">
        <v>281</v>
      </c>
      <c r="R8" s="799">
        <v>7581</v>
      </c>
      <c r="S8" s="804">
        <v>2126.1</v>
      </c>
      <c r="T8" s="806">
        <v>116.69</v>
      </c>
      <c r="U8" s="805">
        <v>152.315</v>
      </c>
      <c r="V8" s="807" t="s">
        <v>87</v>
      </c>
      <c r="AA8" s="373">
        <v>5</v>
      </c>
      <c r="AB8" s="458">
        <v>49.61</v>
      </c>
    </row>
    <row r="9" spans="1:28" ht="15" customHeight="1" x14ac:dyDescent="0.25">
      <c r="A9" s="177" t="s">
        <v>282</v>
      </c>
      <c r="B9" s="179"/>
      <c r="C9" s="180" t="s">
        <v>283</v>
      </c>
      <c r="D9" s="913">
        <f>((D8^2)*PI()/4)/100</f>
        <v>19.325046927005715</v>
      </c>
      <c r="E9" s="870"/>
      <c r="P9" s="218"/>
      <c r="Q9" s="618" t="s">
        <v>284</v>
      </c>
      <c r="R9" s="799">
        <v>8172</v>
      </c>
      <c r="S9" s="804">
        <v>2124.6</v>
      </c>
      <c r="T9" s="806">
        <v>116.67</v>
      </c>
      <c r="U9" s="805">
        <v>152.27000000000001</v>
      </c>
      <c r="V9" s="807" t="s">
        <v>90</v>
      </c>
      <c r="AA9" s="371" t="s">
        <v>285</v>
      </c>
      <c r="AB9" s="585">
        <f>+AVERAGE(AB4:AB8)</f>
        <v>49.603999999999999</v>
      </c>
    </row>
    <row r="10" spans="1:28" ht="15" customHeight="1" x14ac:dyDescent="0.25">
      <c r="A10" s="177" t="s">
        <v>286</v>
      </c>
      <c r="B10" s="183"/>
      <c r="C10" s="165" t="s">
        <v>287</v>
      </c>
      <c r="D10" s="948">
        <f>+FORMATO!D25</f>
        <v>0</v>
      </c>
      <c r="E10" s="870"/>
      <c r="F10" s="779" t="str">
        <f>+IF(AND(D10&gt;18,D10&lt;24),"conforme","Temperatura Fuera del rango")</f>
        <v>Temperatura Fuera del rango</v>
      </c>
      <c r="M10" s="184"/>
      <c r="O10" s="1"/>
      <c r="P10" s="218"/>
      <c r="Q10" s="618" t="s">
        <v>288</v>
      </c>
      <c r="R10" s="799">
        <v>7844</v>
      </c>
      <c r="S10" s="804">
        <v>2126.1</v>
      </c>
      <c r="T10" s="806">
        <v>116.7</v>
      </c>
      <c r="U10" s="805">
        <v>152.30500000000001</v>
      </c>
      <c r="V10" s="807" t="s">
        <v>92</v>
      </c>
    </row>
    <row r="11" spans="1:28" ht="15" customHeight="1" x14ac:dyDescent="0.25">
      <c r="A11" s="177" t="s">
        <v>289</v>
      </c>
      <c r="B11" s="183"/>
      <c r="C11" s="165" t="s">
        <v>287</v>
      </c>
      <c r="D11" s="948">
        <f>+FORMATO!D26</f>
        <v>0</v>
      </c>
      <c r="E11" s="870"/>
      <c r="F11" s="779" t="str">
        <f>+IF(AND(D11&gt;18,D11&lt;24),"conforme","Temperatura Fuera del rango")</f>
        <v>Temperatura Fuera del rango</v>
      </c>
      <c r="P11" s="218"/>
      <c r="Q11" s="618" t="s">
        <v>290</v>
      </c>
      <c r="R11" s="799">
        <v>7874</v>
      </c>
      <c r="S11" s="804">
        <v>2127.8000000000002</v>
      </c>
      <c r="T11" s="806">
        <v>116.69</v>
      </c>
      <c r="U11" s="805">
        <v>152.375</v>
      </c>
      <c r="V11" s="807" t="s">
        <v>96</v>
      </c>
    </row>
    <row r="12" spans="1:28" ht="15" customHeight="1" x14ac:dyDescent="0.25">
      <c r="P12" s="218"/>
      <c r="Q12" s="618" t="s">
        <v>291</v>
      </c>
      <c r="R12" s="799">
        <v>8010</v>
      </c>
      <c r="S12" s="804">
        <v>2125.8000000000002</v>
      </c>
      <c r="T12" s="806">
        <v>116.69</v>
      </c>
      <c r="U12" s="805">
        <v>152.30000000000001</v>
      </c>
      <c r="V12" s="807" t="s">
        <v>99</v>
      </c>
    </row>
    <row r="13" spans="1:28" ht="15" customHeight="1" thickBot="1" x14ac:dyDescent="0.3">
      <c r="Q13" s="773"/>
      <c r="R13" s="808"/>
      <c r="S13" s="809"/>
      <c r="T13" s="773"/>
      <c r="U13" s="810"/>
      <c r="V13" s="736"/>
    </row>
    <row r="14" spans="1:28" ht="18" customHeight="1" thickBot="1" x14ac:dyDescent="0.3">
      <c r="A14" s="953" t="s">
        <v>292</v>
      </c>
      <c r="B14" s="951"/>
      <c r="C14" s="951"/>
      <c r="D14" s="951"/>
      <c r="E14" s="951"/>
      <c r="F14" s="951"/>
      <c r="G14" s="951"/>
      <c r="H14" s="951"/>
      <c r="I14" s="951"/>
      <c r="J14" s="951"/>
      <c r="K14" s="951"/>
      <c r="L14" s="951"/>
      <c r="M14" s="951"/>
      <c r="N14" s="951"/>
      <c r="O14" s="954"/>
      <c r="Q14" s="773"/>
      <c r="R14" s="808"/>
      <c r="S14" s="809"/>
      <c r="T14" s="773"/>
      <c r="U14" s="810"/>
      <c r="V14" s="736"/>
      <c r="W14" s="185"/>
      <c r="X14" s="185"/>
      <c r="Y14" s="185"/>
    </row>
    <row r="15" spans="1:28" ht="18" customHeight="1" x14ac:dyDescent="0.25">
      <c r="A15" s="935" t="s">
        <v>156</v>
      </c>
      <c r="B15" s="920"/>
      <c r="C15" s="936"/>
      <c r="D15" s="919">
        <v>56</v>
      </c>
      <c r="E15" s="920"/>
      <c r="F15" s="920"/>
      <c r="G15" s="921"/>
      <c r="H15" s="919">
        <v>25</v>
      </c>
      <c r="I15" s="920"/>
      <c r="J15" s="920"/>
      <c r="K15" s="921"/>
      <c r="L15" s="919">
        <v>10</v>
      </c>
      <c r="M15" s="920"/>
      <c r="N15" s="920"/>
      <c r="O15" s="921"/>
      <c r="Q15" s="773"/>
      <c r="R15" s="808"/>
      <c r="S15" s="809"/>
      <c r="T15" s="773"/>
      <c r="U15" s="810"/>
      <c r="V15" s="736"/>
      <c r="W15" s="185"/>
      <c r="X15" s="185"/>
    </row>
    <row r="16" spans="1:28" s="1" customFormat="1" ht="18" customHeight="1" x14ac:dyDescent="0.25">
      <c r="A16" s="57" t="s">
        <v>293</v>
      </c>
      <c r="B16" s="40"/>
      <c r="C16" s="58"/>
      <c r="D16" s="944" t="s">
        <v>39</v>
      </c>
      <c r="E16" s="821"/>
      <c r="F16" s="872" t="s">
        <v>40</v>
      </c>
      <c r="G16" s="821"/>
      <c r="H16" s="944" t="s">
        <v>39</v>
      </c>
      <c r="I16" s="821"/>
      <c r="J16" s="872" t="s">
        <v>40</v>
      </c>
      <c r="K16" s="821"/>
      <c r="L16" s="944" t="s">
        <v>39</v>
      </c>
      <c r="M16" s="821"/>
      <c r="N16" s="872" t="s">
        <v>40</v>
      </c>
      <c r="O16" s="821"/>
      <c r="P16" s="67"/>
      <c r="Q16" s="773"/>
      <c r="R16" s="811"/>
      <c r="S16" s="812"/>
      <c r="T16" s="813"/>
      <c r="U16" s="814"/>
      <c r="V16" s="736"/>
      <c r="W16" s="185"/>
      <c r="X16" s="185"/>
    </row>
    <row r="17" spans="1:25" s="1" customFormat="1" ht="28.8" customHeight="1" x14ac:dyDescent="0.25">
      <c r="A17" s="57" t="s">
        <v>294</v>
      </c>
      <c r="B17" s="40"/>
      <c r="C17" s="58"/>
      <c r="D17" s="922"/>
      <c r="E17" s="869"/>
      <c r="F17" s="869"/>
      <c r="G17" s="923"/>
      <c r="H17" s="922"/>
      <c r="I17" s="869"/>
      <c r="J17" s="869"/>
      <c r="K17" s="923"/>
      <c r="L17" s="955"/>
      <c r="M17" s="869"/>
      <c r="N17" s="869"/>
      <c r="O17" s="923"/>
      <c r="P17" s="800"/>
      <c r="Q17" s="773"/>
      <c r="R17" s="811"/>
      <c r="S17" s="812"/>
      <c r="T17" s="813"/>
      <c r="U17" s="814"/>
      <c r="V17" s="736"/>
      <c r="W17" s="185"/>
      <c r="X17" s="185"/>
    </row>
    <row r="18" spans="1:25" s="1" customFormat="1" ht="18" customHeight="1" x14ac:dyDescent="0.25">
      <c r="A18" s="916" t="s">
        <v>295</v>
      </c>
      <c r="B18" s="821"/>
      <c r="C18" s="164" t="s">
        <v>22</v>
      </c>
      <c r="D18" s="620">
        <f>+FORMATO!D27</f>
        <v>0</v>
      </c>
      <c r="E18" s="41">
        <f>+D18+$N$4*D18</f>
        <v>0</v>
      </c>
      <c r="F18" s="620">
        <f>+FORMATO!F27</f>
        <v>0</v>
      </c>
      <c r="G18" s="45">
        <f>+F18+$N$4*F18</f>
        <v>0</v>
      </c>
      <c r="H18" s="620">
        <f>+FORMATO!H27</f>
        <v>0</v>
      </c>
      <c r="I18" s="41">
        <f>+H18+$N$4*H18</f>
        <v>0</v>
      </c>
      <c r="J18" s="620">
        <f>+FORMATO!J27</f>
        <v>0</v>
      </c>
      <c r="K18" s="45">
        <f>+J18+$N$4*J18</f>
        <v>0</v>
      </c>
      <c r="L18" s="620">
        <f>+FORMATO!L27</f>
        <v>0</v>
      </c>
      <c r="M18" s="41">
        <f>+L18+$N$4*L18</f>
        <v>0</v>
      </c>
      <c r="N18" s="620">
        <f>+FORMATO!O27</f>
        <v>0</v>
      </c>
      <c r="O18" s="45">
        <f>+N18+$N$4*N18</f>
        <v>0</v>
      </c>
      <c r="P18" s="67"/>
      <c r="Q18" s="773"/>
      <c r="R18" s="811"/>
      <c r="S18" s="812"/>
      <c r="T18" s="813"/>
      <c r="U18" s="814"/>
      <c r="V18" s="736"/>
      <c r="W18" s="185"/>
      <c r="X18" s="185"/>
      <c r="Y18" s="185"/>
    </row>
    <row r="19" spans="1:25" s="1" customFormat="1" ht="18" customHeight="1" x14ac:dyDescent="0.25">
      <c r="A19" s="916" t="s">
        <v>296</v>
      </c>
      <c r="B19" s="821"/>
      <c r="C19" s="164" t="s">
        <v>22</v>
      </c>
      <c r="D19" s="50"/>
      <c r="E19" s="41" t="e">
        <f>VLOOKUP($D$17,$Q$4:$U$21,2,FALSE)</f>
        <v>#N/A</v>
      </c>
      <c r="G19" s="41" t="e">
        <f>VLOOKUP($D$17,$Q$4:$U$21,2,FALSE)</f>
        <v>#N/A</v>
      </c>
      <c r="H19" s="52"/>
      <c r="I19" s="41" t="e">
        <f>VLOOKUP($H$17,$Q$4:$U$21,2,FALSE)</f>
        <v>#N/A</v>
      </c>
      <c r="J19" s="39"/>
      <c r="K19" s="41" t="e">
        <f>VLOOKUP($H$17,$Q$4:$U$21,2,FALSE)</f>
        <v>#N/A</v>
      </c>
      <c r="L19" s="52"/>
      <c r="M19" s="41" t="e">
        <f>VLOOKUP($L$17,$Q$4:$U$21,2,FALSE)</f>
        <v>#N/A</v>
      </c>
      <c r="N19" s="39"/>
      <c r="O19" s="45" t="e">
        <f>VLOOKUP($L$17,$Q$4:$U$21,2,FALSE)</f>
        <v>#N/A</v>
      </c>
      <c r="P19" s="67"/>
      <c r="Q19" s="773"/>
      <c r="R19" s="811"/>
      <c r="S19" s="812"/>
      <c r="T19" s="813"/>
      <c r="U19" s="814"/>
      <c r="V19" s="736"/>
      <c r="W19" s="185"/>
      <c r="X19" s="185"/>
      <c r="Y19" s="185"/>
    </row>
    <row r="20" spans="1:25" s="1" customFormat="1" ht="18" customHeight="1" x14ac:dyDescent="0.25">
      <c r="A20" s="916" t="s">
        <v>297</v>
      </c>
      <c r="B20" s="821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773"/>
      <c r="R20" s="811"/>
      <c r="S20" s="812"/>
      <c r="T20" s="813"/>
      <c r="U20" s="814"/>
      <c r="V20" s="736"/>
      <c r="W20" s="185"/>
      <c r="X20" s="185"/>
      <c r="Y20" s="186"/>
    </row>
    <row r="21" spans="1:25" s="1" customFormat="1" ht="18" customHeight="1" x14ac:dyDescent="0.25">
      <c r="A21" s="945" t="s">
        <v>298</v>
      </c>
      <c r="B21" s="821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773"/>
      <c r="R21" s="811"/>
      <c r="S21" s="812"/>
      <c r="T21" s="813"/>
      <c r="U21" s="814"/>
      <c r="V21" s="736"/>
      <c r="W21" s="185"/>
      <c r="X21" s="185"/>
      <c r="Y21" s="186"/>
    </row>
    <row r="22" spans="1:25" s="1" customFormat="1" ht="18" customHeight="1" x14ac:dyDescent="0.25">
      <c r="A22" s="916" t="s">
        <v>299</v>
      </c>
      <c r="B22" s="821"/>
      <c r="C22" s="164" t="s">
        <v>300</v>
      </c>
      <c r="D22" s="52"/>
      <c r="E22" s="41" t="e">
        <f>VLOOKUP($D$17,$Q$4:$U$21,3,FALSE)</f>
        <v>#N/A</v>
      </c>
      <c r="F22" s="39"/>
      <c r="G22" s="41" t="e">
        <f>VLOOKUP($D$17,$Q$4:$U$21,3,FALSE)</f>
        <v>#N/A</v>
      </c>
      <c r="H22" s="52"/>
      <c r="I22" s="41" t="e">
        <f>VLOOKUP($H$17,$Q$4:$U$21,3,FALSE)</f>
        <v>#N/A</v>
      </c>
      <c r="J22" s="39"/>
      <c r="K22" s="41" t="e">
        <f>VLOOKUP($H$17,$Q$4:$U$21,3,FALSE)</f>
        <v>#N/A</v>
      </c>
      <c r="L22" s="52"/>
      <c r="M22" s="41" t="e">
        <f>VLOOKUP($L$17,$Q$4:$U$21,3,FALSE)</f>
        <v>#N/A</v>
      </c>
      <c r="N22" s="39"/>
      <c r="O22" s="45" t="e">
        <f>VLOOKUP($L$17,$Q$4:$U$21,3,FALSE)</f>
        <v>#N/A</v>
      </c>
      <c r="P22" s="67"/>
      <c r="W22" s="185"/>
      <c r="X22" s="185"/>
    </row>
    <row r="23" spans="1:25" s="1" customFormat="1" ht="18" customHeight="1" x14ac:dyDescent="0.25">
      <c r="A23" s="934" t="s">
        <v>301</v>
      </c>
      <c r="B23" s="821"/>
      <c r="C23" s="494" t="s">
        <v>159</v>
      </c>
      <c r="D23" s="52"/>
      <c r="E23" s="495" t="e">
        <f>+E21/E22</f>
        <v>#N/A</v>
      </c>
      <c r="F23" s="495"/>
      <c r="G23" s="496" t="e">
        <f>+G21/G22</f>
        <v>#N/A</v>
      </c>
      <c r="H23" s="497"/>
      <c r="I23" s="495" t="e">
        <f>+I21/I22</f>
        <v>#N/A</v>
      </c>
      <c r="J23" s="495"/>
      <c r="K23" s="496" t="e">
        <f>+K21/K22</f>
        <v>#N/A</v>
      </c>
      <c r="L23" s="497"/>
      <c r="M23" s="495" t="e">
        <f>+M21/M22</f>
        <v>#N/A</v>
      </c>
      <c r="N23" s="495"/>
      <c r="O23" s="496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3">
      <c r="A24" s="956" t="s">
        <v>302</v>
      </c>
      <c r="B24" s="931"/>
      <c r="C24" s="59" t="s">
        <v>162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3">
      <c r="A25" s="950" t="s">
        <v>303</v>
      </c>
      <c r="B25" s="951"/>
      <c r="C25" s="951"/>
      <c r="D25" s="951"/>
      <c r="E25" s="951"/>
      <c r="F25" s="951"/>
      <c r="G25" s="951"/>
      <c r="H25" s="951"/>
      <c r="I25" s="951"/>
      <c r="J25" s="951"/>
      <c r="K25" s="951"/>
      <c r="L25" s="951"/>
      <c r="M25" s="951"/>
      <c r="N25" s="951"/>
      <c r="O25" s="952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5">
      <c r="A26" s="943" t="s">
        <v>47</v>
      </c>
      <c r="B26" s="936"/>
      <c r="C26" s="60" t="s">
        <v>143</v>
      </c>
      <c r="D26" s="939">
        <f>+FORMATO!D29</f>
        <v>0</v>
      </c>
      <c r="E26" s="940"/>
      <c r="F26" s="939">
        <f>+FORMATO!F29</f>
        <v>0</v>
      </c>
      <c r="G26" s="940"/>
      <c r="H26" s="939">
        <f>+FORMATO!H29</f>
        <v>0</v>
      </c>
      <c r="I26" s="940"/>
      <c r="J26" s="939">
        <f>+FORMATO!J29</f>
        <v>0</v>
      </c>
      <c r="K26" s="940"/>
      <c r="L26" s="939">
        <f>+FORMATO!L29</f>
        <v>0</v>
      </c>
      <c r="M26" s="940"/>
      <c r="N26" s="939">
        <f>+FORMATO!O29</f>
        <v>0</v>
      </c>
      <c r="O26" s="940"/>
      <c r="P26" s="67"/>
      <c r="T26" s="5"/>
      <c r="U26" s="5"/>
      <c r="W26" s="185"/>
      <c r="X26" s="185"/>
      <c r="Y26" s="186"/>
    </row>
    <row r="27" spans="1:25" s="1" customFormat="1" ht="18" customHeight="1" x14ac:dyDescent="0.25">
      <c r="A27" s="167" t="s">
        <v>304</v>
      </c>
      <c r="B27" s="168"/>
      <c r="C27" s="164" t="s">
        <v>22</v>
      </c>
      <c r="D27" s="620">
        <f>+FORMATO!D30</f>
        <v>0</v>
      </c>
      <c r="E27" s="44">
        <f>+D27+$N$5*D27</f>
        <v>0</v>
      </c>
      <c r="F27" s="493">
        <f>+FORMATO!F30</f>
        <v>0</v>
      </c>
      <c r="G27" s="44">
        <f>+F27+$N$5*F27</f>
        <v>0</v>
      </c>
      <c r="H27" s="493">
        <f>+FORMATO!H30</f>
        <v>0</v>
      </c>
      <c r="I27" s="44">
        <f>+H27+$N$5*H27</f>
        <v>0</v>
      </c>
      <c r="J27" s="493">
        <f>+FORMATO!J30</f>
        <v>0</v>
      </c>
      <c r="K27" s="44">
        <f>+J27+$N$5*J27</f>
        <v>0</v>
      </c>
      <c r="L27" s="493">
        <f>+FORMATO!L30</f>
        <v>0</v>
      </c>
      <c r="M27" s="44">
        <f>+L27+$N$5*L27</f>
        <v>0</v>
      </c>
      <c r="N27" s="493">
        <f>+FORMATO!O30</f>
        <v>0</v>
      </c>
      <c r="O27" s="44">
        <f>+N27+$N$5*N27</f>
        <v>0</v>
      </c>
      <c r="P27" s="67"/>
      <c r="Q27" s="39" t="s">
        <v>305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5">
      <c r="A28" s="234" t="s">
        <v>306</v>
      </c>
      <c r="B28" s="235"/>
      <c r="C28" s="61" t="s">
        <v>22</v>
      </c>
      <c r="D28" s="493">
        <f>+FORMATO!D31</f>
        <v>0</v>
      </c>
      <c r="E28" s="44">
        <f>+D28+$N$5*D28</f>
        <v>0</v>
      </c>
      <c r="F28" s="493">
        <f>+FORMATO!F31</f>
        <v>0</v>
      </c>
      <c r="G28" s="44">
        <f>+F28+$N$5*F28</f>
        <v>0</v>
      </c>
      <c r="H28" s="493">
        <f>+FORMATO!H31</f>
        <v>0</v>
      </c>
      <c r="I28" s="44">
        <f>+H28+$N$5*H28</f>
        <v>0</v>
      </c>
      <c r="J28" s="493">
        <f>+FORMATO!J31</f>
        <v>0</v>
      </c>
      <c r="K28" s="44">
        <f>+J28+$N$5*J28</f>
        <v>0</v>
      </c>
      <c r="L28" s="493">
        <f>+FORMATO!L31</f>
        <v>0</v>
      </c>
      <c r="M28" s="44">
        <f>+L28+$N$5*L28</f>
        <v>0</v>
      </c>
      <c r="N28" s="493">
        <f>+FORMATO!O31</f>
        <v>0</v>
      </c>
      <c r="O28" s="44">
        <f>+N28+$N$5*N28</f>
        <v>0</v>
      </c>
      <c r="P28" s="67"/>
      <c r="Q28" s="555">
        <f>+D26</f>
        <v>0</v>
      </c>
      <c r="R28" s="110">
        <f>+D28-D27</f>
        <v>0</v>
      </c>
      <c r="S28" s="573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5">
      <c r="A29" s="167" t="s">
        <v>307</v>
      </c>
      <c r="B29" s="168"/>
      <c r="C29" s="164" t="s">
        <v>22</v>
      </c>
      <c r="D29" s="493">
        <f>+FORMATO!D33</f>
        <v>0</v>
      </c>
      <c r="E29" s="45">
        <f>+D29+$N$5*D29</f>
        <v>0</v>
      </c>
      <c r="F29" s="493">
        <f>+FORMATO!F33</f>
        <v>0</v>
      </c>
      <c r="G29" s="45">
        <f>+F29+$N$5*F29</f>
        <v>0</v>
      </c>
      <c r="H29" s="493">
        <f>+FORMATO!H33</f>
        <v>0</v>
      </c>
      <c r="I29" s="45">
        <f>+H29+$N$5*H29</f>
        <v>0</v>
      </c>
      <c r="J29" s="493">
        <f>+FORMATO!J33</f>
        <v>0</v>
      </c>
      <c r="K29" s="45">
        <f>+J29+$N$5*J29</f>
        <v>0</v>
      </c>
      <c r="L29" s="493">
        <f>+FORMATO!L33</f>
        <v>0</v>
      </c>
      <c r="M29" s="45">
        <f>+L29+$N$5*L29</f>
        <v>0</v>
      </c>
      <c r="N29" s="493">
        <f>+FORMATO!O33</f>
        <v>0</v>
      </c>
      <c r="O29" s="45">
        <f>+N29+$N$5*N29</f>
        <v>0</v>
      </c>
      <c r="P29" s="67"/>
      <c r="Q29" s="555">
        <f>+H26</f>
        <v>0</v>
      </c>
      <c r="R29" s="110">
        <f>+H28-H27</f>
        <v>0</v>
      </c>
      <c r="S29" s="573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5">
      <c r="A30" s="167" t="s">
        <v>308</v>
      </c>
      <c r="B30" s="168"/>
      <c r="C30" s="164" t="s">
        <v>22</v>
      </c>
      <c r="D30" s="493">
        <f>+FORMATO!D34</f>
        <v>0</v>
      </c>
      <c r="E30" s="45">
        <f>+D30+$N$5*D30</f>
        <v>0</v>
      </c>
      <c r="F30" s="493">
        <f>+FORMATO!F34</f>
        <v>0</v>
      </c>
      <c r="G30" s="45">
        <f>+F30+$N$5*F30</f>
        <v>0</v>
      </c>
      <c r="H30" s="493">
        <f>+FORMATO!H34</f>
        <v>0</v>
      </c>
      <c r="I30" s="45">
        <f>+H30+$N$5*H30</f>
        <v>0</v>
      </c>
      <c r="J30" s="493">
        <f>+FORMATO!J34</f>
        <v>0</v>
      </c>
      <c r="K30" s="45">
        <f>+J30+$N$5*J30</f>
        <v>0</v>
      </c>
      <c r="L30" s="493">
        <f>+FORMATO!L34</f>
        <v>0</v>
      </c>
      <c r="M30" s="45">
        <f>+L30+$N$5*L30</f>
        <v>0</v>
      </c>
      <c r="N30" s="493">
        <f>+FORMATO!O34</f>
        <v>0</v>
      </c>
      <c r="O30" s="45">
        <f>+N30+$N$5*N30</f>
        <v>0</v>
      </c>
      <c r="P30" s="67"/>
      <c r="Q30" s="555">
        <f>+L26</f>
        <v>0</v>
      </c>
      <c r="R30" s="110">
        <f>+L28-L27</f>
        <v>0</v>
      </c>
      <c r="S30" s="573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5">
      <c r="A31" s="167" t="s">
        <v>309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2"/>
      <c r="W31" s="185"/>
      <c r="X31" s="185"/>
    </row>
    <row r="32" spans="1:25" s="1" customFormat="1" ht="18" customHeight="1" thickBot="1" x14ac:dyDescent="0.3">
      <c r="A32" s="930" t="s">
        <v>297</v>
      </c>
      <c r="B32" s="931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3">
      <c r="A33" s="950" t="s">
        <v>61</v>
      </c>
      <c r="B33" s="951"/>
      <c r="C33" s="951"/>
      <c r="D33" s="951"/>
      <c r="E33" s="951"/>
      <c r="F33" s="951"/>
      <c r="G33" s="951"/>
      <c r="H33" s="951"/>
      <c r="I33" s="951"/>
      <c r="J33" s="951"/>
      <c r="K33" s="951"/>
      <c r="L33" s="951"/>
      <c r="M33" s="951"/>
      <c r="N33" s="951"/>
      <c r="O33" s="952"/>
      <c r="P33" s="67"/>
      <c r="Q33" s="67"/>
      <c r="V33" s="185"/>
      <c r="W33" s="185"/>
      <c r="X33" s="185"/>
      <c r="Y33" s="185"/>
    </row>
    <row r="34" spans="1:25" s="1" customFormat="1" ht="18" customHeight="1" x14ac:dyDescent="0.25">
      <c r="A34" s="924" t="s">
        <v>310</v>
      </c>
      <c r="B34" s="937" t="s">
        <v>311</v>
      </c>
      <c r="C34" s="159" t="s">
        <v>312</v>
      </c>
      <c r="D34" s="937" t="s">
        <v>313</v>
      </c>
      <c r="E34" s="938"/>
      <c r="F34" s="937" t="s">
        <v>314</v>
      </c>
      <c r="G34" s="941"/>
      <c r="H34" s="937" t="s">
        <v>313</v>
      </c>
      <c r="I34" s="938"/>
      <c r="J34" s="937" t="s">
        <v>314</v>
      </c>
      <c r="K34" s="941"/>
      <c r="L34" s="937" t="s">
        <v>313</v>
      </c>
      <c r="M34" s="938"/>
      <c r="N34" s="926" t="s">
        <v>314</v>
      </c>
      <c r="O34" s="927"/>
      <c r="P34" s="67"/>
      <c r="Q34" s="67"/>
      <c r="V34" s="67"/>
      <c r="W34" s="67"/>
    </row>
    <row r="35" spans="1:25" s="1" customFormat="1" ht="18" customHeight="1" x14ac:dyDescent="0.25">
      <c r="A35" s="925"/>
      <c r="B35" s="864"/>
      <c r="C35" s="62" t="s">
        <v>315</v>
      </c>
      <c r="D35" s="850"/>
      <c r="E35" s="852"/>
      <c r="F35" s="62" t="s">
        <v>279</v>
      </c>
      <c r="G35" s="62" t="s">
        <v>19</v>
      </c>
      <c r="H35" s="850"/>
      <c r="I35" s="852"/>
      <c r="J35" s="62" t="s">
        <v>279</v>
      </c>
      <c r="K35" s="62" t="s">
        <v>19</v>
      </c>
      <c r="L35" s="850"/>
      <c r="M35" s="852"/>
      <c r="N35" s="62" t="s">
        <v>279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5">
      <c r="A36" s="149">
        <v>0</v>
      </c>
      <c r="B36" s="150" t="str">
        <f>IF(A36="","","11:00:00")</f>
        <v>11:00:00</v>
      </c>
      <c r="C36" s="31">
        <v>0</v>
      </c>
      <c r="D36" s="917">
        <f>+FORMATO!O40</f>
        <v>0</v>
      </c>
      <c r="E36" s="870"/>
      <c r="F36" s="151">
        <f>IF(D36="","",(D36-$D$36)*0.001*2.54*10)</f>
        <v>0</v>
      </c>
      <c r="G36" s="152" t="e">
        <f>IF(F36="","",F36/$W$4*100)</f>
        <v>#N/A</v>
      </c>
      <c r="H36" s="917">
        <f>+FORMATO!P40</f>
        <v>0</v>
      </c>
      <c r="I36" s="870"/>
      <c r="J36" s="151">
        <f>IF(H36="","",(H36-$H$36)*0.001*2.54*10)</f>
        <v>0</v>
      </c>
      <c r="K36" s="152" t="e">
        <f>IF(J36="","",J36/$W$4*100)</f>
        <v>#N/A</v>
      </c>
      <c r="L36" s="917">
        <f>+FORMATO!Q40</f>
        <v>0</v>
      </c>
      <c r="M36" s="870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5">
      <c r="A37" s="149">
        <f>IF(A36="","",1+A36)</f>
        <v>1</v>
      </c>
      <c r="B37" s="150" t="str">
        <f>B36</f>
        <v>11:00:00</v>
      </c>
      <c r="C37" s="163">
        <v>24</v>
      </c>
      <c r="D37" s="917">
        <f>+FORMATO!O41</f>
        <v>0</v>
      </c>
      <c r="E37" s="870"/>
      <c r="F37" s="151">
        <f>IF(D37="","",(D37-$D$36)*0.001*2.54*10)</f>
        <v>0</v>
      </c>
      <c r="G37" s="152" t="e">
        <f>IF(F37="","",F37/$W$4*100)</f>
        <v>#N/A</v>
      </c>
      <c r="H37" s="917">
        <f>+FORMATO!P41</f>
        <v>0</v>
      </c>
      <c r="I37" s="870"/>
      <c r="J37" s="151">
        <f>IF(H37="","",(H37-$H$36)*0.001*2.54*10)</f>
        <v>0</v>
      </c>
      <c r="K37" s="152" t="e">
        <f>IF(J37="","",J37/$W$4*100)</f>
        <v>#N/A</v>
      </c>
      <c r="L37" s="917">
        <f>+FORMATO!Q41</f>
        <v>0</v>
      </c>
      <c r="M37" s="870"/>
      <c r="N37" s="151">
        <f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5">
      <c r="A38" s="149">
        <f>IF(A37="","",1+A37)</f>
        <v>2</v>
      </c>
      <c r="B38" s="150" t="str">
        <f>B37</f>
        <v>11:00:00</v>
      </c>
      <c r="C38" s="31">
        <v>48</v>
      </c>
      <c r="D38" s="917">
        <f>+FORMATO!O42</f>
        <v>0</v>
      </c>
      <c r="E38" s="870"/>
      <c r="F38" s="151">
        <f>IF(D38="","",(D38-$D$36)*0.001*2.54*10)</f>
        <v>0</v>
      </c>
      <c r="G38" s="152" t="e">
        <f>IF(F38="","",F38/$W$4*100)</f>
        <v>#N/A</v>
      </c>
      <c r="H38" s="917">
        <f>+FORMATO!P42</f>
        <v>0</v>
      </c>
      <c r="I38" s="870"/>
      <c r="J38" s="151">
        <f>IF(H38="","",(H38-$H$36)*0.001*2.54*10)</f>
        <v>0</v>
      </c>
      <c r="K38" s="152" t="e">
        <f>IF(J38="","",J38/$W$4*100)</f>
        <v>#N/A</v>
      </c>
      <c r="L38" s="917">
        <f>+FORMATO!Q42</f>
        <v>0</v>
      </c>
      <c r="M38" s="870"/>
      <c r="N38" s="151">
        <f>IF(L38="","",(L38-$L$36)*0.001*2.54*10)</f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5">
      <c r="A39" s="149">
        <f>IF(A38="","",1+A38)</f>
        <v>3</v>
      </c>
      <c r="B39" s="150" t="str">
        <f>B38</f>
        <v>11:00:00</v>
      </c>
      <c r="C39" s="31">
        <v>72</v>
      </c>
      <c r="D39" s="917">
        <f>+FORMATO!O43</f>
        <v>0</v>
      </c>
      <c r="E39" s="870"/>
      <c r="F39" s="151">
        <f>IF(D39="","",(D39-$D$36)*0.001*2.54*10)</f>
        <v>0</v>
      </c>
      <c r="G39" s="152" t="e">
        <f>IF(F39="","",F39/$W$4*100)</f>
        <v>#N/A</v>
      </c>
      <c r="H39" s="917">
        <f>+FORMATO!P43</f>
        <v>0</v>
      </c>
      <c r="I39" s="870"/>
      <c r="J39" s="151">
        <f>IF(H39="","",(H39-$H$36)*0.001*2.54*10)</f>
        <v>0</v>
      </c>
      <c r="K39" s="152" t="e">
        <f>IF(J39="","",J39/$W$4*100)</f>
        <v>#N/A</v>
      </c>
      <c r="L39" s="917">
        <f>+FORMATO!Q43</f>
        <v>0</v>
      </c>
      <c r="M39" s="870"/>
      <c r="N39" s="151">
        <f>IF(L39="","",(L39-$L$36)*0.001*2.54*10)</f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3">
      <c r="A40" s="154">
        <f>IF(A39="","",1+A39)</f>
        <v>4</v>
      </c>
      <c r="B40" s="155" t="str">
        <f>B39</f>
        <v>11:00:00</v>
      </c>
      <c r="C40" s="156">
        <v>96</v>
      </c>
      <c r="D40" s="917">
        <f>+FORMATO!O44</f>
        <v>0</v>
      </c>
      <c r="E40" s="870"/>
      <c r="F40" s="151">
        <f>IF(D40="","",(D40-$D$36)*0.001*2.54*10)</f>
        <v>0</v>
      </c>
      <c r="G40" s="157" t="e">
        <f>IF(F40="","",F40/$W$4*100)</f>
        <v>#N/A</v>
      </c>
      <c r="H40" s="917">
        <f>+FORMATO!P44</f>
        <v>0</v>
      </c>
      <c r="I40" s="870"/>
      <c r="J40" s="151">
        <f>IF(H40="","",(H40-$H$36)*0.001*2.54*10)</f>
        <v>0</v>
      </c>
      <c r="K40" s="157" t="e">
        <f>IF(J40="","",J40/$W$4*100)</f>
        <v>#N/A</v>
      </c>
      <c r="L40" s="917">
        <f>+FORMATO!Q44</f>
        <v>0</v>
      </c>
      <c r="M40" s="870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3">
      <c r="A41" s="950" t="s">
        <v>316</v>
      </c>
      <c r="B41" s="951"/>
      <c r="C41" s="951"/>
      <c r="D41" s="951"/>
      <c r="E41" s="951"/>
      <c r="F41" s="951"/>
      <c r="G41" s="951"/>
      <c r="H41" s="951"/>
      <c r="I41" s="951"/>
      <c r="J41" s="951"/>
      <c r="K41" s="951"/>
      <c r="L41" s="951"/>
      <c r="M41" s="951"/>
      <c r="N41" s="951"/>
      <c r="O41" s="952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5">
      <c r="A42" s="906" t="s">
        <v>58</v>
      </c>
      <c r="B42" s="929"/>
      <c r="C42" s="189" t="s">
        <v>317</v>
      </c>
      <c r="D42" s="910">
        <f>+D15</f>
        <v>56</v>
      </c>
      <c r="E42" s="911"/>
      <c r="F42" s="911"/>
      <c r="G42" s="912"/>
      <c r="H42" s="910">
        <f>+H15</f>
        <v>25</v>
      </c>
      <c r="I42" s="911"/>
      <c r="J42" s="911"/>
      <c r="K42" s="912"/>
      <c r="L42" s="910">
        <f>+L15</f>
        <v>10</v>
      </c>
      <c r="M42" s="911"/>
      <c r="N42" s="911"/>
      <c r="O42" s="912"/>
      <c r="P42" s="67"/>
      <c r="V42" s="67"/>
      <c r="W42" s="67"/>
    </row>
    <row r="43" spans="1:25" s="1" customFormat="1" ht="34.5" customHeight="1" x14ac:dyDescent="0.25">
      <c r="A43" s="190" t="s">
        <v>169</v>
      </c>
      <c r="B43" s="165" t="s">
        <v>318</v>
      </c>
      <c r="C43" s="166" t="s">
        <v>73</v>
      </c>
      <c r="D43" s="191" t="s">
        <v>65</v>
      </c>
      <c r="E43" s="182" t="s">
        <v>319</v>
      </c>
      <c r="F43" s="182" t="s">
        <v>320</v>
      </c>
      <c r="G43" s="192" t="s">
        <v>171</v>
      </c>
      <c r="H43" s="170" t="s">
        <v>65</v>
      </c>
      <c r="I43" s="182" t="s">
        <v>319</v>
      </c>
      <c r="J43" s="182" t="s">
        <v>320</v>
      </c>
      <c r="K43" s="169" t="s">
        <v>171</v>
      </c>
      <c r="L43" s="191" t="s">
        <v>65</v>
      </c>
      <c r="M43" s="182" t="s">
        <v>319</v>
      </c>
      <c r="N43" s="182" t="s">
        <v>320</v>
      </c>
      <c r="O43" s="192" t="s">
        <v>171</v>
      </c>
      <c r="P43" s="67"/>
      <c r="V43" s="67"/>
      <c r="W43" s="67"/>
    </row>
    <row r="44" spans="1:25" s="1" customFormat="1" ht="18" customHeight="1" x14ac:dyDescent="0.25">
      <c r="A44" s="109">
        <v>0</v>
      </c>
      <c r="B44" s="193">
        <v>0</v>
      </c>
      <c r="D44" s="621">
        <f>+FORMATO!E40</f>
        <v>0</v>
      </c>
      <c r="E44" s="556">
        <f>+D44</f>
        <v>0</v>
      </c>
      <c r="F44" s="110">
        <v>0</v>
      </c>
      <c r="G44" s="194">
        <v>0</v>
      </c>
      <c r="H44" s="500">
        <f>+FORMATO!G40</f>
        <v>0</v>
      </c>
      <c r="I44" s="556">
        <f>+H44</f>
        <v>0</v>
      </c>
      <c r="J44" s="110">
        <v>0</v>
      </c>
      <c r="K44" s="195">
        <v>0</v>
      </c>
      <c r="L44" s="499">
        <f>+FORMATO!I40</f>
        <v>0</v>
      </c>
      <c r="M44" s="556">
        <f>+L44</f>
        <v>0</v>
      </c>
      <c r="N44" s="110">
        <v>0</v>
      </c>
      <c r="O44" s="194">
        <v>0</v>
      </c>
      <c r="P44" s="67"/>
      <c r="Q44" s="554" t="s">
        <v>277</v>
      </c>
      <c r="R44" s="555">
        <v>1.0713969999999999</v>
      </c>
      <c r="T44" s="67"/>
      <c r="U44" s="67"/>
      <c r="V44" s="256"/>
      <c r="W44" s="67"/>
    </row>
    <row r="45" spans="1:25" s="1" customFormat="1" ht="18" customHeight="1" x14ac:dyDescent="0.25">
      <c r="A45" s="109">
        <v>2.5000000000000001E-2</v>
      </c>
      <c r="B45" s="193">
        <v>0.64</v>
      </c>
      <c r="C45" s="196"/>
      <c r="D45" s="621">
        <f>+FORMATO!E41</f>
        <v>0</v>
      </c>
      <c r="E45" s="556">
        <f t="shared" ref="E45:E55" si="0">+$R$44+D45*$R$45+D45*$R$46+D45*$R$47</f>
        <v>1.0713969999999999</v>
      </c>
      <c r="F45" s="110">
        <f t="shared" ref="F45:F55" si="1">IF(D45="","",E45/$D$9)</f>
        <v>5.5440848555083203E-2</v>
      </c>
      <c r="G45" s="194">
        <f t="shared" ref="G45:G55" si="2">IF(D45="","",F45*14.223343334285)</f>
        <v>0.78855422374304684</v>
      </c>
      <c r="H45" s="500">
        <f>+FORMATO!G41</f>
        <v>0</v>
      </c>
      <c r="I45" s="556">
        <f t="shared" ref="I45:I55" si="3">+$R$44+H45*$R$45+H45*$R$46+H45*$R$47</f>
        <v>1.0713969999999999</v>
      </c>
      <c r="J45" s="110">
        <f t="shared" ref="J45:J55" si="4">IF(H45="","",I45/$D$9)</f>
        <v>5.5440848555083203E-2</v>
      </c>
      <c r="K45" s="195">
        <f t="shared" ref="K45:K55" si="5">IF(H45="","",J45*14.223343334285)</f>
        <v>0.78855422374304684</v>
      </c>
      <c r="L45" s="499">
        <f>+FORMATO!I41</f>
        <v>0</v>
      </c>
      <c r="M45" s="556">
        <f t="shared" ref="M45:M55" si="6">+$R$44+L45*$R$45+L45*$R$46+L45*$R$47</f>
        <v>1.0713969999999999</v>
      </c>
      <c r="N45" s="110">
        <f t="shared" ref="N45:N55" si="7">IF(L45="","",M45/$D$9)</f>
        <v>5.5440848555083203E-2</v>
      </c>
      <c r="O45" s="194">
        <f t="shared" ref="O45:O55" si="8">IF(L45="","",N45*14.223343334285)</f>
        <v>0.78855422374304684</v>
      </c>
      <c r="P45" s="67"/>
      <c r="Q45" s="554" t="s">
        <v>281</v>
      </c>
      <c r="R45" s="555">
        <v>0.98255239999999999</v>
      </c>
      <c r="T45" s="67"/>
      <c r="U45" s="67"/>
      <c r="V45" s="256"/>
      <c r="W45" s="67"/>
    </row>
    <row r="46" spans="1:25" ht="18" customHeight="1" x14ac:dyDescent="0.25">
      <c r="A46" s="109">
        <v>0.05</v>
      </c>
      <c r="B46" s="193">
        <v>1.3</v>
      </c>
      <c r="C46" s="196"/>
      <c r="D46" s="621">
        <f>+FORMATO!E42</f>
        <v>0</v>
      </c>
      <c r="E46" s="556">
        <f t="shared" si="0"/>
        <v>1.0713969999999999</v>
      </c>
      <c r="F46" s="110">
        <f t="shared" si="1"/>
        <v>5.5440848555083203E-2</v>
      </c>
      <c r="G46" s="194">
        <f t="shared" si="2"/>
        <v>0.78855422374304684</v>
      </c>
      <c r="H46" s="500">
        <f>+FORMATO!G42</f>
        <v>0</v>
      </c>
      <c r="I46" s="556">
        <f t="shared" si="3"/>
        <v>1.0713969999999999</v>
      </c>
      <c r="J46" s="110">
        <f t="shared" si="4"/>
        <v>5.5440848555083203E-2</v>
      </c>
      <c r="K46" s="195">
        <f t="shared" si="5"/>
        <v>0.78855422374304684</v>
      </c>
      <c r="L46" s="499">
        <f>+FORMATO!I42</f>
        <v>0</v>
      </c>
      <c r="M46" s="556">
        <f t="shared" si="6"/>
        <v>1.0713969999999999</v>
      </c>
      <c r="N46" s="110">
        <f t="shared" si="7"/>
        <v>5.5440848555083203E-2</v>
      </c>
      <c r="O46" s="194">
        <f t="shared" si="8"/>
        <v>0.78855422374304684</v>
      </c>
      <c r="Q46" s="554" t="s">
        <v>284</v>
      </c>
      <c r="R46" s="555">
        <v>4.0755250000000003E-6</v>
      </c>
      <c r="S46" s="1"/>
      <c r="V46" s="256"/>
    </row>
    <row r="47" spans="1:25" ht="18" customHeight="1" x14ac:dyDescent="0.25">
      <c r="A47" s="109">
        <v>7.4999999999999997E-2</v>
      </c>
      <c r="B47" s="193">
        <v>1.9</v>
      </c>
      <c r="C47" s="196"/>
      <c r="D47" s="621">
        <f>+FORMATO!E43</f>
        <v>0</v>
      </c>
      <c r="E47" s="556">
        <f t="shared" si="0"/>
        <v>1.0713969999999999</v>
      </c>
      <c r="F47" s="110">
        <f t="shared" si="1"/>
        <v>5.5440848555083203E-2</v>
      </c>
      <c r="G47" s="194">
        <f t="shared" si="2"/>
        <v>0.78855422374304684</v>
      </c>
      <c r="H47" s="500">
        <f>+FORMATO!G43</f>
        <v>0</v>
      </c>
      <c r="I47" s="556">
        <f t="shared" si="3"/>
        <v>1.0713969999999999</v>
      </c>
      <c r="J47" s="110">
        <f t="shared" si="4"/>
        <v>5.5440848555083203E-2</v>
      </c>
      <c r="K47" s="195">
        <f t="shared" si="5"/>
        <v>0.78855422374304684</v>
      </c>
      <c r="L47" s="499">
        <f>+FORMATO!I43</f>
        <v>0</v>
      </c>
      <c r="M47" s="556">
        <f t="shared" si="6"/>
        <v>1.0713969999999999</v>
      </c>
      <c r="N47" s="110">
        <f t="shared" si="7"/>
        <v>5.5440848555083203E-2</v>
      </c>
      <c r="O47" s="194">
        <f t="shared" si="8"/>
        <v>0.78855422374304684</v>
      </c>
      <c r="Q47" s="554" t="s">
        <v>272</v>
      </c>
      <c r="R47" s="555">
        <v>-4.3049859999999998E-10</v>
      </c>
      <c r="S47" s="1"/>
      <c r="V47" s="256"/>
    </row>
    <row r="48" spans="1:25" ht="18" customHeight="1" x14ac:dyDescent="0.25">
      <c r="A48" s="197">
        <v>0.1</v>
      </c>
      <c r="B48" s="198">
        <v>2.5</v>
      </c>
      <c r="C48" s="199">
        <v>1000</v>
      </c>
      <c r="D48" s="621">
        <f>+FORMATO!E44</f>
        <v>0</v>
      </c>
      <c r="E48" s="200">
        <f t="shared" si="0"/>
        <v>1.0713969999999999</v>
      </c>
      <c r="F48" s="200">
        <f t="shared" si="1"/>
        <v>5.5440848555083203E-2</v>
      </c>
      <c r="G48" s="201">
        <f t="shared" si="2"/>
        <v>0.78855422374304684</v>
      </c>
      <c r="H48" s="500">
        <f>+FORMATO!G44</f>
        <v>0</v>
      </c>
      <c r="I48" s="571">
        <f t="shared" si="3"/>
        <v>1.0713969999999999</v>
      </c>
      <c r="J48" s="200">
        <f t="shared" si="4"/>
        <v>5.5440848555083203E-2</v>
      </c>
      <c r="K48" s="202">
        <f t="shared" si="5"/>
        <v>0.78855422374304684</v>
      </c>
      <c r="L48" s="499">
        <f>+FORMATO!I44</f>
        <v>0</v>
      </c>
      <c r="M48" s="200">
        <f t="shared" si="6"/>
        <v>1.0713969999999999</v>
      </c>
      <c r="N48" s="200">
        <f t="shared" si="7"/>
        <v>5.5440848555083203E-2</v>
      </c>
      <c r="O48" s="201">
        <f t="shared" si="8"/>
        <v>0.78855422374304684</v>
      </c>
      <c r="Q48" s="256"/>
      <c r="S48" s="1"/>
      <c r="V48" s="256"/>
    </row>
    <row r="49" spans="1:22" ht="18" customHeight="1" x14ac:dyDescent="0.25">
      <c r="A49" s="109">
        <v>0.125</v>
      </c>
      <c r="B49" s="193">
        <v>3.18</v>
      </c>
      <c r="C49" s="196"/>
      <c r="D49" s="621">
        <f>+FORMATO!E45</f>
        <v>0</v>
      </c>
      <c r="E49" s="556">
        <f t="shared" si="0"/>
        <v>1.0713969999999999</v>
      </c>
      <c r="F49" s="110">
        <f t="shared" si="1"/>
        <v>5.5440848555083203E-2</v>
      </c>
      <c r="G49" s="194">
        <f t="shared" si="2"/>
        <v>0.78855422374304684</v>
      </c>
      <c r="H49" s="500">
        <f>+FORMATO!G45</f>
        <v>0</v>
      </c>
      <c r="I49" s="556">
        <f t="shared" si="3"/>
        <v>1.0713969999999999</v>
      </c>
      <c r="J49" s="110">
        <f t="shared" si="4"/>
        <v>5.5440848555083203E-2</v>
      </c>
      <c r="K49" s="195">
        <f t="shared" si="5"/>
        <v>0.78855422374304684</v>
      </c>
      <c r="L49" s="499">
        <f>+FORMATO!I45</f>
        <v>0</v>
      </c>
      <c r="M49" s="556">
        <f t="shared" si="6"/>
        <v>1.0713969999999999</v>
      </c>
      <c r="N49" s="110">
        <f t="shared" si="7"/>
        <v>5.5440848555083203E-2</v>
      </c>
      <c r="O49" s="194">
        <f t="shared" si="8"/>
        <v>0.78855422374304684</v>
      </c>
      <c r="Q49" s="256"/>
      <c r="S49" s="1"/>
      <c r="V49" s="256"/>
    </row>
    <row r="50" spans="1:22" ht="18" customHeight="1" x14ac:dyDescent="0.25">
      <c r="A50" s="109">
        <v>0.15</v>
      </c>
      <c r="B50" s="193">
        <v>3.8</v>
      </c>
      <c r="C50" s="196"/>
      <c r="D50" s="621">
        <f>+FORMATO!E46</f>
        <v>0</v>
      </c>
      <c r="E50" s="556">
        <f t="shared" si="0"/>
        <v>1.0713969999999999</v>
      </c>
      <c r="F50" s="110">
        <f t="shared" si="1"/>
        <v>5.5440848555083203E-2</v>
      </c>
      <c r="G50" s="194">
        <f t="shared" si="2"/>
        <v>0.78855422374304684</v>
      </c>
      <c r="H50" s="500">
        <f>+FORMATO!G46</f>
        <v>0</v>
      </c>
      <c r="I50" s="556">
        <f t="shared" si="3"/>
        <v>1.0713969999999999</v>
      </c>
      <c r="J50" s="110">
        <f t="shared" si="4"/>
        <v>5.5440848555083203E-2</v>
      </c>
      <c r="K50" s="195">
        <f t="shared" si="5"/>
        <v>0.78855422374304684</v>
      </c>
      <c r="L50" s="499">
        <f>+FORMATO!I46</f>
        <v>0</v>
      </c>
      <c r="M50" s="556">
        <f t="shared" si="6"/>
        <v>1.0713969999999999</v>
      </c>
      <c r="N50" s="110">
        <f t="shared" si="7"/>
        <v>5.5440848555083203E-2</v>
      </c>
      <c r="O50" s="194">
        <f t="shared" si="8"/>
        <v>0.78855422374304684</v>
      </c>
      <c r="Q50" s="256"/>
      <c r="S50" s="1"/>
      <c r="V50" s="256"/>
    </row>
    <row r="51" spans="1:22" ht="18" customHeight="1" x14ac:dyDescent="0.25">
      <c r="A51" s="109">
        <v>0.17499999999999999</v>
      </c>
      <c r="B51" s="193">
        <v>4.45</v>
      </c>
      <c r="C51" s="196"/>
      <c r="D51" s="621">
        <f>+FORMATO!E47</f>
        <v>0</v>
      </c>
      <c r="E51" s="556">
        <f t="shared" si="0"/>
        <v>1.0713969999999999</v>
      </c>
      <c r="F51" s="110">
        <f t="shared" si="1"/>
        <v>5.5440848555083203E-2</v>
      </c>
      <c r="G51" s="194">
        <f t="shared" si="2"/>
        <v>0.78855422374304684</v>
      </c>
      <c r="H51" s="500">
        <f>+FORMATO!G47</f>
        <v>0</v>
      </c>
      <c r="I51" s="556">
        <f t="shared" si="3"/>
        <v>1.0713969999999999</v>
      </c>
      <c r="J51" s="110">
        <f t="shared" si="4"/>
        <v>5.5440848555083203E-2</v>
      </c>
      <c r="K51" s="195">
        <f t="shared" si="5"/>
        <v>0.78855422374304684</v>
      </c>
      <c r="L51" s="499">
        <f>+FORMATO!I47</f>
        <v>0</v>
      </c>
      <c r="M51" s="556">
        <f t="shared" si="6"/>
        <v>1.0713969999999999</v>
      </c>
      <c r="N51" s="110">
        <f t="shared" si="7"/>
        <v>5.5440848555083203E-2</v>
      </c>
      <c r="O51" s="194">
        <f t="shared" si="8"/>
        <v>0.78855422374304684</v>
      </c>
      <c r="Q51" s="256"/>
      <c r="S51" s="1"/>
      <c r="V51" s="256"/>
    </row>
    <row r="52" spans="1:22" ht="18" customHeight="1" x14ac:dyDescent="0.25">
      <c r="A52" s="197">
        <v>0.2</v>
      </c>
      <c r="B52" s="198">
        <v>5.0999999999999996</v>
      </c>
      <c r="C52" s="199">
        <v>1500</v>
      </c>
      <c r="D52" s="621">
        <f>+FORMATO!E48</f>
        <v>0</v>
      </c>
      <c r="E52" s="200">
        <f t="shared" si="0"/>
        <v>1.0713969999999999</v>
      </c>
      <c r="F52" s="200">
        <f t="shared" si="1"/>
        <v>5.5440848555083203E-2</v>
      </c>
      <c r="G52" s="201">
        <f t="shared" si="2"/>
        <v>0.78855422374304684</v>
      </c>
      <c r="H52" s="500">
        <f>+FORMATO!G48</f>
        <v>0</v>
      </c>
      <c r="I52" s="571">
        <f t="shared" si="3"/>
        <v>1.0713969999999999</v>
      </c>
      <c r="J52" s="200">
        <f t="shared" si="4"/>
        <v>5.5440848555083203E-2</v>
      </c>
      <c r="K52" s="202">
        <f t="shared" si="5"/>
        <v>0.78855422374304684</v>
      </c>
      <c r="L52" s="499">
        <f>+FORMATO!I48</f>
        <v>0</v>
      </c>
      <c r="M52" s="200">
        <f t="shared" si="6"/>
        <v>1.0713969999999999</v>
      </c>
      <c r="N52" s="200">
        <f t="shared" si="7"/>
        <v>5.5440848555083203E-2</v>
      </c>
      <c r="O52" s="201">
        <f t="shared" si="8"/>
        <v>0.78855422374304684</v>
      </c>
      <c r="Q52" s="256"/>
      <c r="S52" s="1"/>
      <c r="V52" s="256"/>
    </row>
    <row r="53" spans="1:22" ht="18" customHeight="1" x14ac:dyDescent="0.25">
      <c r="A53" s="109">
        <v>0.3</v>
      </c>
      <c r="B53" s="193">
        <v>7.6</v>
      </c>
      <c r="C53" s="196"/>
      <c r="D53" s="621">
        <f>+FORMATO!E49</f>
        <v>0</v>
      </c>
      <c r="E53" s="556">
        <f t="shared" si="0"/>
        <v>1.0713969999999999</v>
      </c>
      <c r="F53" s="110">
        <f t="shared" si="1"/>
        <v>5.5440848555083203E-2</v>
      </c>
      <c r="G53" s="194">
        <f t="shared" si="2"/>
        <v>0.78855422374304684</v>
      </c>
      <c r="H53" s="500">
        <f>+FORMATO!G49</f>
        <v>0</v>
      </c>
      <c r="I53" s="556">
        <f t="shared" si="3"/>
        <v>1.0713969999999999</v>
      </c>
      <c r="J53" s="110">
        <f t="shared" si="4"/>
        <v>5.5440848555083203E-2</v>
      </c>
      <c r="K53" s="195">
        <f t="shared" si="5"/>
        <v>0.78855422374304684</v>
      </c>
      <c r="L53" s="499">
        <f>+FORMATO!I49</f>
        <v>0</v>
      </c>
      <c r="M53" s="556">
        <f t="shared" si="6"/>
        <v>1.0713969999999999</v>
      </c>
      <c r="N53" s="110">
        <f t="shared" si="7"/>
        <v>5.5440848555083203E-2</v>
      </c>
      <c r="O53" s="194">
        <f t="shared" si="8"/>
        <v>0.78855422374304684</v>
      </c>
      <c r="Q53" s="256"/>
      <c r="S53" s="1"/>
      <c r="V53" s="256"/>
    </row>
    <row r="54" spans="1:22" ht="18" customHeight="1" x14ac:dyDescent="0.25">
      <c r="A54" s="109">
        <v>0.4</v>
      </c>
      <c r="B54" s="193">
        <v>10</v>
      </c>
      <c r="C54" s="196"/>
      <c r="D54" s="621">
        <f>+FORMATO!E50</f>
        <v>0</v>
      </c>
      <c r="E54" s="556">
        <f t="shared" si="0"/>
        <v>1.0713969999999999</v>
      </c>
      <c r="F54" s="110">
        <f t="shared" si="1"/>
        <v>5.5440848555083203E-2</v>
      </c>
      <c r="G54" s="194">
        <f t="shared" si="2"/>
        <v>0.78855422374304684</v>
      </c>
      <c r="H54" s="500">
        <f>+FORMATO!G50</f>
        <v>0</v>
      </c>
      <c r="I54" s="556">
        <f t="shared" si="3"/>
        <v>1.0713969999999999</v>
      </c>
      <c r="J54" s="110">
        <f t="shared" si="4"/>
        <v>5.5440848555083203E-2</v>
      </c>
      <c r="K54" s="195">
        <f t="shared" si="5"/>
        <v>0.78855422374304684</v>
      </c>
      <c r="L54" s="499">
        <f>+FORMATO!I50</f>
        <v>0</v>
      </c>
      <c r="M54" s="556">
        <f t="shared" si="6"/>
        <v>1.0713969999999999</v>
      </c>
      <c r="N54" s="110">
        <f t="shared" si="7"/>
        <v>5.5440848555083203E-2</v>
      </c>
      <c r="O54" s="194">
        <f t="shared" si="8"/>
        <v>0.78855422374304684</v>
      </c>
      <c r="Q54" s="256"/>
      <c r="S54" s="1"/>
      <c r="V54" s="256"/>
    </row>
    <row r="55" spans="1:22" ht="18" customHeight="1" thickBot="1" x14ac:dyDescent="0.3">
      <c r="A55" s="203">
        <v>0.5</v>
      </c>
      <c r="B55" s="204">
        <v>13</v>
      </c>
      <c r="C55" s="205"/>
      <c r="D55" s="621">
        <f>+FORMATO!E51</f>
        <v>0</v>
      </c>
      <c r="E55" s="556">
        <f t="shared" si="0"/>
        <v>1.0713969999999999</v>
      </c>
      <c r="F55" s="206">
        <f t="shared" si="1"/>
        <v>5.5440848555083203E-2</v>
      </c>
      <c r="G55" s="207">
        <f t="shared" si="2"/>
        <v>0.78855422374304684</v>
      </c>
      <c r="H55" s="500">
        <f>+FORMATO!G51</f>
        <v>0</v>
      </c>
      <c r="I55" s="556">
        <f t="shared" si="3"/>
        <v>1.0713969999999999</v>
      </c>
      <c r="J55" s="206">
        <f t="shared" si="4"/>
        <v>5.5440848555083203E-2</v>
      </c>
      <c r="K55" s="208">
        <f t="shared" si="5"/>
        <v>0.78855422374304684</v>
      </c>
      <c r="L55" s="499">
        <f>+FORMATO!I51</f>
        <v>0</v>
      </c>
      <c r="M55" s="556">
        <f t="shared" si="6"/>
        <v>1.0713969999999999</v>
      </c>
      <c r="N55" s="206">
        <f t="shared" si="7"/>
        <v>5.5440848555083203E-2</v>
      </c>
      <c r="O55" s="207">
        <f t="shared" si="8"/>
        <v>0.78855422374304684</v>
      </c>
      <c r="Q55" s="256"/>
      <c r="S55" s="1"/>
      <c r="V55" s="256"/>
    </row>
    <row r="56" spans="1:22" ht="10.5" customHeight="1" x14ac:dyDescent="0.25">
      <c r="F56" s="3"/>
      <c r="G56" s="3"/>
      <c r="H56" s="3"/>
      <c r="K56" s="1"/>
      <c r="Q56" s="1"/>
      <c r="R56" s="1"/>
      <c r="S56" s="1"/>
    </row>
    <row r="57" spans="1:22" ht="15.75" customHeight="1" x14ac:dyDescent="0.25">
      <c r="C57" s="735"/>
      <c r="D57" s="719" t="s">
        <v>321</v>
      </c>
      <c r="E57" s="735"/>
      <c r="F57" s="803"/>
      <c r="G57" s="803"/>
      <c r="H57" s="719" t="s">
        <v>321</v>
      </c>
      <c r="I57" s="735"/>
      <c r="J57" s="735"/>
      <c r="K57" s="736"/>
      <c r="L57" s="719" t="s">
        <v>321</v>
      </c>
      <c r="M57" s="735"/>
    </row>
    <row r="58" spans="1:22" ht="15.75" customHeight="1" x14ac:dyDescent="0.25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5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5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5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5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2" customHeight="1" x14ac:dyDescent="0.25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2" customHeight="1" x14ac:dyDescent="0.25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2" customHeight="1" x14ac:dyDescent="0.25">
      <c r="C65" s="215"/>
      <c r="D65" s="210"/>
      <c r="E65" s="215"/>
      <c r="F65" s="210"/>
      <c r="G65" s="215"/>
      <c r="H65" s="210"/>
      <c r="Q65" s="22"/>
    </row>
    <row r="66" spans="3:17" ht="19.2" customHeight="1" x14ac:dyDescent="0.25">
      <c r="C66" s="215"/>
      <c r="D66" s="210"/>
      <c r="E66" s="215"/>
      <c r="F66" s="210"/>
      <c r="G66" s="215"/>
      <c r="H66" s="210"/>
      <c r="Q66" s="22"/>
    </row>
    <row r="67" spans="3:17" ht="19.2" customHeight="1" x14ac:dyDescent="0.25">
      <c r="C67" s="215"/>
      <c r="D67" s="210"/>
      <c r="E67" s="215"/>
      <c r="F67" s="210"/>
      <c r="G67" s="215"/>
      <c r="H67" s="210"/>
    </row>
    <row r="68" spans="3:17" ht="15.6" customHeight="1" x14ac:dyDescent="0.25">
      <c r="C68" s="209"/>
      <c r="D68" s="213"/>
      <c r="E68" s="209"/>
      <c r="F68" s="213"/>
      <c r="G68" s="209"/>
      <c r="H68" s="213"/>
    </row>
    <row r="69" spans="3:17" ht="15.6" customHeight="1" x14ac:dyDescent="0.25">
      <c r="C69" s="209"/>
      <c r="D69" s="213"/>
      <c r="E69" s="209"/>
      <c r="F69" s="213"/>
      <c r="G69" s="209"/>
      <c r="H69" s="213"/>
    </row>
    <row r="70" spans="3:17" ht="15.6" customHeight="1" x14ac:dyDescent="0.25">
      <c r="C70" s="209"/>
      <c r="D70" s="213"/>
      <c r="E70" s="209"/>
      <c r="F70" s="213"/>
      <c r="G70" s="209"/>
      <c r="H70" s="213"/>
    </row>
    <row r="71" spans="3:17" ht="15.6" customHeight="1" x14ac:dyDescent="0.25">
      <c r="C71" s="216"/>
      <c r="E71" s="217"/>
    </row>
    <row r="72" spans="3:17" ht="15.6" customHeight="1" x14ac:dyDescent="0.25">
      <c r="C72" s="216"/>
      <c r="D72" s="216"/>
    </row>
    <row r="73" spans="3:17" ht="15.6" customHeight="1" x14ac:dyDescent="0.25"/>
    <row r="74" spans="3:17" ht="15.6" customHeight="1" x14ac:dyDescent="0.25"/>
  </sheetData>
  <sheetProtection sheet="1" objects="1" scenarios="1"/>
  <mergeCells count="73">
    <mergeCell ref="A41:O41"/>
    <mergeCell ref="N16:O16"/>
    <mergeCell ref="F34:G34"/>
    <mergeCell ref="D15:G15"/>
    <mergeCell ref="L37:M37"/>
    <mergeCell ref="D40:E40"/>
    <mergeCell ref="D36:E36"/>
    <mergeCell ref="L34:M35"/>
    <mergeCell ref="L17:O17"/>
    <mergeCell ref="A18:B18"/>
    <mergeCell ref="J26:K26"/>
    <mergeCell ref="D34:E35"/>
    <mergeCell ref="L38:M38"/>
    <mergeCell ref="N26:O26"/>
    <mergeCell ref="A24:B24"/>
    <mergeCell ref="A25:O25"/>
    <mergeCell ref="A33:O33"/>
    <mergeCell ref="A14:O14"/>
    <mergeCell ref="H36:I36"/>
    <mergeCell ref="B34:B35"/>
    <mergeCell ref="L39:M39"/>
    <mergeCell ref="F26:G26"/>
    <mergeCell ref="F16:G16"/>
    <mergeCell ref="L16:M16"/>
    <mergeCell ref="H38:I38"/>
    <mergeCell ref="L36:M36"/>
    <mergeCell ref="W2:Y2"/>
    <mergeCell ref="L26:M26"/>
    <mergeCell ref="A26:B26"/>
    <mergeCell ref="D16:E16"/>
    <mergeCell ref="A21:B21"/>
    <mergeCell ref="H16:I16"/>
    <mergeCell ref="J16:K16"/>
    <mergeCell ref="Q2:U2"/>
    <mergeCell ref="H15:K15"/>
    <mergeCell ref="A2:C2"/>
    <mergeCell ref="D6:E6"/>
    <mergeCell ref="D2:E2"/>
    <mergeCell ref="D11:E11"/>
    <mergeCell ref="L7:M7"/>
    <mergeCell ref="D10:E10"/>
    <mergeCell ref="A42:B42"/>
    <mergeCell ref="D37:E37"/>
    <mergeCell ref="A32:B32"/>
    <mergeCell ref="H37:I37"/>
    <mergeCell ref="D4:E4"/>
    <mergeCell ref="A23:B23"/>
    <mergeCell ref="A15:C15"/>
    <mergeCell ref="D38:E38"/>
    <mergeCell ref="H34:I35"/>
    <mergeCell ref="D26:E26"/>
    <mergeCell ref="H26:I26"/>
    <mergeCell ref="D42:G42"/>
    <mergeCell ref="H40:I40"/>
    <mergeCell ref="H42:K42"/>
    <mergeCell ref="H39:I39"/>
    <mergeCell ref="J34:K34"/>
    <mergeCell ref="L42:O42"/>
    <mergeCell ref="D9:E9"/>
    <mergeCell ref="D3:E3"/>
    <mergeCell ref="L2:N2"/>
    <mergeCell ref="A22:B22"/>
    <mergeCell ref="L40:M40"/>
    <mergeCell ref="D39:E39"/>
    <mergeCell ref="D8:E8"/>
    <mergeCell ref="L15:O15"/>
    <mergeCell ref="A20:B20"/>
    <mergeCell ref="D17:G17"/>
    <mergeCell ref="A34:A35"/>
    <mergeCell ref="N34:O34"/>
    <mergeCell ref="H17:K17"/>
    <mergeCell ref="A19:B19"/>
    <mergeCell ref="D5:E5"/>
  </mergeCells>
  <dataValidations disablePrompts="1"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44" zoomScale="90" zoomScaleNormal="90" workbookViewId="0">
      <selection activeCell="H156" sqref="H156:I156"/>
    </sheetView>
  </sheetViews>
  <sheetFormatPr baseColWidth="10" defaultColWidth="12.5546875" defaultRowHeight="13.2" x14ac:dyDescent="0.25"/>
  <cols>
    <col min="1" max="1" width="3.6640625" style="430" customWidth="1"/>
    <col min="2" max="2" width="22.33203125" style="430" customWidth="1"/>
    <col min="3" max="4" width="10" style="430" customWidth="1"/>
    <col min="5" max="5" width="13.5546875" style="430" customWidth="1"/>
    <col min="6" max="6" width="11.5546875" style="430" customWidth="1"/>
    <col min="7" max="7" width="13.5546875" style="430" customWidth="1"/>
    <col min="8" max="8" width="13.6640625" style="430" customWidth="1"/>
    <col min="9" max="9" width="11.5546875" style="430" customWidth="1"/>
    <col min="10" max="10" width="10" style="430" customWidth="1"/>
    <col min="11" max="11" width="28.33203125" customWidth="1"/>
    <col min="12" max="12" width="15.88671875" customWidth="1"/>
    <col min="13" max="13" width="11.109375" customWidth="1"/>
    <col min="14" max="14" width="14.88671875" customWidth="1"/>
    <col min="15" max="15" width="13" customWidth="1"/>
    <col min="16" max="16" width="13.6640625" customWidth="1"/>
    <col min="17" max="17" width="14.44140625" customWidth="1"/>
    <col min="18" max="18" width="13.33203125" customWidth="1"/>
    <col min="19" max="19" width="11.44140625" customWidth="1"/>
    <col min="20" max="20" width="12" customWidth="1"/>
    <col min="21" max="21" width="34.33203125" customWidth="1"/>
    <col min="22" max="22" width="8.5546875" customWidth="1"/>
    <col min="23" max="23" width="12.33203125" customWidth="1"/>
    <col min="24" max="24" width="13.6640625" customWidth="1"/>
    <col min="25" max="25" width="14.88671875" customWidth="1"/>
    <col min="26" max="26" width="14.5546875" customWidth="1"/>
    <col min="27" max="27" width="14.33203125" customWidth="1"/>
    <col min="28" max="28" width="14.88671875" customWidth="1"/>
    <col min="29" max="29" width="16" customWidth="1"/>
    <col min="30" max="30" width="12.88671875" customWidth="1"/>
    <col min="31" max="31" width="16.5546875" customWidth="1"/>
    <col min="32" max="32" width="11.6640625" customWidth="1"/>
    <col min="33" max="33" width="15.33203125" customWidth="1"/>
    <col min="34" max="34" width="12.44140625" customWidth="1"/>
    <col min="35" max="35" width="16.44140625" customWidth="1"/>
    <col min="36" max="36" width="12.88671875" customWidth="1"/>
    <col min="37" max="37" width="12.44140625" customWidth="1"/>
    <col min="38" max="38" width="12" customWidth="1"/>
  </cols>
  <sheetData>
    <row r="1" spans="1:38" s="295" customFormat="1" ht="12.75" customHeight="1" x14ac:dyDescent="0.25">
      <c r="A1" s="430"/>
      <c r="B1" s="548"/>
      <c r="C1" s="549"/>
      <c r="D1" s="959" t="s">
        <v>322</v>
      </c>
      <c r="E1" s="960"/>
      <c r="F1" s="960"/>
      <c r="G1" s="960"/>
      <c r="H1" s="960"/>
      <c r="I1" s="960"/>
      <c r="J1" s="961"/>
      <c r="K1" s="261" t="s">
        <v>323</v>
      </c>
      <c r="L1" s="696" t="s">
        <v>324</v>
      </c>
      <c r="V1" s="545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5">
      <c r="A2" s="430"/>
      <c r="B2" s="550"/>
      <c r="C2" s="551"/>
      <c r="D2" s="962"/>
      <c r="E2" s="960"/>
      <c r="F2" s="960"/>
      <c r="G2" s="960"/>
      <c r="H2" s="960"/>
      <c r="I2" s="960"/>
      <c r="J2" s="961"/>
      <c r="K2" s="261" t="s">
        <v>325</v>
      </c>
      <c r="L2" s="697">
        <v>3</v>
      </c>
      <c r="V2" s="546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5">
      <c r="A3" s="430"/>
      <c r="B3" s="550"/>
      <c r="C3" s="551"/>
      <c r="D3" s="962"/>
      <c r="E3" s="960"/>
      <c r="F3" s="960"/>
      <c r="G3" s="960"/>
      <c r="H3" s="960"/>
      <c r="I3" s="960"/>
      <c r="J3" s="961"/>
      <c r="K3" s="261" t="s">
        <v>326</v>
      </c>
      <c r="L3" s="698">
        <v>46146</v>
      </c>
      <c r="V3" s="547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5">
      <c r="A4" s="430"/>
      <c r="B4" s="552"/>
      <c r="C4" s="553"/>
      <c r="D4" s="963"/>
      <c r="E4" s="964"/>
      <c r="F4" s="964"/>
      <c r="G4" s="964"/>
      <c r="H4" s="964"/>
      <c r="I4" s="964"/>
      <c r="J4" s="965"/>
      <c r="K4" s="261" t="s">
        <v>327</v>
      </c>
      <c r="L4" s="696" t="s">
        <v>328</v>
      </c>
      <c r="V4" s="545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5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5">
      <c r="A6" s="430"/>
      <c r="B6" s="263" t="s">
        <v>329</v>
      </c>
      <c r="C6" s="601" t="s">
        <v>121</v>
      </c>
      <c r="D6" s="602"/>
      <c r="E6" s="603"/>
      <c r="F6" s="603"/>
      <c r="G6" s="603"/>
      <c r="H6" s="603"/>
      <c r="I6" s="603"/>
      <c r="J6" s="603"/>
      <c r="K6" s="603"/>
      <c r="L6" s="604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5">
      <c r="A7" s="430"/>
      <c r="B7" s="263" t="s">
        <v>330</v>
      </c>
      <c r="C7" s="605" t="s">
        <v>122</v>
      </c>
      <c r="D7" s="430"/>
      <c r="E7" s="606"/>
      <c r="F7" s="606"/>
      <c r="G7" s="606"/>
      <c r="H7" s="262"/>
      <c r="I7" s="262"/>
      <c r="J7" s="262"/>
      <c r="K7" s="262"/>
      <c r="L7" s="607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5">
      <c r="A8" s="430"/>
      <c r="B8" s="263" t="s">
        <v>331</v>
      </c>
      <c r="C8" s="601" t="s">
        <v>332</v>
      </c>
      <c r="D8" s="602"/>
      <c r="E8" s="608"/>
      <c r="F8" s="608"/>
      <c r="G8" s="608"/>
      <c r="H8" s="609"/>
      <c r="I8" s="609"/>
      <c r="J8" s="609"/>
      <c r="K8" s="609"/>
      <c r="L8" s="610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5">
      <c r="A9" s="430"/>
      <c r="B9" s="264" t="s">
        <v>333</v>
      </c>
      <c r="C9" s="601" t="s">
        <v>334</v>
      </c>
      <c r="D9" s="602"/>
      <c r="E9" s="608"/>
      <c r="F9" s="608"/>
      <c r="G9" s="608"/>
      <c r="H9" s="609"/>
      <c r="I9" s="609"/>
      <c r="J9" s="609"/>
      <c r="K9" s="609"/>
      <c r="L9" s="610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5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5">
      <c r="A11" s="430"/>
      <c r="B11" s="265" t="s">
        <v>335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335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5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5">
      <c r="A13" s="430"/>
      <c r="B13" s="267" t="s">
        <v>336</v>
      </c>
      <c r="C13" s="267"/>
      <c r="D13" s="266"/>
      <c r="E13" s="267" t="s">
        <v>337</v>
      </c>
      <c r="H13" s="265" t="s">
        <v>338</v>
      </c>
      <c r="J13" s="266"/>
      <c r="K13" s="262"/>
      <c r="L13" s="267" t="s">
        <v>336</v>
      </c>
      <c r="M13" s="267"/>
      <c r="N13" s="266"/>
      <c r="O13" s="266"/>
      <c r="Q13" s="267" t="s">
        <v>337</v>
      </c>
      <c r="S13" s="265" t="s">
        <v>338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5">
      <c r="A14" s="430"/>
      <c r="B14" s="268" t="s">
        <v>339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340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5">
      <c r="A15" s="430"/>
      <c r="B15" s="268" t="s">
        <v>341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342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5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343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5">
      <c r="A17" s="430"/>
      <c r="B17" s="267" t="s">
        <v>344</v>
      </c>
      <c r="C17" s="268"/>
      <c r="D17" s="262"/>
      <c r="F17" s="266"/>
      <c r="G17" s="266"/>
      <c r="H17" s="266"/>
      <c r="I17" s="266"/>
      <c r="J17" s="266"/>
      <c r="K17" s="262"/>
      <c r="L17" s="268" t="s">
        <v>345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5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346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5">
      <c r="A19" s="430"/>
      <c r="B19" s="268" t="s">
        <v>347</v>
      </c>
      <c r="C19" s="266"/>
      <c r="D19" s="266"/>
      <c r="E19" s="266"/>
      <c r="F19" s="266"/>
      <c r="H19" s="266"/>
      <c r="I19" s="266"/>
      <c r="J19" s="266"/>
      <c r="K19" s="262"/>
      <c r="L19" s="266" t="s">
        <v>348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2" customHeight="1" x14ac:dyDescent="0.25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5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344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" customHeight="1" x14ac:dyDescent="0.25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5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349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5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5">
      <c r="B25" s="269" t="s">
        <v>350</v>
      </c>
      <c r="K25" s="269" t="s">
        <v>350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5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5">
      <c r="B27" s="519" t="s">
        <v>351</v>
      </c>
      <c r="C27" s="520" t="s">
        <v>352</v>
      </c>
      <c r="D27" s="519" t="s">
        <v>353</v>
      </c>
      <c r="E27" s="520" t="s">
        <v>354</v>
      </c>
      <c r="F27" s="520" t="s">
        <v>355</v>
      </c>
      <c r="G27" s="520" t="s">
        <v>356</v>
      </c>
      <c r="H27" s="520" t="s">
        <v>357</v>
      </c>
      <c r="I27" s="520" t="s">
        <v>358</v>
      </c>
      <c r="K27" s="419" t="s">
        <v>351</v>
      </c>
      <c r="L27" s="420" t="s">
        <v>352</v>
      </c>
      <c r="M27" s="419" t="s">
        <v>353</v>
      </c>
      <c r="N27" s="420" t="s">
        <v>354</v>
      </c>
      <c r="O27" s="420" t="s">
        <v>355</v>
      </c>
      <c r="P27" s="420" t="s">
        <v>356</v>
      </c>
      <c r="Q27" s="420" t="s">
        <v>357</v>
      </c>
      <c r="R27" s="420" t="s">
        <v>358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5">
      <c r="B28" s="527" t="s">
        <v>359</v>
      </c>
      <c r="C28" s="518" t="s">
        <v>19</v>
      </c>
      <c r="D28" s="569">
        <f>+D29/D32*14.223343334285*100/1000</f>
        <v>8.3166518663380498E-2</v>
      </c>
      <c r="E28" s="483"/>
      <c r="F28" s="372"/>
      <c r="G28" s="372"/>
      <c r="H28" s="372"/>
      <c r="I28" s="372"/>
      <c r="K28" s="531" t="s">
        <v>226</v>
      </c>
      <c r="L28" s="379" t="s">
        <v>19</v>
      </c>
      <c r="M28" s="570" t="e">
        <f>+(M33-M30)*(M31-M29)/(M32-M30)+M29</f>
        <v>#N/A</v>
      </c>
      <c r="N28" s="543"/>
      <c r="O28" s="543"/>
      <c r="P28" s="543"/>
      <c r="Q28" s="543"/>
      <c r="R28" s="543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5">
      <c r="B29" s="528" t="s">
        <v>360</v>
      </c>
      <c r="C29" s="420" t="s">
        <v>361</v>
      </c>
      <c r="D29" s="426">
        <f>+'INFORME-2'!$V$55*D32*0.393701^2*0.453592</f>
        <v>1.129971229796175</v>
      </c>
      <c r="E29" s="471"/>
      <c r="F29" s="473"/>
      <c r="G29" s="516">
        <f>SQRT((G30*G30+G31*G31))</f>
        <v>4.9418355248927561</v>
      </c>
      <c r="H29" s="481">
        <f>1/D32*14.223343334285*100/1000</f>
        <v>7.3600562979273504E-2</v>
      </c>
      <c r="I29" s="517">
        <f>+H29*G29</f>
        <v>0.36372187678308043</v>
      </c>
      <c r="J29" s="408" t="s">
        <v>277</v>
      </c>
      <c r="K29" s="532" t="s">
        <v>359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5">
      <c r="B30" s="529" t="s">
        <v>362</v>
      </c>
      <c r="C30" s="379" t="s">
        <v>361</v>
      </c>
      <c r="D30" s="483"/>
      <c r="E30" s="505">
        <f>+$D$58</f>
        <v>-9.8835024200449766</v>
      </c>
      <c r="F30" s="338" t="s">
        <v>363</v>
      </c>
      <c r="G30" s="530">
        <f>+E30/2</f>
        <v>-4.9417512100224883</v>
      </c>
      <c r="H30" s="372"/>
      <c r="I30" s="372"/>
      <c r="J30" s="408" t="s">
        <v>281</v>
      </c>
      <c r="K30" s="532" t="s">
        <v>364</v>
      </c>
      <c r="L30" s="472" t="s">
        <v>162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5">
      <c r="B31" s="501" t="s">
        <v>365</v>
      </c>
      <c r="C31" s="379" t="s">
        <v>361</v>
      </c>
      <c r="D31" s="483"/>
      <c r="E31" s="502">
        <v>0.1</v>
      </c>
      <c r="F31" s="441" t="s">
        <v>366</v>
      </c>
      <c r="G31" s="438">
        <f>+E31/SQRT(3)/2</f>
        <v>2.8867513459481291E-2</v>
      </c>
      <c r="H31" s="372"/>
      <c r="I31" s="372"/>
      <c r="J31" s="408" t="s">
        <v>284</v>
      </c>
      <c r="K31" s="532" t="s">
        <v>208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5">
      <c r="B32" s="528" t="s">
        <v>367</v>
      </c>
      <c r="C32" s="420" t="s">
        <v>368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7">
        <f>+H32*G32</f>
        <v>1.8713083710440528E-5</v>
      </c>
      <c r="J32" s="408" t="s">
        <v>272</v>
      </c>
      <c r="K32" s="532" t="s">
        <v>369</v>
      </c>
      <c r="L32" s="472" t="s">
        <v>162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5">
      <c r="B33" s="535" t="s">
        <v>370</v>
      </c>
      <c r="C33" s="343" t="s">
        <v>19</v>
      </c>
      <c r="D33" s="536">
        <f>+PRECISION!$C$6</f>
        <v>2.0257508895880241</v>
      </c>
      <c r="E33" s="327"/>
      <c r="F33" s="537" t="s">
        <v>371</v>
      </c>
      <c r="G33" s="538">
        <f>D33/SQRT(1)</f>
        <v>2.0257508895880241</v>
      </c>
      <c r="H33" s="539">
        <v>1</v>
      </c>
      <c r="I33" s="540">
        <f>+G33*H33</f>
        <v>2.0257508895880241</v>
      </c>
      <c r="J33" s="408" t="s">
        <v>288</v>
      </c>
      <c r="K33" s="533" t="s">
        <v>372</v>
      </c>
      <c r="L33" s="472" t="s">
        <v>162</v>
      </c>
      <c r="M33" s="474">
        <f>+DATOS!J2</f>
        <v>0</v>
      </c>
      <c r="N33" s="471"/>
      <c r="O33" s="473"/>
      <c r="P33" s="534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5">
      <c r="A34" s="408"/>
      <c r="B34" s="421" t="s">
        <v>373</v>
      </c>
      <c r="C34" s="421"/>
      <c r="D34" s="421"/>
      <c r="E34" s="422"/>
      <c r="F34" s="421"/>
      <c r="G34" s="422"/>
      <c r="H34" s="524" t="s">
        <v>19</v>
      </c>
      <c r="I34" s="524">
        <f>+SQRT(I29^2+I32^2+I33^2)</f>
        <v>2.0581448614389264</v>
      </c>
      <c r="J34" s="408"/>
      <c r="K34" s="535" t="s">
        <v>370</v>
      </c>
      <c r="L34" s="343" t="s">
        <v>19</v>
      </c>
      <c r="M34" s="536">
        <f>+PRECISION!$C$6</f>
        <v>2.0257508895880241</v>
      </c>
      <c r="N34" s="327"/>
      <c r="O34" s="537" t="s">
        <v>371</v>
      </c>
      <c r="P34" s="538">
        <f>M34/SQRT(1)</f>
        <v>2.0257508895880241</v>
      </c>
      <c r="Q34" s="539">
        <v>1</v>
      </c>
      <c r="R34" s="540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5">
      <c r="B35" s="421" t="s">
        <v>374</v>
      </c>
      <c r="C35" s="421"/>
      <c r="D35" s="525"/>
      <c r="E35" s="422"/>
      <c r="F35" s="525"/>
      <c r="G35" s="422"/>
      <c r="H35" s="524" t="s">
        <v>19</v>
      </c>
      <c r="I35" s="526">
        <f>I34*2</f>
        <v>4.1162897228778528</v>
      </c>
      <c r="K35" s="541" t="s">
        <v>373</v>
      </c>
      <c r="L35" s="541"/>
      <c r="M35" s="541"/>
      <c r="N35" s="541"/>
      <c r="O35" s="541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" customHeight="1" x14ac:dyDescent="0.25">
      <c r="K36" s="541" t="s">
        <v>374</v>
      </c>
      <c r="L36" s="541"/>
      <c r="M36" s="338"/>
      <c r="N36" s="338"/>
      <c r="O36" s="338"/>
      <c r="P36" s="422"/>
      <c r="Q36" s="463" t="s">
        <v>19</v>
      </c>
      <c r="R36" s="542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5">
      <c r="K37" s="511"/>
      <c r="L37" s="511"/>
      <c r="M37" s="512"/>
      <c r="N37" s="512"/>
      <c r="O37" s="512"/>
      <c r="P37" s="513"/>
      <c r="Q37" s="514"/>
      <c r="R37" s="515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5" customHeight="1" x14ac:dyDescent="0.25">
      <c r="B38" s="519" t="s">
        <v>351</v>
      </c>
      <c r="C38" s="520" t="s">
        <v>352</v>
      </c>
      <c r="D38" s="519" t="s">
        <v>353</v>
      </c>
      <c r="E38" s="520" t="s">
        <v>354</v>
      </c>
      <c r="F38" s="520" t="s">
        <v>355</v>
      </c>
      <c r="G38" s="520" t="s">
        <v>356</v>
      </c>
      <c r="H38" s="520" t="s">
        <v>357</v>
      </c>
      <c r="I38" s="520" t="s">
        <v>358</v>
      </c>
      <c r="K38" s="419" t="s">
        <v>351</v>
      </c>
      <c r="L38" s="420" t="s">
        <v>352</v>
      </c>
      <c r="M38" s="419" t="s">
        <v>353</v>
      </c>
      <c r="N38" s="420" t="s">
        <v>354</v>
      </c>
      <c r="O38" s="420" t="s">
        <v>355</v>
      </c>
      <c r="P38" s="420" t="s">
        <v>356</v>
      </c>
      <c r="Q38" s="420" t="s">
        <v>357</v>
      </c>
      <c r="R38" s="420" t="s">
        <v>358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5">
      <c r="B39" s="527" t="s">
        <v>375</v>
      </c>
      <c r="C39" s="518" t="s">
        <v>19</v>
      </c>
      <c r="D39" s="569">
        <f>+D40/D43*14.223343334285*100/1500</f>
        <v>5.389068276382105E-2</v>
      </c>
      <c r="E39" s="483"/>
      <c r="F39" s="372"/>
      <c r="G39" s="372"/>
      <c r="H39" s="372"/>
      <c r="I39" s="372"/>
      <c r="K39" s="531" t="s">
        <v>228</v>
      </c>
      <c r="L39" s="379" t="s">
        <v>19</v>
      </c>
      <c r="M39" s="570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5">
      <c r="B40" s="528" t="s">
        <v>360</v>
      </c>
      <c r="C40" s="420" t="s">
        <v>361</v>
      </c>
      <c r="D40" s="426">
        <f>+'INFORME-2'!$V$56*D43*0.393701^2*0.453592</f>
        <v>1.0983071443148558</v>
      </c>
      <c r="E40" s="471"/>
      <c r="F40" s="473"/>
      <c r="G40" s="516">
        <f>SQRT((G41*G41+G42*G42))</f>
        <v>0.49754323270208189</v>
      </c>
      <c r="H40" s="481">
        <f>1/D43*14.223343334285*100/1000</f>
        <v>7.3600562979273504E-2</v>
      </c>
      <c r="I40" s="517">
        <f>+H40*G40</f>
        <v>3.6619462033400912E-2</v>
      </c>
      <c r="K40" s="532" t="s">
        <v>219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5">
      <c r="B41" s="529" t="s">
        <v>362</v>
      </c>
      <c r="C41" s="379" t="s">
        <v>361</v>
      </c>
      <c r="D41" s="483"/>
      <c r="E41" s="505">
        <f>+$D$59</f>
        <v>-0.99341015713411085</v>
      </c>
      <c r="F41" s="338" t="s">
        <v>363</v>
      </c>
      <c r="G41" s="530">
        <f>+E41/2</f>
        <v>-0.49670507856705542</v>
      </c>
      <c r="H41" s="372"/>
      <c r="I41" s="372"/>
      <c r="K41" s="532" t="s">
        <v>364</v>
      </c>
      <c r="L41" s="472" t="s">
        <v>162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5">
      <c r="B42" s="501" t="s">
        <v>365</v>
      </c>
      <c r="C42" s="379" t="s">
        <v>361</v>
      </c>
      <c r="D42" s="483"/>
      <c r="E42" s="502">
        <v>0.1</v>
      </c>
      <c r="F42" s="441" t="s">
        <v>366</v>
      </c>
      <c r="G42" s="438">
        <f>+E42/SQRT(3)/2</f>
        <v>2.8867513459481291E-2</v>
      </c>
      <c r="H42" s="372"/>
      <c r="I42" s="372"/>
      <c r="K42" s="532" t="s">
        <v>220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5">
      <c r="B43" s="528" t="s">
        <v>367</v>
      </c>
      <c r="C43" s="420" t="s">
        <v>368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7">
        <f>+H43*G43</f>
        <v>1.8188705154064933E-5</v>
      </c>
      <c r="K43" s="532" t="s">
        <v>369</v>
      </c>
      <c r="L43" s="472" t="s">
        <v>162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5">
      <c r="B44" s="535" t="s">
        <v>370</v>
      </c>
      <c r="C44" s="343" t="s">
        <v>19</v>
      </c>
      <c r="D44" s="536">
        <f>+PRECISION!$C$6</f>
        <v>2.0257508895880241</v>
      </c>
      <c r="E44" s="327"/>
      <c r="F44" s="537" t="s">
        <v>371</v>
      </c>
      <c r="G44" s="538">
        <f>D44/SQRT(1)</f>
        <v>2.0257508895880241</v>
      </c>
      <c r="H44" s="539">
        <v>1</v>
      </c>
      <c r="I44" s="540">
        <f>+G44*H44</f>
        <v>2.0257508895880241</v>
      </c>
      <c r="K44" s="533" t="s">
        <v>372</v>
      </c>
      <c r="L44" s="472" t="s">
        <v>162</v>
      </c>
      <c r="M44" s="474">
        <f>+DATOS!J2</f>
        <v>0</v>
      </c>
      <c r="N44" s="471"/>
      <c r="O44" s="473"/>
      <c r="P44" s="534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5">
      <c r="B45" s="421" t="s">
        <v>373</v>
      </c>
      <c r="C45" s="421"/>
      <c r="D45" s="421"/>
      <c r="E45" s="422"/>
      <c r="F45" s="421"/>
      <c r="G45" s="422"/>
      <c r="H45" s="524" t="s">
        <v>19</v>
      </c>
      <c r="I45" s="524">
        <f>+SQRT(I40^2+I43^2+I44^2)</f>
        <v>2.0260818473095097</v>
      </c>
      <c r="K45" s="535" t="s">
        <v>370</v>
      </c>
      <c r="L45" s="343" t="s">
        <v>19</v>
      </c>
      <c r="M45" s="536">
        <f>+PRECISION!$C$6</f>
        <v>2.0257508895880241</v>
      </c>
      <c r="N45" s="327"/>
      <c r="O45" s="537" t="s">
        <v>371</v>
      </c>
      <c r="P45" s="538">
        <f>M45/SQRT(1)</f>
        <v>2.0257508895880241</v>
      </c>
      <c r="Q45" s="539">
        <v>1</v>
      </c>
      <c r="R45" s="540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5">
      <c r="B46" s="421" t="s">
        <v>374</v>
      </c>
      <c r="C46" s="421"/>
      <c r="D46" s="525"/>
      <c r="E46" s="422"/>
      <c r="F46" s="525"/>
      <c r="G46" s="422"/>
      <c r="H46" s="524" t="s">
        <v>19</v>
      </c>
      <c r="I46" s="526">
        <f>I45*2</f>
        <v>4.0521636946190194</v>
      </c>
      <c r="K46" s="541" t="s">
        <v>373</v>
      </c>
      <c r="L46" s="541"/>
      <c r="M46" s="541"/>
      <c r="N46" s="541"/>
      <c r="O46" s="541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5">
      <c r="K47" s="541" t="s">
        <v>374</v>
      </c>
      <c r="L47" s="541"/>
      <c r="M47" s="338"/>
      <c r="N47" s="338"/>
      <c r="O47" s="338"/>
      <c r="P47" s="422"/>
      <c r="Q47" s="463" t="s">
        <v>19</v>
      </c>
      <c r="R47" s="542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5">
      <c r="B48" s="519" t="s">
        <v>351</v>
      </c>
      <c r="C48" s="520" t="s">
        <v>352</v>
      </c>
      <c r="D48" s="519" t="s">
        <v>353</v>
      </c>
      <c r="E48" s="520" t="s">
        <v>354</v>
      </c>
      <c r="F48" s="520" t="s">
        <v>355</v>
      </c>
      <c r="G48" s="520" t="s">
        <v>356</v>
      </c>
      <c r="H48" s="520" t="s">
        <v>357</v>
      </c>
      <c r="I48" s="520" t="s">
        <v>358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5" customHeight="1" x14ac:dyDescent="0.25">
      <c r="B49" s="521" t="s">
        <v>376</v>
      </c>
      <c r="C49" s="372" t="s">
        <v>377</v>
      </c>
      <c r="D49" s="522">
        <f>3.14159*D50*D50/4</f>
        <v>1932.5030603836888</v>
      </c>
      <c r="E49" s="359"/>
      <c r="F49" s="359"/>
      <c r="G49" s="359"/>
      <c r="H49" s="359"/>
      <c r="I49" s="359"/>
      <c r="K49" s="519" t="s">
        <v>351</v>
      </c>
      <c r="L49" s="520" t="s">
        <v>352</v>
      </c>
      <c r="M49" s="519" t="s">
        <v>353</v>
      </c>
      <c r="N49" s="520" t="s">
        <v>354</v>
      </c>
      <c r="O49" s="520" t="s">
        <v>355</v>
      </c>
      <c r="P49" s="520" t="s">
        <v>356</v>
      </c>
      <c r="Q49" s="520" t="s">
        <v>357</v>
      </c>
      <c r="R49" s="520" t="s">
        <v>358</v>
      </c>
      <c r="U49" s="519" t="s">
        <v>351</v>
      </c>
      <c r="V49" s="520" t="s">
        <v>352</v>
      </c>
      <c r="W49" s="519" t="s">
        <v>353</v>
      </c>
      <c r="X49" s="520" t="s">
        <v>354</v>
      </c>
      <c r="Y49" s="520" t="s">
        <v>355</v>
      </c>
      <c r="Z49" s="520" t="s">
        <v>356</v>
      </c>
      <c r="AA49" s="520" t="s">
        <v>357</v>
      </c>
      <c r="AB49" s="520" t="s">
        <v>358</v>
      </c>
      <c r="AC49" s="262"/>
      <c r="AH49" s="262"/>
      <c r="AI49" s="262"/>
      <c r="AJ49" s="262"/>
      <c r="AK49" s="262"/>
      <c r="AL49" s="262"/>
    </row>
    <row r="50" spans="2:38" ht="21.75" customHeight="1" x14ac:dyDescent="0.25">
      <c r="B50" s="523" t="s">
        <v>378</v>
      </c>
      <c r="C50" s="442" t="s">
        <v>279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09">
        <f>3.14159*D50/2</f>
        <v>77.917471015625196</v>
      </c>
      <c r="I50" s="510">
        <f>+G50*H50</f>
        <v>0.43482789308154735</v>
      </c>
      <c r="K50" s="527" t="s">
        <v>359</v>
      </c>
      <c r="L50" s="518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7" t="s">
        <v>208</v>
      </c>
      <c r="V50" s="518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5">
      <c r="B51" s="501" t="s">
        <v>379</v>
      </c>
      <c r="C51" s="160" t="s">
        <v>279</v>
      </c>
      <c r="D51" s="294"/>
      <c r="E51" s="435">
        <f>+C77</f>
        <v>2.4494897427826908E-3</v>
      </c>
      <c r="F51" s="334" t="s">
        <v>380</v>
      </c>
      <c r="G51" s="335">
        <f>+E51</f>
        <v>2.4494897427826908E-3</v>
      </c>
      <c r="H51" s="359"/>
      <c r="I51" s="359"/>
      <c r="K51" s="528" t="s">
        <v>360</v>
      </c>
      <c r="L51" s="420" t="s">
        <v>361</v>
      </c>
      <c r="M51" s="426">
        <f>+'INFORME-2'!$V$55*M54*0.393701^2*0.453592</f>
        <v>1.129971229796175</v>
      </c>
      <c r="N51" s="471"/>
      <c r="O51" s="473"/>
      <c r="P51" s="516">
        <f>SQRT((P52*P52+P53*P53))</f>
        <v>4.9418355248927561</v>
      </c>
      <c r="Q51" s="481">
        <f>1/M54*14.223343334285*100/1000</f>
        <v>7.3600562979273504E-2</v>
      </c>
      <c r="R51" s="517">
        <f>+Q51*P51</f>
        <v>0.36372187678308043</v>
      </c>
      <c r="U51" s="528" t="s">
        <v>360</v>
      </c>
      <c r="V51" s="420" t="s">
        <v>361</v>
      </c>
      <c r="W51" s="426">
        <f>+'INFORME-2'!Y55*W54*0.393701^2*0.453592</f>
        <v>1.129971229796175</v>
      </c>
      <c r="X51" s="471"/>
      <c r="Y51" s="473"/>
      <c r="Z51" s="516">
        <f>SQRT((Z52*Z52+Z53*Z53))</f>
        <v>2.8989388653631629E-2</v>
      </c>
      <c r="AA51" s="481">
        <f>1/W54*14.223343334285*100/1000</f>
        <v>7.3600562979273504E-2</v>
      </c>
      <c r="AB51" s="517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5">
      <c r="B52" s="501" t="s">
        <v>362</v>
      </c>
      <c r="C52" s="160" t="s">
        <v>279</v>
      </c>
      <c r="D52" s="436"/>
      <c r="E52" s="435">
        <v>8.2000000000000007E-3</v>
      </c>
      <c r="F52" s="437" t="s">
        <v>381</v>
      </c>
      <c r="G52" s="438">
        <f>+E52/2</f>
        <v>4.1000000000000003E-3</v>
      </c>
      <c r="H52" s="359"/>
      <c r="I52" s="359"/>
      <c r="K52" s="529" t="s">
        <v>362</v>
      </c>
      <c r="L52" s="379" t="s">
        <v>361</v>
      </c>
      <c r="M52" s="483"/>
      <c r="N52" s="505">
        <f>+$D$58</f>
        <v>-9.8835024200449766</v>
      </c>
      <c r="O52" s="338" t="s">
        <v>363</v>
      </c>
      <c r="P52" s="530">
        <f>+N52/2</f>
        <v>-4.9417512100224883</v>
      </c>
      <c r="Q52" s="372"/>
      <c r="R52" s="372"/>
      <c r="U52" s="529" t="s">
        <v>362</v>
      </c>
      <c r="V52" s="379" t="s">
        <v>361</v>
      </c>
      <c r="W52" s="483"/>
      <c r="X52" s="505">
        <f>+E58</f>
        <v>5.3108647800420225E-3</v>
      </c>
      <c r="Y52" s="338" t="s">
        <v>363</v>
      </c>
      <c r="Z52" s="530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5">
      <c r="B53" s="501" t="s">
        <v>365</v>
      </c>
      <c r="C53" s="160" t="s">
        <v>279</v>
      </c>
      <c r="D53" s="436"/>
      <c r="E53" s="502">
        <v>0.01</v>
      </c>
      <c r="F53" s="441" t="s">
        <v>366</v>
      </c>
      <c r="G53" s="438">
        <f>+E53/SQRT(3)/2</f>
        <v>2.886751345948129E-3</v>
      </c>
      <c r="H53" s="359"/>
      <c r="I53" s="359"/>
      <c r="K53" s="501" t="s">
        <v>365</v>
      </c>
      <c r="L53" s="379" t="s">
        <v>361</v>
      </c>
      <c r="M53" s="483"/>
      <c r="N53" s="502">
        <v>0.1</v>
      </c>
      <c r="O53" s="441" t="s">
        <v>366</v>
      </c>
      <c r="P53" s="438">
        <f>+N53/SQRT(3)/2</f>
        <v>2.8867513459481291E-2</v>
      </c>
      <c r="Q53" s="372"/>
      <c r="R53" s="372"/>
      <c r="U53" s="501" t="s">
        <v>365</v>
      </c>
      <c r="V53" s="379" t="s">
        <v>361</v>
      </c>
      <c r="W53" s="483"/>
      <c r="X53" s="502">
        <v>0.1</v>
      </c>
      <c r="Y53" s="441" t="s">
        <v>366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5">
      <c r="B54" s="421" t="s">
        <v>373</v>
      </c>
      <c r="C54" s="421"/>
      <c r="D54" s="421"/>
      <c r="E54" s="422"/>
      <c r="F54" s="421"/>
      <c r="G54" s="422"/>
      <c r="H54" s="524" t="s">
        <v>377</v>
      </c>
      <c r="I54" s="524">
        <f>+SQRT(I50^2)</f>
        <v>0.43482789308154735</v>
      </c>
      <c r="K54" s="528" t="s">
        <v>367</v>
      </c>
      <c r="L54" s="420" t="s">
        <v>368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7">
        <f>+Q54*P54</f>
        <v>1.8713083710440528E-5</v>
      </c>
      <c r="U54" s="528" t="s">
        <v>367</v>
      </c>
      <c r="V54" s="420" t="s">
        <v>368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7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5">
      <c r="B55" s="421" t="s">
        <v>374</v>
      </c>
      <c r="C55" s="421"/>
      <c r="D55" s="525"/>
      <c r="E55" s="422"/>
      <c r="F55" s="525"/>
      <c r="G55" s="422"/>
      <c r="H55" s="524" t="s">
        <v>377</v>
      </c>
      <c r="I55" s="526">
        <f>I54*2</f>
        <v>0.86965578616309469</v>
      </c>
      <c r="K55" s="421" t="s">
        <v>373</v>
      </c>
      <c r="L55" s="421"/>
      <c r="M55" s="421"/>
      <c r="N55" s="422"/>
      <c r="O55" s="421"/>
      <c r="P55" s="422"/>
      <c r="Q55" s="524" t="s">
        <v>19</v>
      </c>
      <c r="R55" s="524">
        <f>+SQRT(R51^2+R54^2)</f>
        <v>0.36372187726446403</v>
      </c>
      <c r="U55" s="421" t="s">
        <v>373</v>
      </c>
      <c r="V55" s="421"/>
      <c r="W55" s="421"/>
      <c r="X55" s="422"/>
      <c r="Y55" s="421"/>
      <c r="Z55" s="422"/>
      <c r="AA55" s="524" t="s">
        <v>19</v>
      </c>
      <c r="AB55" s="524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5">
      <c r="K56" s="421" t="s">
        <v>374</v>
      </c>
      <c r="L56" s="421"/>
      <c r="M56" s="525"/>
      <c r="N56" s="422"/>
      <c r="O56" s="525"/>
      <c r="P56" s="422"/>
      <c r="Q56" s="524" t="s">
        <v>19</v>
      </c>
      <c r="R56" s="526">
        <f>R55*2</f>
        <v>0.72744375452892807</v>
      </c>
      <c r="U56" s="421" t="s">
        <v>374</v>
      </c>
      <c r="V56" s="421"/>
      <c r="W56" s="525"/>
      <c r="X56" s="422"/>
      <c r="Y56" s="525"/>
      <c r="Z56" s="422"/>
      <c r="AA56" s="524" t="s">
        <v>19</v>
      </c>
      <c r="AB56" s="526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5">
      <c r="K57" s="273"/>
      <c r="L57" s="273"/>
      <c r="M57" s="273"/>
      <c r="N57" s="273"/>
      <c r="O57" s="273"/>
      <c r="P57" s="273"/>
      <c r="Q57" s="273" t="s">
        <v>382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5">
      <c r="B58" s="503" t="s">
        <v>383</v>
      </c>
      <c r="C58" s="503" t="s">
        <v>384</v>
      </c>
      <c r="D58" s="504">
        <f>+FORECAST(M51,C60:C61,B60:B61)</f>
        <v>-9.8835024200449766</v>
      </c>
      <c r="E58" s="504">
        <f>+FORECAST(W51,C59:C60,B59:B60)</f>
        <v>5.3108647800420225E-3</v>
      </c>
      <c r="F58" s="464">
        <v>0.1</v>
      </c>
      <c r="K58" s="519" t="s">
        <v>351</v>
      </c>
      <c r="L58" s="520" t="s">
        <v>352</v>
      </c>
      <c r="M58" s="519" t="s">
        <v>353</v>
      </c>
      <c r="N58" s="520" t="s">
        <v>354</v>
      </c>
      <c r="O58" s="520" t="s">
        <v>355</v>
      </c>
      <c r="P58" s="520" t="s">
        <v>356</v>
      </c>
      <c r="Q58" s="520" t="s">
        <v>357</v>
      </c>
      <c r="R58" s="520" t="s">
        <v>358</v>
      </c>
      <c r="S58" s="273"/>
      <c r="T58" s="273"/>
      <c r="U58" s="519" t="s">
        <v>351</v>
      </c>
      <c r="V58" s="520" t="s">
        <v>352</v>
      </c>
      <c r="W58" s="519" t="s">
        <v>353</v>
      </c>
      <c r="X58" s="520" t="s">
        <v>354</v>
      </c>
      <c r="Y58" s="520" t="s">
        <v>355</v>
      </c>
      <c r="Z58" s="520" t="s">
        <v>356</v>
      </c>
      <c r="AA58" s="520" t="s">
        <v>357</v>
      </c>
      <c r="AB58" s="520" t="s">
        <v>358</v>
      </c>
      <c r="AC58" s="262"/>
      <c r="AH58" s="262"/>
      <c r="AI58" s="262"/>
      <c r="AJ58" s="262"/>
      <c r="AK58" s="262"/>
      <c r="AL58" s="262"/>
    </row>
    <row r="59" spans="2:38" ht="21.75" customHeight="1" x14ac:dyDescent="0.25">
      <c r="B59" s="503">
        <v>0</v>
      </c>
      <c r="C59" s="503">
        <v>0</v>
      </c>
      <c r="D59" s="504">
        <f>+FORECAST(M60,C62:C63,B62:B63)</f>
        <v>-0.99341015713411085</v>
      </c>
      <c r="E59" s="504">
        <f>+FORECAST(W60,C61:C62,B61:B62)</f>
        <v>14.99780338571137</v>
      </c>
      <c r="F59" s="464">
        <v>0.2</v>
      </c>
      <c r="K59" s="527" t="s">
        <v>375</v>
      </c>
      <c r="L59" s="518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7" t="s">
        <v>220</v>
      </c>
      <c r="V59" s="518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5">
      <c r="B60" s="503">
        <v>1000</v>
      </c>
      <c r="C60" s="503">
        <v>4.7</v>
      </c>
      <c r="D60" s="347"/>
      <c r="E60" s="273"/>
      <c r="K60" s="528" t="s">
        <v>360</v>
      </c>
      <c r="L60" s="420" t="s">
        <v>361</v>
      </c>
      <c r="M60" s="426">
        <f>+'INFORME-2'!$V$56*M63*0.393701^2*0.453592</f>
        <v>1.0983071443148558</v>
      </c>
      <c r="N60" s="471"/>
      <c r="O60" s="473"/>
      <c r="P60" s="516">
        <f>SQRT((P61*P61+P62*P62))</f>
        <v>0.49754323270208189</v>
      </c>
      <c r="Q60" s="481">
        <f>1/M63*14.223343334285*100/1000</f>
        <v>7.3600562979273504E-2</v>
      </c>
      <c r="R60" s="517">
        <f>+Q60*P60</f>
        <v>3.6619462033400912E-2</v>
      </c>
      <c r="S60" s="273"/>
      <c r="T60" s="273"/>
      <c r="U60" s="528" t="s">
        <v>360</v>
      </c>
      <c r="V60" s="420" t="s">
        <v>361</v>
      </c>
      <c r="W60" s="426">
        <f>+'INFORME-2'!Y56*W63*0.393701^2*0.453592</f>
        <v>1.0983071443148558</v>
      </c>
      <c r="X60" s="471"/>
      <c r="Y60" s="473"/>
      <c r="Z60" s="516">
        <f>SQRT((Z61*Z61+Z62*Z62))</f>
        <v>7.49895725634219</v>
      </c>
      <c r="AA60" s="481">
        <f>1/W63*14.223343334285*100/1000</f>
        <v>7.3600562979273504E-2</v>
      </c>
      <c r="AB60" s="517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5">
      <c r="B61" s="503">
        <v>1500</v>
      </c>
      <c r="C61" s="503">
        <v>12</v>
      </c>
      <c r="D61" s="347"/>
      <c r="E61" s="273"/>
      <c r="K61" s="529" t="s">
        <v>362</v>
      </c>
      <c r="L61" s="379" t="s">
        <v>361</v>
      </c>
      <c r="M61" s="483"/>
      <c r="N61" s="505">
        <f>+$D$59</f>
        <v>-0.99341015713411085</v>
      </c>
      <c r="O61" s="338" t="s">
        <v>363</v>
      </c>
      <c r="P61" s="530">
        <f>+N61/2</f>
        <v>-0.49670507856705542</v>
      </c>
      <c r="Q61" s="372"/>
      <c r="R61" s="372"/>
      <c r="S61" s="273"/>
      <c r="T61" s="273"/>
      <c r="U61" s="529" t="s">
        <v>362</v>
      </c>
      <c r="V61" s="379" t="s">
        <v>361</v>
      </c>
      <c r="W61" s="483"/>
      <c r="X61" s="505">
        <f>+E59</f>
        <v>14.99780338571137</v>
      </c>
      <c r="Y61" s="338" t="s">
        <v>363</v>
      </c>
      <c r="Z61" s="530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5">
      <c r="B62" s="503">
        <v>2000</v>
      </c>
      <c r="C62" s="503">
        <v>11</v>
      </c>
      <c r="D62" s="347"/>
      <c r="E62" s="273"/>
      <c r="K62" s="501" t="s">
        <v>365</v>
      </c>
      <c r="L62" s="379" t="s">
        <v>361</v>
      </c>
      <c r="M62" s="483"/>
      <c r="N62" s="502">
        <v>0.1</v>
      </c>
      <c r="O62" s="441" t="s">
        <v>366</v>
      </c>
      <c r="P62" s="438">
        <f>+N62/SQRT(3)/2</f>
        <v>2.8867513459481291E-2</v>
      </c>
      <c r="Q62" s="372"/>
      <c r="R62" s="372"/>
      <c r="S62" s="273"/>
      <c r="T62" s="273"/>
      <c r="U62" s="501" t="s">
        <v>365</v>
      </c>
      <c r="V62" s="379" t="s">
        <v>361</v>
      </c>
      <c r="W62" s="483"/>
      <c r="X62" s="502">
        <v>0.1</v>
      </c>
      <c r="Y62" s="441" t="s">
        <v>366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5">
      <c r="B63" s="503">
        <v>2500</v>
      </c>
      <c r="C63" s="503">
        <v>14</v>
      </c>
      <c r="D63" s="347"/>
      <c r="E63" s="273"/>
      <c r="K63" s="528" t="s">
        <v>367</v>
      </c>
      <c r="L63" s="420" t="s">
        <v>368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6">
        <f>+Q63*P63</f>
        <v>1.8188705154064933E-5</v>
      </c>
      <c r="S63" s="273"/>
      <c r="T63" s="273"/>
      <c r="U63" s="528" t="s">
        <v>367</v>
      </c>
      <c r="V63" s="420" t="s">
        <v>368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7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5">
      <c r="B64" s="503">
        <v>3000</v>
      </c>
      <c r="C64" s="503">
        <v>16</v>
      </c>
      <c r="D64" s="347"/>
      <c r="E64" s="273"/>
      <c r="K64" s="421" t="s">
        <v>373</v>
      </c>
      <c r="L64" s="421"/>
      <c r="M64" s="421"/>
      <c r="N64" s="422"/>
      <c r="O64" s="421"/>
      <c r="P64" s="422"/>
      <c r="Q64" s="524" t="s">
        <v>19</v>
      </c>
      <c r="R64" s="524">
        <f>+SQRT(R60^2+R63^2)</f>
        <v>3.6619466550520452E-2</v>
      </c>
      <c r="S64" s="273"/>
      <c r="T64" s="273"/>
      <c r="U64" s="421" t="s">
        <v>373</v>
      </c>
      <c r="V64" s="421"/>
      <c r="W64" s="421"/>
      <c r="X64" s="422"/>
      <c r="Y64" s="421"/>
      <c r="Z64" s="422"/>
      <c r="AA64" s="524" t="s">
        <v>19</v>
      </c>
      <c r="AB64" s="524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5">
      <c r="B65" s="503">
        <v>3500</v>
      </c>
      <c r="C65" s="503">
        <v>15</v>
      </c>
      <c r="D65" s="347"/>
      <c r="E65" s="273"/>
      <c r="K65" s="421" t="s">
        <v>374</v>
      </c>
      <c r="L65" s="421"/>
      <c r="M65" s="525"/>
      <c r="N65" s="422"/>
      <c r="O65" s="525"/>
      <c r="P65" s="422"/>
      <c r="Q65" s="524" t="s">
        <v>19</v>
      </c>
      <c r="R65" s="526">
        <f>R64*2</f>
        <v>7.3238933101040904E-2</v>
      </c>
      <c r="S65" s="273"/>
      <c r="T65" s="273"/>
      <c r="U65" s="421" t="s">
        <v>374</v>
      </c>
      <c r="V65" s="421"/>
      <c r="W65" s="525"/>
      <c r="X65" s="422"/>
      <c r="Y65" s="525"/>
      <c r="Z65" s="422"/>
      <c r="AA65" s="524" t="s">
        <v>19</v>
      </c>
      <c r="AB65" s="526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5">
      <c r="B66" s="503">
        <v>4000</v>
      </c>
      <c r="C66" s="503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5">
      <c r="B67" s="503">
        <v>4500</v>
      </c>
      <c r="C67" s="503">
        <v>21</v>
      </c>
      <c r="D67" s="347"/>
      <c r="E67" s="262"/>
      <c r="K67" s="957" t="s">
        <v>175</v>
      </c>
      <c r="L67" s="826"/>
      <c r="M67" s="826"/>
      <c r="N67" s="826"/>
      <c r="O67" s="826"/>
      <c r="P67" s="826"/>
      <c r="Q67" s="826"/>
      <c r="R67" s="821"/>
      <c r="S67" s="273"/>
      <c r="T67" s="273"/>
      <c r="U67" s="957" t="s">
        <v>176</v>
      </c>
      <c r="V67" s="826"/>
      <c r="W67" s="826"/>
      <c r="X67" s="826"/>
      <c r="Y67" s="826"/>
      <c r="Z67" s="826"/>
      <c r="AA67" s="826"/>
      <c r="AB67" s="821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5">
      <c r="B68" s="503">
        <v>4995</v>
      </c>
      <c r="C68" s="503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5">
      <c r="K69" s="419" t="s">
        <v>351</v>
      </c>
      <c r="L69" s="420" t="s">
        <v>352</v>
      </c>
      <c r="M69" s="419" t="s">
        <v>353</v>
      </c>
      <c r="N69" s="420" t="s">
        <v>354</v>
      </c>
      <c r="O69" s="420" t="s">
        <v>355</v>
      </c>
      <c r="P69" s="420" t="s">
        <v>356</v>
      </c>
      <c r="Q69" s="420" t="s">
        <v>357</v>
      </c>
      <c r="R69" s="420" t="s">
        <v>358</v>
      </c>
      <c r="T69" s="273"/>
      <c r="U69" s="419" t="s">
        <v>351</v>
      </c>
      <c r="V69" s="420" t="s">
        <v>352</v>
      </c>
      <c r="W69" s="419" t="s">
        <v>353</v>
      </c>
      <c r="X69" s="420" t="s">
        <v>354</v>
      </c>
      <c r="Y69" s="420" t="s">
        <v>355</v>
      </c>
      <c r="Z69" s="420" t="s">
        <v>356</v>
      </c>
      <c r="AA69" s="420" t="s">
        <v>357</v>
      </c>
      <c r="AB69" s="420" t="s">
        <v>358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5">
      <c r="B70" s="574" t="s">
        <v>260</v>
      </c>
      <c r="C70" s="461"/>
      <c r="K70" s="162" t="s">
        <v>302</v>
      </c>
      <c r="L70" s="469" t="s">
        <v>162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302</v>
      </c>
      <c r="V70" s="469" t="s">
        <v>162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5">
      <c r="B71" s="456" t="s">
        <v>269</v>
      </c>
      <c r="C71" s="457" t="s">
        <v>270</v>
      </c>
      <c r="K71" s="429" t="s">
        <v>301</v>
      </c>
      <c r="L71" s="472" t="s">
        <v>159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301</v>
      </c>
      <c r="V71" s="472" t="s">
        <v>159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5">
      <c r="B72" s="373">
        <v>1</v>
      </c>
      <c r="C72" s="458">
        <f>+DATOS!AB4</f>
        <v>49.6</v>
      </c>
      <c r="K72" s="421" t="s">
        <v>373</v>
      </c>
      <c r="L72" s="422"/>
      <c r="M72" s="421"/>
      <c r="N72" s="421"/>
      <c r="O72" s="421"/>
      <c r="P72" s="422"/>
      <c r="Q72" s="469" t="s">
        <v>162</v>
      </c>
      <c r="R72" s="482" t="e">
        <f>+SQRT(R71*R71)</f>
        <v>#DIV/0!</v>
      </c>
      <c r="T72" s="273"/>
      <c r="U72" s="421" t="s">
        <v>373</v>
      </c>
      <c r="V72" s="422"/>
      <c r="W72" s="421"/>
      <c r="X72" s="421"/>
      <c r="Y72" s="421"/>
      <c r="Z72" s="422"/>
      <c r="AA72" s="469" t="s">
        <v>385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5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5">
      <c r="B74" s="373">
        <v>3</v>
      </c>
      <c r="C74" s="458">
        <f>+DATOS!AB6</f>
        <v>49.6</v>
      </c>
      <c r="K74" s="419" t="s">
        <v>351</v>
      </c>
      <c r="L74" s="420" t="s">
        <v>352</v>
      </c>
      <c r="M74" s="419" t="s">
        <v>353</v>
      </c>
      <c r="N74" s="420" t="s">
        <v>354</v>
      </c>
      <c r="O74" s="420" t="s">
        <v>355</v>
      </c>
      <c r="P74" s="420" t="s">
        <v>356</v>
      </c>
      <c r="Q74" s="420" t="s">
        <v>357</v>
      </c>
      <c r="R74" s="420" t="s">
        <v>358</v>
      </c>
      <c r="T74" s="273"/>
      <c r="U74" s="419" t="s">
        <v>351</v>
      </c>
      <c r="V74" s="420" t="s">
        <v>352</v>
      </c>
      <c r="W74" s="419" t="s">
        <v>353</v>
      </c>
      <c r="X74" s="420" t="s">
        <v>354</v>
      </c>
      <c r="Y74" s="420" t="s">
        <v>355</v>
      </c>
      <c r="Z74" s="420" t="s">
        <v>356</v>
      </c>
      <c r="AA74" s="420" t="s">
        <v>357</v>
      </c>
      <c r="AB74" s="420" t="s">
        <v>358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5">
      <c r="B75" s="373">
        <v>4</v>
      </c>
      <c r="C75" s="458">
        <f>+DATOS!AB7</f>
        <v>49.6</v>
      </c>
      <c r="K75" s="162" t="s">
        <v>301</v>
      </c>
      <c r="L75" s="469" t="s">
        <v>159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301</v>
      </c>
      <c r="V75" s="469" t="s">
        <v>159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5">
      <c r="B76" s="373">
        <v>5</v>
      </c>
      <c r="C76" s="458">
        <f>+DATOS!AB8</f>
        <v>49.61</v>
      </c>
      <c r="K76" s="429" t="s">
        <v>298</v>
      </c>
      <c r="L76" s="472" t="s">
        <v>386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298</v>
      </c>
      <c r="V76" s="472" t="s">
        <v>386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5">
      <c r="B77" s="372">
        <f>+COUNT(B72:B76)</f>
        <v>5</v>
      </c>
      <c r="C77" s="507">
        <f>+STDEV(C72:C76)/SQRT(B77)</f>
        <v>2.4494897427826908E-3</v>
      </c>
      <c r="K77" s="429" t="s">
        <v>299</v>
      </c>
      <c r="L77" s="472" t="s">
        <v>300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299</v>
      </c>
      <c r="V77" s="472" t="s">
        <v>300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5">
      <c r="B78" s="371" t="s">
        <v>285</v>
      </c>
      <c r="C78" s="585">
        <f>+AVERAGE(C72:C76)</f>
        <v>49.603999999999999</v>
      </c>
      <c r="K78" s="421" t="s">
        <v>373</v>
      </c>
      <c r="L78" s="421"/>
      <c r="M78" s="421"/>
      <c r="N78" s="421"/>
      <c r="O78" s="421"/>
      <c r="P78" s="422"/>
      <c r="Q78" s="469" t="s">
        <v>159</v>
      </c>
      <c r="R78" s="482" t="e">
        <f>+SQRT(+R76*R76+R77*R77)</f>
        <v>#DIV/0!</v>
      </c>
      <c r="T78" s="273"/>
      <c r="U78" s="421" t="s">
        <v>373</v>
      </c>
      <c r="V78" s="422"/>
      <c r="W78" s="421"/>
      <c r="X78" s="421"/>
      <c r="Y78" s="421"/>
      <c r="Z78" s="422"/>
      <c r="AA78" s="469" t="s">
        <v>159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5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5">
      <c r="B80" s="371" t="s">
        <v>387</v>
      </c>
      <c r="C80" s="371" t="s">
        <v>388</v>
      </c>
      <c r="D80" s="411">
        <f>+FORECAST(C78,C81:C82,B81:B82)</f>
        <v>-1.5544000000000061E-4</v>
      </c>
      <c r="K80" s="419" t="s">
        <v>351</v>
      </c>
      <c r="L80" s="420" t="s">
        <v>352</v>
      </c>
      <c r="M80" s="419" t="s">
        <v>353</v>
      </c>
      <c r="N80" s="420" t="s">
        <v>354</v>
      </c>
      <c r="O80" s="420" t="s">
        <v>355</v>
      </c>
      <c r="P80" s="420" t="s">
        <v>356</v>
      </c>
      <c r="Q80" s="420" t="s">
        <v>357</v>
      </c>
      <c r="R80" s="420" t="s">
        <v>358</v>
      </c>
      <c r="T80" s="273"/>
      <c r="U80" s="419" t="s">
        <v>351</v>
      </c>
      <c r="V80" s="420" t="s">
        <v>352</v>
      </c>
      <c r="W80" s="419" t="s">
        <v>353</v>
      </c>
      <c r="X80" s="420" t="s">
        <v>354</v>
      </c>
      <c r="Y80" s="420" t="s">
        <v>355</v>
      </c>
      <c r="Z80" s="420" t="s">
        <v>356</v>
      </c>
      <c r="AA80" s="420" t="s">
        <v>357</v>
      </c>
      <c r="AB80" s="420" t="s">
        <v>358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5">
      <c r="B81" s="503">
        <v>15</v>
      </c>
      <c r="C81" s="586">
        <v>-5.0000000000000001E-3</v>
      </c>
      <c r="K81" s="377" t="s">
        <v>298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298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5">
      <c r="A82" s="408" t="s">
        <v>277</v>
      </c>
      <c r="B82" s="503">
        <v>50</v>
      </c>
      <c r="C82" s="503">
        <v>-1E-4</v>
      </c>
      <c r="D82" s="347"/>
      <c r="E82" s="408"/>
      <c r="F82" s="408"/>
      <c r="G82" s="408"/>
      <c r="H82" s="408"/>
      <c r="I82" s="408"/>
      <c r="J82" s="408"/>
      <c r="K82" s="378" t="s">
        <v>295</v>
      </c>
      <c r="L82" s="327" t="s">
        <v>22</v>
      </c>
      <c r="M82" s="427">
        <f>+DATOS!E18</f>
        <v>0</v>
      </c>
      <c r="N82" s="326" t="s">
        <v>389</v>
      </c>
      <c r="O82" s="328" t="s">
        <v>389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295</v>
      </c>
      <c r="V82" s="327" t="s">
        <v>22</v>
      </c>
      <c r="W82" s="427">
        <f>+DATOS!I18</f>
        <v>0</v>
      </c>
      <c r="X82" s="326" t="s">
        <v>389</v>
      </c>
      <c r="Y82" s="328" t="s">
        <v>389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5">
      <c r="K83" s="423" t="s">
        <v>390</v>
      </c>
      <c r="L83" s="31" t="s">
        <v>22</v>
      </c>
      <c r="M83" s="41"/>
      <c r="N83" s="339">
        <f>+Balanza!E24</f>
        <v>0</v>
      </c>
      <c r="O83" s="334" t="s">
        <v>380</v>
      </c>
      <c r="P83" s="335">
        <f>+N83</f>
        <v>0</v>
      </c>
      <c r="Q83" s="336" t="s">
        <v>389</v>
      </c>
      <c r="R83" s="336" t="s">
        <v>389</v>
      </c>
      <c r="T83" s="295"/>
      <c r="U83" s="423" t="s">
        <v>390</v>
      </c>
      <c r="V83" s="31" t="s">
        <v>22</v>
      </c>
      <c r="W83" s="41"/>
      <c r="X83" s="339">
        <f>+Balanza!E27</f>
        <v>0</v>
      </c>
      <c r="Y83" s="334" t="s">
        <v>380</v>
      </c>
      <c r="Z83" s="335">
        <f>+X83</f>
        <v>0</v>
      </c>
      <c r="AA83" s="336" t="s">
        <v>389</v>
      </c>
      <c r="AB83" s="336" t="s">
        <v>389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5">
      <c r="K84" s="423" t="s">
        <v>362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391</v>
      </c>
      <c r="P84" s="335">
        <f>+N84/2</f>
        <v>1.0677078252031311</v>
      </c>
      <c r="Q84" s="336" t="s">
        <v>389</v>
      </c>
      <c r="R84" s="336" t="s">
        <v>389</v>
      </c>
      <c r="T84" s="295"/>
      <c r="U84" s="423" t="s">
        <v>362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391</v>
      </c>
      <c r="Z84" s="335">
        <f>+X84/2</f>
        <v>1.0677078252031311</v>
      </c>
      <c r="AA84" s="336" t="s">
        <v>389</v>
      </c>
      <c r="AB84" s="336" t="s">
        <v>389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5">
      <c r="K85" s="423" t="s">
        <v>365</v>
      </c>
      <c r="L85" s="31" t="s">
        <v>22</v>
      </c>
      <c r="M85" s="41"/>
      <c r="N85" s="339">
        <f>+Balanza!$C$10</f>
        <v>1</v>
      </c>
      <c r="O85" s="340" t="s">
        <v>366</v>
      </c>
      <c r="P85" s="341">
        <f>N85/SQRT(3)/2</f>
        <v>0.28867513459481292</v>
      </c>
      <c r="Q85" s="336" t="s">
        <v>389</v>
      </c>
      <c r="R85" s="336" t="s">
        <v>389</v>
      </c>
      <c r="T85" s="295"/>
      <c r="U85" s="423" t="s">
        <v>365</v>
      </c>
      <c r="V85" s="31" t="s">
        <v>22</v>
      </c>
      <c r="W85" s="41"/>
      <c r="X85" s="339">
        <f>+Balanza!$C$10</f>
        <v>1</v>
      </c>
      <c r="Y85" s="340" t="s">
        <v>366</v>
      </c>
      <c r="Z85" s="341">
        <f>X85/SQRT(3)/2</f>
        <v>0.28867513459481292</v>
      </c>
      <c r="AA85" s="336" t="s">
        <v>389</v>
      </c>
      <c r="AB85" s="336" t="s">
        <v>389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5">
      <c r="A86" s="408" t="s">
        <v>281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296</v>
      </c>
      <c r="L86" s="327" t="s">
        <v>22</v>
      </c>
      <c r="M86" s="427" t="e">
        <f>+DATOS!E19</f>
        <v>#N/A</v>
      </c>
      <c r="N86" s="326" t="s">
        <v>389</v>
      </c>
      <c r="O86" s="328" t="s">
        <v>389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296</v>
      </c>
      <c r="V86" s="327" t="s">
        <v>22</v>
      </c>
      <c r="W86" s="427" t="e">
        <f>+DATOS!I19</f>
        <v>#N/A</v>
      </c>
      <c r="X86" s="326" t="s">
        <v>389</v>
      </c>
      <c r="Y86" s="328" t="s">
        <v>389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5">
      <c r="K87" s="423" t="s">
        <v>390</v>
      </c>
      <c r="L87" s="31" t="s">
        <v>22</v>
      </c>
      <c r="M87" s="294"/>
      <c r="N87" s="333" t="e">
        <f>+Balanza!E25</f>
        <v>#N/A</v>
      </c>
      <c r="O87" s="334" t="s">
        <v>380</v>
      </c>
      <c r="P87" s="335" t="e">
        <f>+N87</f>
        <v>#N/A</v>
      </c>
      <c r="Q87" s="336" t="s">
        <v>389</v>
      </c>
      <c r="R87" s="336" t="s">
        <v>389</v>
      </c>
      <c r="T87" s="295"/>
      <c r="U87" s="423" t="s">
        <v>390</v>
      </c>
      <c r="V87" s="31" t="s">
        <v>22</v>
      </c>
      <c r="W87" s="294"/>
      <c r="X87" s="333" t="e">
        <f>+Balanza!E28</f>
        <v>#N/A</v>
      </c>
      <c r="Y87" s="334" t="s">
        <v>380</v>
      </c>
      <c r="Z87" s="335" t="e">
        <f>+X87</f>
        <v>#N/A</v>
      </c>
      <c r="AA87" s="336" t="s">
        <v>389</v>
      </c>
      <c r="AB87" s="336" t="s">
        <v>389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5">
      <c r="K88" s="423" t="s">
        <v>362</v>
      </c>
      <c r="L88" s="31" t="s">
        <v>22</v>
      </c>
      <c r="M88" s="294"/>
      <c r="N88" s="424" t="e">
        <f>2*(SQRT(Balanza!$C$8+Balanza!$D$8*(POWER(M86,2))))</f>
        <v>#N/A</v>
      </c>
      <c r="O88" s="338" t="s">
        <v>391</v>
      </c>
      <c r="P88" s="335" t="e">
        <f>+N88/2</f>
        <v>#N/A</v>
      </c>
      <c r="Q88" s="336" t="s">
        <v>389</v>
      </c>
      <c r="R88" s="336" t="s">
        <v>389</v>
      </c>
      <c r="T88" s="295"/>
      <c r="U88" s="423" t="s">
        <v>362</v>
      </c>
      <c r="V88" s="31" t="s">
        <v>22</v>
      </c>
      <c r="W88" s="294"/>
      <c r="X88" s="424" t="e">
        <f>2*(SQRT(Balanza!$C$8+Balanza!$D$8*(POWER(W86,2))))</f>
        <v>#N/A</v>
      </c>
      <c r="Y88" s="338" t="s">
        <v>391</v>
      </c>
      <c r="Z88" s="335" t="e">
        <f>+X88/2</f>
        <v>#N/A</v>
      </c>
      <c r="AA88" s="336" t="s">
        <v>389</v>
      </c>
      <c r="AB88" s="336" t="s">
        <v>389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5">
      <c r="K89" s="423" t="s">
        <v>365</v>
      </c>
      <c r="L89" s="31" t="s">
        <v>22</v>
      </c>
      <c r="M89" s="294"/>
      <c r="N89" s="339">
        <f>+Balanza!$C$10</f>
        <v>1</v>
      </c>
      <c r="O89" s="340" t="s">
        <v>366</v>
      </c>
      <c r="P89" s="341">
        <f>N89/SQRT(3)/2</f>
        <v>0.28867513459481292</v>
      </c>
      <c r="Q89" s="336" t="s">
        <v>389</v>
      </c>
      <c r="R89" s="336" t="s">
        <v>389</v>
      </c>
      <c r="T89" s="295"/>
      <c r="U89" s="423" t="s">
        <v>365</v>
      </c>
      <c r="V89" s="31" t="s">
        <v>22</v>
      </c>
      <c r="W89" s="294"/>
      <c r="X89" s="339">
        <f>+Balanza!$C$10</f>
        <v>1</v>
      </c>
      <c r="Y89" s="340" t="s">
        <v>366</v>
      </c>
      <c r="Z89" s="341">
        <f>X89/SQRT(3)/2</f>
        <v>0.28867513459481292</v>
      </c>
      <c r="AA89" s="336" t="s">
        <v>389</v>
      </c>
      <c r="AB89" s="336" t="s">
        <v>389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5">
      <c r="A90" s="408" t="s">
        <v>284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392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392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5">
      <c r="K91" s="357" t="s">
        <v>373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373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5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3">
      <c r="K93" s="14" t="s">
        <v>393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393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3">
      <c r="K94" s="316" t="s">
        <v>351</v>
      </c>
      <c r="L94" s="318" t="s">
        <v>352</v>
      </c>
      <c r="M94" s="317" t="s">
        <v>353</v>
      </c>
      <c r="N94" s="318" t="s">
        <v>354</v>
      </c>
      <c r="O94" s="318" t="s">
        <v>355</v>
      </c>
      <c r="P94" s="318" t="s">
        <v>356</v>
      </c>
      <c r="Q94" s="318" t="s">
        <v>357</v>
      </c>
      <c r="R94" s="319" t="s">
        <v>358</v>
      </c>
      <c r="T94" s="273"/>
      <c r="U94" s="316" t="s">
        <v>351</v>
      </c>
      <c r="V94" s="318" t="s">
        <v>352</v>
      </c>
      <c r="W94" s="317" t="s">
        <v>353</v>
      </c>
      <c r="X94" s="318" t="s">
        <v>354</v>
      </c>
      <c r="Y94" s="318" t="s">
        <v>355</v>
      </c>
      <c r="Z94" s="318" t="s">
        <v>356</v>
      </c>
      <c r="AA94" s="318" t="s">
        <v>357</v>
      </c>
      <c r="AB94" s="319" t="s">
        <v>358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5">
      <c r="K95" s="320" t="s">
        <v>394</v>
      </c>
      <c r="L95" s="322" t="s">
        <v>389</v>
      </c>
      <c r="M95" s="321" t="e">
        <f>+((M96-M100)/(M100-M104)*100)</f>
        <v>#DIV/0!</v>
      </c>
      <c r="N95" s="322" t="s">
        <v>389</v>
      </c>
      <c r="O95" s="322" t="s">
        <v>389</v>
      </c>
      <c r="P95" s="322" t="s">
        <v>389</v>
      </c>
      <c r="Q95" s="322" t="s">
        <v>389</v>
      </c>
      <c r="R95" s="323" t="s">
        <v>389</v>
      </c>
      <c r="T95" s="273"/>
      <c r="U95" s="320" t="s">
        <v>394</v>
      </c>
      <c r="V95" s="322" t="s">
        <v>389</v>
      </c>
      <c r="W95" s="321" t="e">
        <f>+((W96-W100)/(W100-W104)*100)</f>
        <v>#DIV/0!</v>
      </c>
      <c r="X95" s="322" t="s">
        <v>389</v>
      </c>
      <c r="Y95" s="322" t="s">
        <v>389</v>
      </c>
      <c r="Z95" s="322" t="s">
        <v>389</v>
      </c>
      <c r="AA95" s="322" t="s">
        <v>389</v>
      </c>
      <c r="AB95" s="323" t="s">
        <v>389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5">
      <c r="K96" s="324" t="s">
        <v>395</v>
      </c>
      <c r="L96" s="327" t="s">
        <v>22</v>
      </c>
      <c r="M96" s="325">
        <f>+DATOS!E28</f>
        <v>0</v>
      </c>
      <c r="N96" s="326" t="s">
        <v>389</v>
      </c>
      <c r="O96" s="328" t="s">
        <v>389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395</v>
      </c>
      <c r="V96" s="327" t="s">
        <v>22</v>
      </c>
      <c r="W96" s="417">
        <f>+DATOS!I28</f>
        <v>0</v>
      </c>
      <c r="X96" s="326" t="s">
        <v>389</v>
      </c>
      <c r="Y96" s="328" t="s">
        <v>389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5">
      <c r="K97" s="331" t="s">
        <v>390</v>
      </c>
      <c r="L97" s="31" t="s">
        <v>22</v>
      </c>
      <c r="M97" s="332"/>
      <c r="N97" s="339">
        <f>+Balanza!P24</f>
        <v>0</v>
      </c>
      <c r="O97" s="334" t="s">
        <v>380</v>
      </c>
      <c r="P97" s="335">
        <f>+N97</f>
        <v>0</v>
      </c>
      <c r="Q97" s="336" t="s">
        <v>389</v>
      </c>
      <c r="R97" s="337" t="s">
        <v>389</v>
      </c>
      <c r="T97" s="273"/>
      <c r="U97" s="331" t="s">
        <v>390</v>
      </c>
      <c r="V97" s="31" t="s">
        <v>22</v>
      </c>
      <c r="W97" s="418"/>
      <c r="X97" s="339">
        <f>+Balanza!P28</f>
        <v>0</v>
      </c>
      <c r="Y97" s="334" t="s">
        <v>380</v>
      </c>
      <c r="Z97" s="335">
        <f>+X97</f>
        <v>0</v>
      </c>
      <c r="AA97" s="336" t="s">
        <v>389</v>
      </c>
      <c r="AB97" s="337" t="s">
        <v>389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5">
      <c r="K98" s="331" t="s">
        <v>362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391</v>
      </c>
      <c r="P98" s="335">
        <f>+N98/2</f>
        <v>6.4498061986388397E-2</v>
      </c>
      <c r="Q98" s="336" t="s">
        <v>389</v>
      </c>
      <c r="R98" s="337" t="s">
        <v>389</v>
      </c>
      <c r="T98" s="273"/>
      <c r="U98" s="331" t="s">
        <v>362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391</v>
      </c>
      <c r="Z98" s="335">
        <f>+X98/2</f>
        <v>6.4498061986388397E-2</v>
      </c>
      <c r="AA98" s="336" t="s">
        <v>389</v>
      </c>
      <c r="AB98" s="337" t="s">
        <v>389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5">
      <c r="K99" s="331" t="s">
        <v>365</v>
      </c>
      <c r="L99" s="31" t="s">
        <v>22</v>
      </c>
      <c r="M99" s="332"/>
      <c r="N99" s="339">
        <f>+Balanza!$M$10</f>
        <v>0.1</v>
      </c>
      <c r="O99" s="340" t="s">
        <v>366</v>
      </c>
      <c r="P99" s="341">
        <f>N99/SQRT(3)/2</f>
        <v>2.8867513459481291E-2</v>
      </c>
      <c r="Q99" s="336" t="s">
        <v>389</v>
      </c>
      <c r="R99" s="337" t="s">
        <v>389</v>
      </c>
      <c r="T99" s="273"/>
      <c r="U99" s="331" t="s">
        <v>365</v>
      </c>
      <c r="V99" s="31" t="s">
        <v>22</v>
      </c>
      <c r="W99" s="418"/>
      <c r="X99" s="339">
        <f>+Balanza!$M$10</f>
        <v>0.1</v>
      </c>
      <c r="Y99" s="340" t="s">
        <v>366</v>
      </c>
      <c r="Z99" s="341">
        <f>X99/SQRT(3)/2</f>
        <v>2.8867513459481291E-2</v>
      </c>
      <c r="AA99" s="336" t="s">
        <v>389</v>
      </c>
      <c r="AB99" s="337" t="s">
        <v>389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5">
      <c r="K100" s="324" t="s">
        <v>396</v>
      </c>
      <c r="L100" s="343" t="s">
        <v>22</v>
      </c>
      <c r="M100" s="325">
        <f>+DATOS!E29</f>
        <v>0</v>
      </c>
      <c r="N100" s="342"/>
      <c r="O100" s="326" t="s">
        <v>389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396</v>
      </c>
      <c r="V100" s="343" t="s">
        <v>22</v>
      </c>
      <c r="W100" s="417">
        <f>+DATOS!I30</f>
        <v>0</v>
      </c>
      <c r="X100" s="342"/>
      <c r="Y100" s="326" t="s">
        <v>389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5">
      <c r="K101" s="331" t="s">
        <v>390</v>
      </c>
      <c r="L101" s="31" t="s">
        <v>22</v>
      </c>
      <c r="M101" s="332"/>
      <c r="N101" s="333">
        <f>+Balanza!P25</f>
        <v>0</v>
      </c>
      <c r="O101" s="334" t="s">
        <v>380</v>
      </c>
      <c r="P101" s="335">
        <f>+N101</f>
        <v>0</v>
      </c>
      <c r="Q101" s="336" t="s">
        <v>389</v>
      </c>
      <c r="R101" s="337" t="s">
        <v>389</v>
      </c>
      <c r="T101" s="273"/>
      <c r="U101" s="331" t="s">
        <v>390</v>
      </c>
      <c r="V101" s="31" t="s">
        <v>22</v>
      </c>
      <c r="W101" s="418"/>
      <c r="X101" s="333">
        <f>+Balanza!P29</f>
        <v>0</v>
      </c>
      <c r="Y101" s="334" t="s">
        <v>380</v>
      </c>
      <c r="Z101" s="335">
        <f>+X101</f>
        <v>0</v>
      </c>
      <c r="AA101" s="336" t="s">
        <v>389</v>
      </c>
      <c r="AB101" s="337" t="s">
        <v>389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5">
      <c r="K102" s="331" t="s">
        <v>362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391</v>
      </c>
      <c r="P102" s="335">
        <f>+N102/2</f>
        <v>6.4498061986388397E-2</v>
      </c>
      <c r="Q102" s="336" t="s">
        <v>389</v>
      </c>
      <c r="R102" s="337" t="s">
        <v>389</v>
      </c>
      <c r="T102" s="273"/>
      <c r="U102" s="331" t="s">
        <v>362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391</v>
      </c>
      <c r="Z102" s="335">
        <f>+X102/2</f>
        <v>6.4498061986388397E-2</v>
      </c>
      <c r="AA102" s="336" t="s">
        <v>389</v>
      </c>
      <c r="AB102" s="337" t="s">
        <v>389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5">
      <c r="K103" s="331" t="s">
        <v>365</v>
      </c>
      <c r="L103" s="31" t="s">
        <v>22</v>
      </c>
      <c r="M103" s="332"/>
      <c r="N103" s="339">
        <f>+Balanza!$M$10</f>
        <v>0.1</v>
      </c>
      <c r="O103" s="340" t="s">
        <v>366</v>
      </c>
      <c r="P103" s="341">
        <f>N103/SQRT(3)/2</f>
        <v>2.8867513459481291E-2</v>
      </c>
      <c r="Q103" s="336" t="s">
        <v>389</v>
      </c>
      <c r="R103" s="337" t="s">
        <v>389</v>
      </c>
      <c r="T103" s="273"/>
      <c r="U103" s="331" t="s">
        <v>365</v>
      </c>
      <c r="V103" s="31" t="s">
        <v>22</v>
      </c>
      <c r="W103" s="418"/>
      <c r="X103" s="339">
        <f>+Balanza!$M$10</f>
        <v>0.1</v>
      </c>
      <c r="Y103" s="340" t="s">
        <v>366</v>
      </c>
      <c r="Z103" s="341">
        <f>X103/SQRT(3)/2</f>
        <v>2.8867513459481291E-2</v>
      </c>
      <c r="AA103" s="336" t="s">
        <v>389</v>
      </c>
      <c r="AB103" s="337" t="s">
        <v>389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5">
      <c r="K104" s="324" t="s">
        <v>397</v>
      </c>
      <c r="L104" s="343" t="s">
        <v>22</v>
      </c>
      <c r="M104" s="325">
        <f>+DATOS!E27</f>
        <v>0</v>
      </c>
      <c r="N104" s="342"/>
      <c r="O104" s="326" t="s">
        <v>389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397</v>
      </c>
      <c r="V104" s="343" t="s">
        <v>22</v>
      </c>
      <c r="W104" s="417">
        <f>+DATOS!I27</f>
        <v>0</v>
      </c>
      <c r="X104" s="342"/>
      <c r="Y104" s="326" t="s">
        <v>389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5">
      <c r="K105" s="331" t="s">
        <v>390</v>
      </c>
      <c r="L105" s="31" t="s">
        <v>22</v>
      </c>
      <c r="M105" s="332"/>
      <c r="N105" s="333">
        <f>+Balanza!P26</f>
        <v>0</v>
      </c>
      <c r="O105" s="334" t="s">
        <v>380</v>
      </c>
      <c r="P105" s="335">
        <f>+N105</f>
        <v>0</v>
      </c>
      <c r="Q105" s="336" t="s">
        <v>389</v>
      </c>
      <c r="R105" s="337" t="s">
        <v>389</v>
      </c>
      <c r="T105" s="273"/>
      <c r="U105" s="331" t="s">
        <v>390</v>
      </c>
      <c r="V105" s="31" t="s">
        <v>22</v>
      </c>
      <c r="W105" s="332"/>
      <c r="X105" s="333">
        <f>+Balanza!P30</f>
        <v>0</v>
      </c>
      <c r="Y105" s="334" t="s">
        <v>380</v>
      </c>
      <c r="Z105" s="335">
        <f>+X105</f>
        <v>0</v>
      </c>
      <c r="AA105" s="336" t="s">
        <v>389</v>
      </c>
      <c r="AB105" s="337" t="s">
        <v>389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5">
      <c r="K106" s="331" t="s">
        <v>362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391</v>
      </c>
      <c r="P106" s="335">
        <f>+N106/2</f>
        <v>6.4498061986388397E-2</v>
      </c>
      <c r="Q106" s="336" t="s">
        <v>389</v>
      </c>
      <c r="R106" s="337" t="s">
        <v>389</v>
      </c>
      <c r="T106" s="273"/>
      <c r="U106" s="331" t="s">
        <v>362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391</v>
      </c>
      <c r="Z106" s="335">
        <f>+X106/2</f>
        <v>6.4498061986388397E-2</v>
      </c>
      <c r="AA106" s="336" t="s">
        <v>389</v>
      </c>
      <c r="AB106" s="337" t="s">
        <v>389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5">
      <c r="K107" s="331" t="s">
        <v>365</v>
      </c>
      <c r="L107" s="31" t="s">
        <v>22</v>
      </c>
      <c r="M107" s="332"/>
      <c r="N107" s="339">
        <f>+Balanza!$M$10</f>
        <v>0.1</v>
      </c>
      <c r="O107" s="340" t="s">
        <v>366</v>
      </c>
      <c r="P107" s="341">
        <f>N107/SQRT(3)/2</f>
        <v>2.8867513459481291E-2</v>
      </c>
      <c r="Q107" s="336" t="s">
        <v>389</v>
      </c>
      <c r="R107" s="337" t="s">
        <v>389</v>
      </c>
      <c r="T107" s="273"/>
      <c r="U107" s="331" t="s">
        <v>365</v>
      </c>
      <c r="V107" s="31" t="s">
        <v>22</v>
      </c>
      <c r="W107" s="332"/>
      <c r="X107" s="339">
        <f>+Balanza!$M$10</f>
        <v>0.1</v>
      </c>
      <c r="Y107" s="340" t="s">
        <v>366</v>
      </c>
      <c r="Z107" s="341">
        <f>X107/SQRT(3)/2</f>
        <v>2.8867513459481291E-2</v>
      </c>
      <c r="AA107" s="336" t="s">
        <v>389</v>
      </c>
      <c r="AB107" s="337" t="s">
        <v>389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5">
      <c r="K108" s="348" t="s">
        <v>370</v>
      </c>
      <c r="L108" s="351" t="s">
        <v>19</v>
      </c>
      <c r="M108" s="349">
        <f>+PRECISION!$J$6</f>
        <v>0.1103026140518291</v>
      </c>
      <c r="N108" s="350"/>
      <c r="O108" s="352" t="s">
        <v>371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370</v>
      </c>
      <c r="V108" s="351" t="s">
        <v>19</v>
      </c>
      <c r="W108" s="349">
        <f>+PRECISION!$J$6</f>
        <v>0.1103026140518291</v>
      </c>
      <c r="X108" s="350"/>
      <c r="Y108" s="352" t="s">
        <v>371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3">
      <c r="K109" s="544" t="s">
        <v>373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4" t="s">
        <v>373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5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5">
      <c r="K111" s="519" t="s">
        <v>351</v>
      </c>
      <c r="L111" s="520" t="s">
        <v>352</v>
      </c>
      <c r="M111" s="519" t="s">
        <v>353</v>
      </c>
      <c r="N111" s="520" t="s">
        <v>354</v>
      </c>
      <c r="O111" s="520" t="s">
        <v>355</v>
      </c>
      <c r="P111" s="520" t="s">
        <v>356</v>
      </c>
      <c r="Q111" s="520" t="s">
        <v>357</v>
      </c>
      <c r="R111" s="520" t="s">
        <v>358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2" customHeight="1" x14ac:dyDescent="0.25">
      <c r="K112" s="521" t="s">
        <v>376</v>
      </c>
      <c r="L112" s="372" t="s">
        <v>377</v>
      </c>
      <c r="M112" s="522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2" customHeight="1" x14ac:dyDescent="0.25">
      <c r="K113" s="523" t="s">
        <v>378</v>
      </c>
      <c r="L113" s="442" t="s">
        <v>279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09">
        <f>3.14159*M113/2</f>
        <v>77.917471015625196</v>
      </c>
      <c r="R113" s="510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2" customHeight="1" x14ac:dyDescent="0.25">
      <c r="K114" s="501" t="s">
        <v>379</v>
      </c>
      <c r="L114" s="160" t="s">
        <v>279</v>
      </c>
      <c r="M114" s="294"/>
      <c r="N114" s="435">
        <f>+C77</f>
        <v>2.4494897427826908E-3</v>
      </c>
      <c r="O114" s="334" t="s">
        <v>380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2" customHeight="1" x14ac:dyDescent="0.25">
      <c r="K115" s="501" t="s">
        <v>362</v>
      </c>
      <c r="L115" s="160" t="s">
        <v>279</v>
      </c>
      <c r="M115" s="436"/>
      <c r="N115" s="435">
        <v>8.2000000000000007E-3</v>
      </c>
      <c r="O115" s="437" t="s">
        <v>381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2" customHeight="1" x14ac:dyDescent="0.25">
      <c r="K116" s="501" t="s">
        <v>365</v>
      </c>
      <c r="L116" s="160" t="s">
        <v>279</v>
      </c>
      <c r="M116" s="436"/>
      <c r="N116" s="502">
        <v>0.01</v>
      </c>
      <c r="O116" s="441" t="s">
        <v>366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2" customHeight="1" x14ac:dyDescent="0.25">
      <c r="K117" s="421" t="s">
        <v>373</v>
      </c>
      <c r="L117" s="421"/>
      <c r="M117" s="421"/>
      <c r="N117" s="422"/>
      <c r="O117" s="421"/>
      <c r="P117" s="422"/>
      <c r="Q117" s="524" t="s">
        <v>377</v>
      </c>
      <c r="R117" s="524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2" customHeight="1" x14ac:dyDescent="0.25">
      <c r="K118" s="421" t="s">
        <v>374</v>
      </c>
      <c r="L118" s="421"/>
      <c r="M118" s="525"/>
      <c r="N118" s="422"/>
      <c r="O118" s="525"/>
      <c r="P118" s="422"/>
      <c r="Q118" s="524" t="s">
        <v>377</v>
      </c>
      <c r="R118" s="526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5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3">
      <c r="K120" s="366" t="s">
        <v>398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3">
      <c r="K121" s="367" t="s">
        <v>351</v>
      </c>
      <c r="L121" s="368" t="s">
        <v>352</v>
      </c>
      <c r="M121" s="367" t="s">
        <v>353</v>
      </c>
      <c r="N121" s="369" t="s">
        <v>354</v>
      </c>
      <c r="O121" s="369" t="s">
        <v>355</v>
      </c>
      <c r="P121" s="369" t="s">
        <v>356</v>
      </c>
      <c r="Q121" s="369" t="s">
        <v>357</v>
      </c>
      <c r="R121" s="370" t="s">
        <v>358</v>
      </c>
      <c r="T121" s="273"/>
      <c r="U121" s="367" t="s">
        <v>351</v>
      </c>
      <c r="V121" s="368" t="s">
        <v>352</v>
      </c>
      <c r="W121" s="367" t="s">
        <v>353</v>
      </c>
      <c r="X121" s="369" t="s">
        <v>354</v>
      </c>
      <c r="Y121" s="369" t="s">
        <v>355</v>
      </c>
      <c r="Z121" s="369" t="s">
        <v>356</v>
      </c>
      <c r="AA121" s="369" t="s">
        <v>357</v>
      </c>
      <c r="AB121" s="370" t="s">
        <v>358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" customHeight="1" x14ac:dyDescent="0.25">
      <c r="K122" s="451" t="s">
        <v>399</v>
      </c>
      <c r="L122" s="452" t="s">
        <v>400</v>
      </c>
      <c r="M122" s="453" t="e">
        <f>3.14159*M123*M123*M127/4</f>
        <v>#N/A</v>
      </c>
      <c r="N122" s="454" t="s">
        <v>389</v>
      </c>
      <c r="O122" s="454" t="s">
        <v>389</v>
      </c>
      <c r="P122" s="454" t="s">
        <v>389</v>
      </c>
      <c r="Q122" s="454" t="s">
        <v>389</v>
      </c>
      <c r="R122" s="455" t="s">
        <v>389</v>
      </c>
      <c r="T122" s="273"/>
      <c r="U122" s="451" t="s">
        <v>399</v>
      </c>
      <c r="V122" s="452" t="s">
        <v>400</v>
      </c>
      <c r="W122" s="453" t="e">
        <f>3.14159*W123*W123*W127/4</f>
        <v>#N/A</v>
      </c>
      <c r="X122" s="454" t="s">
        <v>389</v>
      </c>
      <c r="Y122" s="454" t="s">
        <v>389</v>
      </c>
      <c r="Z122" s="454" t="s">
        <v>389</v>
      </c>
      <c r="AA122" s="454" t="s">
        <v>389</v>
      </c>
      <c r="AB122" s="455" t="s">
        <v>389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" customHeight="1" x14ac:dyDescent="0.25">
      <c r="K123" s="449" t="s">
        <v>378</v>
      </c>
      <c r="L123" s="442" t="s">
        <v>279</v>
      </c>
      <c r="M123" s="325" t="e">
        <f>+LOOKUP(L134,K137:K148,L137:L148)</f>
        <v>#N/A</v>
      </c>
      <c r="N123" s="443"/>
      <c r="O123" s="444" t="s">
        <v>389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378</v>
      </c>
      <c r="V123" s="442" t="s">
        <v>279</v>
      </c>
      <c r="W123" s="325" t="e">
        <f>+LOOKUP(W134,K137:K148,L137:L148)</f>
        <v>#N/A</v>
      </c>
      <c r="X123" s="443"/>
      <c r="Y123" s="444" t="s">
        <v>389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" customHeight="1" x14ac:dyDescent="0.25">
      <c r="K124" s="447" t="s">
        <v>379</v>
      </c>
      <c r="L124" s="160" t="s">
        <v>279</v>
      </c>
      <c r="M124" s="294"/>
      <c r="N124" s="435">
        <f>+Q146</f>
        <v>0</v>
      </c>
      <c r="O124" s="334" t="s">
        <v>380</v>
      </c>
      <c r="P124" s="335">
        <f>+N124</f>
        <v>0</v>
      </c>
      <c r="Q124" s="336" t="s">
        <v>389</v>
      </c>
      <c r="R124" s="337" t="s">
        <v>389</v>
      </c>
      <c r="T124" s="273"/>
      <c r="U124" s="447" t="s">
        <v>379</v>
      </c>
      <c r="V124" s="160" t="s">
        <v>279</v>
      </c>
      <c r="W124" s="294"/>
      <c r="X124" s="435">
        <f>+Q168</f>
        <v>0</v>
      </c>
      <c r="Y124" s="334" t="s">
        <v>380</v>
      </c>
      <c r="Z124" s="335">
        <f>+X124</f>
        <v>0</v>
      </c>
      <c r="AA124" s="336" t="s">
        <v>389</v>
      </c>
      <c r="AB124" s="337" t="s">
        <v>389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" customHeight="1" x14ac:dyDescent="0.25">
      <c r="K125" s="447" t="s">
        <v>362</v>
      </c>
      <c r="L125" s="160" t="s">
        <v>279</v>
      </c>
      <c r="M125" s="436"/>
      <c r="N125" s="435">
        <v>8.6E-3</v>
      </c>
      <c r="O125" s="437" t="s">
        <v>381</v>
      </c>
      <c r="P125" s="438">
        <f>+N125/2</f>
        <v>4.3E-3</v>
      </c>
      <c r="Q125" s="439" t="s">
        <v>389</v>
      </c>
      <c r="R125" s="448" t="s">
        <v>389</v>
      </c>
      <c r="T125" s="273"/>
      <c r="U125" s="447" t="s">
        <v>362</v>
      </c>
      <c r="V125" s="160" t="s">
        <v>279</v>
      </c>
      <c r="W125" s="436"/>
      <c r="X125" s="435">
        <v>8.6E-3</v>
      </c>
      <c r="Y125" s="437" t="s">
        <v>381</v>
      </c>
      <c r="Z125" s="438">
        <f>+X125/2</f>
        <v>4.3E-3</v>
      </c>
      <c r="AA125" s="439" t="s">
        <v>389</v>
      </c>
      <c r="AB125" s="448" t="s">
        <v>389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" customHeight="1" x14ac:dyDescent="0.25">
      <c r="K126" s="447" t="s">
        <v>365</v>
      </c>
      <c r="L126" s="160" t="s">
        <v>279</v>
      </c>
      <c r="M126" s="436"/>
      <c r="N126" s="440">
        <v>0.01</v>
      </c>
      <c r="O126" s="441" t="s">
        <v>366</v>
      </c>
      <c r="P126" s="438">
        <f>+N126/SQRT(3)/2</f>
        <v>2.886751345948129E-3</v>
      </c>
      <c r="Q126" s="439" t="s">
        <v>389</v>
      </c>
      <c r="R126" s="448" t="s">
        <v>389</v>
      </c>
      <c r="T126" s="273"/>
      <c r="U126" s="447" t="s">
        <v>365</v>
      </c>
      <c r="V126" s="160" t="s">
        <v>279</v>
      </c>
      <c r="W126" s="436"/>
      <c r="X126" s="440">
        <v>0.01</v>
      </c>
      <c r="Y126" s="441" t="s">
        <v>366</v>
      </c>
      <c r="Z126" s="438">
        <f>+X126/SQRT(3)/2</f>
        <v>2.886751345948129E-3</v>
      </c>
      <c r="AA126" s="439" t="s">
        <v>389</v>
      </c>
      <c r="AB126" s="448" t="s">
        <v>389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" customHeight="1" x14ac:dyDescent="0.25">
      <c r="K127" s="446" t="s">
        <v>401</v>
      </c>
      <c r="L127" s="442" t="s">
        <v>279</v>
      </c>
      <c r="M127" s="325" t="e">
        <f>+LOOKUP(L134,K137:K148,M137:M148)</f>
        <v>#N/A</v>
      </c>
      <c r="N127" s="326" t="s">
        <v>389</v>
      </c>
      <c r="O127" s="328" t="s">
        <v>389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401</v>
      </c>
      <c r="V127" s="442" t="s">
        <v>279</v>
      </c>
      <c r="W127" s="325" t="e">
        <f>+LOOKUP(W134,K137:K148,M137:M148)</f>
        <v>#N/A</v>
      </c>
      <c r="X127" s="326" t="s">
        <v>389</v>
      </c>
      <c r="Y127" s="328" t="s">
        <v>389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" customHeight="1" x14ac:dyDescent="0.25">
      <c r="K128" s="447" t="s">
        <v>379</v>
      </c>
      <c r="L128" s="160" t="s">
        <v>279</v>
      </c>
      <c r="M128" s="294"/>
      <c r="N128" s="435">
        <f>+S146</f>
        <v>0</v>
      </c>
      <c r="O128" s="334" t="s">
        <v>380</v>
      </c>
      <c r="P128" s="335">
        <f>+N128</f>
        <v>0</v>
      </c>
      <c r="Q128" s="336" t="s">
        <v>389</v>
      </c>
      <c r="R128" s="337" t="s">
        <v>389</v>
      </c>
      <c r="T128" s="273"/>
      <c r="U128" s="447" t="s">
        <v>379</v>
      </c>
      <c r="V128" s="160" t="s">
        <v>279</v>
      </c>
      <c r="W128" s="294"/>
      <c r="X128" s="435">
        <f>+S168</f>
        <v>0</v>
      </c>
      <c r="Y128" s="334" t="s">
        <v>380</v>
      </c>
      <c r="Z128" s="335">
        <f>+X128</f>
        <v>0</v>
      </c>
      <c r="AA128" s="336" t="s">
        <v>389</v>
      </c>
      <c r="AB128" s="337" t="s">
        <v>389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" customHeight="1" x14ac:dyDescent="0.25">
      <c r="K129" s="447" t="s">
        <v>362</v>
      </c>
      <c r="L129" s="160" t="s">
        <v>279</v>
      </c>
      <c r="M129" s="436"/>
      <c r="N129" s="435">
        <v>9.1000000000000004E-3</v>
      </c>
      <c r="O129" s="437" t="s">
        <v>381</v>
      </c>
      <c r="P129" s="438">
        <f>+N129/2</f>
        <v>4.5500000000000002E-3</v>
      </c>
      <c r="Q129" s="439" t="s">
        <v>389</v>
      </c>
      <c r="R129" s="448" t="s">
        <v>389</v>
      </c>
      <c r="T129" s="273"/>
      <c r="U129" s="447" t="s">
        <v>362</v>
      </c>
      <c r="V129" s="160" t="s">
        <v>279</v>
      </c>
      <c r="W129" s="436"/>
      <c r="X129" s="435">
        <v>9.1000000000000004E-3</v>
      </c>
      <c r="Y129" s="437" t="s">
        <v>381</v>
      </c>
      <c r="Z129" s="438">
        <f>+X129/2</f>
        <v>4.5500000000000002E-3</v>
      </c>
      <c r="AA129" s="439" t="s">
        <v>389</v>
      </c>
      <c r="AB129" s="448" t="s">
        <v>389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" customHeight="1" x14ac:dyDescent="0.25">
      <c r="K130" s="447" t="s">
        <v>365</v>
      </c>
      <c r="L130" s="160" t="s">
        <v>279</v>
      </c>
      <c r="M130" s="436"/>
      <c r="N130" s="440">
        <v>0.01</v>
      </c>
      <c r="O130" s="441" t="s">
        <v>366</v>
      </c>
      <c r="P130" s="438">
        <f>+N130/SQRT(3)/2</f>
        <v>2.886751345948129E-3</v>
      </c>
      <c r="Q130" s="439" t="s">
        <v>389</v>
      </c>
      <c r="R130" s="448" t="s">
        <v>389</v>
      </c>
      <c r="T130" s="273"/>
      <c r="U130" s="447" t="s">
        <v>365</v>
      </c>
      <c r="V130" s="160" t="s">
        <v>279</v>
      </c>
      <c r="W130" s="436"/>
      <c r="X130" s="440">
        <v>0.01</v>
      </c>
      <c r="Y130" s="441" t="s">
        <v>366</v>
      </c>
      <c r="Z130" s="438">
        <f>+X130/SQRT(3)/2</f>
        <v>2.886751345948129E-3</v>
      </c>
      <c r="AA130" s="439" t="s">
        <v>389</v>
      </c>
      <c r="AB130" s="448" t="s">
        <v>389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" customHeight="1" x14ac:dyDescent="0.25">
      <c r="K131" s="432" t="s">
        <v>373</v>
      </c>
      <c r="L131" s="433"/>
      <c r="M131" s="433"/>
      <c r="N131" s="434"/>
      <c r="O131" s="433"/>
      <c r="P131" s="434"/>
      <c r="Q131" s="465" t="s">
        <v>400</v>
      </c>
      <c r="R131" s="467" t="e">
        <f>+SQRT(R123^2+R127^2)</f>
        <v>#N/A</v>
      </c>
      <c r="T131" s="262"/>
      <c r="U131" s="432" t="s">
        <v>373</v>
      </c>
      <c r="V131" s="433"/>
      <c r="W131" s="433"/>
      <c r="X131" s="434"/>
      <c r="Y131" s="433"/>
      <c r="Z131" s="434"/>
      <c r="AA131" s="465" t="s">
        <v>400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" customHeight="1" thickBot="1" x14ac:dyDescent="0.3">
      <c r="K132" s="374" t="s">
        <v>374</v>
      </c>
      <c r="L132" s="375"/>
      <c r="M132" s="375"/>
      <c r="N132" s="376"/>
      <c r="O132" s="375"/>
      <c r="P132" s="376"/>
      <c r="Q132" s="466" t="s">
        <v>400</v>
      </c>
      <c r="R132" s="468" t="e">
        <f>R131*2</f>
        <v>#N/A</v>
      </c>
      <c r="T132" s="262"/>
      <c r="U132" s="374" t="s">
        <v>374</v>
      </c>
      <c r="V132" s="375"/>
      <c r="W132" s="375"/>
      <c r="X132" s="376"/>
      <c r="Y132" s="375"/>
      <c r="Z132" s="376"/>
      <c r="AA132" s="466" t="s">
        <v>400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5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" customHeight="1" x14ac:dyDescent="0.25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402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402</v>
      </c>
      <c r="V134" s="460"/>
      <c r="W134" s="492">
        <f>+DATOS!H17</f>
        <v>0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" customHeight="1" x14ac:dyDescent="0.2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" customHeight="1" x14ac:dyDescent="0.25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402</v>
      </c>
      <c r="L136" s="460" t="s">
        <v>403</v>
      </c>
      <c r="M136" s="460" t="s">
        <v>404</v>
      </c>
      <c r="P136" s="576"/>
      <c r="Q136" s="576"/>
      <c r="R136" s="577"/>
      <c r="S136" s="578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" customHeight="1" x14ac:dyDescent="0.25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 t="str">
        <f>+DATOS!Q4</f>
        <v>D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" customHeight="1" x14ac:dyDescent="0.25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 t="str">
        <f>+DATOS!Q5</f>
        <v>J</v>
      </c>
      <c r="L138" s="431">
        <f>+DATOS!U5</f>
        <v>152.29499999999999</v>
      </c>
      <c r="M138" s="431">
        <f>+DATOS!T5</f>
        <v>116.35</v>
      </c>
      <c r="P138" s="579"/>
      <c r="Q138" s="580"/>
      <c r="R138" s="579"/>
      <c r="S138" s="579"/>
      <c r="T138" s="514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" customHeight="1" x14ac:dyDescent="0.25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 t="str">
        <f>+DATOS!Q6</f>
        <v>T</v>
      </c>
      <c r="L139" s="431">
        <f>+DATOS!U6</f>
        <v>152.185</v>
      </c>
      <c r="M139" s="431">
        <f>+DATOS!T6</f>
        <v>116.62</v>
      </c>
      <c r="P139" s="579"/>
      <c r="Q139" s="580"/>
      <c r="R139" s="579"/>
      <c r="S139" s="579"/>
      <c r="T139" s="514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" customHeight="1" x14ac:dyDescent="0.25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72" t="str">
        <f>+DATOS!Q7</f>
        <v>A</v>
      </c>
      <c r="L140" s="431">
        <f>+DATOS!U7</f>
        <v>152.33500000000001</v>
      </c>
      <c r="M140" s="431">
        <f>+DATOS!T7</f>
        <v>116.59</v>
      </c>
      <c r="P140" s="579"/>
      <c r="Q140" s="580"/>
      <c r="R140" s="579"/>
      <c r="S140" s="581"/>
      <c r="T140" s="514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" customHeight="1" x14ac:dyDescent="0.25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72" t="str">
        <f>+DATOS!Q8</f>
        <v>B</v>
      </c>
      <c r="L141" s="431">
        <f>+DATOS!U8</f>
        <v>152.315</v>
      </c>
      <c r="M141" s="431">
        <f>+DATOS!T8</f>
        <v>116.69</v>
      </c>
      <c r="P141" s="579"/>
      <c r="Q141" s="580"/>
      <c r="R141" s="579"/>
      <c r="S141" s="581"/>
      <c r="T141" s="514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" customHeight="1" x14ac:dyDescent="0.25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372" t="str">
        <f>+DATOS!Q9</f>
        <v>C</v>
      </c>
      <c r="L142" s="431">
        <f>+DATOS!U9</f>
        <v>152.27000000000001</v>
      </c>
      <c r="M142" s="431">
        <f>+DATOS!T9</f>
        <v>116.67</v>
      </c>
      <c r="P142" s="579"/>
      <c r="Q142" s="580"/>
      <c r="R142" s="579"/>
      <c r="S142" s="581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" customHeight="1" x14ac:dyDescent="0.25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72" t="str">
        <f>+DATOS!Q10</f>
        <v>E</v>
      </c>
      <c r="L143" s="431">
        <f>+DATOS!U10</f>
        <v>152.30500000000001</v>
      </c>
      <c r="M143" s="431">
        <f>+DATOS!T10</f>
        <v>116.7</v>
      </c>
      <c r="P143" s="579"/>
      <c r="Q143" s="580"/>
      <c r="R143" s="579"/>
      <c r="S143" s="579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" customHeight="1" x14ac:dyDescent="0.25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72" t="str">
        <f>+DATOS!Q11</f>
        <v>H</v>
      </c>
      <c r="L144" s="431">
        <f>+DATOS!U11</f>
        <v>152.375</v>
      </c>
      <c r="M144" s="431">
        <f>+DATOS!T11</f>
        <v>116.69</v>
      </c>
      <c r="P144" s="579"/>
      <c r="Q144" s="580"/>
      <c r="R144" s="579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" customHeight="1" x14ac:dyDescent="0.2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372" t="str">
        <f>+DATOS!Q12</f>
        <v>L</v>
      </c>
      <c r="L145" s="431">
        <f>+DATOS!U12</f>
        <v>152.30000000000001</v>
      </c>
      <c r="M145" s="431">
        <f>+DATOS!T12</f>
        <v>116.69</v>
      </c>
      <c r="P145" s="579"/>
      <c r="Q145" s="580"/>
      <c r="R145" s="579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" customHeight="1" x14ac:dyDescent="0.25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/>
      <c r="L146" s="431"/>
      <c r="M146" s="431"/>
      <c r="P146" s="108"/>
      <c r="Q146" s="582"/>
      <c r="R146" s="108"/>
      <c r="S146" s="582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" customHeight="1" x14ac:dyDescent="0.25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75"/>
      <c r="L147" s="431"/>
      <c r="M147" s="431"/>
      <c r="P147" s="108"/>
      <c r="Q147" s="514"/>
      <c r="R147" s="108"/>
      <c r="S147" s="514"/>
      <c r="T147" s="514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" customHeight="1" x14ac:dyDescent="0.25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75"/>
      <c r="L148" s="431"/>
      <c r="M148" s="431"/>
      <c r="P148" s="583"/>
      <c r="Q148" s="583"/>
      <c r="R148" s="583"/>
      <c r="S148" s="583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" customHeight="1" x14ac:dyDescent="0.25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405</v>
      </c>
      <c r="L149" s="460" t="s">
        <v>406</v>
      </c>
      <c r="M149" s="460" t="s">
        <v>407</v>
      </c>
      <c r="P149" s="584"/>
      <c r="Q149" s="583"/>
      <c r="R149" s="583"/>
      <c r="S149" s="583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" customHeight="1" x14ac:dyDescent="0.25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408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" customHeight="1" x14ac:dyDescent="0.25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79"/>
      <c r="Q151" s="581"/>
      <c r="R151" s="579"/>
      <c r="S151" s="581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" customHeight="1" x14ac:dyDescent="0.25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79"/>
      <c r="Q152" s="581"/>
      <c r="R152" s="579"/>
      <c r="S152" s="581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" customHeight="1" x14ac:dyDescent="0.25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79"/>
      <c r="Q153" s="581"/>
      <c r="R153" s="579"/>
      <c r="S153" s="581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" customHeight="1" x14ac:dyDescent="0.25">
      <c r="A154" s="430"/>
      <c r="B154" s="699" t="s">
        <v>409</v>
      </c>
      <c r="C154" s="958" t="s">
        <v>410</v>
      </c>
      <c r="D154" s="821"/>
      <c r="E154" s="430"/>
      <c r="F154" s="970" t="s">
        <v>411</v>
      </c>
      <c r="G154" s="960"/>
      <c r="H154" s="969" t="s">
        <v>412</v>
      </c>
      <c r="I154" s="821"/>
      <c r="J154" s="430"/>
      <c r="K154" s="262"/>
      <c r="L154" s="262"/>
      <c r="P154" s="579"/>
      <c r="Q154" s="581"/>
      <c r="R154" s="579"/>
      <c r="S154" s="581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" customHeight="1" x14ac:dyDescent="0.25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2"/>
      <c r="R155" s="108"/>
      <c r="S155" s="582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" customHeight="1" x14ac:dyDescent="0.25">
      <c r="A156" s="430"/>
      <c r="B156" s="700" t="s">
        <v>413</v>
      </c>
      <c r="C156" s="966">
        <v>45604</v>
      </c>
      <c r="D156" s="967"/>
      <c r="E156" s="430"/>
      <c r="F156" s="968" t="s">
        <v>414</v>
      </c>
      <c r="G156" s="960"/>
      <c r="H156" s="966">
        <v>45605</v>
      </c>
      <c r="I156" s="967"/>
      <c r="J156" s="430"/>
      <c r="M156" s="262"/>
      <c r="N156" s="262"/>
      <c r="O156" s="262"/>
      <c r="P156" s="262"/>
      <c r="Q156" s="514"/>
      <c r="R156" s="262"/>
      <c r="S156" s="514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" customHeight="1" x14ac:dyDescent="0.25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" customHeight="1" x14ac:dyDescent="0.25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76"/>
      <c r="Q158" s="576"/>
      <c r="R158" s="577"/>
      <c r="S158" s="578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" customHeight="1" x14ac:dyDescent="0.25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" customHeight="1" x14ac:dyDescent="0.25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79"/>
      <c r="Q160" s="580"/>
      <c r="R160" s="579"/>
      <c r="S160" s="579"/>
      <c r="T160" s="514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" customHeight="1" x14ac:dyDescent="0.25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79"/>
      <c r="Q161" s="580"/>
      <c r="R161" s="579"/>
      <c r="S161" s="581"/>
      <c r="T161" s="514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" customHeight="1" x14ac:dyDescent="0.25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79"/>
      <c r="Q162" s="580"/>
      <c r="R162" s="579"/>
      <c r="S162" s="581"/>
      <c r="T162" s="514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" customHeight="1" x14ac:dyDescent="0.25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8"/>
      <c r="O163" s="262"/>
      <c r="P163" s="579"/>
      <c r="Q163" s="580"/>
      <c r="R163" s="579"/>
      <c r="S163" s="581"/>
      <c r="T163" s="514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" customHeight="1" x14ac:dyDescent="0.25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79"/>
      <c r="Q164" s="580"/>
      <c r="R164" s="579"/>
      <c r="S164" s="581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" customHeight="1" x14ac:dyDescent="0.2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79"/>
      <c r="Q165" s="580"/>
      <c r="R165" s="579"/>
      <c r="S165" s="579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" customHeight="1" x14ac:dyDescent="0.25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79"/>
      <c r="Q166" s="580"/>
      <c r="R166" s="579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" customHeight="1" x14ac:dyDescent="0.25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79"/>
      <c r="Q167" s="580"/>
      <c r="R167" s="579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" customHeight="1" x14ac:dyDescent="0.25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2"/>
      <c r="R168" s="108"/>
      <c r="S168" s="582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" customHeight="1" x14ac:dyDescent="0.25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4"/>
      <c r="R169" s="108"/>
      <c r="S169" s="514"/>
      <c r="T169" s="514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" customHeight="1" x14ac:dyDescent="0.25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" customHeight="1" x14ac:dyDescent="0.25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76"/>
      <c r="Q171" s="576"/>
      <c r="R171" s="577"/>
      <c r="S171" s="578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" customHeight="1" x14ac:dyDescent="0.25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" customHeight="1" x14ac:dyDescent="0.25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79"/>
      <c r="Q173" s="580"/>
      <c r="R173" s="579"/>
      <c r="S173" s="579"/>
      <c r="T173" s="514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" customHeight="1" x14ac:dyDescent="0.25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79"/>
      <c r="Q174" s="580"/>
      <c r="R174" s="579"/>
      <c r="S174" s="579"/>
      <c r="T174" s="514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" customHeight="1" x14ac:dyDescent="0.2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79"/>
      <c r="Q175" s="580"/>
      <c r="R175" s="579"/>
      <c r="S175" s="581"/>
      <c r="T175" s="514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" customHeight="1" x14ac:dyDescent="0.25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79"/>
      <c r="Q176" s="580"/>
      <c r="R176" s="579"/>
      <c r="S176" s="581"/>
      <c r="T176" s="514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" customHeight="1" x14ac:dyDescent="0.25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79"/>
      <c r="Q177" s="580"/>
      <c r="R177" s="579"/>
      <c r="S177" s="581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" customHeight="1" x14ac:dyDescent="0.25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79"/>
      <c r="Q178" s="580"/>
      <c r="R178" s="579"/>
      <c r="S178" s="579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5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79"/>
      <c r="Q179" s="580"/>
      <c r="R179" s="579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5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79"/>
      <c r="Q180" s="580"/>
      <c r="R180" s="579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5">
      <c r="K181" s="262"/>
      <c r="L181" s="262"/>
      <c r="M181" s="262"/>
      <c r="N181" s="262"/>
      <c r="O181" s="262"/>
      <c r="P181" s="108"/>
      <c r="Q181" s="582"/>
      <c r="R181" s="108"/>
      <c r="S181" s="582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5">
      <c r="K182" s="262"/>
      <c r="L182" s="262"/>
      <c r="M182" s="262"/>
      <c r="N182" s="262"/>
      <c r="O182" s="262"/>
      <c r="P182" s="108"/>
      <c r="Q182" s="514"/>
      <c r="R182" s="108"/>
      <c r="S182" s="514"/>
      <c r="T182" s="514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5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5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5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5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5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5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5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5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5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5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5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5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5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5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5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5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5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5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5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5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5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5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5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5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5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5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5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5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5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5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5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5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5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5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5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5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5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5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5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5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5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5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5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5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5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5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5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5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5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5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5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5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5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5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5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5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5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5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5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5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5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5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5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5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5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5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5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5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5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5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5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5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5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5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5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5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5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5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5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5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5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5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5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5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5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5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5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5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5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5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5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5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5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5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5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5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5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5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5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5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5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5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5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5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5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5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5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5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5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5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5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5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5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5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5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5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5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5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5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5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5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5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5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5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5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5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5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5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5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5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5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5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5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5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5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5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5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5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5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5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5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5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5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5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5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5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5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5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5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5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5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5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5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5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5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5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5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5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5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5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5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5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5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5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5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5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5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5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5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5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5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5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5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5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5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5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5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5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5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5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5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5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5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5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5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5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5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5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5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5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5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5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5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5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5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5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5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5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5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5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5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5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5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5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5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5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5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5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5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5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5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5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5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5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5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5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5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5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5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5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5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5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5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5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5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5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5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5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5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5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5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5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5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5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5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5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5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5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5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5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5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5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5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5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5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5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5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5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5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5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5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5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5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5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5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5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5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5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5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5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5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5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5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5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5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5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5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5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5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5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5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5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5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5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5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5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5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5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5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5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5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5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5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5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5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5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5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5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5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5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5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5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5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5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5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5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5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5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5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5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5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5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5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5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5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5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5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5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5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5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5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5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5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5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5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5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5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5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5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5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5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5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5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5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5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5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5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5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5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5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5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5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5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5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5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5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5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5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5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5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5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5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5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5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5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5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5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5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5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5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5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5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5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5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5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5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5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5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5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5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5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5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5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5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5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5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5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5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5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5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5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5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5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5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5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5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5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5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5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5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5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5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5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5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5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5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5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5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5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5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5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5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5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5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5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5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5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5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5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5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5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5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5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5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5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5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5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5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5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5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5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5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5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5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5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5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5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5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5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5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5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5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5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5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5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5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5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5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5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5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5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5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5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5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5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5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5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5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5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5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5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5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5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5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5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5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5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5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5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5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5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5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5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5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5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5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5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5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5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5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5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5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5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5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5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5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5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5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5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5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5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5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5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5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5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5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5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5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5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5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5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5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5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5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5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5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5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5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5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5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5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5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5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5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5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5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5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5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5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5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5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5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5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5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5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5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5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5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5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5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5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5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5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5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5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5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5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5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5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5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5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5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5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5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5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5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5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5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5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5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5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5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5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5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5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5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5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5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5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5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5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5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5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5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5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5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5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5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5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5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5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5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5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5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5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5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5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5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5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5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5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5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5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5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5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5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5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5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5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5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5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5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5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5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5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5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5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5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5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5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5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5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5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5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5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5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5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5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5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5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5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5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5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5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5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5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5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5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5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5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5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5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5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5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5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5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5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5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5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5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5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5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5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5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5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5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5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5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5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5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5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5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5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5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5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5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5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5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5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5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5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5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5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5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5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5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5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5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5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5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5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5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5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5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5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5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5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5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5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5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5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5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5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5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5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5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5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5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5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5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5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5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5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5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5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5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5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5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5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5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5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5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5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5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5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5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5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5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5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5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5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5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5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5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5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5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5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5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5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5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5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5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5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5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5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5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5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5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5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5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5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5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5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5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5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5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5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5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5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5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5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5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5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5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5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5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5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5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5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5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5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5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5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5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5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5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5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5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5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5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5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5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5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5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5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5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5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5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5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5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5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5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5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5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5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5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5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5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5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5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5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5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5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5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5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5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5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5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5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5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5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5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5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5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5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5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5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5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5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5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5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5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5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5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5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5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5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5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5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5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5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5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5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5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5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5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5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5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5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5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5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5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5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5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5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5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5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5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5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5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5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5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5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5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5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5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5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5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5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5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5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5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5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5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5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5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5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5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5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5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5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5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5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5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5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5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5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5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5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5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5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5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5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5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5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5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5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5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5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5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5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5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5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F9" sqref="F9"/>
    </sheetView>
  </sheetViews>
  <sheetFormatPr baseColWidth="10" defaultColWidth="12.5546875" defaultRowHeight="13.2" x14ac:dyDescent="0.25"/>
  <cols>
    <col min="1" max="1" width="3.6640625" style="295" customWidth="1"/>
    <col min="2" max="2" width="10.5546875" style="295" customWidth="1"/>
    <col min="3" max="3" width="14.88671875" style="295" customWidth="1"/>
    <col min="4" max="10" width="10.5546875" style="295" customWidth="1"/>
    <col min="11" max="11" width="5.33203125" style="295" customWidth="1"/>
    <col min="12" max="26" width="10.5546875" style="295" customWidth="1"/>
    <col min="27" max="28" width="12.5546875" style="295" customWidth="1"/>
    <col min="29" max="16384" width="12.5546875" style="295"/>
  </cols>
  <sheetData>
    <row r="1" spans="1:19" ht="12.75" customHeight="1" x14ac:dyDescent="0.25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5">
      <c r="A2" s="262"/>
      <c r="B2" s="971" t="s">
        <v>415</v>
      </c>
      <c r="C2" s="960"/>
      <c r="D2" s="960"/>
      <c r="E2" s="960"/>
      <c r="F2" s="960"/>
      <c r="G2" s="960"/>
      <c r="H2" s="262"/>
      <c r="I2" s="262"/>
      <c r="J2" s="262"/>
      <c r="K2" s="262"/>
      <c r="N2" s="395" t="s">
        <v>415</v>
      </c>
      <c r="O2" s="396"/>
      <c r="P2" s="396"/>
      <c r="Q2" s="381"/>
      <c r="R2" s="381"/>
      <c r="S2" s="381"/>
    </row>
    <row r="3" spans="1:19" ht="12.75" customHeight="1" x14ac:dyDescent="0.25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5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5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5">
      <c r="A6" s="262"/>
      <c r="B6" s="262"/>
      <c r="C6" s="262"/>
      <c r="D6" s="262"/>
      <c r="E6" s="262"/>
      <c r="F6" s="262"/>
      <c r="G6" s="262"/>
      <c r="H6" s="262"/>
      <c r="I6" s="974"/>
      <c r="J6" s="960"/>
      <c r="K6" s="262"/>
      <c r="O6" s="381"/>
      <c r="P6" s="381"/>
      <c r="Q6" s="381"/>
      <c r="R6" s="381"/>
      <c r="S6" s="381"/>
    </row>
    <row r="7" spans="1:19" ht="12.75" customHeight="1" x14ac:dyDescent="0.25">
      <c r="A7" s="262"/>
      <c r="B7" s="274" t="s">
        <v>416</v>
      </c>
      <c r="C7" s="587">
        <v>-1.4899999999999999E-6</v>
      </c>
      <c r="D7" s="262"/>
      <c r="E7" s="262"/>
      <c r="F7" s="262"/>
      <c r="G7" s="262"/>
      <c r="H7" s="262"/>
      <c r="I7" s="275"/>
      <c r="J7" s="275"/>
      <c r="K7" s="262"/>
      <c r="L7" s="693" t="s">
        <v>417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5">
      <c r="A8" s="262"/>
      <c r="B8" s="276" t="s">
        <v>418</v>
      </c>
      <c r="C8" s="275">
        <v>1.1399999999999999</v>
      </c>
      <c r="D8" s="588">
        <v>2.4800000000000002E-10</v>
      </c>
      <c r="E8" s="262"/>
      <c r="F8" s="262"/>
      <c r="G8" s="262"/>
      <c r="H8" s="262"/>
      <c r="I8" s="262"/>
      <c r="J8" s="262"/>
      <c r="K8" s="262"/>
      <c r="L8" s="694" t="s">
        <v>418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5">
      <c r="A9" s="262"/>
      <c r="B9" s="276" t="s">
        <v>419</v>
      </c>
      <c r="C9" s="277" t="s">
        <v>420</v>
      </c>
      <c r="D9" s="278"/>
      <c r="E9" s="262"/>
      <c r="F9" s="275"/>
      <c r="G9" s="262"/>
      <c r="H9" s="262"/>
      <c r="I9" s="262"/>
      <c r="J9" s="262"/>
      <c r="K9" s="262"/>
      <c r="L9" s="694" t="s">
        <v>421</v>
      </c>
      <c r="M9" s="384" t="s">
        <v>422</v>
      </c>
      <c r="N9" s="382"/>
      <c r="O9" s="381"/>
      <c r="Q9" s="381"/>
      <c r="R9" s="381"/>
      <c r="S9" s="381"/>
    </row>
    <row r="10" spans="1:19" ht="12.75" customHeight="1" x14ac:dyDescent="0.25">
      <c r="A10" s="262"/>
      <c r="B10" s="276" t="s">
        <v>423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694" t="s">
        <v>365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5">
      <c r="A11" s="262"/>
      <c r="B11" s="276" t="s">
        <v>424</v>
      </c>
      <c r="C11" s="278" t="s">
        <v>425</v>
      </c>
      <c r="D11" s="262"/>
      <c r="E11" s="262"/>
      <c r="F11" s="262"/>
      <c r="G11" s="262"/>
      <c r="H11" s="262"/>
      <c r="I11" s="262"/>
      <c r="J11" s="262"/>
      <c r="K11" s="262"/>
      <c r="L11" s="694" t="s">
        <v>426</v>
      </c>
      <c r="M11" s="382" t="s">
        <v>427</v>
      </c>
      <c r="N11" s="381"/>
      <c r="Q11" s="381"/>
      <c r="R11" s="381"/>
      <c r="S11" s="381"/>
    </row>
    <row r="12" spans="1:19" ht="12.75" customHeight="1" x14ac:dyDescent="0.25">
      <c r="A12" s="262"/>
      <c r="B12" s="392" t="s">
        <v>428</v>
      </c>
      <c r="C12" s="393"/>
      <c r="D12" s="695">
        <v>46160</v>
      </c>
      <c r="E12" s="262"/>
      <c r="F12" s="262"/>
      <c r="G12" s="262"/>
      <c r="H12" s="262"/>
      <c r="I12" s="262"/>
      <c r="J12" s="262"/>
      <c r="K12" s="262"/>
      <c r="L12" s="694" t="s">
        <v>429</v>
      </c>
      <c r="N12" s="695"/>
      <c r="O12" s="695">
        <v>46132</v>
      </c>
      <c r="S12" s="381"/>
    </row>
    <row r="13" spans="1:19" ht="12.75" customHeight="1" x14ac:dyDescent="0.25">
      <c r="A13" s="262"/>
      <c r="B13" s="279" t="s">
        <v>430</v>
      </c>
      <c r="C13" s="280" t="s">
        <v>431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430</v>
      </c>
      <c r="M13" s="280" t="s">
        <v>431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5">
      <c r="A14" s="262"/>
      <c r="B14" s="619"/>
      <c r="C14" s="282"/>
      <c r="D14" s="283"/>
      <c r="E14" s="283"/>
      <c r="F14" s="283"/>
      <c r="G14" s="283"/>
      <c r="H14" s="283"/>
      <c r="I14" s="283"/>
      <c r="J14" s="284"/>
      <c r="K14" s="262"/>
      <c r="L14" s="619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5">
      <c r="A15" s="262"/>
      <c r="B15" s="619"/>
      <c r="C15" s="282"/>
      <c r="D15" s="283"/>
      <c r="E15" s="283"/>
      <c r="F15" s="283"/>
      <c r="G15" s="283"/>
      <c r="H15" s="283"/>
      <c r="I15" s="284"/>
      <c r="J15" s="284"/>
      <c r="K15" s="262"/>
      <c r="L15" s="619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5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5">
      <c r="A17" s="262"/>
      <c r="B17" s="285"/>
      <c r="C17" s="286" t="s">
        <v>432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432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5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5">
      <c r="A19" s="262"/>
      <c r="B19" s="289" t="s">
        <v>433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433</v>
      </c>
      <c r="N19" s="396"/>
      <c r="O19" s="396"/>
      <c r="P19" s="396"/>
      <c r="Q19" s="396"/>
      <c r="R19" s="396"/>
      <c r="S19" s="381"/>
    </row>
    <row r="20" spans="1:19" ht="12.75" customHeight="1" x14ac:dyDescent="0.25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5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5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5">
      <c r="A23" s="262"/>
      <c r="B23" s="290" t="s">
        <v>434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434</v>
      </c>
      <c r="M23" s="381"/>
      <c r="N23" s="381"/>
      <c r="P23" s="381"/>
      <c r="Q23" s="397"/>
      <c r="R23" s="381"/>
      <c r="S23" s="381"/>
    </row>
    <row r="24" spans="1:19" ht="16.5" customHeight="1" x14ac:dyDescent="0.25">
      <c r="A24" s="262"/>
      <c r="B24" s="972" t="s">
        <v>295</v>
      </c>
      <c r="C24" s="973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435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5">
      <c r="B25" s="975" t="s">
        <v>296</v>
      </c>
      <c r="C25" s="973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436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5">
      <c r="F26" s="262"/>
      <c r="G26" s="262"/>
      <c r="H26" s="262"/>
      <c r="I26" s="262"/>
      <c r="J26" s="262"/>
      <c r="K26" s="262"/>
      <c r="L26" s="391"/>
      <c r="M26" s="401" t="s">
        <v>437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5">
      <c r="B27" s="972" t="s">
        <v>295</v>
      </c>
      <c r="C27" s="973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5">
      <c r="B28" s="975" t="s">
        <v>296</v>
      </c>
      <c r="C28" s="973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435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5">
      <c r="L29" s="391"/>
      <c r="M29" s="399" t="s">
        <v>436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5">
      <c r="L30" s="391"/>
      <c r="M30" s="401" t="s">
        <v>437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5"/>
    <row r="32" spans="1:19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tabSelected="1" workbookViewId="0">
      <selection activeCell="E16" sqref="E16"/>
    </sheetView>
  </sheetViews>
  <sheetFormatPr baseColWidth="10" defaultColWidth="12.5546875" defaultRowHeight="13.2" x14ac:dyDescent="0.25"/>
  <cols>
    <col min="1" max="1" width="8.109375" style="612" customWidth="1"/>
    <col min="2" max="2" width="23.88671875" style="612" customWidth="1"/>
    <col min="3" max="8" width="12" style="612" customWidth="1"/>
    <col min="9" max="9" width="36" style="612" customWidth="1"/>
    <col min="10" max="12" width="10.5546875" style="612" customWidth="1"/>
    <col min="13" max="13" width="11" style="612" customWidth="1"/>
    <col min="14" max="15" width="10.5546875" style="612" customWidth="1"/>
    <col min="16" max="17" width="12.5546875" style="612" customWidth="1"/>
    <col min="18" max="16384" width="12.5546875" style="612"/>
  </cols>
  <sheetData>
    <row r="1" spans="1:13" ht="12.75" customHeight="1" x14ac:dyDescent="0.25">
      <c r="A1" s="611"/>
      <c r="B1" s="611"/>
      <c r="C1" s="611"/>
      <c r="D1" s="611"/>
      <c r="E1" s="611"/>
      <c r="F1" s="611"/>
      <c r="G1" s="611"/>
    </row>
    <row r="2" spans="1:13" ht="12.75" customHeight="1" x14ac:dyDescent="0.3">
      <c r="A2" s="611"/>
      <c r="B2" s="613"/>
      <c r="G2" s="611"/>
      <c r="I2" s="613"/>
    </row>
    <row r="3" spans="1:13" ht="12.75" customHeight="1" x14ac:dyDescent="0.25">
      <c r="A3" s="611"/>
      <c r="B3" s="141" t="s">
        <v>438</v>
      </c>
      <c r="G3" s="611"/>
      <c r="I3" s="141" t="s">
        <v>439</v>
      </c>
    </row>
    <row r="4" spans="1:13" ht="12.75" customHeight="1" x14ac:dyDescent="0.25">
      <c r="A4" s="611"/>
      <c r="B4" s="141" t="s">
        <v>440</v>
      </c>
      <c r="C4" s="614">
        <v>45789</v>
      </c>
      <c r="G4" s="611"/>
      <c r="I4" s="141" t="s">
        <v>440</v>
      </c>
      <c r="J4" s="614">
        <v>46064</v>
      </c>
    </row>
    <row r="5" spans="1:13" ht="12.75" customHeight="1" x14ac:dyDescent="0.25">
      <c r="A5" s="611"/>
      <c r="B5" s="141"/>
      <c r="C5" s="615"/>
      <c r="G5" s="611"/>
      <c r="I5" s="141"/>
      <c r="J5" s="615"/>
    </row>
    <row r="6" spans="1:13" ht="12.75" customHeight="1" x14ac:dyDescent="0.3">
      <c r="B6" s="617" t="s">
        <v>441</v>
      </c>
      <c r="C6" s="976">
        <v>2.0257508895880241</v>
      </c>
      <c r="D6" s="826"/>
      <c r="E6" s="821"/>
      <c r="F6" s="616"/>
      <c r="I6" s="617" t="s">
        <v>441</v>
      </c>
      <c r="J6" s="976">
        <v>0.1103026140518291</v>
      </c>
      <c r="K6" s="826"/>
      <c r="L6" s="821"/>
      <c r="M6" s="616"/>
    </row>
    <row r="7" spans="1:13" ht="12.75" customHeight="1" x14ac:dyDescent="0.3">
      <c r="B7" s="617" t="s">
        <v>442</v>
      </c>
      <c r="C7" s="976">
        <v>2.177753684674014</v>
      </c>
      <c r="D7" s="826"/>
      <c r="E7" s="821"/>
      <c r="F7" s="616"/>
      <c r="I7" s="617" t="s">
        <v>442</v>
      </c>
      <c r="J7" s="976">
        <v>0.1137736544392761</v>
      </c>
      <c r="K7" s="826"/>
      <c r="L7" s="821"/>
      <c r="M7" s="616"/>
    </row>
    <row r="8" spans="1:13" ht="12.75" customHeight="1" x14ac:dyDescent="0.25"/>
    <row r="9" spans="1:13" ht="12.75" customHeight="1" x14ac:dyDescent="0.25"/>
    <row r="10" spans="1:13" ht="12.75" customHeight="1" x14ac:dyDescent="0.25"/>
    <row r="11" spans="1:13" ht="12.75" customHeight="1" x14ac:dyDescent="0.25"/>
    <row r="12" spans="1:13" ht="12.75" customHeight="1" x14ac:dyDescent="0.25"/>
    <row r="13" spans="1:13" ht="12.75" customHeight="1" x14ac:dyDescent="0.25"/>
    <row r="14" spans="1:13" ht="12.75" customHeight="1" x14ac:dyDescent="0.25"/>
    <row r="15" spans="1:13" ht="12.75" customHeight="1" x14ac:dyDescent="0.25"/>
    <row r="16" spans="1:13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546875" defaultRowHeight="13.2" x14ac:dyDescent="0.25"/>
  <cols>
    <col min="1" max="1" width="8.109375" style="295" customWidth="1"/>
    <col min="2" max="2" width="23.88671875" style="295" customWidth="1"/>
    <col min="3" max="8" width="12" style="295" customWidth="1"/>
    <col min="9" max="9" width="36" style="295" customWidth="1"/>
    <col min="10" max="12" width="10.5546875" style="295" customWidth="1"/>
    <col min="13" max="13" width="11" style="295" customWidth="1"/>
    <col min="14" max="15" width="10.5546875" style="295" customWidth="1"/>
    <col min="16" max="17" width="12.5546875" style="295" customWidth="1"/>
    <col min="18" max="16384" width="12.5546875" style="295"/>
  </cols>
  <sheetData>
    <row r="1" spans="1:13" ht="12.75" customHeight="1" x14ac:dyDescent="0.25">
      <c r="A1" s="262"/>
      <c r="B1" s="262"/>
      <c r="C1" s="262"/>
      <c r="D1" s="262"/>
      <c r="E1" s="262"/>
      <c r="F1" s="262"/>
      <c r="G1" s="262"/>
    </row>
    <row r="2" spans="1:13" ht="12.75" customHeight="1" x14ac:dyDescent="0.3">
      <c r="A2" s="262"/>
      <c r="B2" s="557" t="s">
        <v>443</v>
      </c>
      <c r="C2" s="273"/>
      <c r="D2" s="273"/>
      <c r="E2" s="273"/>
      <c r="F2" s="273"/>
      <c r="G2" s="262"/>
      <c r="I2" s="557" t="s">
        <v>443</v>
      </c>
      <c r="J2" s="273"/>
      <c r="K2" s="273"/>
      <c r="L2" s="273"/>
      <c r="M2" s="273"/>
    </row>
    <row r="3" spans="1:13" ht="12.75" customHeight="1" x14ac:dyDescent="0.25">
      <c r="A3" s="262"/>
      <c r="B3" s="558" t="s">
        <v>444</v>
      </c>
      <c r="C3" s="273"/>
      <c r="D3" s="273"/>
      <c r="E3" s="273"/>
      <c r="F3" s="273"/>
      <c r="G3" s="262"/>
      <c r="I3" s="558" t="s">
        <v>444</v>
      </c>
      <c r="J3" s="273"/>
      <c r="K3" s="273"/>
      <c r="L3" s="273"/>
      <c r="M3" s="273"/>
    </row>
    <row r="4" spans="1:13" ht="12.75" customHeight="1" x14ac:dyDescent="0.25">
      <c r="A4" s="262"/>
      <c r="B4" s="558" t="s">
        <v>440</v>
      </c>
      <c r="C4" s="559">
        <v>45625</v>
      </c>
      <c r="D4" s="273"/>
      <c r="E4" s="273"/>
      <c r="F4" s="273"/>
      <c r="G4" s="262"/>
      <c r="I4" s="558" t="s">
        <v>440</v>
      </c>
      <c r="J4" s="559">
        <v>45625</v>
      </c>
      <c r="K4" s="273"/>
      <c r="L4" s="273"/>
      <c r="M4" s="273"/>
    </row>
    <row r="5" spans="1:13" ht="12.75" customHeight="1" x14ac:dyDescent="0.25">
      <c r="A5" s="262"/>
      <c r="B5" s="558"/>
      <c r="C5" s="404"/>
      <c r="D5" s="273"/>
      <c r="E5" s="273"/>
      <c r="F5" s="273"/>
      <c r="G5" s="262"/>
      <c r="I5" s="558"/>
      <c r="J5" s="404"/>
      <c r="K5" s="273"/>
      <c r="L5" s="273"/>
      <c r="M5" s="273"/>
    </row>
    <row r="6" spans="1:13" ht="12.75" customHeight="1" x14ac:dyDescent="0.3">
      <c r="A6" s="262"/>
      <c r="B6" s="557" t="s">
        <v>445</v>
      </c>
      <c r="C6" s="273"/>
      <c r="D6" s="273"/>
      <c r="E6" s="557"/>
      <c r="F6" s="273"/>
      <c r="G6" s="262"/>
      <c r="I6" s="557" t="s">
        <v>445</v>
      </c>
      <c r="J6" s="273"/>
      <c r="K6" s="273"/>
      <c r="L6" s="557"/>
      <c r="M6" s="273"/>
    </row>
    <row r="7" spans="1:13" ht="12.75" customHeight="1" x14ac:dyDescent="0.25">
      <c r="B7" s="560" t="s">
        <v>446</v>
      </c>
      <c r="C7" s="561" t="s">
        <v>447</v>
      </c>
      <c r="D7" s="371"/>
      <c r="E7" s="371" t="s">
        <v>448</v>
      </c>
      <c r="F7" s="371"/>
      <c r="I7" s="560" t="s">
        <v>446</v>
      </c>
      <c r="J7" s="561" t="s">
        <v>449</v>
      </c>
      <c r="K7" s="371"/>
      <c r="L7" s="371" t="s">
        <v>450</v>
      </c>
      <c r="M7" s="371"/>
    </row>
    <row r="8" spans="1:13" ht="12.75" customHeight="1" x14ac:dyDescent="0.25">
      <c r="B8" s="980" t="s">
        <v>451</v>
      </c>
      <c r="C8" s="293">
        <v>40.950000000000003</v>
      </c>
      <c r="D8" s="293"/>
      <c r="E8" s="293">
        <v>12.92</v>
      </c>
      <c r="F8" s="293"/>
      <c r="I8" s="980" t="s">
        <v>451</v>
      </c>
      <c r="J8" s="293">
        <v>22.3</v>
      </c>
      <c r="K8" s="293"/>
      <c r="L8" s="293">
        <v>7.6</v>
      </c>
      <c r="M8" s="293"/>
    </row>
    <row r="9" spans="1:13" ht="12.75" customHeight="1" x14ac:dyDescent="0.25">
      <c r="B9" s="818"/>
      <c r="C9" s="293">
        <v>41.17</v>
      </c>
      <c r="D9" s="293"/>
      <c r="E9" s="293">
        <v>13.74</v>
      </c>
      <c r="F9" s="293"/>
      <c r="I9" s="818"/>
      <c r="J9" s="293">
        <v>22.3</v>
      </c>
      <c r="K9" s="293"/>
      <c r="L9" s="293">
        <v>7.8</v>
      </c>
      <c r="M9" s="293"/>
    </row>
    <row r="10" spans="1:13" ht="12.75" customHeight="1" x14ac:dyDescent="0.25">
      <c r="B10" s="818"/>
      <c r="C10" s="293">
        <v>39.67</v>
      </c>
      <c r="D10" s="293"/>
      <c r="E10" s="293">
        <v>13.68</v>
      </c>
      <c r="F10" s="293"/>
      <c r="I10" s="818"/>
      <c r="J10" s="293">
        <v>22.9</v>
      </c>
      <c r="K10" s="293"/>
      <c r="L10" s="293">
        <v>7.7</v>
      </c>
      <c r="M10" s="293"/>
    </row>
    <row r="11" spans="1:13" ht="12.75" customHeight="1" x14ac:dyDescent="0.25">
      <c r="B11" s="818"/>
      <c r="C11" s="405">
        <v>38.6</v>
      </c>
      <c r="D11" s="405"/>
      <c r="E11" s="405">
        <v>12.95</v>
      </c>
      <c r="F11" s="405"/>
      <c r="I11" s="818"/>
      <c r="J11" s="405">
        <v>22.2</v>
      </c>
      <c r="K11" s="405"/>
      <c r="L11" s="405">
        <v>7.6</v>
      </c>
      <c r="M11" s="405"/>
    </row>
    <row r="12" spans="1:13" ht="12.75" customHeight="1" x14ac:dyDescent="0.25">
      <c r="B12" s="818"/>
      <c r="C12" s="405">
        <v>38.9</v>
      </c>
      <c r="D12" s="405"/>
      <c r="E12" s="405">
        <v>12.73</v>
      </c>
      <c r="F12" s="405"/>
      <c r="I12" s="818"/>
      <c r="J12" s="405">
        <v>22.6</v>
      </c>
      <c r="K12" s="405"/>
      <c r="L12" s="405">
        <v>7.5</v>
      </c>
      <c r="M12" s="405"/>
    </row>
    <row r="13" spans="1:13" ht="12.75" customHeight="1" x14ac:dyDescent="0.25">
      <c r="B13" s="818"/>
      <c r="C13" s="405">
        <v>38.909999999999997</v>
      </c>
      <c r="D13" s="405"/>
      <c r="E13" s="405">
        <v>13.52</v>
      </c>
      <c r="F13" s="405"/>
      <c r="I13" s="818"/>
      <c r="J13" s="405">
        <v>22.4</v>
      </c>
      <c r="K13" s="405"/>
      <c r="L13" s="405">
        <v>7.8</v>
      </c>
      <c r="M13" s="405"/>
    </row>
    <row r="14" spans="1:13" ht="12.75" customHeight="1" x14ac:dyDescent="0.25">
      <c r="B14" s="818"/>
      <c r="C14" s="561"/>
      <c r="D14" s="561"/>
      <c r="E14" s="562"/>
      <c r="F14" s="562"/>
      <c r="I14" s="818"/>
      <c r="J14" s="561"/>
      <c r="K14" s="561"/>
      <c r="L14" s="562"/>
      <c r="M14" s="562"/>
    </row>
    <row r="15" spans="1:13" ht="12.75" customHeight="1" x14ac:dyDescent="0.25">
      <c r="B15" s="818"/>
      <c r="C15" s="561"/>
      <c r="D15" s="561"/>
      <c r="E15" s="562"/>
      <c r="F15" s="562"/>
      <c r="I15" s="818"/>
      <c r="J15" s="561"/>
      <c r="K15" s="561"/>
      <c r="L15" s="562"/>
      <c r="M15" s="562"/>
    </row>
    <row r="16" spans="1:13" ht="12.75" customHeight="1" x14ac:dyDescent="0.25">
      <c r="B16" s="818"/>
      <c r="C16" s="561"/>
      <c r="D16" s="561"/>
      <c r="E16" s="562"/>
      <c r="F16" s="562"/>
      <c r="I16" s="818"/>
      <c r="J16" s="561"/>
      <c r="K16" s="561"/>
      <c r="L16" s="562"/>
      <c r="M16" s="562"/>
    </row>
    <row r="17" spans="2:13" ht="12.75" customHeight="1" x14ac:dyDescent="0.25">
      <c r="B17" s="818"/>
      <c r="C17" s="563"/>
      <c r="D17" s="561"/>
      <c r="E17" s="562"/>
      <c r="F17" s="562"/>
      <c r="I17" s="818"/>
      <c r="J17" s="563"/>
      <c r="K17" s="561"/>
      <c r="L17" s="562"/>
      <c r="M17" s="562"/>
    </row>
    <row r="18" spans="2:13" ht="12.75" customHeight="1" x14ac:dyDescent="0.25">
      <c r="B18" s="818"/>
      <c r="C18" s="563"/>
      <c r="D18" s="561"/>
      <c r="E18" s="562"/>
      <c r="F18" s="562"/>
      <c r="I18" s="818"/>
      <c r="J18" s="563"/>
      <c r="K18" s="561"/>
      <c r="L18" s="562"/>
      <c r="M18" s="562"/>
    </row>
    <row r="19" spans="2:13" ht="12.75" customHeight="1" x14ac:dyDescent="0.25">
      <c r="B19" s="819"/>
      <c r="C19" s="563"/>
      <c r="D19" s="561"/>
      <c r="E19" s="562"/>
      <c r="F19" s="562"/>
      <c r="I19" s="819"/>
      <c r="J19" s="563"/>
      <c r="K19" s="561"/>
      <c r="L19" s="562"/>
      <c r="M19" s="562"/>
    </row>
    <row r="20" spans="2:13" ht="21.75" customHeight="1" x14ac:dyDescent="0.3">
      <c r="B20" s="406" t="s">
        <v>452</v>
      </c>
      <c r="C20" s="407">
        <f>COUNT(C8:C19)</f>
        <v>6</v>
      </c>
      <c r="D20" s="564"/>
      <c r="E20" s="565"/>
      <c r="F20" s="566"/>
      <c r="I20" s="406" t="s">
        <v>452</v>
      </c>
      <c r="J20" s="407">
        <f>COUNT(J8:J19)</f>
        <v>6</v>
      </c>
      <c r="K20" s="564"/>
      <c r="L20" s="565"/>
      <c r="M20" s="566"/>
    </row>
    <row r="21" spans="2:13" ht="21.75" customHeight="1" x14ac:dyDescent="0.3">
      <c r="B21" s="406" t="s">
        <v>453</v>
      </c>
      <c r="C21" s="406">
        <f>COUNTA(C7:F7)</f>
        <v>2</v>
      </c>
      <c r="D21" s="564"/>
      <c r="E21" s="565"/>
      <c r="F21" s="566"/>
      <c r="I21" s="406" t="s">
        <v>453</v>
      </c>
      <c r="J21" s="406">
        <f>COUNTA(J7:M7)</f>
        <v>2</v>
      </c>
      <c r="K21" s="564"/>
      <c r="L21" s="565"/>
      <c r="M21" s="566"/>
    </row>
    <row r="22" spans="2:13" ht="21.75" customHeight="1" x14ac:dyDescent="0.3">
      <c r="B22" s="408"/>
      <c r="C22" s="347"/>
      <c r="D22" s="347"/>
      <c r="E22" s="409"/>
      <c r="F22" s="566"/>
      <c r="I22" s="408"/>
      <c r="J22" s="347"/>
      <c r="K22" s="347"/>
      <c r="L22" s="409"/>
      <c r="M22" s="566"/>
    </row>
    <row r="23" spans="2:13" ht="12.75" customHeight="1" x14ac:dyDescent="0.25">
      <c r="B23" s="410" t="s">
        <v>454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454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5">
      <c r="B24" s="410" t="s">
        <v>455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455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5">
      <c r="B25" s="410" t="s">
        <v>456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456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5">
      <c r="B26" s="410" t="s">
        <v>457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457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3">
      <c r="B27" s="567"/>
      <c r="C27" s="567"/>
      <c r="D27" s="567"/>
      <c r="E27" s="567"/>
      <c r="F27" s="566"/>
      <c r="I27" s="567"/>
      <c r="J27" s="567"/>
      <c r="K27" s="567"/>
      <c r="L27" s="567"/>
      <c r="M27" s="566"/>
    </row>
    <row r="28" spans="2:13" ht="12.75" customHeight="1" x14ac:dyDescent="0.3">
      <c r="B28" s="568" t="s">
        <v>458</v>
      </c>
      <c r="C28" s="977">
        <f>+C23*C24+D23*D24+E23*E24+F23*F24</f>
        <v>317.74</v>
      </c>
      <c r="D28" s="826"/>
      <c r="E28" s="821"/>
      <c r="F28" s="566"/>
      <c r="I28" s="568" t="s">
        <v>458</v>
      </c>
      <c r="J28" s="977">
        <f>+J23*J24+K23*K24+L23*L24+M23*M24</f>
        <v>180.70000000000002</v>
      </c>
      <c r="K28" s="826"/>
      <c r="L28" s="821"/>
      <c r="M28" s="566"/>
    </row>
    <row r="29" spans="2:13" ht="12.75" customHeight="1" x14ac:dyDescent="0.3">
      <c r="B29" s="568" t="s">
        <v>459</v>
      </c>
      <c r="C29" s="981">
        <f>+C23*POWER(C24,2)+D23*POWER(D24,2)+E23*POWER(E24,2)+F23*POWER(F24,2)</f>
        <v>10510.975266666668</v>
      </c>
      <c r="D29" s="826"/>
      <c r="E29" s="821"/>
      <c r="F29" s="566"/>
      <c r="I29" s="568" t="s">
        <v>459</v>
      </c>
      <c r="J29" s="981">
        <f>+J23*POWER(J24,2)+K23*POWER(K24,2)+L23*POWER(L24,2)+M23*POWER(M24,2)</f>
        <v>3376.6816666666673</v>
      </c>
      <c r="K29" s="826"/>
      <c r="L29" s="821"/>
      <c r="M29" s="566"/>
    </row>
    <row r="30" spans="2:13" ht="12.75" customHeight="1" x14ac:dyDescent="0.3">
      <c r="B30" s="568" t="s">
        <v>460</v>
      </c>
      <c r="C30" s="981">
        <f>+SUM(C23:F23)</f>
        <v>12</v>
      </c>
      <c r="D30" s="826"/>
      <c r="E30" s="821"/>
      <c r="F30" s="566"/>
      <c r="I30" s="568" t="s">
        <v>460</v>
      </c>
      <c r="J30" s="981">
        <f>+SUM(J23:M23)</f>
        <v>12</v>
      </c>
      <c r="K30" s="826"/>
      <c r="L30" s="821"/>
      <c r="M30" s="566"/>
    </row>
    <row r="31" spans="2:13" ht="12.75" customHeight="1" x14ac:dyDescent="0.3">
      <c r="B31" s="568" t="s">
        <v>461</v>
      </c>
      <c r="C31" s="981">
        <f>+POWER(C23,2)+POWER(D23,2)+POWER(E23,2)+POWER(F23,2)</f>
        <v>72</v>
      </c>
      <c r="D31" s="826"/>
      <c r="E31" s="821"/>
      <c r="F31" s="566"/>
      <c r="I31" s="568" t="s">
        <v>461</v>
      </c>
      <c r="J31" s="981">
        <f>+POWER(J23,2)+POWER(K23,2)+POWER(L23,2)+POWER(M23,2)</f>
        <v>72</v>
      </c>
      <c r="K31" s="826"/>
      <c r="L31" s="821"/>
      <c r="M31" s="566"/>
    </row>
    <row r="32" spans="2:13" ht="12.75" customHeight="1" x14ac:dyDescent="0.3">
      <c r="B32" s="568" t="s">
        <v>462</v>
      </c>
      <c r="C32" s="983">
        <f>(C20-1)*SUM(C26:F26)</f>
        <v>7.1653333333333507</v>
      </c>
      <c r="D32" s="826"/>
      <c r="E32" s="821"/>
      <c r="F32" s="566"/>
      <c r="I32" s="568" t="s">
        <v>462</v>
      </c>
      <c r="J32" s="983">
        <f>(J20-1)*SUM(J26:M26)</f>
        <v>0.40833333333333266</v>
      </c>
      <c r="K32" s="826"/>
      <c r="L32" s="821"/>
      <c r="M32" s="566"/>
    </row>
    <row r="33" spans="2:13" ht="12.75" customHeight="1" x14ac:dyDescent="0.3">
      <c r="B33" s="410" t="s">
        <v>463</v>
      </c>
      <c r="C33" s="978">
        <f>ABS((C32/(C30-C21)))</f>
        <v>0.71653333333333502</v>
      </c>
      <c r="D33" s="826"/>
      <c r="E33" s="821"/>
      <c r="F33" s="566"/>
      <c r="I33" s="410" t="s">
        <v>463</v>
      </c>
      <c r="J33" s="978">
        <f>ABS((J32/(J30-J21)))</f>
        <v>4.0833333333333263E-2</v>
      </c>
      <c r="K33" s="826"/>
      <c r="L33" s="821"/>
      <c r="M33" s="566"/>
    </row>
    <row r="34" spans="2:13" ht="12.75" customHeight="1" x14ac:dyDescent="0.3">
      <c r="B34" s="410" t="s">
        <v>464</v>
      </c>
      <c r="C34" s="982">
        <f>ABS((((C29*C30-(C28^2))/(C30*(C21-1)))-(C33))*((C30*(C21-1))/((C30^2)-C31)))</f>
        <v>349.50551666666684</v>
      </c>
      <c r="D34" s="826"/>
      <c r="E34" s="821"/>
      <c r="F34" s="566"/>
      <c r="I34" s="410" t="s">
        <v>464</v>
      </c>
      <c r="J34" s="982">
        <f>ABS((((J29*J30-(J28^2))/(J30*(J21-1)))-(J33))*((J30*(J21-1))/((J30^2)-J31)))</f>
        <v>109.26666666666668</v>
      </c>
      <c r="K34" s="826"/>
      <c r="L34" s="821"/>
      <c r="M34" s="566"/>
    </row>
    <row r="35" spans="2:13" ht="12.75" customHeight="1" x14ac:dyDescent="0.3">
      <c r="B35" s="410" t="s">
        <v>465</v>
      </c>
      <c r="C35" s="979">
        <f>(C33+C34)/1000000</f>
        <v>3.502220500000002E-4</v>
      </c>
      <c r="D35" s="826"/>
      <c r="E35" s="821"/>
      <c r="F35" s="566"/>
      <c r="I35" s="410" t="s">
        <v>465</v>
      </c>
      <c r="J35" s="979">
        <f>(J33+J34)/1000000</f>
        <v>1.0930750000000002E-4</v>
      </c>
      <c r="K35" s="826"/>
      <c r="L35" s="821"/>
      <c r="M35" s="566"/>
    </row>
    <row r="36" spans="2:13" ht="12.75" customHeight="1" x14ac:dyDescent="0.3">
      <c r="B36" s="410" t="s">
        <v>441</v>
      </c>
      <c r="C36" s="979">
        <f>SQRT(C33)</f>
        <v>0.84648291969379685</v>
      </c>
      <c r="D36" s="826"/>
      <c r="E36" s="821"/>
      <c r="F36" s="566"/>
      <c r="I36" s="410" t="s">
        <v>441</v>
      </c>
      <c r="J36" s="979">
        <f>SQRT(J33)</f>
        <v>0.20207259421636883</v>
      </c>
      <c r="K36" s="826"/>
      <c r="L36" s="821"/>
      <c r="M36" s="566"/>
    </row>
    <row r="37" spans="2:13" ht="12.75" customHeight="1" x14ac:dyDescent="0.3">
      <c r="B37" s="410" t="s">
        <v>442</v>
      </c>
      <c r="C37" s="979">
        <f>+SQRT(C33+C34)</f>
        <v>18.714220528785059</v>
      </c>
      <c r="D37" s="826"/>
      <c r="E37" s="821"/>
      <c r="F37" s="566"/>
      <c r="I37" s="410" t="s">
        <v>442</v>
      </c>
      <c r="J37" s="979">
        <f>+SQRT(J33+J34)</f>
        <v>10.455022716378958</v>
      </c>
      <c r="K37" s="826"/>
      <c r="L37" s="821"/>
      <c r="M37" s="566"/>
    </row>
    <row r="38" spans="2:13" ht="12.75" customHeight="1" x14ac:dyDescent="0.25"/>
    <row r="39" spans="2:13" ht="12.75" customHeight="1" x14ac:dyDescent="0.25"/>
    <row r="40" spans="2:13" ht="12.75" customHeight="1" x14ac:dyDescent="0.25"/>
    <row r="41" spans="2:13" ht="12.75" customHeight="1" x14ac:dyDescent="0.25"/>
    <row r="42" spans="2:13" ht="12.75" customHeight="1" x14ac:dyDescent="0.25"/>
    <row r="43" spans="2:13" ht="12.75" customHeight="1" x14ac:dyDescent="0.25"/>
    <row r="44" spans="2:13" ht="12.75" customHeight="1" x14ac:dyDescent="0.25"/>
    <row r="45" spans="2:13" ht="12.75" customHeight="1" x14ac:dyDescent="0.25"/>
    <row r="46" spans="2:13" ht="12.75" customHeight="1" x14ac:dyDescent="0.25"/>
    <row r="47" spans="2:13" ht="12.75" customHeight="1" x14ac:dyDescent="0.25"/>
    <row r="48" spans="2:13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J34:L34"/>
    <mergeCell ref="J35:L35"/>
    <mergeCell ref="C36:E36"/>
    <mergeCell ref="J32:L32"/>
    <mergeCell ref="J31:L31"/>
    <mergeCell ref="C32:E32"/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C29:E29"/>
    <mergeCell ref="C35:E35"/>
    <mergeCell ref="J30:L30"/>
    <mergeCell ref="C31:E31"/>
    <mergeCell ref="J36:L3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8671875" defaultRowHeight="13.2" x14ac:dyDescent="0.25"/>
  <sheetData>
    <row r="1" spans="1:1" x14ac:dyDescent="0.25">
      <c r="A1">
        <v>1</v>
      </c>
    </row>
    <row r="2" spans="1:1" x14ac:dyDescent="0.25">
      <c r="A2">
        <v>1</v>
      </c>
    </row>
    <row r="29" spans="19:27" x14ac:dyDescent="0.25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5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5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5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5">
      <c r="J41">
        <v>0</v>
      </c>
      <c r="K41">
        <v>2.983590648201544</v>
      </c>
    </row>
    <row r="43" spans="10:27" x14ac:dyDescent="0.25">
      <c r="J43">
        <v>1.8353999999999999</v>
      </c>
      <c r="K43">
        <v>1.8353999999999999</v>
      </c>
    </row>
    <row r="44" spans="10:27" x14ac:dyDescent="0.25">
      <c r="J44">
        <v>0</v>
      </c>
      <c r="K44">
        <v>0</v>
      </c>
    </row>
    <row r="46" spans="10:27" x14ac:dyDescent="0.25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kevin skibidi</cp:lastModifiedBy>
  <cp:lastPrinted>2026-05-26T15:45:26Z</cp:lastPrinted>
  <dcterms:created xsi:type="dcterms:W3CDTF">2001-07-17T22:05:44Z</dcterms:created>
  <dcterms:modified xsi:type="dcterms:W3CDTF">2026-07-01T21:11:24Z</dcterms:modified>
</cp:coreProperties>
</file>