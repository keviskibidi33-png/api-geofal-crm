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"/>
    </mc:Choice>
  </mc:AlternateContent>
  <xr:revisionPtr revIDLastSave="0" documentId="13_ncr:1_{93328966-E81B-4BCA-80FB-E1F852D9D10B}" xr6:coauthVersionLast="47" xr6:coauthVersionMax="47" xr10:uidLastSave="{00000000-0000-0000-0000-000000000000}"/>
  <bookViews>
    <workbookView xWindow="-108" yWindow="-108" windowWidth="23256" windowHeight="12456" tabRatio="714" firstSheet="1" activeTab="2" xr2:uid="{00000000-000D-0000-FFFF-FFFF00000000}"/>
  </bookViews>
  <sheets>
    <sheet name="-------" sheetId="1" state="veryHidden" r:id="rId1"/>
    <sheet name="FORMATO" sheetId="2" r:id="rId2"/>
    <sheet name="INFORME-1" sheetId="3" r:id="rId3"/>
    <sheet name="INFORME-2" sheetId="4" r:id="rId4"/>
    <sheet name="DATOS" sheetId="5" r:id="rId5"/>
    <sheet name="INCERT" sheetId="6" r:id="rId6"/>
    <sheet name="Balanza" sheetId="7" r:id="rId7"/>
    <sheet name="PRECISION" sheetId="8" r:id="rId8"/>
    <sheet name="PRECISION (2)" sheetId="9" state="hidden" r:id="rId9"/>
    <sheet name="cbr graficos" sheetId="10" state="hidden" r:id="rId10"/>
  </sheets>
  <definedNames>
    <definedName name="_xlnm.Print_Area" localSheetId="1">FORMATO!$A$1:$Q$65</definedName>
    <definedName name="_xlnm.Print_Area" localSheetId="2">'INFORME-1'!$A$1:$Q$67</definedName>
    <definedName name="_xlnm.Print_Area" localSheetId="3">'INFORME-2'!$A$1:$R$60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9" l="1"/>
  <c r="J26" i="9"/>
  <c r="E26" i="9"/>
  <c r="C26" i="9"/>
  <c r="L25" i="9"/>
  <c r="J25" i="9"/>
  <c r="E25" i="9"/>
  <c r="C25" i="9"/>
  <c r="L24" i="9"/>
  <c r="J24" i="9"/>
  <c r="E24" i="9"/>
  <c r="C24" i="9"/>
  <c r="M23" i="9"/>
  <c r="J31" i="9" s="1"/>
  <c r="L23" i="9"/>
  <c r="K23" i="9"/>
  <c r="J30" i="9" s="1"/>
  <c r="J23" i="9"/>
  <c r="J29" i="9" s="1"/>
  <c r="F23" i="9"/>
  <c r="E23" i="9"/>
  <c r="D23" i="9"/>
  <c r="C23" i="9"/>
  <c r="J21" i="9"/>
  <c r="C21" i="9"/>
  <c r="J20" i="9"/>
  <c r="J32" i="9" s="1"/>
  <c r="C20" i="9"/>
  <c r="C32" i="9" s="1"/>
  <c r="R22" i="7"/>
  <c r="Q22" i="7"/>
  <c r="P22" i="7"/>
  <c r="O22" i="7"/>
  <c r="N22" i="7"/>
  <c r="R21" i="7"/>
  <c r="Q21" i="7"/>
  <c r="P21" i="7"/>
  <c r="O21" i="7"/>
  <c r="N21" i="7"/>
  <c r="I21" i="7"/>
  <c r="H21" i="7"/>
  <c r="G21" i="7"/>
  <c r="F21" i="7"/>
  <c r="E21" i="7"/>
  <c r="D21" i="7"/>
  <c r="H20" i="7"/>
  <c r="G20" i="7"/>
  <c r="F20" i="7"/>
  <c r="E20" i="7"/>
  <c r="D20" i="7"/>
  <c r="M145" i="6"/>
  <c r="L145" i="6"/>
  <c r="K145" i="6"/>
  <c r="M144" i="6"/>
  <c r="L144" i="6"/>
  <c r="K144" i="6"/>
  <c r="M143" i="6"/>
  <c r="L143" i="6"/>
  <c r="K143" i="6"/>
  <c r="M142" i="6"/>
  <c r="L142" i="6"/>
  <c r="K142" i="6"/>
  <c r="M141" i="6"/>
  <c r="L141" i="6"/>
  <c r="K141" i="6"/>
  <c r="M140" i="6"/>
  <c r="L140" i="6"/>
  <c r="K140" i="6"/>
  <c r="M139" i="6"/>
  <c r="L139" i="6"/>
  <c r="K139" i="6"/>
  <c r="M138" i="6"/>
  <c r="L138" i="6"/>
  <c r="K138" i="6"/>
  <c r="M137" i="6"/>
  <c r="L137" i="6"/>
  <c r="K137" i="6"/>
  <c r="L134" i="6"/>
  <c r="M123" i="6" s="1"/>
  <c r="Z130" i="6"/>
  <c r="Z127" i="6" s="1"/>
  <c r="P130" i="6"/>
  <c r="Z129" i="6"/>
  <c r="P129" i="6"/>
  <c r="Z128" i="6"/>
  <c r="X128" i="6"/>
  <c r="N128" i="6"/>
  <c r="P128" i="6" s="1"/>
  <c r="P127" i="6"/>
  <c r="M127" i="6"/>
  <c r="Z126" i="6"/>
  <c r="P126" i="6"/>
  <c r="Z125" i="6"/>
  <c r="P125" i="6"/>
  <c r="X124" i="6"/>
  <c r="Z124" i="6" s="1"/>
  <c r="Z123" i="6" s="1"/>
  <c r="P124" i="6"/>
  <c r="P123" i="6" s="1"/>
  <c r="N124" i="6"/>
  <c r="P116" i="6"/>
  <c r="P115" i="6"/>
  <c r="Z108" i="6"/>
  <c r="AB108" i="6" s="1"/>
  <c r="W108" i="6"/>
  <c r="M108" i="6"/>
  <c r="P108" i="6" s="1"/>
  <c r="R108" i="6" s="1"/>
  <c r="Z107" i="6"/>
  <c r="X107" i="6"/>
  <c r="N107" i="6"/>
  <c r="P107" i="6" s="1"/>
  <c r="X106" i="6"/>
  <c r="Z106" i="6" s="1"/>
  <c r="X103" i="6"/>
  <c r="Z103" i="6" s="1"/>
  <c r="P103" i="6"/>
  <c r="N103" i="6"/>
  <c r="M100" i="6"/>
  <c r="X99" i="6"/>
  <c r="Z99" i="6" s="1"/>
  <c r="N99" i="6"/>
  <c r="P99" i="6" s="1"/>
  <c r="W96" i="6"/>
  <c r="Z89" i="6"/>
  <c r="X89" i="6"/>
  <c r="P89" i="6"/>
  <c r="N89" i="6"/>
  <c r="M86" i="6"/>
  <c r="N88" i="6" s="1"/>
  <c r="P88" i="6" s="1"/>
  <c r="X85" i="6"/>
  <c r="Z85" i="6" s="1"/>
  <c r="P85" i="6"/>
  <c r="N85" i="6"/>
  <c r="B77" i="6"/>
  <c r="C76" i="6"/>
  <c r="C75" i="6"/>
  <c r="C74" i="6"/>
  <c r="C73" i="6"/>
  <c r="C78" i="6" s="1"/>
  <c r="D80" i="6" s="1"/>
  <c r="C72" i="6"/>
  <c r="Z62" i="6"/>
  <c r="P62" i="6"/>
  <c r="Z53" i="6"/>
  <c r="P53" i="6"/>
  <c r="G53" i="6"/>
  <c r="G52" i="6"/>
  <c r="R45" i="6"/>
  <c r="P45" i="6"/>
  <c r="M45" i="6"/>
  <c r="M44" i="6"/>
  <c r="G44" i="6"/>
  <c r="I44" i="6" s="1"/>
  <c r="D44" i="6"/>
  <c r="G42" i="6"/>
  <c r="R34" i="6"/>
  <c r="M34" i="6"/>
  <c r="P34" i="6" s="1"/>
  <c r="M33" i="6"/>
  <c r="D33" i="6"/>
  <c r="G33" i="6" s="1"/>
  <c r="I33" i="6" s="1"/>
  <c r="G31" i="6"/>
  <c r="L55" i="5"/>
  <c r="I55" i="5"/>
  <c r="H55" i="5"/>
  <c r="D55" i="5"/>
  <c r="E55" i="5" s="1"/>
  <c r="M54" i="5"/>
  <c r="L54" i="5"/>
  <c r="H54" i="5"/>
  <c r="D54" i="5"/>
  <c r="M53" i="5"/>
  <c r="L53" i="5"/>
  <c r="H53" i="5"/>
  <c r="D53" i="5"/>
  <c r="E53" i="5" s="1"/>
  <c r="L52" i="5"/>
  <c r="I52" i="5"/>
  <c r="H52" i="5"/>
  <c r="D52" i="5"/>
  <c r="E52" i="5" s="1"/>
  <c r="L51" i="5"/>
  <c r="I51" i="5"/>
  <c r="H51" i="5"/>
  <c r="D51" i="5"/>
  <c r="E51" i="5" s="1"/>
  <c r="M50" i="5"/>
  <c r="L50" i="5"/>
  <c r="H50" i="5"/>
  <c r="D50" i="5"/>
  <c r="E50" i="5" s="1"/>
  <c r="M49" i="5"/>
  <c r="L49" i="5"/>
  <c r="H49" i="5"/>
  <c r="D49" i="5"/>
  <c r="E49" i="5" s="1"/>
  <c r="L48" i="5"/>
  <c r="I48" i="5"/>
  <c r="H48" i="5"/>
  <c r="D48" i="5"/>
  <c r="E48" i="5" s="1"/>
  <c r="L47" i="5"/>
  <c r="H47" i="5"/>
  <c r="D47" i="5"/>
  <c r="E47" i="5" s="1"/>
  <c r="M46" i="5"/>
  <c r="L46" i="5"/>
  <c r="H46" i="5"/>
  <c r="D46" i="5"/>
  <c r="E46" i="5" s="1"/>
  <c r="M45" i="5"/>
  <c r="L45" i="5"/>
  <c r="H45" i="5"/>
  <c r="D45" i="5"/>
  <c r="E45" i="5" s="1"/>
  <c r="L44" i="5"/>
  <c r="H44" i="5"/>
  <c r="I44" i="5" s="1"/>
  <c r="E44" i="5"/>
  <c r="D44" i="5"/>
  <c r="L42" i="5"/>
  <c r="H42" i="5"/>
  <c r="D42" i="5"/>
  <c r="L40" i="5"/>
  <c r="H40" i="5"/>
  <c r="J40" i="5" s="1"/>
  <c r="K40" i="5" s="1"/>
  <c r="J43" i="3" s="1"/>
  <c r="F40" i="5"/>
  <c r="G40" i="5" s="1"/>
  <c r="F43" i="3" s="1"/>
  <c r="D40" i="5"/>
  <c r="L39" i="5"/>
  <c r="H39" i="5"/>
  <c r="J39" i="5" s="1"/>
  <c r="F39" i="5"/>
  <c r="D39" i="5"/>
  <c r="A39" i="5"/>
  <c r="A40" i="5" s="1"/>
  <c r="L38" i="5"/>
  <c r="J38" i="5"/>
  <c r="H38" i="5"/>
  <c r="D38" i="5"/>
  <c r="F38" i="5" s="1"/>
  <c r="B38" i="5"/>
  <c r="B39" i="5" s="1"/>
  <c r="B40" i="5" s="1"/>
  <c r="N37" i="5"/>
  <c r="O37" i="5" s="1"/>
  <c r="L37" i="5"/>
  <c r="H37" i="5"/>
  <c r="J37" i="5" s="1"/>
  <c r="F37" i="5"/>
  <c r="D37" i="5"/>
  <c r="A37" i="5"/>
  <c r="A38" i="5" s="1"/>
  <c r="L36" i="5"/>
  <c r="J36" i="5"/>
  <c r="H36" i="5"/>
  <c r="F36" i="5"/>
  <c r="D36" i="5"/>
  <c r="B36" i="5"/>
  <c r="B37" i="5" s="1"/>
  <c r="N30" i="5"/>
  <c r="O30" i="5" s="1"/>
  <c r="L30" i="5"/>
  <c r="M30" i="5" s="1"/>
  <c r="J30" i="5"/>
  <c r="K30" i="5" s="1"/>
  <c r="H30" i="5"/>
  <c r="I30" i="5" s="1"/>
  <c r="G30" i="5"/>
  <c r="G31" i="5" s="1"/>
  <c r="F30" i="5"/>
  <c r="E30" i="5"/>
  <c r="D30" i="5"/>
  <c r="O29" i="5"/>
  <c r="N29" i="5"/>
  <c r="L29" i="5"/>
  <c r="M29" i="5" s="1"/>
  <c r="J29" i="5"/>
  <c r="K29" i="5" s="1"/>
  <c r="I29" i="5"/>
  <c r="H29" i="5"/>
  <c r="F29" i="5"/>
  <c r="G29" i="5" s="1"/>
  <c r="E29" i="5"/>
  <c r="D29" i="5"/>
  <c r="Q28" i="5"/>
  <c r="N28" i="5"/>
  <c r="O28" i="5" s="1"/>
  <c r="O31" i="5" s="1"/>
  <c r="O32" i="5" s="1"/>
  <c r="L28" i="5"/>
  <c r="K28" i="5"/>
  <c r="K31" i="5" s="1"/>
  <c r="K32" i="5" s="1"/>
  <c r="J28" i="5"/>
  <c r="I28" i="5"/>
  <c r="H28" i="5"/>
  <c r="R29" i="5" s="1"/>
  <c r="S29" i="5" s="1"/>
  <c r="G28" i="5"/>
  <c r="F28" i="5"/>
  <c r="D28" i="5"/>
  <c r="N27" i="5"/>
  <c r="O27" i="5" s="1"/>
  <c r="L27" i="5"/>
  <c r="M27" i="5" s="1"/>
  <c r="K27" i="5"/>
  <c r="J27" i="5"/>
  <c r="I27" i="5"/>
  <c r="W104" i="6" s="1"/>
  <c r="O30" i="7" s="1"/>
  <c r="H27" i="5"/>
  <c r="F27" i="5"/>
  <c r="G27" i="5" s="1"/>
  <c r="D27" i="5"/>
  <c r="N26" i="5"/>
  <c r="L26" i="5"/>
  <c r="Q30" i="5" s="1"/>
  <c r="J26" i="5"/>
  <c r="H26" i="5"/>
  <c r="Q29" i="5" s="1"/>
  <c r="F26" i="5"/>
  <c r="D26" i="5"/>
  <c r="R25" i="5"/>
  <c r="Q25" i="5"/>
  <c r="O22" i="5"/>
  <c r="G22" i="5"/>
  <c r="E22" i="5"/>
  <c r="G19" i="5"/>
  <c r="E19" i="5"/>
  <c r="D25" i="7" s="1"/>
  <c r="E25" i="7" s="1"/>
  <c r="N87" i="6" s="1"/>
  <c r="P87" i="6" s="1"/>
  <c r="P86" i="6" s="1"/>
  <c r="N18" i="5"/>
  <c r="L18" i="5"/>
  <c r="J18" i="5"/>
  <c r="H18" i="5"/>
  <c r="F18" i="5"/>
  <c r="D18" i="5"/>
  <c r="L17" i="5"/>
  <c r="M22" i="5" s="1"/>
  <c r="H17" i="5"/>
  <c r="D17" i="5"/>
  <c r="W3" i="5" s="1"/>
  <c r="F11" i="5"/>
  <c r="D11" i="5"/>
  <c r="F10" i="5"/>
  <c r="D10" i="5"/>
  <c r="AB9" i="5"/>
  <c r="O5" i="5"/>
  <c r="N5" i="5"/>
  <c r="M5" i="5"/>
  <c r="W4" i="5"/>
  <c r="O4" i="5"/>
  <c r="N4" i="5"/>
  <c r="M4" i="5"/>
  <c r="F2" i="5"/>
  <c r="AO42" i="4"/>
  <c r="AO39" i="4"/>
  <c r="AE39" i="4"/>
  <c r="Z39" i="4"/>
  <c r="U39" i="4"/>
  <c r="AR38" i="4"/>
  <c r="AO38" i="4"/>
  <c r="AJ38" i="4"/>
  <c r="AI38" i="4"/>
  <c r="AG38" i="4"/>
  <c r="AE38" i="4"/>
  <c r="AA38" i="4"/>
  <c r="Y38" i="4"/>
  <c r="X38" i="4"/>
  <c r="W38" i="4"/>
  <c r="U38" i="4"/>
  <c r="Z38" i="4" s="1"/>
  <c r="AU37" i="4"/>
  <c r="AR37" i="4"/>
  <c r="AO37" i="4"/>
  <c r="AK37" i="4"/>
  <c r="AJ37" i="4"/>
  <c r="AI37" i="4"/>
  <c r="AH37" i="4"/>
  <c r="AE37" i="4"/>
  <c r="AA37" i="4"/>
  <c r="Z37" i="4"/>
  <c r="Y37" i="4"/>
  <c r="X37" i="4"/>
  <c r="W37" i="4"/>
  <c r="U37" i="4"/>
  <c r="AU36" i="4"/>
  <c r="AT36" i="4"/>
  <c r="AR36" i="4"/>
  <c r="AO36" i="4"/>
  <c r="AH36" i="4"/>
  <c r="AG36" i="4"/>
  <c r="AE36" i="4"/>
  <c r="Y36" i="4"/>
  <c r="U36" i="4"/>
  <c r="AT35" i="4"/>
  <c r="AS35" i="4"/>
  <c r="AR35" i="4"/>
  <c r="AQ35" i="4"/>
  <c r="AO35" i="4"/>
  <c r="AU35" i="4" s="1"/>
  <c r="AE35" i="4"/>
  <c r="Z35" i="4"/>
  <c r="Y35" i="4"/>
  <c r="U35" i="4"/>
  <c r="AS34" i="4"/>
  <c r="AR34" i="4"/>
  <c r="AO34" i="4"/>
  <c r="AK34" i="4"/>
  <c r="AJ34" i="4"/>
  <c r="AI34" i="4"/>
  <c r="AH34" i="4"/>
  <c r="AG34" i="4"/>
  <c r="AE34" i="4"/>
  <c r="U34" i="4"/>
  <c r="W34" i="4" s="1"/>
  <c r="AU33" i="4"/>
  <c r="AT33" i="4"/>
  <c r="AS33" i="4"/>
  <c r="AR33" i="4"/>
  <c r="AQ33" i="4"/>
  <c r="AO33" i="4"/>
  <c r="AK33" i="4"/>
  <c r="AJ33" i="4"/>
  <c r="AI33" i="4"/>
  <c r="AH33" i="4"/>
  <c r="AG33" i="4"/>
  <c r="AE33" i="4"/>
  <c r="U33" i="4"/>
  <c r="O33" i="4"/>
  <c r="O34" i="4" s="1"/>
  <c r="AU32" i="4"/>
  <c r="AO32" i="4"/>
  <c r="AH32" i="4"/>
  <c r="AE32" i="4"/>
  <c r="AA32" i="4"/>
  <c r="Z32" i="4"/>
  <c r="Y32" i="4"/>
  <c r="X32" i="4"/>
  <c r="W32" i="4"/>
  <c r="U32" i="4"/>
  <c r="AU31" i="4"/>
  <c r="AT31" i="4"/>
  <c r="AR31" i="4"/>
  <c r="AO31" i="4"/>
  <c r="AQ31" i="4" s="1"/>
  <c r="AK31" i="4"/>
  <c r="AJ31" i="4"/>
  <c r="AI31" i="4"/>
  <c r="AH31" i="4"/>
  <c r="AG31" i="4"/>
  <c r="AE31" i="4"/>
  <c r="U31" i="4"/>
  <c r="AU30" i="4"/>
  <c r="AT30" i="4"/>
  <c r="AR30" i="4"/>
  <c r="AO30" i="4"/>
  <c r="AI30" i="4"/>
  <c r="AH30" i="4"/>
  <c r="AE30" i="4"/>
  <c r="AA30" i="4"/>
  <c r="Z30" i="4"/>
  <c r="Y30" i="4"/>
  <c r="X30" i="4"/>
  <c r="W30" i="4"/>
  <c r="U30" i="4"/>
  <c r="AP29" i="4"/>
  <c r="AO29" i="4"/>
  <c r="AN29" i="4"/>
  <c r="AM29" i="4"/>
  <c r="AK29" i="4"/>
  <c r="AJ29" i="4"/>
  <c r="AF29" i="4"/>
  <c r="AE29" i="4"/>
  <c r="AC29" i="4"/>
  <c r="AB29" i="4"/>
  <c r="AA29" i="4"/>
  <c r="Z29" i="4"/>
  <c r="Y29" i="4"/>
  <c r="X29" i="4"/>
  <c r="W29" i="4"/>
  <c r="V29" i="4"/>
  <c r="U29" i="4"/>
  <c r="AS25" i="4"/>
  <c r="AI25" i="4"/>
  <c r="Y25" i="4"/>
  <c r="AS24" i="4"/>
  <c r="AI24" i="4"/>
  <c r="Y24" i="4"/>
  <c r="AO17" i="4"/>
  <c r="AE17" i="4"/>
  <c r="U17" i="4"/>
  <c r="AV16" i="4"/>
  <c r="AU16" i="4"/>
  <c r="AL16" i="4"/>
  <c r="AK16" i="4"/>
  <c r="AB16" i="4"/>
  <c r="AA16" i="4"/>
  <c r="AV15" i="4"/>
  <c r="AU15" i="4"/>
  <c r="AO15" i="4"/>
  <c r="AL15" i="4"/>
  <c r="AK15" i="4"/>
  <c r="AE15" i="4"/>
  <c r="AB15" i="4"/>
  <c r="AA15" i="4"/>
  <c r="U15" i="4"/>
  <c r="A10" i="4"/>
  <c r="A9" i="4"/>
  <c r="D7" i="4"/>
  <c r="Q6" i="4"/>
  <c r="D6" i="4"/>
  <c r="Q5" i="4"/>
  <c r="Q4" i="4"/>
  <c r="A2" i="4"/>
  <c r="N59" i="3"/>
  <c r="F59" i="3"/>
  <c r="A59" i="3"/>
  <c r="N58" i="3"/>
  <c r="J58" i="3"/>
  <c r="A58" i="3"/>
  <c r="N57" i="3"/>
  <c r="J57" i="3"/>
  <c r="F57" i="3"/>
  <c r="A57" i="3"/>
  <c r="J56" i="3"/>
  <c r="F56" i="3"/>
  <c r="A56" i="3"/>
  <c r="N55" i="3"/>
  <c r="J55" i="3"/>
  <c r="F55" i="3"/>
  <c r="A55" i="3"/>
  <c r="N54" i="3"/>
  <c r="J54" i="3"/>
  <c r="F54" i="3"/>
  <c r="A54" i="3"/>
  <c r="N53" i="3"/>
  <c r="J53" i="3"/>
  <c r="F53" i="3"/>
  <c r="A53" i="3"/>
  <c r="J52" i="3"/>
  <c r="F52" i="3"/>
  <c r="A52" i="3"/>
  <c r="N51" i="3"/>
  <c r="J51" i="3"/>
  <c r="F51" i="3"/>
  <c r="A51" i="3"/>
  <c r="N50" i="3"/>
  <c r="J50" i="3"/>
  <c r="F50" i="3"/>
  <c r="A50" i="3"/>
  <c r="N49" i="3"/>
  <c r="J49" i="3"/>
  <c r="A49" i="3"/>
  <c r="P48" i="3"/>
  <c r="L48" i="3"/>
  <c r="J48" i="3"/>
  <c r="H48" i="3"/>
  <c r="F48" i="3"/>
  <c r="A48" i="3"/>
  <c r="N35" i="3"/>
  <c r="J35" i="3"/>
  <c r="F35" i="3"/>
  <c r="N34" i="3"/>
  <c r="N46" i="3" s="1"/>
  <c r="J34" i="3"/>
  <c r="J46" i="3" s="1"/>
  <c r="F34" i="3"/>
  <c r="F46" i="3" s="1"/>
  <c r="F27" i="3"/>
  <c r="P26" i="3"/>
  <c r="F26" i="3"/>
  <c r="P25" i="3"/>
  <c r="F25" i="3"/>
  <c r="P21" i="3"/>
  <c r="R20" i="3"/>
  <c r="P20" i="3"/>
  <c r="E20" i="3"/>
  <c r="P19" i="3"/>
  <c r="E19" i="3"/>
  <c r="P18" i="3"/>
  <c r="E18" i="3"/>
  <c r="P13" i="3"/>
  <c r="Q7" i="4" s="1"/>
  <c r="C13" i="3"/>
  <c r="P12" i="3"/>
  <c r="C12" i="3"/>
  <c r="P11" i="3"/>
  <c r="C11" i="3"/>
  <c r="D5" i="4" s="1"/>
  <c r="C10" i="3"/>
  <c r="D4" i="4" s="1"/>
  <c r="S35" i="2"/>
  <c r="S34" i="2"/>
  <c r="T32" i="2"/>
  <c r="S32" i="2"/>
  <c r="O32" i="2"/>
  <c r="S36" i="2" s="1"/>
  <c r="L32" i="2"/>
  <c r="J32" i="2"/>
  <c r="H32" i="2"/>
  <c r="T31" i="2" s="1"/>
  <c r="F32" i="2"/>
  <c r="D32" i="2"/>
  <c r="T30" i="2"/>
  <c r="S30" i="2"/>
  <c r="W100" i="6" l="1"/>
  <c r="I31" i="5"/>
  <c r="I32" i="5" s="1"/>
  <c r="I18" i="5"/>
  <c r="K18" i="5"/>
  <c r="G18" i="5"/>
  <c r="N52" i="3"/>
  <c r="M48" i="5"/>
  <c r="O20" i="5"/>
  <c r="N41" i="3"/>
  <c r="K36" i="5"/>
  <c r="AT29" i="4"/>
  <c r="AS29" i="4"/>
  <c r="AX29" i="4"/>
  <c r="AW29" i="4"/>
  <c r="AO40" i="4"/>
  <c r="AV29" i="4"/>
  <c r="AQ29" i="4"/>
  <c r="AU29" i="4"/>
  <c r="AR29" i="4"/>
  <c r="K37" i="5"/>
  <c r="G36" i="5"/>
  <c r="E54" i="5"/>
  <c r="F58" i="3"/>
  <c r="G32" i="5"/>
  <c r="Z40" i="4"/>
  <c r="AA31" i="4"/>
  <c r="X31" i="4"/>
  <c r="X40" i="4" s="1"/>
  <c r="W31" i="4"/>
  <c r="Z31" i="4"/>
  <c r="Y31" i="4"/>
  <c r="AK32" i="4"/>
  <c r="AJ32" i="4"/>
  <c r="AG32" i="4"/>
  <c r="AI32" i="4"/>
  <c r="AJ36" i="4"/>
  <c r="AI36" i="4"/>
  <c r="AK36" i="4"/>
  <c r="O18" i="5"/>
  <c r="O21" i="5" s="1"/>
  <c r="O23" i="5" s="1"/>
  <c r="O24" i="5" s="1"/>
  <c r="G39" i="5"/>
  <c r="AR39" i="4"/>
  <c r="AU39" i="4"/>
  <c r="AS39" i="4"/>
  <c r="AT39" i="4"/>
  <c r="AQ39" i="4"/>
  <c r="Y39" i="4"/>
  <c r="Y40" i="4" s="1"/>
  <c r="W39" i="4"/>
  <c r="AA39" i="4"/>
  <c r="M52" i="5"/>
  <c r="N56" i="3"/>
  <c r="W134" i="6"/>
  <c r="I19" i="5"/>
  <c r="K22" i="5"/>
  <c r="X4" i="5"/>
  <c r="X3" i="5"/>
  <c r="I22" i="5"/>
  <c r="K19" i="5"/>
  <c r="K20" i="5"/>
  <c r="J41" i="3"/>
  <c r="AI35" i="4"/>
  <c r="AK35" i="4"/>
  <c r="AH35" i="4"/>
  <c r="AG35" i="4"/>
  <c r="AJ35" i="4"/>
  <c r="X39" i="4"/>
  <c r="M44" i="5"/>
  <c r="N48" i="3"/>
  <c r="S31" i="2"/>
  <c r="W33" i="4"/>
  <c r="X34" i="4"/>
  <c r="W36" i="4"/>
  <c r="W40" i="4" s="1"/>
  <c r="AQ38" i="4"/>
  <c r="R30" i="5"/>
  <c r="S30" i="5" s="1"/>
  <c r="N38" i="5"/>
  <c r="O38" i="5" s="1"/>
  <c r="N39" i="5"/>
  <c r="O39" i="5" s="1"/>
  <c r="W95" i="6"/>
  <c r="W90" i="6" s="1"/>
  <c r="AA104" i="6"/>
  <c r="X98" i="6"/>
  <c r="Z98" i="6" s="1"/>
  <c r="AA100" i="6"/>
  <c r="Q123" i="6"/>
  <c r="R123" i="6" s="1"/>
  <c r="R131" i="6" s="1"/>
  <c r="C31" i="9"/>
  <c r="P30" i="7"/>
  <c r="X105" i="6" s="1"/>
  <c r="Z105" i="6" s="1"/>
  <c r="Z104" i="6" s="1"/>
  <c r="AE40" i="4"/>
  <c r="AH29" i="4"/>
  <c r="AG29" i="4"/>
  <c r="AS30" i="4"/>
  <c r="X33" i="4"/>
  <c r="Y34" i="4"/>
  <c r="AA35" i="4"/>
  <c r="AA40" i="4" s="1"/>
  <c r="X45" i="4" s="1"/>
  <c r="X35" i="4"/>
  <c r="X36" i="4"/>
  <c r="AS36" i="4"/>
  <c r="AS37" i="4"/>
  <c r="AQ37" i="4"/>
  <c r="M28" i="5"/>
  <c r="M31" i="5" s="1"/>
  <c r="M32" i="5" s="1"/>
  <c r="N36" i="5"/>
  <c r="O36" i="5" s="1"/>
  <c r="Y4" i="5"/>
  <c r="Q127" i="6"/>
  <c r="R127" i="6" s="1"/>
  <c r="M122" i="6"/>
  <c r="M77" i="6" s="1"/>
  <c r="Q76" i="6" s="1"/>
  <c r="O19" i="5"/>
  <c r="AS32" i="4"/>
  <c r="Y33" i="4"/>
  <c r="Z34" i="4"/>
  <c r="AK39" i="4"/>
  <c r="AJ39" i="4"/>
  <c r="AG39" i="4"/>
  <c r="AI29" i="4"/>
  <c r="AI40" i="4" s="1"/>
  <c r="AQ30" i="4"/>
  <c r="AS31" i="4"/>
  <c r="AA33" i="4"/>
  <c r="AA34" i="4"/>
  <c r="W35" i="4"/>
  <c r="Z36" i="4"/>
  <c r="AQ36" i="4"/>
  <c r="AT37" i="4"/>
  <c r="AS38" i="4"/>
  <c r="AH39" i="4"/>
  <c r="AE42" i="4"/>
  <c r="I47" i="5"/>
  <c r="J59" i="3"/>
  <c r="U42" i="4"/>
  <c r="AJ40" i="4"/>
  <c r="AQ32" i="4"/>
  <c r="AA36" i="4"/>
  <c r="AT38" i="4"/>
  <c r="AI39" i="4"/>
  <c r="G37" i="5"/>
  <c r="M47" i="5"/>
  <c r="C77" i="6"/>
  <c r="O25" i="7"/>
  <c r="P25" i="7" s="1"/>
  <c r="N101" i="6" s="1"/>
  <c r="P101" i="6" s="1"/>
  <c r="P100" i="6" s="1"/>
  <c r="N102" i="6"/>
  <c r="P102" i="6" s="1"/>
  <c r="G38" i="5"/>
  <c r="E18" i="5"/>
  <c r="AR32" i="4"/>
  <c r="AU34" i="4"/>
  <c r="AT34" i="4"/>
  <c r="AQ34" i="4"/>
  <c r="AG37" i="4"/>
  <c r="AU38" i="4"/>
  <c r="Y3" i="5"/>
  <c r="M18" i="5"/>
  <c r="M51" i="5"/>
  <c r="O28" i="7"/>
  <c r="P28" i="7" s="1"/>
  <c r="X97" i="6" s="1"/>
  <c r="Z97" i="6" s="1"/>
  <c r="Z96" i="6" s="1"/>
  <c r="Z33" i="4"/>
  <c r="M19" i="5"/>
  <c r="AL29" i="4"/>
  <c r="AK30" i="4"/>
  <c r="AJ30" i="4"/>
  <c r="AG30" i="4"/>
  <c r="AT32" i="4"/>
  <c r="AK38" i="4"/>
  <c r="AH38" i="4"/>
  <c r="K39" i="5"/>
  <c r="M55" i="5"/>
  <c r="R28" i="5"/>
  <c r="S28" i="5" s="1"/>
  <c r="E28" i="5"/>
  <c r="N40" i="5"/>
  <c r="O40" i="5" s="1"/>
  <c r="N43" i="3" s="1"/>
  <c r="I46" i="5"/>
  <c r="I50" i="5"/>
  <c r="I54" i="5"/>
  <c r="C29" i="9"/>
  <c r="F49" i="3"/>
  <c r="AD29" i="4"/>
  <c r="E27" i="5"/>
  <c r="M104" i="6" s="1"/>
  <c r="J33" i="9"/>
  <c r="K38" i="5"/>
  <c r="I45" i="5"/>
  <c r="I49" i="5"/>
  <c r="I53" i="5"/>
  <c r="U40" i="4"/>
  <c r="D8" i="5"/>
  <c r="C30" i="9"/>
  <c r="C33" i="9" s="1"/>
  <c r="C28" i="9"/>
  <c r="J28" i="9"/>
  <c r="J34" i="9" s="1"/>
  <c r="V45" i="4" l="1"/>
  <c r="X43" i="4"/>
  <c r="W44" i="4"/>
  <c r="J45" i="5"/>
  <c r="K45" i="5" s="1"/>
  <c r="J53" i="5"/>
  <c r="K53" i="5" s="1"/>
  <c r="N51" i="5"/>
  <c r="O51" i="5" s="1"/>
  <c r="V43" i="4"/>
  <c r="U44" i="4"/>
  <c r="W42" i="4"/>
  <c r="W43" i="4"/>
  <c r="V44" i="4"/>
  <c r="U45" i="4"/>
  <c r="X42" i="4"/>
  <c r="C36" i="9"/>
  <c r="C37" i="9"/>
  <c r="C35" i="9"/>
  <c r="AS40" i="4"/>
  <c r="X44" i="4"/>
  <c r="W45" i="4"/>
  <c r="N106" i="6"/>
  <c r="P106" i="6" s="1"/>
  <c r="O26" i="7"/>
  <c r="P26" i="7" s="1"/>
  <c r="N105" i="6" s="1"/>
  <c r="P105" i="6" s="1"/>
  <c r="P104" i="6" s="1"/>
  <c r="Q96" i="6"/>
  <c r="AB104" i="6"/>
  <c r="AT40" i="4"/>
  <c r="M20" i="5"/>
  <c r="M21" i="5" s="1"/>
  <c r="M23" i="5" s="1"/>
  <c r="N39" i="3"/>
  <c r="AA86" i="6"/>
  <c r="AA82" i="6"/>
  <c r="G21" i="5"/>
  <c r="G23" i="5" s="1"/>
  <c r="G24" i="5" s="1"/>
  <c r="J36" i="9"/>
  <c r="J35" i="9"/>
  <c r="J37" i="9"/>
  <c r="AO43" i="4"/>
  <c r="AP42" i="4"/>
  <c r="E31" i="5"/>
  <c r="E32" i="5" s="1"/>
  <c r="M96" i="6"/>
  <c r="AK40" i="4"/>
  <c r="AH45" i="4" s="1"/>
  <c r="K21" i="5"/>
  <c r="K23" i="5" s="1"/>
  <c r="K24" i="5" s="1"/>
  <c r="E51" i="6"/>
  <c r="G51" i="6" s="1"/>
  <c r="G50" i="6" s="1"/>
  <c r="N114" i="6"/>
  <c r="P114" i="6" s="1"/>
  <c r="P113" i="6" s="1"/>
  <c r="D28" i="7"/>
  <c r="E28" i="7" s="1"/>
  <c r="X87" i="6" s="1"/>
  <c r="Z87" i="6" s="1"/>
  <c r="W86" i="6"/>
  <c r="X88" i="6" s="1"/>
  <c r="Z88" i="6" s="1"/>
  <c r="P77" i="6"/>
  <c r="R132" i="6"/>
  <c r="AG44" i="4"/>
  <c r="AF45" i="4"/>
  <c r="AH43" i="4"/>
  <c r="D27" i="7"/>
  <c r="E27" i="7" s="1"/>
  <c r="X83" i="6" s="1"/>
  <c r="Z83" i="6" s="1"/>
  <c r="W82" i="6"/>
  <c r="C34" i="9"/>
  <c r="D24" i="7"/>
  <c r="E24" i="7" s="1"/>
  <c r="N83" i="6" s="1"/>
  <c r="P83" i="6" s="1"/>
  <c r="M82" i="6"/>
  <c r="AG40" i="4"/>
  <c r="AR40" i="4"/>
  <c r="I20" i="5"/>
  <c r="I21" i="5" s="1"/>
  <c r="I23" i="5" s="1"/>
  <c r="J39" i="3"/>
  <c r="U47" i="4" a="1"/>
  <c r="G20" i="5"/>
  <c r="F41" i="3"/>
  <c r="W127" i="6"/>
  <c r="W123" i="6"/>
  <c r="AH40" i="4"/>
  <c r="AU40" i="4"/>
  <c r="AR45" i="4" s="1"/>
  <c r="X102" i="6"/>
  <c r="Z102" i="6" s="1"/>
  <c r="O29" i="7"/>
  <c r="P29" i="7" s="1"/>
  <c r="X101" i="6" s="1"/>
  <c r="Z101" i="6" s="1"/>
  <c r="Z100" i="6" s="1"/>
  <c r="AB100" i="6" s="1"/>
  <c r="AA96" i="6"/>
  <c r="AB96" i="6" s="1"/>
  <c r="AH44" i="4"/>
  <c r="AG45" i="4"/>
  <c r="D50" i="6"/>
  <c r="D9" i="5"/>
  <c r="J54" i="5" s="1"/>
  <c r="K54" i="5" s="1"/>
  <c r="M113" i="6"/>
  <c r="U43" i="4"/>
  <c r="V42" i="4"/>
  <c r="AF42" i="4"/>
  <c r="AE43" i="4"/>
  <c r="AQ40" i="4"/>
  <c r="M24" i="5" l="1"/>
  <c r="N36" i="3"/>
  <c r="AF39" i="4"/>
  <c r="L58" i="3"/>
  <c r="I24" i="5"/>
  <c r="J36" i="3"/>
  <c r="L49" i="3"/>
  <c r="AF30" i="4"/>
  <c r="H50" i="6"/>
  <c r="D49" i="6"/>
  <c r="AB86" i="6"/>
  <c r="Q100" i="6"/>
  <c r="R100" i="6" s="1"/>
  <c r="M95" i="6"/>
  <c r="M90" i="6" s="1"/>
  <c r="M81" i="6" s="1"/>
  <c r="M76" i="6" s="1"/>
  <c r="N98" i="6"/>
  <c r="P98" i="6" s="1"/>
  <c r="O24" i="7"/>
  <c r="P24" i="7" s="1"/>
  <c r="N97" i="6" s="1"/>
  <c r="P97" i="6" s="1"/>
  <c r="P96" i="6" s="1"/>
  <c r="Q104" i="6"/>
  <c r="R104" i="6" s="1"/>
  <c r="N84" i="6"/>
  <c r="P84" i="6" s="1"/>
  <c r="P82" i="6" s="1"/>
  <c r="N47" i="5"/>
  <c r="O47" i="5" s="1"/>
  <c r="Z82" i="6"/>
  <c r="AB82" i="6" s="1"/>
  <c r="AQ44" i="4"/>
  <c r="AP45" i="4"/>
  <c r="AR43" i="4"/>
  <c r="AE45" i="4"/>
  <c r="AH42" i="4"/>
  <c r="AG43" i="4"/>
  <c r="AF44" i="4"/>
  <c r="AQ45" i="4"/>
  <c r="AR44" i="4"/>
  <c r="N48" i="5"/>
  <c r="O48" i="5" s="1"/>
  <c r="AR42" i="4"/>
  <c r="AO47" i="4" s="1" a="1"/>
  <c r="AQ43" i="4"/>
  <c r="AP44" i="4"/>
  <c r="AO45" i="4"/>
  <c r="L57" i="3"/>
  <c r="AF38" i="4"/>
  <c r="X84" i="6"/>
  <c r="Z84" i="6" s="1"/>
  <c r="W81" i="6"/>
  <c r="W76" i="6" s="1"/>
  <c r="AA90" i="6"/>
  <c r="P55" i="3"/>
  <c r="AP36" i="4"/>
  <c r="R96" i="6"/>
  <c r="X50" i="4"/>
  <c r="X47" i="4"/>
  <c r="W49" i="4"/>
  <c r="V47" i="4"/>
  <c r="W50" i="4"/>
  <c r="X49" i="4"/>
  <c r="X48" i="4"/>
  <c r="W48" i="4"/>
  <c r="V48" i="4"/>
  <c r="U48" i="4"/>
  <c r="W47" i="4"/>
  <c r="V50" i="4"/>
  <c r="U47" i="4"/>
  <c r="U49" i="4"/>
  <c r="V49" i="4"/>
  <c r="U50" i="4"/>
  <c r="AP43" i="4"/>
  <c r="AQ42" i="4"/>
  <c r="AO44" i="4"/>
  <c r="W122" i="6"/>
  <c r="W77" i="6" s="1"/>
  <c r="AA76" i="6" s="1"/>
  <c r="AA127" i="6"/>
  <c r="AB127" i="6" s="1"/>
  <c r="Q113" i="6"/>
  <c r="R113" i="6" s="1"/>
  <c r="R117" i="6" s="1"/>
  <c r="M112" i="6"/>
  <c r="I50" i="6"/>
  <c r="I54" i="6" s="1"/>
  <c r="AB109" i="6"/>
  <c r="Z90" i="6" s="1"/>
  <c r="AE44" i="4"/>
  <c r="AG42" i="4"/>
  <c r="AF43" i="4"/>
  <c r="E20" i="5"/>
  <c r="E21" i="5" s="1"/>
  <c r="E23" i="5" s="1"/>
  <c r="F39" i="3"/>
  <c r="AA123" i="6"/>
  <c r="AB123" i="6" s="1"/>
  <c r="W54" i="6"/>
  <c r="AA51" i="6" s="1"/>
  <c r="M63" i="6"/>
  <c r="Q60" i="6" s="1"/>
  <c r="D32" i="6"/>
  <c r="H29" i="6" s="1"/>
  <c r="M54" i="6"/>
  <c r="Q51" i="6" s="1"/>
  <c r="F46" i="5"/>
  <c r="G46" i="5" s="1"/>
  <c r="W63" i="6"/>
  <c r="AA60" i="6" s="1"/>
  <c r="N53" i="5"/>
  <c r="O53" i="5" s="1"/>
  <c r="N49" i="5"/>
  <c r="O49" i="5" s="1"/>
  <c r="N45" i="5"/>
  <c r="O45" i="5" s="1"/>
  <c r="F55" i="5"/>
  <c r="G55" i="5" s="1"/>
  <c r="H59" i="3" s="1"/>
  <c r="F51" i="5"/>
  <c r="G51" i="5" s="1"/>
  <c r="D43" i="6"/>
  <c r="H40" i="6" s="1"/>
  <c r="F47" i="5"/>
  <c r="G47" i="5" s="1"/>
  <c r="F50" i="5"/>
  <c r="G50" i="5" s="1"/>
  <c r="N54" i="5"/>
  <c r="O54" i="5" s="1"/>
  <c r="J48" i="5"/>
  <c r="K48" i="5" s="1"/>
  <c r="F48" i="5"/>
  <c r="G48" i="5" s="1"/>
  <c r="F49" i="5"/>
  <c r="G49" i="5" s="1"/>
  <c r="J52" i="5"/>
  <c r="K52" i="5" s="1"/>
  <c r="N50" i="5"/>
  <c r="O50" i="5" s="1"/>
  <c r="F54" i="5"/>
  <c r="G54" i="5" s="1"/>
  <c r="J47" i="5"/>
  <c r="K47" i="5" s="1"/>
  <c r="N46" i="5"/>
  <c r="O46" i="5" s="1"/>
  <c r="J46" i="5"/>
  <c r="K46" i="5" s="1"/>
  <c r="J50" i="5"/>
  <c r="K50" i="5" s="1"/>
  <c r="J51" i="5"/>
  <c r="K51" i="5" s="1"/>
  <c r="F45" i="5"/>
  <c r="G45" i="5" s="1"/>
  <c r="F53" i="5"/>
  <c r="G53" i="5" s="1"/>
  <c r="N52" i="5"/>
  <c r="O52" i="5" s="1"/>
  <c r="J55" i="5"/>
  <c r="K55" i="5" s="1"/>
  <c r="L59" i="3" s="1"/>
  <c r="F52" i="5"/>
  <c r="G52" i="5" s="1"/>
  <c r="Z86" i="6"/>
  <c r="N55" i="5"/>
  <c r="O55" i="5" s="1"/>
  <c r="P59" i="3" s="1"/>
  <c r="J49" i="5"/>
  <c r="K49" i="5" s="1"/>
  <c r="AR50" i="4" l="1"/>
  <c r="AR47" i="4"/>
  <c r="AQ49" i="4"/>
  <c r="AO49" i="4"/>
  <c r="AR48" i="4"/>
  <c r="AO48" i="4"/>
  <c r="AQ47" i="4"/>
  <c r="AO50" i="4"/>
  <c r="AR49" i="4"/>
  <c r="AO47" i="4"/>
  <c r="AP49" i="4"/>
  <c r="AQ48" i="4"/>
  <c r="AP48" i="4"/>
  <c r="AP47" i="4"/>
  <c r="AQ50" i="4"/>
  <c r="AP50" i="4"/>
  <c r="Z54" i="6"/>
  <c r="P63" i="6"/>
  <c r="R118" i="6"/>
  <c r="P54" i="6"/>
  <c r="M75" i="6"/>
  <c r="M71" i="6" s="1"/>
  <c r="M70" i="6" s="1"/>
  <c r="Q77" i="6"/>
  <c r="R77" i="6" s="1"/>
  <c r="R109" i="6"/>
  <c r="P90" i="6" s="1"/>
  <c r="P58" i="3"/>
  <c r="AP39" i="4"/>
  <c r="AP33" i="4"/>
  <c r="P52" i="3"/>
  <c r="AP15" i="4"/>
  <c r="AP32" i="4"/>
  <c r="P51" i="3"/>
  <c r="AL30" i="4"/>
  <c r="AM30" i="4"/>
  <c r="AN30" i="4"/>
  <c r="AF40" i="4"/>
  <c r="AI42" i="4" s="1"/>
  <c r="AI47" i="4" s="1"/>
  <c r="G32" i="6"/>
  <c r="I55" i="6"/>
  <c r="G43" i="6"/>
  <c r="L54" i="3"/>
  <c r="AF35" i="4"/>
  <c r="AF31" i="4"/>
  <c r="L50" i="3"/>
  <c r="AB131" i="6"/>
  <c r="AB90" i="6"/>
  <c r="AB91" i="6" s="1"/>
  <c r="Z76" i="6" s="1"/>
  <c r="AB76" i="6" s="1"/>
  <c r="Q90" i="6"/>
  <c r="V33" i="4"/>
  <c r="H52" i="3"/>
  <c r="AF36" i="4"/>
  <c r="L55" i="3"/>
  <c r="V32" i="4"/>
  <c r="H51" i="3"/>
  <c r="AP31" i="4"/>
  <c r="P50" i="3"/>
  <c r="V36" i="4"/>
  <c r="H55" i="3"/>
  <c r="AA77" i="6"/>
  <c r="W75" i="6"/>
  <c r="W71" i="6" s="1"/>
  <c r="W70" i="6" s="1"/>
  <c r="L30" i="4"/>
  <c r="J37" i="3"/>
  <c r="E24" i="5"/>
  <c r="F36" i="3"/>
  <c r="V39" i="4"/>
  <c r="H58" i="3"/>
  <c r="AP30" i="4"/>
  <c r="P49" i="3"/>
  <c r="AP37" i="4"/>
  <c r="P56" i="3"/>
  <c r="AP17" i="4"/>
  <c r="AS14" i="4" s="1"/>
  <c r="L52" i="3"/>
  <c r="AF33" i="4"/>
  <c r="AP35" i="4"/>
  <c r="P54" i="3"/>
  <c r="AE47" i="4" a="1"/>
  <c r="AN38" i="4"/>
  <c r="AM38" i="4"/>
  <c r="AL38" i="4"/>
  <c r="AM39" i="4"/>
  <c r="AN39" i="4"/>
  <c r="AL39" i="4"/>
  <c r="H50" i="3"/>
  <c r="V31" i="4"/>
  <c r="V38" i="4"/>
  <c r="H57" i="3"/>
  <c r="H49" i="3"/>
  <c r="V30" i="4"/>
  <c r="AX36" i="4"/>
  <c r="AW36" i="4"/>
  <c r="AV36" i="4"/>
  <c r="H54" i="3"/>
  <c r="V35" i="4"/>
  <c r="L53" i="3"/>
  <c r="AF15" i="4"/>
  <c r="AF34" i="4"/>
  <c r="L51" i="3"/>
  <c r="AF32" i="4"/>
  <c r="AP34" i="4"/>
  <c r="P53" i="3"/>
  <c r="V17" i="4"/>
  <c r="Y14" i="4" s="1"/>
  <c r="V37" i="4"/>
  <c r="H56" i="3"/>
  <c r="AF37" i="4"/>
  <c r="L56" i="3"/>
  <c r="AF17" i="4"/>
  <c r="AI14" i="4" s="1"/>
  <c r="AP38" i="4"/>
  <c r="P57" i="3"/>
  <c r="V34" i="4"/>
  <c r="H53" i="3"/>
  <c r="V15" i="4"/>
  <c r="Q82" i="6"/>
  <c r="Q86" i="6"/>
  <c r="R86" i="6" s="1"/>
  <c r="Q30" i="4"/>
  <c r="N37" i="3"/>
  <c r="M41" i="6" l="1"/>
  <c r="M30" i="6"/>
  <c r="AP40" i="4"/>
  <c r="AS42" i="4" s="1"/>
  <c r="AS47" i="4" s="1"/>
  <c r="AX30" i="4"/>
  <c r="AW30" i="4"/>
  <c r="AV30" i="4"/>
  <c r="R82" i="6"/>
  <c r="Z63" i="6"/>
  <c r="AB39" i="4"/>
  <c r="AD39" i="4"/>
  <c r="AC39" i="4"/>
  <c r="AD32" i="4"/>
  <c r="AC32" i="4"/>
  <c r="AB32" i="4"/>
  <c r="AL35" i="4"/>
  <c r="AM35" i="4"/>
  <c r="AN35" i="4"/>
  <c r="AS16" i="4"/>
  <c r="AW37" i="4"/>
  <c r="AV37" i="4"/>
  <c r="AX37" i="4"/>
  <c r="E30" i="4"/>
  <c r="F37" i="3"/>
  <c r="Z77" i="6"/>
  <c r="AB77" i="6" s="1"/>
  <c r="AB78" i="6" s="1"/>
  <c r="Z71" i="6" s="1"/>
  <c r="AB71" i="6" s="1"/>
  <c r="AB72" i="6" s="1"/>
  <c r="AB132" i="6"/>
  <c r="AL37" i="4"/>
  <c r="AN37" i="4"/>
  <c r="AM37" i="4"/>
  <c r="AD37" i="4"/>
  <c r="AC37" i="4"/>
  <c r="AB37" i="4"/>
  <c r="AL31" i="4"/>
  <c r="AL40" i="4" s="1"/>
  <c r="AI43" i="4" s="1"/>
  <c r="AI48" i="4" s="1"/>
  <c r="AN31" i="4"/>
  <c r="AM31" i="4"/>
  <c r="AM40" i="4" s="1"/>
  <c r="AI44" i="4" s="1"/>
  <c r="AI49" i="4" s="1"/>
  <c r="AX32" i="4"/>
  <c r="AW32" i="4"/>
  <c r="AV32" i="4"/>
  <c r="AD30" i="4"/>
  <c r="AC30" i="4"/>
  <c r="AB30" i="4"/>
  <c r="V40" i="4"/>
  <c r="Y42" i="4" s="1"/>
  <c r="Y47" i="4" s="1"/>
  <c r="AX34" i="4"/>
  <c r="AW34" i="4"/>
  <c r="AV34" i="4"/>
  <c r="AL32" i="4"/>
  <c r="AN32" i="4"/>
  <c r="AN40" i="4" s="1"/>
  <c r="AI45" i="4" s="1"/>
  <c r="AI50" i="4" s="1"/>
  <c r="AM32" i="4"/>
  <c r="AW35" i="4"/>
  <c r="AV35" i="4"/>
  <c r="AX35" i="4"/>
  <c r="AN36" i="4"/>
  <c r="AM36" i="4"/>
  <c r="AL36" i="4"/>
  <c r="AW33" i="4"/>
  <c r="AV33" i="4"/>
  <c r="AX33" i="4"/>
  <c r="AC36" i="4"/>
  <c r="AB36" i="4"/>
  <c r="AD36" i="4"/>
  <c r="Y16" i="4"/>
  <c r="AB34" i="4"/>
  <c r="AD34" i="4"/>
  <c r="AC34" i="4"/>
  <c r="AD38" i="4"/>
  <c r="AC38" i="4"/>
  <c r="AB38" i="4"/>
  <c r="AM33" i="4"/>
  <c r="AN33" i="4"/>
  <c r="AL33" i="4"/>
  <c r="AC35" i="4"/>
  <c r="AD35" i="4"/>
  <c r="AB35" i="4"/>
  <c r="O36" i="4"/>
  <c r="X60" i="4"/>
  <c r="X63" i="4" s="1"/>
  <c r="AV31" i="4"/>
  <c r="AW31" i="4"/>
  <c r="AX31" i="4"/>
  <c r="AF49" i="4"/>
  <c r="AE48" i="4"/>
  <c r="AE50" i="4"/>
  <c r="AH49" i="4"/>
  <c r="AH48" i="4"/>
  <c r="AE49" i="4"/>
  <c r="AH50" i="4"/>
  <c r="AG48" i="4"/>
  <c r="AF48" i="4"/>
  <c r="AH47" i="4"/>
  <c r="AG47" i="4"/>
  <c r="AE47" i="4"/>
  <c r="AF47" i="4"/>
  <c r="AG49" i="4"/>
  <c r="AF50" i="4"/>
  <c r="AG50" i="4"/>
  <c r="AN34" i="4"/>
  <c r="AM34" i="4"/>
  <c r="AL34" i="4"/>
  <c r="AD31" i="4"/>
  <c r="AC31" i="4"/>
  <c r="AB31" i="4"/>
  <c r="W60" i="4"/>
  <c r="W63" i="4" s="1"/>
  <c r="O38" i="4"/>
  <c r="AD33" i="4"/>
  <c r="AC33" i="4"/>
  <c r="AB33" i="4"/>
  <c r="AW39" i="4"/>
  <c r="AX39" i="4"/>
  <c r="AV39" i="4"/>
  <c r="AX38" i="4"/>
  <c r="AV38" i="4"/>
  <c r="AW38" i="4"/>
  <c r="AI16" i="4"/>
  <c r="M43" i="6"/>
  <c r="M32" i="6"/>
  <c r="R90" i="6"/>
  <c r="P43" i="6" l="1"/>
  <c r="P32" i="6"/>
  <c r="AL42" i="4" a="1"/>
  <c r="AC40" i="4"/>
  <c r="Y44" i="4" s="1"/>
  <c r="Y49" i="4" s="1"/>
  <c r="AV40" i="4"/>
  <c r="AS43" i="4" s="1"/>
  <c r="AS48" i="4" s="1"/>
  <c r="AD40" i="4"/>
  <c r="Y45" i="4" s="1"/>
  <c r="Y50" i="4" s="1"/>
  <c r="AW40" i="4"/>
  <c r="AS44" i="4" s="1"/>
  <c r="AS49" i="4" s="1"/>
  <c r="R91" i="6"/>
  <c r="P76" i="6" s="1"/>
  <c r="R76" i="6" s="1"/>
  <c r="R78" i="6" s="1"/>
  <c r="AB40" i="4"/>
  <c r="Y43" i="4" s="1"/>
  <c r="Y48" i="4" s="1"/>
  <c r="AB42" i="4" s="1" a="1"/>
  <c r="AX40" i="4"/>
  <c r="AS45" i="4" s="1"/>
  <c r="AS50" i="4" s="1"/>
  <c r="Q29" i="6"/>
  <c r="Q31" i="6"/>
  <c r="V60" i="4"/>
  <c r="V63" i="4" s="1"/>
  <c r="O35" i="4"/>
  <c r="O37" i="4"/>
  <c r="Q40" i="6"/>
  <c r="Q42" i="6"/>
  <c r="AB45" i="4" l="1"/>
  <c r="AB42" i="4"/>
  <c r="Z21" i="4" s="1"/>
  <c r="AB44" i="4"/>
  <c r="AB43" i="4"/>
  <c r="P30" i="6"/>
  <c r="P71" i="6"/>
  <c r="R71" i="6" s="1"/>
  <c r="R72" i="6" s="1"/>
  <c r="P41" i="6" s="1"/>
  <c r="AL43" i="4"/>
  <c r="AL42" i="4"/>
  <c r="AJ21" i="4" s="1"/>
  <c r="AL44" i="4"/>
  <c r="AL45" i="4"/>
  <c r="AV42" i="4" a="1"/>
  <c r="AV44" i="4" l="1"/>
  <c r="AV45" i="4"/>
  <c r="AV43" i="4"/>
  <c r="AV42" i="4"/>
  <c r="AT21" i="4" s="1"/>
  <c r="AM45" i="4"/>
  <c r="AG21" i="4"/>
  <c r="AM44" i="4"/>
  <c r="AH21" i="4"/>
  <c r="AI21" i="4"/>
  <c r="AM43" i="4"/>
  <c r="AC43" i="4"/>
  <c r="Y21" i="4"/>
  <c r="AC44" i="4"/>
  <c r="X21" i="4"/>
  <c r="AC45" i="4"/>
  <c r="W21" i="4"/>
  <c r="AW43" i="4" l="1"/>
  <c r="AS21" i="4"/>
  <c r="AJ25" i="4"/>
  <c r="Y56" i="4" s="1"/>
  <c r="AJ24" i="4"/>
  <c r="Y55" i="4" s="1"/>
  <c r="AW45" i="4"/>
  <c r="AQ21" i="4"/>
  <c r="Z24" i="4"/>
  <c r="V55" i="4" s="1"/>
  <c r="Z25" i="4"/>
  <c r="V56" i="4" s="1"/>
  <c r="AR21" i="4"/>
  <c r="AW44" i="4"/>
  <c r="AT24" i="4" l="1"/>
  <c r="AB55" i="4" s="1"/>
  <c r="AC55" i="4" s="1"/>
  <c r="AT25" i="4"/>
  <c r="AB56" i="4" s="1"/>
  <c r="AC56" i="4" s="1"/>
  <c r="D40" i="6"/>
  <c r="W56" i="4"/>
  <c r="M60" i="6"/>
  <c r="W51" i="6"/>
  <c r="Z55" i="4"/>
  <c r="W55" i="4"/>
  <c r="D29" i="6"/>
  <c r="M51" i="6"/>
  <c r="W60" i="6"/>
  <c r="Z56" i="4"/>
  <c r="H32" i="6" l="1"/>
  <c r="I32" i="6" s="1"/>
  <c r="D28" i="6"/>
  <c r="M50" i="6"/>
  <c r="M29" i="6" s="1"/>
  <c r="D58" i="6"/>
  <c r="Q54" i="6"/>
  <c r="R54" i="6" s="1"/>
  <c r="E29" i="4"/>
  <c r="V62" i="4"/>
  <c r="E28" i="4"/>
  <c r="V59" i="4"/>
  <c r="M59" i="6"/>
  <c r="M40" i="6" s="1"/>
  <c r="Q63" i="6"/>
  <c r="R63" i="6" s="1"/>
  <c r="D59" i="6"/>
  <c r="D39" i="6"/>
  <c r="H43" i="6"/>
  <c r="I43" i="6" s="1"/>
  <c r="W62" i="4"/>
  <c r="L29" i="4"/>
  <c r="W59" i="4"/>
  <c r="L28" i="4"/>
  <c r="X62" i="4"/>
  <c r="Q29" i="4"/>
  <c r="E59" i="6"/>
  <c r="X61" i="6" s="1"/>
  <c r="Z61" i="6" s="1"/>
  <c r="Z60" i="6" s="1"/>
  <c r="AB60" i="6" s="1"/>
  <c r="AB64" i="6" s="1"/>
  <c r="W59" i="6"/>
  <c r="M42" i="6" s="1"/>
  <c r="AA63" i="6"/>
  <c r="AB63" i="6" s="1"/>
  <c r="W50" i="6"/>
  <c r="M31" i="6" s="1"/>
  <c r="E58" i="6"/>
  <c r="X52" i="6" s="1"/>
  <c r="Z52" i="6" s="1"/>
  <c r="Z51" i="6" s="1"/>
  <c r="AB51" i="6" s="1"/>
  <c r="AB55" i="6" s="1"/>
  <c r="AA54" i="6"/>
  <c r="AB54" i="6" s="1"/>
  <c r="Q28" i="4"/>
  <c r="X59" i="4"/>
  <c r="P42" i="6" l="1"/>
  <c r="R42" i="6" s="1"/>
  <c r="AB65" i="6"/>
  <c r="N52" i="6"/>
  <c r="P52" i="6" s="1"/>
  <c r="P51" i="6" s="1"/>
  <c r="R51" i="6" s="1"/>
  <c r="R55" i="6" s="1"/>
  <c r="E30" i="6"/>
  <c r="G30" i="6" s="1"/>
  <c r="G29" i="6" s="1"/>
  <c r="I29" i="6" s="1"/>
  <c r="I34" i="6" s="1"/>
  <c r="I35" i="6" s="1"/>
  <c r="N61" i="6"/>
  <c r="P61" i="6" s="1"/>
  <c r="P60" i="6" s="1"/>
  <c r="R60" i="6" s="1"/>
  <c r="R64" i="6" s="1"/>
  <c r="E41" i="6"/>
  <c r="G41" i="6" s="1"/>
  <c r="G40" i="6" s="1"/>
  <c r="I40" i="6" s="1"/>
  <c r="I45" i="6" s="1"/>
  <c r="I46" i="6" s="1"/>
  <c r="Q33" i="6"/>
  <c r="R33" i="6" s="1"/>
  <c r="Q30" i="6"/>
  <c r="R30" i="6" s="1"/>
  <c r="Q32" i="6"/>
  <c r="R32" i="6" s="1"/>
  <c r="M28" i="6"/>
  <c r="Q44" i="6"/>
  <c r="R44" i="6" s="1"/>
  <c r="Q41" i="6"/>
  <c r="R41" i="6" s="1"/>
  <c r="Q43" i="6"/>
  <c r="R43" i="6" s="1"/>
  <c r="M39" i="6"/>
  <c r="P31" i="6"/>
  <c r="R31" i="6" s="1"/>
  <c r="AB56" i="6"/>
  <c r="P40" i="6" l="1"/>
  <c r="R40" i="6" s="1"/>
  <c r="R46" i="6" s="1"/>
  <c r="R47" i="6" s="1"/>
  <c r="R65" i="6"/>
  <c r="P29" i="6"/>
  <c r="R29" i="6" s="1"/>
  <c r="R35" i="6" s="1"/>
  <c r="R36" i="6" s="1"/>
  <c r="R5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</author>
  </authors>
  <commentList>
    <comment ref="Y16" authorId="0" shapeId="0" xr:uid="{00000000-0006-0000-0300-000001000000}">
      <text>
        <r>
          <rPr>
            <sz val="10"/>
            <rFont val="Arial"/>
          </rPr>
          <t>Fabian:
Cuando el valor X3 es menor o igual a cero, no nesecita correccion</t>
        </r>
      </text>
    </comment>
    <comment ref="AI16" authorId="0" shapeId="0" xr:uid="{00000000-0006-0000-0300-000002000000}">
      <text>
        <r>
          <rPr>
            <sz val="10"/>
            <rFont val="Arial"/>
          </rPr>
          <t>Fabian:
Fabian:
Cuando el valor X3 es menor o igual a cero, no nesecita correccion</t>
        </r>
      </text>
    </comment>
    <comment ref="AS16" authorId="0" shapeId="0" xr:uid="{00000000-0006-0000-0300-000003000000}">
      <text>
        <r>
          <rPr>
            <sz val="10"/>
            <rFont val="Arial"/>
          </rPr>
          <t>Fabian:
Fabian:
Cuando el valor X3 es menor o igual a cero, no nesecita correccion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 de Windows</author>
  </authors>
  <commentList>
    <comment ref="T3" authorId="0" shapeId="0" xr:uid="{00000000-0006-0000-0400-000001000000}">
      <text>
        <r>
          <rPr>
            <sz val="10"/>
            <rFont val="Arial"/>
          </rPr>
          <t xml:space="preserve">LENOVO:
ALTURA DEL MOLDE MENOS EL DISCO ESPACIADOR
</t>
        </r>
      </text>
    </comment>
    <comment ref="D6" authorId="1" shapeId="0" xr:uid="{00000000-0006-0000-0400-000002000000}">
      <text>
        <r>
          <rPr>
            <sz val="10"/>
            <rFont val="Arial"/>
          </rPr>
          <t>Usuario de Windows:
El cliente indicara si no se saturar la muestra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P33" authorId="0" shapeId="0" xr:uid="{00000000-0006-0000-0500-000001000000}">
      <text>
        <r>
          <rPr>
            <sz val="10"/>
            <rFont val="Arial"/>
          </rPr>
          <t xml:space="preserve">LENOVO:
INCERTIDUMBRE DEL PROCTOR
</t>
        </r>
      </text>
    </comment>
    <comment ref="P44" authorId="0" shapeId="0" xr:uid="{00000000-0006-0000-0500-000002000000}">
      <text>
        <r>
          <rPr>
            <sz val="10"/>
            <rFont val="Arial"/>
          </rPr>
          <t xml:space="preserve">LENOVO:
INCERTIDUMBRE DEL PROCTOR
</t>
        </r>
      </text>
    </comment>
  </commentList>
</comments>
</file>

<file path=xl/sharedStrings.xml><?xml version="1.0" encoding="utf-8"?>
<sst xmlns="http://schemas.openxmlformats.org/spreadsheetml/2006/main" count="1418" uniqueCount="466">
  <si>
    <t>LABORATORIO DE ENSAYO DE MATERIALES</t>
  </si>
  <si>
    <t>CLIENTE</t>
  </si>
  <si>
    <t>FORMATO N° F-LEM-P-SU-37.01</t>
  </si>
  <si>
    <t>DIRECCIÓN **</t>
  </si>
  <si>
    <t>PROYECTO **</t>
  </si>
  <si>
    <t>UBICACIÓN **</t>
  </si>
  <si>
    <t>RECEPCIÓN N°</t>
  </si>
  <si>
    <t>MUESTRA</t>
  </si>
  <si>
    <t>N° OT</t>
  </si>
  <si>
    <t>FECHA DE ENSAYO</t>
  </si>
  <si>
    <t>REALIZADO</t>
  </si>
  <si>
    <t>F. EMISIÓN</t>
  </si>
  <si>
    <t>OT N°</t>
  </si>
  <si>
    <t>STANDARD TEST METHOD FOR CALIFORNIA BEARING RATIO (CBR) OF LABORATORY-COMPACTED SOILS</t>
  </si>
  <si>
    <t>CÓDIGO DE LA MUESTRA</t>
  </si>
  <si>
    <t>NORMA ASTM D1883-21</t>
  </si>
  <si>
    <t>FECHA DE RECEPCIÓN</t>
  </si>
  <si>
    <t>FECHA DE EJECUCIÓN</t>
  </si>
  <si>
    <t>Sobretamaño mayor a 3/4 in</t>
  </si>
  <si>
    <t>%</t>
  </si>
  <si>
    <t xml:space="preserve">Máxima Densidad Seca (g/cm3)         </t>
  </si>
  <si>
    <t>Masa de grava entre 3/4 in - No. 4 adicionada</t>
  </si>
  <si>
    <t>g</t>
  </si>
  <si>
    <t>Optimo Contenido de Humedad (%)</t>
  </si>
  <si>
    <t>CANTERA/SONDAJE **</t>
  </si>
  <si>
    <t xml:space="preserve">Condicion de la muestra </t>
  </si>
  <si>
    <t>saturado</t>
  </si>
  <si>
    <t>Temperatura Inicial (C°)</t>
  </si>
  <si>
    <t>N° MUESTRA **</t>
  </si>
  <si>
    <t xml:space="preserve">sin saturar </t>
  </si>
  <si>
    <t>Temperatura Final (C°)</t>
  </si>
  <si>
    <t>TIPO DE MUESTRA**</t>
  </si>
  <si>
    <t>Tamaño máximo de la muestra de prueba 
(visual) (in):</t>
  </si>
  <si>
    <t>Descripción de muestra ASTM D2488:</t>
  </si>
  <si>
    <t>ENSAYO</t>
  </si>
  <si>
    <t>Especimen N°01</t>
  </si>
  <si>
    <t>Especimen N°02</t>
  </si>
  <si>
    <t>Especimen N°03</t>
  </si>
  <si>
    <t>CONDICIÓN</t>
  </si>
  <si>
    <t>Sin Saturar</t>
  </si>
  <si>
    <t>Saturado</t>
  </si>
  <si>
    <t>Nº Golpes (56-25-10)</t>
  </si>
  <si>
    <t>Código de Moldes</t>
  </si>
  <si>
    <t>Temperatura de inicio (°C) (18-24°C)</t>
  </si>
  <si>
    <t>Temperatura final (°C) (18-24°C)</t>
  </si>
  <si>
    <t>Masa de molde + suelo moldeado (g)</t>
  </si>
  <si>
    <t>DETERMINACIÓN DE HUMEDAD</t>
  </si>
  <si>
    <t>Código tara</t>
  </si>
  <si>
    <t>C.H. SIN SATURAR</t>
  </si>
  <si>
    <t>Masa de tara (g)</t>
  </si>
  <si>
    <t>Masa de suelo húmedo + tara (g)</t>
  </si>
  <si>
    <t>Masa de suelo húmedo (g) (*)</t>
  </si>
  <si>
    <t>Masa de suelo seco + tara (g)</t>
  </si>
  <si>
    <t>C.H. SATURADO</t>
  </si>
  <si>
    <t>Masa de suelo seco + tara (g) CONSTANTE</t>
  </si>
  <si>
    <t>(*) Según Tabla 1 de la norma ASTM D2216-19.</t>
  </si>
  <si>
    <t>LECTURA DE PENETRACIÓN</t>
  </si>
  <si>
    <t>Tiempo
(minutos)</t>
  </si>
  <si>
    <t>Penetración</t>
  </si>
  <si>
    <t>Tensión</t>
  </si>
  <si>
    <t>Lectura de penetración</t>
  </si>
  <si>
    <t>HINCHAMIENTO</t>
  </si>
  <si>
    <t>(in)</t>
  </si>
  <si>
    <t>(mm)</t>
  </si>
  <si>
    <t>Estandar SS</t>
  </si>
  <si>
    <t>lectura Dial kg</t>
  </si>
  <si>
    <t>Fecha</t>
  </si>
  <si>
    <t>Hora</t>
  </si>
  <si>
    <t>Esp. 01</t>
  </si>
  <si>
    <t>Esp. 02</t>
  </si>
  <si>
    <t>Esp. 03</t>
  </si>
  <si>
    <t>CODIGOS</t>
  </si>
  <si>
    <t>EQUIPOS UTILIZADOS</t>
  </si>
  <si>
    <t>psi = lbf/in2</t>
  </si>
  <si>
    <t>Expansión  (mm)</t>
  </si>
  <si>
    <t>INS-173</t>
  </si>
  <si>
    <t>MOLDE D</t>
  </si>
  <si>
    <t>0:00</t>
  </si>
  <si>
    <t>INS-174</t>
  </si>
  <si>
    <t>MOLDE J</t>
  </si>
  <si>
    <t>0:30</t>
  </si>
  <si>
    <t>INS-175</t>
  </si>
  <si>
    <t>MOLDE T</t>
  </si>
  <si>
    <t>1:00</t>
  </si>
  <si>
    <t>INS-200</t>
  </si>
  <si>
    <t>MOLDE A</t>
  </si>
  <si>
    <t>1:30</t>
  </si>
  <si>
    <t>INS-201</t>
  </si>
  <si>
    <t>MOLDE B</t>
  </si>
  <si>
    <t>2:00</t>
  </si>
  <si>
    <t>INS-202</t>
  </si>
  <si>
    <t>MOLDE C</t>
  </si>
  <si>
    <t>INS-203</t>
  </si>
  <si>
    <t>MOLDE E</t>
  </si>
  <si>
    <t>Equipo utilizado</t>
  </si>
  <si>
    <t>Código</t>
  </si>
  <si>
    <t>INS-204</t>
  </si>
  <si>
    <t>MOLDE H</t>
  </si>
  <si>
    <t>Equipo CBR</t>
  </si>
  <si>
    <t>INS-205</t>
  </si>
  <si>
    <t>MOLDE L</t>
  </si>
  <si>
    <t>Dial deformación</t>
  </si>
  <si>
    <t>Dial expansión</t>
  </si>
  <si>
    <t>Horno 110 ºC</t>
  </si>
  <si>
    <t>Pison</t>
  </si>
  <si>
    <t>Balanza 1 g</t>
  </si>
  <si>
    <t>Profundidad de la hendidura (mm)</t>
  </si>
  <si>
    <t>Balanza 0.1 g</t>
  </si>
  <si>
    <t>Observaciones:</t>
  </si>
  <si>
    <t xml:space="preserve">Revisado:
Fecha: </t>
  </si>
  <si>
    <t>Página 1 de 1</t>
  </si>
  <si>
    <t>Versión: 02 (11-11-2024)</t>
  </si>
  <si>
    <t>Prohibido reproducir sin  autorización</t>
  </si>
  <si>
    <t>WEB: www.geofal.com.pe   E-MAIL: laboratorio@geofal.com.pe
Av. Marañon 763, Los Olivos-Lima / Teléfono  01 905-1911</t>
  </si>
  <si>
    <t>:</t>
  </si>
  <si>
    <t xml:space="preserve">                 CÓDIGO</t>
  </si>
  <si>
    <t>F-LEM-P-SU.37.02</t>
  </si>
  <si>
    <t>DIRECCIÓN**</t>
  </si>
  <si>
    <t>PROYECTO**</t>
  </si>
  <si>
    <t>UBICACIÓN**</t>
  </si>
  <si>
    <t>** Datos proporcionados por el cliente</t>
  </si>
  <si>
    <t>Standard Test Method for California Bearing Ratio (CBR) of Laboratory-Compacted Soils</t>
  </si>
  <si>
    <t>ASTM D1883-21</t>
  </si>
  <si>
    <t>CANTERA / SONDAJE (**)</t>
  </si>
  <si>
    <t>COD. MUESTRA</t>
  </si>
  <si>
    <t>N° MUESTRA (**)</t>
  </si>
  <si>
    <t>FECHA RECEPCIÓN.</t>
  </si>
  <si>
    <t>TIPO DE MUESTRA (**)</t>
  </si>
  <si>
    <t>FECHA EJECUCIÓN</t>
  </si>
  <si>
    <t>LUGAR DE ENSAYO</t>
  </si>
  <si>
    <t>Laboratorio de ensayo de materiales</t>
  </si>
  <si>
    <t>REALIZADO POR</t>
  </si>
  <si>
    <t>INFORMACIÓN ADICIONAL DE LA MUESTRA</t>
  </si>
  <si>
    <t xml:space="preserve">Máxima Densidad Seca (kN/m3)         </t>
  </si>
  <si>
    <t>Método de compactación:</t>
  </si>
  <si>
    <t xml:space="preserve">Contenido de Humedad Óptimo (%)   </t>
  </si>
  <si>
    <t>Método de Preparación:</t>
  </si>
  <si>
    <t>Porcentaje de retenido tamiz 3/4"</t>
  </si>
  <si>
    <t>Peso-Sobrecarga (lbf):</t>
  </si>
  <si>
    <t>Descripción de muestra</t>
  </si>
  <si>
    <t>Periódo inmersión (hrs)</t>
  </si>
  <si>
    <t>96+/-2 horas</t>
  </si>
  <si>
    <t>Contenido Humedad tal como se recibió</t>
  </si>
  <si>
    <t>-</t>
  </si>
  <si>
    <t>ASTM D2216-19</t>
  </si>
  <si>
    <t xml:space="preserve">Limites de Atterberg </t>
  </si>
  <si>
    <t>ASTM D4318-17ε1</t>
  </si>
  <si>
    <t>ASTM D6913/D6913M-17 (Reapproved 2025)</t>
  </si>
  <si>
    <t>GR. SUELO</t>
  </si>
  <si>
    <t>Clasificaciòn de suelo SUCS</t>
  </si>
  <si>
    <t>ASTM D2487-17 (Reapproved 2025)</t>
  </si>
  <si>
    <t>Analisis granulometrico</t>
  </si>
  <si>
    <t>ASTM C136/C136M-25</t>
  </si>
  <si>
    <t>GR. AGREGADO</t>
  </si>
  <si>
    <t>Otros</t>
  </si>
  <si>
    <t>PESO UNITARIO SECO</t>
  </si>
  <si>
    <t>Nº  GOLPES</t>
  </si>
  <si>
    <t>Condición de la muestra</t>
  </si>
  <si>
    <t>Densidad seca antes saturar</t>
  </si>
  <si>
    <t>g/cm3</t>
  </si>
  <si>
    <t>CON CUATRO CIFRAS SIGNIFICATIVAS</t>
  </si>
  <si>
    <t>Peso Unitario seco antes saturar</t>
  </si>
  <si>
    <t>kN/m3</t>
  </si>
  <si>
    <t>CONTENIDO DE HUMEDAD DE COMPACTACIÒN</t>
  </si>
  <si>
    <t>Contenido de humedad (ASTM D2216-19)</t>
  </si>
  <si>
    <t>CONTENIDO DE HUMEDAD CAPA SUPERIOR DE 1 in DESPUÉS DEL REMOJO</t>
  </si>
  <si>
    <t>Hinchazón</t>
  </si>
  <si>
    <t xml:space="preserve">FUERZA Y ESFUERZO </t>
  </si>
  <si>
    <t>Tensión Estandar SS</t>
  </si>
  <si>
    <t>(in.)</t>
  </si>
  <si>
    <t>Fuerza total                 (lbf)</t>
  </si>
  <si>
    <t>Esfuerzo lbf/in2</t>
  </si>
  <si>
    <t>Página 1 de 2</t>
  </si>
  <si>
    <t>Versión: 03 (2026-05-26)</t>
  </si>
  <si>
    <t>Fin del Informe</t>
  </si>
  <si>
    <t>56 GOLPES</t>
  </si>
  <si>
    <t>25 GOLPES</t>
  </si>
  <si>
    <t>10 GOLPES</t>
  </si>
  <si>
    <t>Necesita corrección</t>
  </si>
  <si>
    <t>NO</t>
  </si>
  <si>
    <t>CURVA DE TENSIÒN - PENETRACIÒN</t>
  </si>
  <si>
    <t>Ecuacion de la recta</t>
  </si>
  <si>
    <t>Elementos de la recta:</t>
  </si>
  <si>
    <t>Punto recta</t>
  </si>
  <si>
    <t>X1</t>
  </si>
  <si>
    <t>Y1</t>
  </si>
  <si>
    <t>m =</t>
  </si>
  <si>
    <t>X</t>
  </si>
  <si>
    <t>Y</t>
  </si>
  <si>
    <t>Y3=</t>
  </si>
  <si>
    <t>X2</t>
  </si>
  <si>
    <t>Y2</t>
  </si>
  <si>
    <t>X3 =</t>
  </si>
  <si>
    <t>in</t>
  </si>
  <si>
    <t>Coeficientes ecuacion polinomio corregido :</t>
  </si>
  <si>
    <t>x5</t>
  </si>
  <si>
    <t>x4</t>
  </si>
  <si>
    <t>x3</t>
  </si>
  <si>
    <t>x2</t>
  </si>
  <si>
    <t>x</t>
  </si>
  <si>
    <t>Cte.</t>
  </si>
  <si>
    <t>x=penetracion</t>
  </si>
  <si>
    <t>y= tensiòn</t>
  </si>
  <si>
    <t>Carga para 0.1":</t>
  </si>
  <si>
    <t>Carga para 0.2":</t>
  </si>
  <si>
    <t>X (in.)</t>
  </si>
  <si>
    <t>Y Esfuerzo lbf/in2</t>
  </si>
  <si>
    <t>C.B.R. (0.10 in) 56 Golpes (%):</t>
  </si>
  <si>
    <t>C.B.R. (0.10 in) 25 Golpes (%):</t>
  </si>
  <si>
    <t>C.B.R. (0.10 in) 10 Golpes (%):</t>
  </si>
  <si>
    <t>AL 1%</t>
  </si>
  <si>
    <t>Xi2</t>
  </si>
  <si>
    <t>Xi3</t>
  </si>
  <si>
    <t>Xi4</t>
  </si>
  <si>
    <t>Xi5</t>
  </si>
  <si>
    <t>Xi6</t>
  </si>
  <si>
    <t>XiYi</t>
  </si>
  <si>
    <t>Xi2Yi</t>
  </si>
  <si>
    <t>Xi3Yi</t>
  </si>
  <si>
    <t>C.B.R. (0.20 in) 56 Golpes (%):</t>
  </si>
  <si>
    <t>C.B.R. (0.20 in) 25 Golpes (%):</t>
  </si>
  <si>
    <t>C.B.R. (0.20 in) 10 Golpes (%):</t>
  </si>
  <si>
    <t>Peso unitario seco (kN/m3) :</t>
  </si>
  <si>
    <t>4 CIFRAS</t>
  </si>
  <si>
    <t>PESO UNITARIO SECO 100%:</t>
  </si>
  <si>
    <t>PESO UNITARIO SECO 95%:</t>
  </si>
  <si>
    <t>C.B.R. (100% P.U.S.) 0.10 in :</t>
  </si>
  <si>
    <t>C.B.R. (95% P.U.S.) 0.10 in :</t>
  </si>
  <si>
    <t>C.B.R. (100% P.U.S.) 0.20 in :</t>
  </si>
  <si>
    <t>C.B.R. (95% P.U.S.) 0.20 in :</t>
  </si>
  <si>
    <t>Nota:</t>
  </si>
  <si>
    <t>X3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</si>
  <si>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</si>
  <si>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</si>
  <si>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</si>
  <si>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</si>
  <si>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</si>
  <si>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56 golpes % con Corrección</t>
  </si>
  <si>
    <t>25 golpes % con Corrección</t>
  </si>
  <si>
    <t>12 golpes % con Corrección</t>
  </si>
  <si>
    <t>Pulg.</t>
  </si>
  <si>
    <t>Esfuerzo corregido</t>
  </si>
  <si>
    <t>1"</t>
  </si>
  <si>
    <t>2"</t>
  </si>
  <si>
    <t>0.1"</t>
  </si>
  <si>
    <t>56 golpe</t>
  </si>
  <si>
    <t>25 golpe</t>
  </si>
  <si>
    <t>10 golpe</t>
  </si>
  <si>
    <t>Página 2 de 2</t>
  </si>
  <si>
    <t xml:space="preserve">y </t>
  </si>
  <si>
    <t>CBR (lbf/in2)</t>
  </si>
  <si>
    <t>DENSIDAD lbf/ft3</t>
  </si>
  <si>
    <t>0.2"</t>
  </si>
  <si>
    <t>CBR</t>
  </si>
  <si>
    <t>DENSIDAD</t>
  </si>
  <si>
    <t>Personal Autorizado</t>
  </si>
  <si>
    <t>BALANZA</t>
  </si>
  <si>
    <t xml:space="preserve">FECHA </t>
  </si>
  <si>
    <t>DATOS DEL MOLDE</t>
  </si>
  <si>
    <t>Altura de la muestra (mm)</t>
  </si>
  <si>
    <t>PISTON mm</t>
  </si>
  <si>
    <t>Tiene SUCS</t>
  </si>
  <si>
    <t>N°</t>
  </si>
  <si>
    <t>Corrección de Lectura</t>
  </si>
  <si>
    <t>calibracion</t>
  </si>
  <si>
    <t>MASA (g)</t>
  </si>
  <si>
    <t>VOLUMEN (cm3)</t>
  </si>
  <si>
    <t>ALTURA (mm)</t>
  </si>
  <si>
    <t>DIAMETRO (mm)</t>
  </si>
  <si>
    <t>CANT.</t>
  </si>
  <si>
    <t>DIAMETRO</t>
  </si>
  <si>
    <t>Metodo de Compactación:</t>
  </si>
  <si>
    <t>D</t>
  </si>
  <si>
    <t>Metodo de preparación:</t>
  </si>
  <si>
    <t>J</t>
  </si>
  <si>
    <t>T</t>
  </si>
  <si>
    <t>Correccion del dial</t>
  </si>
  <si>
    <t>A</t>
  </si>
  <si>
    <t>Diámetro de pistón</t>
  </si>
  <si>
    <t>mm</t>
  </si>
  <si>
    <t>Verificacion 13-06-26</t>
  </si>
  <si>
    <t>B</t>
  </si>
  <si>
    <t xml:space="preserve">Area de Pistón </t>
  </si>
  <si>
    <t>cm²</t>
  </si>
  <si>
    <t>C</t>
  </si>
  <si>
    <t>PROMEDIO</t>
  </si>
  <si>
    <t>Temperatura Inicial-Compactación:</t>
  </si>
  <si>
    <t>ºC</t>
  </si>
  <si>
    <t>E</t>
  </si>
  <si>
    <t>Temperatura máxima Final-Compactación:</t>
  </si>
  <si>
    <t>H</t>
  </si>
  <si>
    <t>L</t>
  </si>
  <si>
    <t>DENSIDAD Y PESO UNITARIO SECO</t>
  </si>
  <si>
    <t>Condicion de la muestra</t>
  </si>
  <si>
    <t>Código de molde</t>
  </si>
  <si>
    <t>Masa de molde+suelo moldeado</t>
  </si>
  <si>
    <t>Masa de molde</t>
  </si>
  <si>
    <t xml:space="preserve">Contenido de humedad </t>
  </si>
  <si>
    <t>Masa seca del suelo compactado</t>
  </si>
  <si>
    <t>Volumen de molde</t>
  </si>
  <si>
    <t>cm3</t>
  </si>
  <si>
    <t xml:space="preserve">Densidad seca </t>
  </si>
  <si>
    <t>Peso unitario seco</t>
  </si>
  <si>
    <t>DETERMINACION DE LA HUMEDAD DE COMPACTACION</t>
  </si>
  <si>
    <t>Masa de tara</t>
  </si>
  <si>
    <t>Masa minima humedad (g)</t>
  </si>
  <si>
    <t>Masa de suelo húmedo + tara</t>
  </si>
  <si>
    <t>Masa de suelo seco + tara</t>
  </si>
  <si>
    <t>Masa de suelo seco + tara CONSTANTE</t>
  </si>
  <si>
    <t>Masa de agua</t>
  </si>
  <si>
    <t>FECHA</t>
  </si>
  <si>
    <t>HORA</t>
  </si>
  <si>
    <t>TIEMPO</t>
  </si>
  <si>
    <t>DIAL (0.001 in)</t>
  </si>
  <si>
    <t>EXPANSION</t>
  </si>
  <si>
    <t>Hr.</t>
  </si>
  <si>
    <t>LECTURA DE PENETRACION</t>
  </si>
  <si>
    <t>Tension Estandar SS</t>
  </si>
  <si>
    <t>(mm.)</t>
  </si>
  <si>
    <t>lectura corregida Dial kg</t>
  </si>
  <si>
    <t>Esfuerzo kg/cm2</t>
  </si>
  <si>
    <t>100 kg-f a 5000 kg-f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</si>
  <si>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</si>
  <si>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</si>
  <si>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</si>
  <si>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</si>
  <si>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</si>
  <si>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</si>
  <si>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</si>
  <si>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</si>
  <si>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</si>
  <si>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</si>
  <si>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Suelo</t>
  </si>
  <si>
    <t>Mensurando:</t>
  </si>
  <si>
    <t>Determinación de la relación de carga de California (CBR) de muestras compactadas de laboratorio</t>
  </si>
  <si>
    <t>Paso 1. Definición del proceso de medición</t>
  </si>
  <si>
    <t>Variables:</t>
  </si>
  <si>
    <t>Fórmula:</t>
  </si>
  <si>
    <t>Paso 2. Definición de las variables aleatorias</t>
  </si>
  <si>
    <t>F = fuerza, kg,</t>
  </si>
  <si>
    <t>Msac = masa seca de suelo compactado, g,</t>
  </si>
  <si>
    <t>A = area del pizon, cm2</t>
  </si>
  <si>
    <t>Mm + ws = masa húmeda de suelo moldeado más masa del molde, g,</t>
  </si>
  <si>
    <t>Mm = masa del molde, g,</t>
  </si>
  <si>
    <t>Equipos a utilizar:</t>
  </si>
  <si>
    <t xml:space="preserve">wac = determinación del contenido de agua </t>
  </si>
  <si>
    <t>Vm = volumen del molde cm3</t>
  </si>
  <si>
    <t>Equipo cbr, 0,1kgf</t>
  </si>
  <si>
    <t>ρd = densidad seca de la muestra compactada, g/cm3.</t>
  </si>
  <si>
    <t xml:space="preserve">Balanza con resolución de lectura de 1g </t>
  </si>
  <si>
    <t>CALCULO:  CBR 100%</t>
  </si>
  <si>
    <t>Fuentes</t>
  </si>
  <si>
    <t>Unidades</t>
  </si>
  <si>
    <t>Valor</t>
  </si>
  <si>
    <t>Incertidumbre Original</t>
  </si>
  <si>
    <t>Distribución</t>
  </si>
  <si>
    <t>Incertidumbre Estándar u(xi)</t>
  </si>
  <si>
    <t>Coeficiente de Sensibilidad</t>
  </si>
  <si>
    <t>Contribución ui(y)</t>
  </si>
  <si>
    <t>C.B.R. (0.10 in) 56 Golpes (%)</t>
  </si>
  <si>
    <t>Fuerza (lectura)</t>
  </si>
  <si>
    <t>kgf</t>
  </si>
  <si>
    <t>Certificado de Calibración</t>
  </si>
  <si>
    <t>Norma, K=2</t>
  </si>
  <si>
    <t xml:space="preserve">Peso unitario seco 56 Golpes (kN/m3) </t>
  </si>
  <si>
    <t>Resolución</t>
  </si>
  <si>
    <t>Rectangular</t>
  </si>
  <si>
    <t>Area piston</t>
  </si>
  <si>
    <t>cm2</t>
  </si>
  <si>
    <t xml:space="preserve">Peso unitario seco 25 Golpes (kN/m3) </t>
  </si>
  <si>
    <t>factor de presición</t>
  </si>
  <si>
    <t>Norma, K=1</t>
  </si>
  <si>
    <t>Peso unitario seco PROCTOR</t>
  </si>
  <si>
    <t>Incertidumbre Estándar Combinada</t>
  </si>
  <si>
    <t>Incertidumbre Expandida, K = 2</t>
  </si>
  <si>
    <t>C.B.R. (0.20 in) 56 Golpes (%)</t>
  </si>
  <si>
    <t>Area del piston</t>
  </si>
  <si>
    <t>mm2</t>
  </si>
  <si>
    <t>Diametro</t>
  </si>
  <si>
    <t xml:space="preserve">Repetibilidad </t>
  </si>
  <si>
    <t>Normal, K=1</t>
  </si>
  <si>
    <t>Normal, K=2</t>
  </si>
  <si>
    <t>,</t>
  </si>
  <si>
    <t>Carga kgf</t>
  </si>
  <si>
    <t>U</t>
  </si>
  <si>
    <t>lbf/ft3</t>
  </si>
  <si>
    <t xml:space="preserve">g </t>
  </si>
  <si>
    <t>DIAMETRO mm</t>
  </si>
  <si>
    <t>correccion</t>
  </si>
  <si>
    <t>---</t>
  </si>
  <si>
    <t>Repetibilidad de la pesada</t>
  </si>
  <si>
    <t>Normal, K=2 (/2)</t>
  </si>
  <si>
    <t>Contenido humedad</t>
  </si>
  <si>
    <t>CONTENIDO HUMEDAD</t>
  </si>
  <si>
    <t>Humedad (%)</t>
  </si>
  <si>
    <t>Masa Humeda  y tara</t>
  </si>
  <si>
    <t>Masa Seca y tara</t>
  </si>
  <si>
    <t>Masa Tara</t>
  </si>
  <si>
    <t>VOLUMEN MOLDE</t>
  </si>
  <si>
    <t>Volumen molde</t>
  </si>
  <si>
    <t>mm3</t>
  </si>
  <si>
    <t>Altura</t>
  </si>
  <si>
    <t>MOLDE CBR</t>
  </si>
  <si>
    <t xml:space="preserve">DIAMETRO </t>
  </si>
  <si>
    <t xml:space="preserve">ALTURA </t>
  </si>
  <si>
    <t>DISCO ESPACIADOR</t>
  </si>
  <si>
    <t xml:space="preserve">DIAMENTRO </t>
  </si>
  <si>
    <t>ALTURA</t>
  </si>
  <si>
    <t>INS-0173</t>
  </si>
  <si>
    <t>REVISADO POR:</t>
  </si>
  <si>
    <t>FABIAN LA ROSA</t>
  </si>
  <si>
    <t>APROBADO POR:</t>
  </si>
  <si>
    <t>IRMA COAQUIRA</t>
  </si>
  <si>
    <t>FECHA DE REVISIÓN:</t>
  </si>
  <si>
    <t>FECHA DE APROBACIÓN:</t>
  </si>
  <si>
    <t>CALIBRACION DE LA BALANZA</t>
  </si>
  <si>
    <t>Correccion</t>
  </si>
  <si>
    <t>Corrección</t>
  </si>
  <si>
    <t>Variables</t>
  </si>
  <si>
    <t>Ecuacion</t>
  </si>
  <si>
    <t>2*RAIZ(1.14+0.000000000248*R2)</t>
  </si>
  <si>
    <t>Ecuación</t>
  </si>
  <si>
    <t>2*RAIZ(0.00416+0.000000000243*R2)</t>
  </si>
  <si>
    <t>Resolucion</t>
  </si>
  <si>
    <t xml:space="preserve">Codigo </t>
  </si>
  <si>
    <t>EQP-0054</t>
  </si>
  <si>
    <t xml:space="preserve">Código </t>
  </si>
  <si>
    <t>EQP-0046</t>
  </si>
  <si>
    <t>Fecha de calibración</t>
  </si>
  <si>
    <t>Fecha última calibración</t>
  </si>
  <si>
    <t>ITEM</t>
  </si>
  <si>
    <t>MES</t>
  </si>
  <si>
    <t>DESV STD</t>
  </si>
  <si>
    <t>Busqueda de Repetibilidad de la masa</t>
  </si>
  <si>
    <t>ENSAYO DE LA MUESTRA</t>
  </si>
  <si>
    <t>Tara + suelo húmedo</t>
  </si>
  <si>
    <t>Tara + suelo seco 2</t>
  </si>
  <si>
    <t>Peso de tara</t>
  </si>
  <si>
    <t>Factor de precision CBR</t>
  </si>
  <si>
    <t>Factor de precision CONTENIDO HUMEDAD</t>
  </si>
  <si>
    <t>Fecha de evaluacion:</t>
  </si>
  <si>
    <t>Desviacion Estándar Repetibilidad (Sr)</t>
  </si>
  <si>
    <t>Desviacion Estándar Reproducibilidad (SR)</t>
  </si>
  <si>
    <t>INCERTIDUMBRE ESTANDAR -TIPO A</t>
  </si>
  <si>
    <t>TALLER DE INCERTIDUMBRE ESTANDAR -TIPO A</t>
  </si>
  <si>
    <t>1-Calcular la Incertidumbre estandar CONTENIDO HUMEDAD</t>
  </si>
  <si>
    <t>analista(p=2)</t>
  </si>
  <si>
    <t>DEY-G</t>
  </si>
  <si>
    <t>DEY-F</t>
  </si>
  <si>
    <t>DEY-CH</t>
  </si>
  <si>
    <t>DEY-SC</t>
  </si>
  <si>
    <t>Réplicas de medición (n=9)</t>
  </si>
  <si>
    <t>n</t>
  </si>
  <si>
    <t>p</t>
  </si>
  <si>
    <t>No Datos</t>
  </si>
  <si>
    <t>Promedio (xi)</t>
  </si>
  <si>
    <t>Desviación Estándar (si)</t>
  </si>
  <si>
    <t>Varianza (s2i)</t>
  </si>
  <si>
    <t>T1</t>
  </si>
  <si>
    <t>T2</t>
  </si>
  <si>
    <t>T3</t>
  </si>
  <si>
    <t>T4</t>
  </si>
  <si>
    <t>T5</t>
  </si>
  <si>
    <t>Varianza Repetibilidad (Sr2 )</t>
  </si>
  <si>
    <t>Varianza entre Laboratorios (SL2)</t>
  </si>
  <si>
    <t>Varianza Reproducibilidad (SR2)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</si>
</sst>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.0"/>
    <numFmt numFmtId="165" formatCode="000&quot;-20 SU12&quot;"/>
    <numFmt numFmtId="166" formatCode="0.000"/>
    <numFmt numFmtId="167" formatCode="00#&quot;-16 / SU 11&quot;"/>
    <numFmt numFmtId="168" formatCode="0.00000"/>
    <numFmt numFmtId="169" formatCode="000\-\ &quot;24&quot;"/>
    <numFmt numFmtId="170" formatCode="0.\ &quot;mm&quot;"/>
    <numFmt numFmtId="171" formatCode="&quot;Molde&quot;\ 0"/>
    <numFmt numFmtId="172" formatCode="dd\-mm\-yy;@"/>
    <numFmt numFmtId="173" formatCode="0.0000"/>
    <numFmt numFmtId="174" formatCode="yyyy\-mm\-dd;@"/>
    <numFmt numFmtId="175" formatCode="0.00000000000"/>
    <numFmt numFmtId="176" formatCode="&quot;0&quot;0"/>
    <numFmt numFmtId="177" formatCode="#,##0.0"/>
    <numFmt numFmtId="178" formatCode="000\-\ &quot;26&quot;"/>
    <numFmt numFmtId="179" formatCode="&quot;FORMATO F-LEM-P-SU-11.01&quot;"/>
    <numFmt numFmtId="180" formatCode="000&quot;-21 SU07&quot;"/>
    <numFmt numFmtId="181" formatCode="000&quot;-AG-26&quot;"/>
    <numFmt numFmtId="182" formatCode="000&quot;-SU-24&quot;"/>
    <numFmt numFmtId="183" formatCode="000&quot;-AG-23&quot;"/>
    <numFmt numFmtId="184" formatCode="0.0%"/>
    <numFmt numFmtId="185" formatCode="0.0\ &quot;%&quot;"/>
    <numFmt numFmtId="186" formatCode="d\-m\-yyyy;@"/>
    <numFmt numFmtId="187" formatCode="0\ &quot;Golpes&quot;"/>
    <numFmt numFmtId="188" formatCode="0.00000E+00"/>
    <numFmt numFmtId="189" formatCode="&quot;INFORME DE ENSAYO N°&quot;000&quot;-26 SU37&quot;"/>
    <numFmt numFmtId="190" formatCode="0.0000000"/>
    <numFmt numFmtId="191" formatCode="0.000000"/>
    <numFmt numFmtId="192" formatCode="_([$€-2]\ * #,##0.00_);_([$€-2]\ * \(#,##0.00\);_([$€-2]\ * &quot;-&quot;??_)"/>
    <numFmt numFmtId="193" formatCode="dd\-mmm\-yyyy"/>
  </numFmts>
  <fonts count="6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u/>
      <sz val="1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8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color indexed="47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u/>
      <sz val="9"/>
      <name val="Arial"/>
      <family val="2"/>
    </font>
    <font>
      <b/>
      <i/>
      <u/>
      <sz val="9"/>
      <name val="Arial"/>
      <family val="2"/>
    </font>
    <font>
      <b/>
      <sz val="24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sz val="10"/>
      <color rgb="FFFF0000"/>
      <name val="Arial"/>
      <family val="2"/>
    </font>
    <font>
      <sz val="8"/>
      <color rgb="FF0000FF"/>
      <name val="Arial"/>
      <family val="2"/>
    </font>
    <font>
      <sz val="9"/>
      <color rgb="FF0000FF"/>
      <name val="Arial"/>
      <family val="2"/>
    </font>
    <font>
      <sz val="9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rgb="FF0000FF"/>
      <name val="Arial"/>
      <family val="2"/>
    </font>
    <font>
      <sz val="9"/>
      <color rgb="FF0070C0"/>
      <name val="Arial"/>
      <family val="2"/>
    </font>
    <font>
      <sz val="10"/>
      <color rgb="FF0000CC"/>
      <name val="Arial"/>
      <family val="2"/>
    </font>
    <font>
      <sz val="8"/>
      <color theme="0"/>
      <name val="Arial"/>
      <family val="2"/>
    </font>
    <font>
      <sz val="10"/>
      <color theme="1"/>
      <name val="Calibri"/>
      <family val="2"/>
      <scheme val="minor"/>
    </font>
    <font>
      <b/>
      <sz val="9"/>
      <color rgb="FF0000FF"/>
      <name val="Arial"/>
      <family val="2"/>
    </font>
    <font>
      <b/>
      <sz val="9"/>
      <color theme="1"/>
      <name val="Arial"/>
      <family val="2"/>
    </font>
    <font>
      <b/>
      <sz val="8"/>
      <color rgb="FF002060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sz val="9"/>
      <color indexed="10"/>
      <name val="Arial"/>
      <family val="2"/>
    </font>
    <font>
      <u/>
      <sz val="10"/>
      <color indexed="12"/>
      <name val="Arial"/>
      <family val="2"/>
    </font>
    <font>
      <sz val="10"/>
      <color rgb="FF000000"/>
      <name val="Times New Roman"/>
      <family val="1"/>
    </font>
    <font>
      <b/>
      <sz val="7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0"/>
    <xf numFmtId="192" fontId="11" fillId="0" borderId="0"/>
    <xf numFmtId="19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/>
    <xf numFmtId="9" fontId="11" fillId="0" borderId="0"/>
    <xf numFmtId="9" fontId="11" fillId="0" borderId="0"/>
    <xf numFmtId="0" fontId="66" fillId="0" borderId="0">
      <alignment vertical="top"/>
      <protection locked="0"/>
    </xf>
    <xf numFmtId="0" fontId="30" fillId="0" borderId="0"/>
    <xf numFmtId="0" fontId="67" fillId="0" borderId="0"/>
  </cellStyleXfs>
  <cellXfs count="983">
    <xf numFmtId="0" fontId="0" fillId="0" borderId="0" xfId="0"/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64" fontId="31" fillId="0" borderId="0" xfId="3" applyNumberFormat="1" applyFont="1" applyProtection="1"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14" fillId="3" borderId="0" xfId="5" applyFont="1" applyFill="1" applyAlignment="1">
      <alignment vertical="center"/>
    </xf>
    <xf numFmtId="0" fontId="14" fillId="3" borderId="0" xfId="5" applyFont="1" applyFill="1" applyAlignment="1">
      <alignment horizontal="center" vertical="center"/>
    </xf>
    <xf numFmtId="0" fontId="14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4" fillId="3" borderId="0" xfId="5" applyFont="1" applyFill="1" applyAlignment="1">
      <alignment horizontal="right" vertical="center"/>
    </xf>
    <xf numFmtId="165" fontId="4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19" fillId="3" borderId="0" xfId="0" applyFont="1" applyFill="1"/>
    <xf numFmtId="0" fontId="32" fillId="3" borderId="0" xfId="4" quotePrefix="1" applyFont="1" applyFill="1" applyAlignment="1">
      <alignment vertical="center"/>
    </xf>
    <xf numFmtId="0" fontId="32" fillId="3" borderId="0" xfId="4" quotePrefix="1" applyFont="1" applyFill="1" applyAlignment="1">
      <alignment horizontal="left" vertical="center"/>
    </xf>
    <xf numFmtId="0" fontId="33" fillId="3" borderId="0" xfId="4" applyFont="1" applyFill="1" applyAlignment="1">
      <alignment horizontal="right" vertical="center"/>
    </xf>
    <xf numFmtId="0" fontId="11" fillId="3" borderId="0" xfId="0" applyFont="1" applyFill="1" applyAlignment="1">
      <alignment vertical="center" wrapText="1"/>
    </xf>
    <xf numFmtId="0" fontId="22" fillId="3" borderId="6" xfId="3" applyFont="1" applyFill="1" applyBorder="1"/>
    <xf numFmtId="0" fontId="22" fillId="3" borderId="0" xfId="3" applyFont="1" applyFill="1" applyProtection="1">
      <protection hidden="1"/>
    </xf>
    <xf numFmtId="1" fontId="34" fillId="0" borderId="0" xfId="6" applyNumberFormat="1" applyFont="1" applyAlignment="1" applyProtection="1">
      <alignment horizontal="center" vertical="center"/>
      <protection locked="0"/>
    </xf>
    <xf numFmtId="1" fontId="4" fillId="0" borderId="0" xfId="6" applyNumberFormat="1" applyFont="1" applyAlignment="1" applyProtection="1">
      <alignment horizontal="center" vertical="center"/>
      <protection locked="0"/>
    </xf>
    <xf numFmtId="1" fontId="4" fillId="0" borderId="0" xfId="6" applyNumberFormat="1" applyFont="1" applyAlignment="1" applyProtection="1">
      <alignment vertical="center"/>
      <protection locked="0"/>
    </xf>
    <xf numFmtId="0" fontId="22" fillId="3" borderId="7" xfId="3" applyFont="1" applyFill="1" applyBorder="1" applyAlignment="1" applyProtection="1">
      <alignment horizontal="center"/>
      <protection hidden="1"/>
    </xf>
    <xf numFmtId="0" fontId="22" fillId="3" borderId="0" xfId="3" applyFont="1" applyFill="1"/>
    <xf numFmtId="0" fontId="21" fillId="3" borderId="0" xfId="3" applyFont="1" applyFill="1"/>
    <xf numFmtId="0" fontId="22" fillId="3" borderId="7" xfId="3" applyFont="1" applyFill="1" applyBorder="1" applyAlignment="1" applyProtection="1">
      <alignment horizontal="right"/>
      <protection hidden="1"/>
    </xf>
    <xf numFmtId="166" fontId="22" fillId="3" borderId="7" xfId="3" applyNumberFormat="1" applyFont="1" applyFill="1" applyBorder="1" applyAlignment="1" applyProtection="1">
      <alignment horizontal="center"/>
      <protection hidden="1"/>
    </xf>
    <xf numFmtId="0" fontId="21" fillId="3" borderId="6" xfId="3" applyFont="1" applyFill="1" applyBorder="1"/>
    <xf numFmtId="0" fontId="21" fillId="3" borderId="0" xfId="3" applyFont="1" applyFill="1" applyProtection="1">
      <protection hidden="1"/>
    </xf>
    <xf numFmtId="0" fontId="22" fillId="3" borderId="7" xfId="3" applyFont="1" applyFill="1" applyBorder="1" applyAlignment="1" applyProtection="1">
      <alignment horizontal="center" vertical="center"/>
      <protection hidden="1"/>
    </xf>
    <xf numFmtId="2" fontId="22" fillId="3" borderId="7" xfId="3" applyNumberFormat="1" applyFont="1" applyFill="1" applyBorder="1" applyAlignment="1" applyProtection="1">
      <alignment horizontal="center"/>
      <protection hidden="1"/>
    </xf>
    <xf numFmtId="164" fontId="22" fillId="3" borderId="7" xfId="3" applyNumberFormat="1" applyFont="1" applyFill="1" applyBorder="1" applyAlignment="1" applyProtection="1">
      <alignment horizontal="center"/>
      <protection hidden="1"/>
    </xf>
    <xf numFmtId="0" fontId="22" fillId="3" borderId="8" xfId="3" applyFont="1" applyFill="1" applyBorder="1" applyProtection="1">
      <protection hidden="1"/>
    </xf>
    <xf numFmtId="166" fontId="22" fillId="3" borderId="9" xfId="3" applyNumberFormat="1" applyFont="1" applyFill="1" applyBorder="1" applyAlignment="1" applyProtection="1">
      <alignment horizontal="center"/>
      <protection hidden="1"/>
    </xf>
    <xf numFmtId="0" fontId="22" fillId="3" borderId="9" xfId="3" applyFont="1" applyFill="1" applyBorder="1" applyProtection="1">
      <protection hidden="1"/>
    </xf>
    <xf numFmtId="2" fontId="22" fillId="3" borderId="0" xfId="3" applyNumberFormat="1" applyFont="1" applyFill="1"/>
    <xf numFmtId="0" fontId="21" fillId="3" borderId="10" xfId="3" applyFont="1" applyFill="1" applyBorder="1" applyProtection="1">
      <protection hidden="1"/>
    </xf>
    <xf numFmtId="0" fontId="4" fillId="0" borderId="7" xfId="0" applyFont="1" applyBorder="1" applyAlignment="1" applyProtection="1">
      <alignment vertical="center"/>
      <protection locked="0"/>
    </xf>
    <xf numFmtId="0" fontId="4" fillId="3" borderId="11" xfId="3" applyFont="1" applyFill="1" applyBorder="1" applyAlignment="1">
      <alignment vertical="center"/>
    </xf>
    <xf numFmtId="164" fontId="4" fillId="3" borderId="7" xfId="3" applyNumberFormat="1" applyFont="1" applyFill="1" applyBorder="1" applyAlignment="1" applyProtection="1">
      <alignment horizontal="center" vertical="center"/>
      <protection locked="0"/>
    </xf>
    <xf numFmtId="164" fontId="4" fillId="0" borderId="7" xfId="3" applyNumberFormat="1" applyFont="1" applyBorder="1" applyAlignment="1">
      <alignment horizontal="center" vertical="center"/>
    </xf>
    <xf numFmtId="164" fontId="4" fillId="3" borderId="12" xfId="3" applyNumberFormat="1" applyFont="1" applyFill="1" applyBorder="1" applyAlignment="1" applyProtection="1">
      <alignment horizontal="center" vertical="center"/>
      <protection locked="0"/>
    </xf>
    <xf numFmtId="164" fontId="4" fillId="3" borderId="13" xfId="3" applyNumberFormat="1" applyFont="1" applyFill="1" applyBorder="1" applyAlignment="1" applyProtection="1">
      <alignment horizontal="center" vertical="center"/>
      <protection locked="0"/>
    </xf>
    <xf numFmtId="164" fontId="4" fillId="0" borderId="14" xfId="3" applyNumberFormat="1" applyFont="1" applyBorder="1" applyAlignment="1">
      <alignment horizontal="center" vertical="center"/>
    </xf>
    <xf numFmtId="166" fontId="35" fillId="3" borderId="15" xfId="3" applyNumberFormat="1" applyFont="1" applyFill="1" applyBorder="1" applyAlignment="1">
      <alignment horizontal="center" vertical="center"/>
    </xf>
    <xf numFmtId="164" fontId="14" fillId="3" borderId="16" xfId="3" applyNumberFormat="1" applyFont="1" applyFill="1" applyBorder="1" applyAlignment="1" applyProtection="1">
      <alignment horizontal="center" vertical="center"/>
      <protection locked="0"/>
    </xf>
    <xf numFmtId="166" fontId="4" fillId="3" borderId="15" xfId="3" applyNumberFormat="1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vertical="center"/>
      <protection locked="0"/>
    </xf>
    <xf numFmtId="166" fontId="4" fillId="3" borderId="14" xfId="3" applyNumberFormat="1" applyFont="1" applyFill="1" applyBorder="1" applyAlignment="1">
      <alignment horizontal="center" vertical="center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2" fontId="4" fillId="3" borderId="17" xfId="3" applyNumberFormat="1" applyFont="1" applyFill="1" applyBorder="1" applyAlignment="1">
      <alignment horizontal="center" vertical="center"/>
    </xf>
    <xf numFmtId="2" fontId="4" fillId="3" borderId="16" xfId="3" applyNumberFormat="1" applyFont="1" applyFill="1" applyBorder="1" applyAlignment="1">
      <alignment horizontal="center" vertical="center"/>
    </xf>
    <xf numFmtId="2" fontId="4" fillId="3" borderId="15" xfId="3" applyNumberFormat="1" applyFont="1" applyFill="1" applyBorder="1" applyAlignment="1">
      <alignment horizontal="center" vertical="center"/>
    </xf>
    <xf numFmtId="0" fontId="4" fillId="3" borderId="18" xfId="3" applyFont="1" applyFill="1" applyBorder="1" applyAlignment="1">
      <alignment vertical="center"/>
    </xf>
    <xf numFmtId="0" fontId="4" fillId="3" borderId="19" xfId="3" applyFont="1" applyFill="1" applyBorder="1" applyAlignment="1">
      <alignment vertical="center"/>
    </xf>
    <xf numFmtId="0" fontId="4" fillId="3" borderId="16" xfId="3" applyFont="1" applyFill="1" applyBorder="1" applyAlignment="1">
      <alignment horizontal="center" vertical="center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3" borderId="12" xfId="3" applyFont="1" applyFill="1" applyBorder="1" applyAlignment="1">
      <alignment horizontal="center" vertical="center"/>
    </xf>
    <xf numFmtId="0" fontId="19" fillId="0" borderId="21" xfId="3" applyFont="1" applyBorder="1" applyAlignment="1" applyProtection="1">
      <alignment horizontal="center" vertical="center"/>
      <protection hidden="1"/>
    </xf>
    <xf numFmtId="0" fontId="19" fillId="0" borderId="22" xfId="3" applyFont="1" applyBorder="1" applyAlignment="1" applyProtection="1">
      <alignment horizontal="center" vertical="center"/>
      <protection hidden="1"/>
    </xf>
    <xf numFmtId="164" fontId="4" fillId="3" borderId="17" xfId="3" applyNumberFormat="1" applyFont="1" applyFill="1" applyBorder="1" applyAlignment="1">
      <alignment horizontal="center" vertical="center"/>
    </xf>
    <xf numFmtId="164" fontId="4" fillId="3" borderId="16" xfId="3" applyNumberFormat="1" applyFont="1" applyFill="1" applyBorder="1" applyAlignment="1">
      <alignment horizontal="center" vertical="center"/>
    </xf>
    <xf numFmtId="0" fontId="11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3" borderId="0" xfId="3" applyFont="1" applyFill="1" applyAlignment="1">
      <alignment horizontal="left" vertical="center"/>
    </xf>
    <xf numFmtId="1" fontId="22" fillId="0" borderId="0" xfId="0" applyNumberFormat="1" applyFont="1" applyAlignment="1" applyProtection="1">
      <alignment vertical="center"/>
      <protection locked="0"/>
    </xf>
    <xf numFmtId="0" fontId="23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14" fillId="3" borderId="0" xfId="3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left" vertical="center"/>
    </xf>
    <xf numFmtId="167" fontId="11" fillId="3" borderId="0" xfId="0" applyNumberFormat="1" applyFont="1" applyFill="1" applyAlignment="1">
      <alignment vertical="center"/>
    </xf>
    <xf numFmtId="0" fontId="22" fillId="3" borderId="24" xfId="0" applyFont="1" applyFill="1" applyBorder="1" applyAlignment="1">
      <alignment vertical="center"/>
    </xf>
    <xf numFmtId="0" fontId="22" fillId="3" borderId="3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right" vertical="center"/>
    </xf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left" vertical="center"/>
    </xf>
    <xf numFmtId="164" fontId="22" fillId="3" borderId="1" xfId="0" applyNumberFormat="1" applyFont="1" applyFill="1" applyBorder="1" applyAlignment="1">
      <alignment horizontal="left" vertical="center"/>
    </xf>
    <xf numFmtId="166" fontId="22" fillId="3" borderId="1" xfId="0" applyNumberFormat="1" applyFont="1" applyFill="1" applyBorder="1" applyAlignment="1">
      <alignment vertical="center"/>
    </xf>
    <xf numFmtId="0" fontId="22" fillId="3" borderId="2" xfId="0" applyFont="1" applyFill="1" applyBorder="1" applyAlignment="1">
      <alignment vertical="center"/>
    </xf>
    <xf numFmtId="0" fontId="14" fillId="3" borderId="4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/>
    </xf>
    <xf numFmtId="2" fontId="4" fillId="3" borderId="0" xfId="0" applyNumberFormat="1" applyFont="1" applyFill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166" fontId="4" fillId="3" borderId="0" xfId="0" quotePrefix="1" applyNumberFormat="1" applyFont="1" applyFill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14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2" fontId="18" fillId="3" borderId="0" xfId="0" applyNumberFormat="1" applyFont="1" applyFill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6" fontId="22" fillId="0" borderId="14" xfId="0" applyNumberFormat="1" applyFont="1" applyBorder="1" applyAlignment="1">
      <alignment horizontal="center" vertical="center"/>
    </xf>
    <xf numFmtId="164" fontId="22" fillId="0" borderId="7" xfId="0" applyNumberFormat="1" applyFont="1" applyBorder="1" applyAlignment="1" applyProtection="1">
      <alignment horizontal="center" vertical="center"/>
      <protection locked="0"/>
    </xf>
    <xf numFmtId="166" fontId="21" fillId="3" borderId="4" xfId="0" applyNumberFormat="1" applyFont="1" applyFill="1" applyBorder="1" applyAlignment="1">
      <alignment vertical="center"/>
    </xf>
    <xf numFmtId="166" fontId="21" fillId="3" borderId="0" xfId="0" applyNumberFormat="1" applyFont="1" applyFill="1" applyAlignment="1">
      <alignment vertical="center"/>
    </xf>
    <xf numFmtId="166" fontId="21" fillId="3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vertical="center"/>
    </xf>
    <xf numFmtId="1" fontId="22" fillId="3" borderId="0" xfId="0" applyNumberFormat="1" applyFont="1" applyFill="1" applyAlignment="1">
      <alignment horizontal="center" vertical="center"/>
    </xf>
    <xf numFmtId="0" fontId="22" fillId="3" borderId="25" xfId="0" applyFont="1" applyFill="1" applyBorder="1" applyAlignment="1">
      <alignment vertical="center"/>
    </xf>
    <xf numFmtId="0" fontId="22" fillId="3" borderId="26" xfId="0" applyFont="1" applyFill="1" applyBorder="1" applyAlignment="1">
      <alignment vertical="center"/>
    </xf>
    <xf numFmtId="0" fontId="22" fillId="3" borderId="26" xfId="0" applyFont="1" applyFill="1" applyBorder="1" applyAlignment="1">
      <alignment horizontal="right" vertical="center"/>
    </xf>
    <xf numFmtId="166" fontId="22" fillId="3" borderId="27" xfId="0" applyNumberFormat="1" applyFont="1" applyFill="1" applyBorder="1" applyAlignment="1">
      <alignment horizontal="left" vertical="center"/>
    </xf>
    <xf numFmtId="0" fontId="24" fillId="3" borderId="28" xfId="0" applyFont="1" applyFill="1" applyBorder="1" applyAlignment="1">
      <alignment vertical="center"/>
    </xf>
    <xf numFmtId="0" fontId="22" fillId="3" borderId="29" xfId="0" applyFont="1" applyFill="1" applyBorder="1" applyAlignment="1">
      <alignment vertical="center"/>
    </xf>
    <xf numFmtId="0" fontId="22" fillId="3" borderId="29" xfId="0" applyFont="1" applyFill="1" applyBorder="1" applyAlignment="1">
      <alignment horizontal="right" vertical="center"/>
    </xf>
    <xf numFmtId="0" fontId="22" fillId="3" borderId="30" xfId="0" applyFont="1" applyFill="1" applyBorder="1" applyAlignment="1">
      <alignment vertical="center"/>
    </xf>
    <xf numFmtId="0" fontId="22" fillId="3" borderId="25" xfId="0" applyFont="1" applyFill="1" applyBorder="1" applyAlignment="1">
      <alignment horizontal="right" vertical="center"/>
    </xf>
    <xf numFmtId="0" fontId="22" fillId="3" borderId="27" xfId="0" applyFont="1" applyFill="1" applyBorder="1" applyAlignment="1">
      <alignment vertical="center"/>
    </xf>
    <xf numFmtId="0" fontId="22" fillId="3" borderId="31" xfId="0" applyFont="1" applyFill="1" applyBorder="1" applyAlignment="1">
      <alignment horizontal="right" vertical="center"/>
    </xf>
    <xf numFmtId="0" fontId="22" fillId="3" borderId="0" xfId="0" applyFont="1" applyFill="1" applyAlignment="1">
      <alignment horizontal="right" vertical="center"/>
    </xf>
    <xf numFmtId="0" fontId="22" fillId="3" borderId="32" xfId="0" applyFont="1" applyFill="1" applyBorder="1" applyAlignment="1">
      <alignment vertical="center"/>
    </xf>
    <xf numFmtId="0" fontId="36" fillId="3" borderId="0" xfId="0" applyFont="1" applyFill="1" applyAlignment="1">
      <alignment vertical="center"/>
    </xf>
    <xf numFmtId="0" fontId="22" fillId="3" borderId="28" xfId="0" applyFont="1" applyFill="1" applyBorder="1" applyAlignment="1">
      <alignment horizontal="right" vertical="center"/>
    </xf>
    <xf numFmtId="0" fontId="22" fillId="3" borderId="4" xfId="0" applyFont="1" applyFill="1" applyBorder="1" applyAlignment="1">
      <alignment vertical="center"/>
    </xf>
    <xf numFmtId="0" fontId="36" fillId="3" borderId="0" xfId="0" applyFont="1" applyFill="1" applyAlignment="1">
      <alignment horizontal="right" vertical="center"/>
    </xf>
    <xf numFmtId="164" fontId="36" fillId="3" borderId="0" xfId="0" applyNumberFormat="1" applyFont="1" applyFill="1" applyAlignment="1">
      <alignment vertical="center"/>
    </xf>
    <xf numFmtId="168" fontId="37" fillId="3" borderId="0" xfId="0" applyNumberFormat="1" applyFont="1" applyFill="1" applyAlignment="1">
      <alignment vertical="center"/>
    </xf>
    <xf numFmtId="0" fontId="4" fillId="2" borderId="33" xfId="3" applyFont="1" applyFill="1" applyBorder="1" applyAlignment="1">
      <alignment horizontal="left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0" xfId="3" applyFont="1" applyFill="1" applyBorder="1" applyAlignment="1">
      <alignment horizontal="left" vertical="center"/>
    </xf>
    <xf numFmtId="0" fontId="4" fillId="2" borderId="20" xfId="3" applyFont="1" applyFill="1" applyBorder="1" applyAlignment="1">
      <alignment horizontal="center" vertical="center"/>
    </xf>
    <xf numFmtId="164" fontId="4" fillId="2" borderId="13" xfId="3" applyNumberFormat="1" applyFont="1" applyFill="1" applyBorder="1" applyAlignment="1">
      <alignment horizontal="center" vertical="center"/>
    </xf>
    <xf numFmtId="0" fontId="4" fillId="2" borderId="15" xfId="3" applyFont="1" applyFill="1" applyBorder="1" applyAlignment="1">
      <alignment horizontal="center" vertical="center"/>
    </xf>
    <xf numFmtId="0" fontId="17" fillId="3" borderId="0" xfId="0" applyFont="1" applyFill="1"/>
    <xf numFmtId="0" fontId="17" fillId="3" borderId="0" xfId="0" applyFont="1" applyFill="1" applyProtection="1">
      <protection locked="0"/>
    </xf>
    <xf numFmtId="0" fontId="22" fillId="3" borderId="0" xfId="0" quotePrefix="1" applyFont="1" applyFill="1" applyAlignment="1">
      <alignment vertical="center"/>
    </xf>
    <xf numFmtId="0" fontId="17" fillId="3" borderId="0" xfId="0" applyFont="1" applyFill="1" applyAlignment="1">
      <alignment vertical="top" wrapText="1"/>
    </xf>
    <xf numFmtId="1" fontId="4" fillId="3" borderId="26" xfId="5" applyNumberFormat="1" applyFont="1" applyFill="1" applyBorder="1" applyAlignment="1" applyProtection="1">
      <alignment vertical="center"/>
      <protection hidden="1"/>
    </xf>
    <xf numFmtId="1" fontId="4" fillId="3" borderId="0" xfId="5" applyNumberFormat="1" applyFont="1" applyFill="1" applyAlignment="1" applyProtection="1">
      <alignment vertical="center"/>
      <protection hidden="1"/>
    </xf>
    <xf numFmtId="1" fontId="4" fillId="3" borderId="29" xfId="5" applyNumberFormat="1" applyFont="1" applyFill="1" applyBorder="1" applyAlignment="1" applyProtection="1">
      <alignment vertical="center"/>
      <protection hidden="1"/>
    </xf>
    <xf numFmtId="14" fontId="22" fillId="2" borderId="14" xfId="3" applyNumberFormat="1" applyFont="1" applyFill="1" applyBorder="1" applyAlignment="1" applyProtection="1">
      <alignment horizontal="center" vertical="center"/>
      <protection locked="0"/>
    </xf>
    <xf numFmtId="20" fontId="22" fillId="2" borderId="7" xfId="3" applyNumberFormat="1" applyFont="1" applyFill="1" applyBorder="1" applyAlignment="1" applyProtection="1">
      <alignment horizontal="center" vertical="center"/>
      <protection locked="0"/>
    </xf>
    <xf numFmtId="2" fontId="22" fillId="2" borderId="7" xfId="3" applyNumberFormat="1" applyFont="1" applyFill="1" applyBorder="1" applyAlignment="1" applyProtection="1">
      <alignment horizontal="center" vertical="center"/>
      <protection hidden="1"/>
    </xf>
    <xf numFmtId="164" fontId="22" fillId="2" borderId="7" xfId="3" applyNumberFormat="1" applyFont="1" applyFill="1" applyBorder="1" applyAlignment="1">
      <alignment horizontal="center" vertical="center"/>
    </xf>
    <xf numFmtId="164" fontId="22" fillId="2" borderId="13" xfId="3" applyNumberFormat="1" applyFont="1" applyFill="1" applyBorder="1" applyAlignment="1">
      <alignment horizontal="center" vertical="center"/>
    </xf>
    <xf numFmtId="14" fontId="22" fillId="2" borderId="15" xfId="3" applyNumberFormat="1" applyFont="1" applyFill="1" applyBorder="1" applyAlignment="1" applyProtection="1">
      <alignment horizontal="center" vertical="center"/>
      <protection locked="0"/>
    </xf>
    <xf numFmtId="20" fontId="22" fillId="2" borderId="17" xfId="3" applyNumberFormat="1" applyFont="1" applyFill="1" applyBorder="1" applyAlignment="1" applyProtection="1">
      <alignment horizontal="center" vertical="center"/>
      <protection locked="0"/>
    </xf>
    <xf numFmtId="0" fontId="22" fillId="2" borderId="17" xfId="3" applyFont="1" applyFill="1" applyBorder="1" applyAlignment="1" applyProtection="1">
      <alignment horizontal="center" vertical="center"/>
      <protection hidden="1"/>
    </xf>
    <xf numFmtId="164" fontId="22" fillId="2" borderId="17" xfId="3" applyNumberFormat="1" applyFont="1" applyFill="1" applyBorder="1" applyAlignment="1">
      <alignment horizontal="center" vertical="center"/>
    </xf>
    <xf numFmtId="164" fontId="22" fillId="2" borderId="16" xfId="3" applyNumberFormat="1" applyFont="1" applyFill="1" applyBorder="1" applyAlignment="1">
      <alignment horizontal="center" vertical="center"/>
    </xf>
    <xf numFmtId="0" fontId="21" fillId="0" borderId="35" xfId="3" applyFont="1" applyBorder="1" applyAlignment="1" applyProtection="1">
      <alignment horizontal="center" vertical="center"/>
      <protection hidden="1"/>
    </xf>
    <xf numFmtId="0" fontId="22" fillId="0" borderId="7" xfId="0" applyFont="1" applyBorder="1" applyAlignment="1">
      <alignment horizontal="center"/>
    </xf>
    <xf numFmtId="0" fontId="6" fillId="0" borderId="4" xfId="0" applyFont="1" applyBorder="1" applyAlignment="1" applyProtection="1">
      <alignment vertical="center"/>
      <protection locked="0"/>
    </xf>
    <xf numFmtId="0" fontId="4" fillId="3" borderId="7" xfId="3" applyFont="1" applyFill="1" applyBorder="1" applyAlignment="1">
      <alignment vertical="center"/>
    </xf>
    <xf numFmtId="0" fontId="22" fillId="3" borderId="8" xfId="3" applyFont="1" applyFill="1" applyBorder="1" applyAlignment="1" applyProtection="1">
      <alignment horizontal="center" vertical="center"/>
      <protection hidden="1"/>
    </xf>
    <xf numFmtId="0" fontId="4" fillId="3" borderId="13" xfId="3" applyFont="1" applyFill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3" borderId="18" xfId="3" applyFont="1" applyFill="1" applyBorder="1" applyAlignment="1">
      <alignment horizontal="left" vertical="center"/>
    </xf>
    <xf numFmtId="0" fontId="4" fillId="3" borderId="9" xfId="3" applyFont="1" applyFill="1" applyBorder="1" applyAlignment="1">
      <alignment horizontal="left" vertical="center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166" fontId="4" fillId="3" borderId="4" xfId="0" applyNumberFormat="1" applyFont="1" applyFill="1" applyBorder="1" applyAlignment="1">
      <alignment horizontal="left" vertical="center"/>
    </xf>
    <xf numFmtId="166" fontId="4" fillId="3" borderId="0" xfId="0" applyNumberFormat="1" applyFont="1" applyFill="1" applyAlignment="1">
      <alignment horizontal="left" vertical="center"/>
    </xf>
    <xf numFmtId="169" fontId="4" fillId="3" borderId="0" xfId="0" applyNumberFormat="1" applyFont="1" applyFill="1" applyAlignment="1">
      <alignment vertical="center"/>
    </xf>
    <xf numFmtId="14" fontId="4" fillId="3" borderId="0" xfId="0" applyNumberFormat="1" applyFont="1" applyFill="1" applyAlignment="1">
      <alignment vertical="center"/>
    </xf>
    <xf numFmtId="11" fontId="38" fillId="3" borderId="0" xfId="0" applyNumberFormat="1" applyFont="1" applyFill="1" applyAlignment="1" applyProtection="1">
      <alignment horizontal="center" vertical="center"/>
      <protection hidden="1"/>
    </xf>
    <xf numFmtId="14" fontId="19" fillId="3" borderId="0" xfId="0" applyNumberFormat="1" applyFont="1" applyFill="1" applyAlignment="1" applyProtection="1">
      <alignment vertical="center"/>
      <protection hidden="1"/>
    </xf>
    <xf numFmtId="0" fontId="22" fillId="0" borderId="8" xfId="0" applyFont="1" applyBorder="1" applyAlignment="1" applyProtection="1">
      <alignment vertical="center"/>
      <protection locked="0"/>
    </xf>
    <xf numFmtId="0" fontId="22" fillId="0" borderId="11" xfId="0" applyFont="1" applyBorder="1" applyAlignment="1" applyProtection="1">
      <alignment vertical="center"/>
      <protection locked="0"/>
    </xf>
    <xf numFmtId="0" fontId="22" fillId="0" borderId="9" xfId="0" applyFont="1" applyBorder="1" applyAlignment="1" applyProtection="1">
      <alignment vertical="center"/>
      <protection locked="0"/>
    </xf>
    <xf numFmtId="0" fontId="14" fillId="0" borderId="9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vertical="center"/>
      <protection locked="0"/>
    </xf>
    <xf numFmtId="170" fontId="22" fillId="0" borderId="0" xfId="0" applyNumberFormat="1" applyFont="1" applyAlignment="1" applyProtection="1">
      <alignment vertical="center"/>
      <protection locked="0"/>
    </xf>
    <xf numFmtId="0" fontId="11" fillId="0" borderId="0" xfId="0" applyFont="1"/>
    <xf numFmtId="2" fontId="4" fillId="0" borderId="0" xfId="0" applyNumberFormat="1" applyFont="1" applyAlignment="1" applyProtection="1">
      <alignment vertical="center"/>
      <protection locked="0"/>
    </xf>
    <xf numFmtId="171" fontId="4" fillId="0" borderId="7" xfId="0" applyNumberFormat="1" applyFont="1" applyBorder="1" applyAlignment="1" applyProtection="1">
      <alignment horizontal="center" vertical="center"/>
      <protection locked="0"/>
    </xf>
    <xf numFmtId="2" fontId="22" fillId="0" borderId="0" xfId="0" applyNumberFormat="1" applyFont="1" applyAlignment="1" applyProtection="1">
      <alignment vertical="center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2" fontId="22" fillId="0" borderId="7" xfId="0" applyNumberFormat="1" applyFont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 vertical="center"/>
      <protection locked="0"/>
    </xf>
    <xf numFmtId="164" fontId="22" fillId="0" borderId="8" xfId="0" applyNumberFormat="1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166" fontId="22" fillId="4" borderId="14" xfId="0" applyNumberFormat="1" applyFont="1" applyFill="1" applyBorder="1" applyAlignment="1">
      <alignment horizontal="center" vertical="center"/>
    </xf>
    <xf numFmtId="2" fontId="22" fillId="4" borderId="7" xfId="0" applyNumberFormat="1" applyFont="1" applyFill="1" applyBorder="1" applyAlignment="1">
      <alignment horizontal="center" vertical="center"/>
    </xf>
    <xf numFmtId="0" fontId="22" fillId="4" borderId="8" xfId="0" applyFont="1" applyFill="1" applyBorder="1" applyAlignment="1" applyProtection="1">
      <alignment horizontal="center" vertical="center"/>
      <protection locked="0"/>
    </xf>
    <xf numFmtId="164" fontId="22" fillId="4" borderId="7" xfId="0" applyNumberFormat="1" applyFont="1" applyFill="1" applyBorder="1" applyAlignment="1" applyProtection="1">
      <alignment horizontal="center" vertical="center"/>
      <protection locked="0"/>
    </xf>
    <xf numFmtId="164" fontId="22" fillId="4" borderId="13" xfId="0" applyNumberFormat="1" applyFont="1" applyFill="1" applyBorder="1" applyAlignment="1" applyProtection="1">
      <alignment horizontal="center" vertical="center"/>
      <protection locked="0"/>
    </xf>
    <xf numFmtId="164" fontId="22" fillId="4" borderId="8" xfId="0" applyNumberFormat="1" applyFont="1" applyFill="1" applyBorder="1" applyAlignment="1" applyProtection="1">
      <alignment horizontal="center" vertical="center"/>
      <protection locked="0"/>
    </xf>
    <xf numFmtId="166" fontId="22" fillId="0" borderId="15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0" fontId="22" fillId="0" borderId="38" xfId="0" applyFont="1" applyBorder="1" applyAlignment="1" applyProtection="1">
      <alignment horizontal="center" vertical="center"/>
      <protection locked="0"/>
    </xf>
    <xf numFmtId="164" fontId="22" fillId="0" borderId="17" xfId="0" applyNumberFormat="1" applyFont="1" applyBorder="1" applyAlignment="1" applyProtection="1">
      <alignment horizontal="center" vertical="center"/>
      <protection locked="0"/>
    </xf>
    <xf numFmtId="164" fontId="22" fillId="0" borderId="16" xfId="0" applyNumberFormat="1" applyFont="1" applyBorder="1" applyAlignment="1" applyProtection="1">
      <alignment horizontal="center" vertical="center"/>
      <protection locked="0"/>
    </xf>
    <xf numFmtId="164" fontId="22" fillId="0" borderId="38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" fontId="22" fillId="0" borderId="0" xfId="0" applyNumberFormat="1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7" fillId="0" borderId="0" xfId="0" applyFont="1" applyAlignment="1" applyProtection="1">
      <alignment vertical="top" wrapText="1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11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2" fillId="0" borderId="0" xfId="0" applyFont="1" applyAlignment="1" applyProtection="1">
      <alignment horizontal="right" vertical="center" indent="1"/>
      <protection locked="0"/>
    </xf>
    <xf numFmtId="164" fontId="39" fillId="0" borderId="14" xfId="3" applyNumberFormat="1" applyFont="1" applyBorder="1" applyAlignment="1">
      <alignment horizontal="center" vertical="center"/>
    </xf>
    <xf numFmtId="0" fontId="40" fillId="5" borderId="14" xfId="3" applyFont="1" applyFill="1" applyBorder="1" applyAlignment="1">
      <alignment horizontal="center"/>
    </xf>
    <xf numFmtId="164" fontId="40" fillId="5" borderId="7" xfId="3" applyNumberFormat="1" applyFont="1" applyFill="1" applyBorder="1" applyAlignment="1" applyProtection="1">
      <alignment horizontal="center"/>
      <protection hidden="1"/>
    </xf>
    <xf numFmtId="0" fontId="40" fillId="5" borderId="7" xfId="3" applyFont="1" applyFill="1" applyBorder="1" applyAlignment="1" applyProtection="1">
      <alignment horizontal="center" vertical="center"/>
      <protection locked="0"/>
    </xf>
    <xf numFmtId="166" fontId="40" fillId="5" borderId="14" xfId="0" applyNumberFormat="1" applyFont="1" applyFill="1" applyBorder="1" applyAlignment="1">
      <alignment horizontal="center" vertical="center"/>
    </xf>
    <xf numFmtId="164" fontId="40" fillId="5" borderId="7" xfId="0" applyNumberFormat="1" applyFont="1" applyFill="1" applyBorder="1" applyAlignment="1" applyProtection="1">
      <alignment horizontal="center" vertical="center"/>
      <protection locked="0"/>
    </xf>
    <xf numFmtId="0" fontId="4" fillId="3" borderId="7" xfId="3" applyFont="1" applyFill="1" applyBorder="1" applyAlignment="1">
      <alignment horizontal="center" vertical="center" wrapText="1"/>
    </xf>
    <xf numFmtId="1" fontId="4" fillId="0" borderId="14" xfId="4" applyNumberFormat="1" applyFont="1" applyBorder="1" applyAlignment="1" applyProtection="1">
      <alignment horizontal="center" vertical="center"/>
      <protection locked="0" hidden="1"/>
    </xf>
    <xf numFmtId="164" fontId="4" fillId="0" borderId="7" xfId="4" applyNumberFormat="1" applyFont="1" applyBorder="1" applyAlignment="1" applyProtection="1">
      <alignment horizontal="center" vertical="center"/>
      <protection hidden="1"/>
    </xf>
    <xf numFmtId="164" fontId="4" fillId="0" borderId="7" xfId="4" applyNumberFormat="1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>
      <alignment vertical="center"/>
    </xf>
    <xf numFmtId="0" fontId="4" fillId="0" borderId="14" xfId="4" applyFont="1" applyBorder="1" applyAlignment="1" applyProtection="1">
      <alignment horizontal="center" vertical="center"/>
      <protection hidden="1"/>
    </xf>
    <xf numFmtId="164" fontId="4" fillId="0" borderId="7" xfId="4" applyNumberFormat="1" applyFont="1" applyBorder="1" applyAlignment="1" applyProtection="1">
      <alignment horizontal="center" vertical="center"/>
      <protection locked="0" hidden="1"/>
    </xf>
    <xf numFmtId="0" fontId="4" fillId="0" borderId="15" xfId="4" applyFont="1" applyBorder="1" applyAlignment="1" applyProtection="1">
      <alignment horizontal="center" vertical="center"/>
      <protection hidden="1"/>
    </xf>
    <xf numFmtId="0" fontId="4" fillId="3" borderId="16" xfId="0" applyFont="1" applyFill="1" applyBorder="1" applyAlignment="1">
      <alignment vertical="center"/>
    </xf>
    <xf numFmtId="0" fontId="4" fillId="3" borderId="39" xfId="3" applyFont="1" applyFill="1" applyBorder="1" applyAlignment="1">
      <alignment horizontal="left" vertical="center"/>
    </xf>
    <xf numFmtId="0" fontId="4" fillId="3" borderId="40" xfId="3" applyFont="1" applyFill="1" applyBorder="1" applyAlignment="1">
      <alignment horizontal="left" vertical="center"/>
    </xf>
    <xf numFmtId="0" fontId="4" fillId="0" borderId="7" xfId="4" applyFont="1" applyBorder="1" applyAlignment="1" applyProtection="1">
      <alignment horizontal="center" vertical="center"/>
      <protection hidden="1"/>
    </xf>
    <xf numFmtId="0" fontId="4" fillId="0" borderId="13" xfId="4" applyFont="1" applyBorder="1" applyAlignment="1" applyProtection="1">
      <alignment horizontal="center" vertical="center"/>
      <protection hidden="1"/>
    </xf>
    <xf numFmtId="0" fontId="22" fillId="3" borderId="7" xfId="3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11" fillId="0" borderId="0" xfId="3" applyAlignment="1">
      <alignment vertical="center"/>
    </xf>
    <xf numFmtId="166" fontId="22" fillId="0" borderId="7" xfId="3" applyNumberFormat="1" applyFont="1" applyBorder="1" applyAlignment="1">
      <alignment horizontal="center" vertical="center"/>
    </xf>
    <xf numFmtId="166" fontId="41" fillId="0" borderId="7" xfId="3" applyNumberFormat="1" applyFont="1" applyBorder="1" applyAlignment="1">
      <alignment horizontal="center" vertical="center"/>
    </xf>
    <xf numFmtId="0" fontId="22" fillId="3" borderId="41" xfId="3" applyFont="1" applyFill="1" applyBorder="1"/>
    <xf numFmtId="0" fontId="22" fillId="3" borderId="42" xfId="3" applyFont="1" applyFill="1" applyBorder="1"/>
    <xf numFmtId="0" fontId="22" fillId="3" borderId="42" xfId="0" applyFont="1" applyFill="1" applyBorder="1" applyAlignment="1">
      <alignment vertical="center"/>
    </xf>
    <xf numFmtId="0" fontId="22" fillId="3" borderId="43" xfId="0" applyFont="1" applyFill="1" applyBorder="1" applyAlignment="1">
      <alignment vertical="center"/>
    </xf>
    <xf numFmtId="0" fontId="4" fillId="3" borderId="44" xfId="0" applyFont="1" applyFill="1" applyBorder="1" applyAlignment="1">
      <alignment vertical="center"/>
    </xf>
    <xf numFmtId="0" fontId="4" fillId="3" borderId="45" xfId="0" applyFont="1" applyFill="1" applyBorder="1" applyAlignment="1">
      <alignment vertical="center"/>
    </xf>
    <xf numFmtId="0" fontId="22" fillId="3" borderId="45" xfId="3" applyFont="1" applyFill="1" applyBorder="1" applyProtection="1">
      <protection hidden="1"/>
    </xf>
    <xf numFmtId="0" fontId="4" fillId="3" borderId="46" xfId="0" applyFont="1" applyFill="1" applyBorder="1" applyAlignment="1">
      <alignment vertical="center"/>
    </xf>
    <xf numFmtId="166" fontId="4" fillId="0" borderId="0" xfId="0" applyNumberFormat="1" applyFont="1" applyAlignment="1" applyProtection="1">
      <alignment horizontal="center" vertical="center"/>
      <protection locked="0"/>
    </xf>
    <xf numFmtId="164" fontId="4" fillId="0" borderId="17" xfId="4" applyNumberFormat="1" applyFont="1" applyBorder="1" applyAlignment="1" applyProtection="1">
      <alignment horizontal="center" vertical="center"/>
      <protection hidden="1"/>
    </xf>
    <xf numFmtId="164" fontId="4" fillId="2" borderId="7" xfId="3" applyNumberFormat="1" applyFont="1" applyFill="1" applyBorder="1" applyAlignment="1">
      <alignment horizontal="center" vertical="center"/>
    </xf>
    <xf numFmtId="2" fontId="22" fillId="0" borderId="7" xfId="3" applyNumberFormat="1" applyFont="1" applyBorder="1" applyAlignment="1">
      <alignment horizontal="center" vertical="center"/>
    </xf>
    <xf numFmtId="0" fontId="22" fillId="3" borderId="23" xfId="0" applyFont="1" applyFill="1" applyBorder="1" applyAlignment="1">
      <alignment vertical="center"/>
    </xf>
    <xf numFmtId="0" fontId="42" fillId="6" borderId="70" xfId="0" applyFont="1" applyFill="1" applyBorder="1" applyAlignment="1">
      <alignment horizontal="center" vertical="center"/>
    </xf>
    <xf numFmtId="0" fontId="42" fillId="6" borderId="0" xfId="0" applyFont="1" applyFill="1"/>
    <xf numFmtId="0" fontId="43" fillId="6" borderId="71" xfId="0" applyFont="1" applyFill="1" applyBorder="1" applyAlignment="1">
      <alignment vertical="center"/>
    </xf>
    <xf numFmtId="0" fontId="43" fillId="6" borderId="71" xfId="0" applyFont="1" applyFill="1" applyBorder="1" applyAlignment="1">
      <alignment vertical="center" wrapText="1"/>
    </xf>
    <xf numFmtId="0" fontId="43" fillId="6" borderId="0" xfId="0" applyFont="1" applyFill="1" applyAlignment="1">
      <alignment vertical="center"/>
    </xf>
    <xf numFmtId="0" fontId="42" fillId="6" borderId="0" xfId="0" applyFont="1" applyFill="1" applyAlignment="1">
      <alignment vertical="center"/>
    </xf>
    <xf numFmtId="0" fontId="45" fillId="6" borderId="0" xfId="0" applyFont="1" applyFill="1" applyAlignment="1">
      <alignment vertical="center"/>
    </xf>
    <xf numFmtId="0" fontId="42" fillId="6" borderId="0" xfId="0" applyFont="1" applyFill="1" applyAlignment="1">
      <alignment horizontal="left" vertical="center"/>
    </xf>
    <xf numFmtId="0" fontId="46" fillId="6" borderId="0" xfId="0" applyFont="1" applyFill="1" applyAlignment="1">
      <alignment horizontal="left" vertical="center"/>
    </xf>
    <xf numFmtId="0" fontId="47" fillId="6" borderId="0" xfId="0" applyFont="1" applyFill="1" applyAlignment="1">
      <alignment vertical="center" wrapText="1"/>
    </xf>
    <xf numFmtId="0" fontId="48" fillId="6" borderId="0" xfId="0" applyFont="1" applyFill="1" applyAlignment="1">
      <alignment vertical="center" wrapText="1"/>
    </xf>
    <xf numFmtId="0" fontId="49" fillId="6" borderId="0" xfId="0" applyFont="1" applyFill="1" applyAlignment="1">
      <alignment vertical="center" wrapText="1"/>
    </xf>
    <xf numFmtId="0" fontId="11" fillId="3" borderId="0" xfId="0" applyFont="1" applyFill="1"/>
    <xf numFmtId="0" fontId="43" fillId="6" borderId="0" xfId="0" applyFont="1" applyFill="1" applyAlignment="1">
      <alignment horizontal="left"/>
    </xf>
    <xf numFmtId="0" fontId="43" fillId="6" borderId="0" xfId="0" applyFont="1" applyFill="1"/>
    <xf numFmtId="0" fontId="42" fillId="6" borderId="0" xfId="0" quotePrefix="1" applyFont="1" applyFill="1" applyAlignment="1">
      <alignment horizontal="left"/>
    </xf>
    <xf numFmtId="0" fontId="42" fillId="6" borderId="0" xfId="0" applyFont="1" applyFill="1" applyAlignment="1">
      <alignment horizontal="left"/>
    </xf>
    <xf numFmtId="0" fontId="43" fillId="6" borderId="70" xfId="0" applyFont="1" applyFill="1" applyBorder="1" applyAlignment="1">
      <alignment horizontal="center" vertical="center"/>
    </xf>
    <xf numFmtId="0" fontId="39" fillId="3" borderId="7" xfId="3" applyFont="1" applyFill="1" applyBorder="1" applyAlignment="1" applyProtection="1">
      <alignment horizontal="center"/>
      <protection locked="0"/>
    </xf>
    <xf numFmtId="0" fontId="43" fillId="6" borderId="70" xfId="0" applyFont="1" applyFill="1" applyBorder="1" applyAlignment="1">
      <alignment horizontal="center"/>
    </xf>
    <xf numFmtId="172" fontId="50" fillId="3" borderId="7" xfId="3" applyNumberFormat="1" applyFont="1" applyFill="1" applyBorder="1" applyAlignment="1" applyProtection="1">
      <alignment horizontal="center" vertical="center"/>
      <protection locked="0"/>
    </xf>
    <xf numFmtId="1" fontId="50" fillId="3" borderId="7" xfId="3" applyNumberFormat="1" applyFont="1" applyFill="1" applyBorder="1" applyAlignment="1" applyProtection="1">
      <alignment horizontal="center"/>
      <protection locked="0"/>
    </xf>
    <xf numFmtId="164" fontId="50" fillId="6" borderId="70" xfId="0" applyNumberFormat="1" applyFont="1" applyFill="1" applyBorder="1" applyAlignment="1">
      <alignment horizontal="center"/>
    </xf>
    <xf numFmtId="0" fontId="42" fillId="6" borderId="70" xfId="0" applyFont="1" applyFill="1" applyBorder="1" applyAlignment="1">
      <alignment horizontal="center"/>
    </xf>
    <xf numFmtId="0" fontId="43" fillId="6" borderId="70" xfId="0" applyFont="1" applyFill="1" applyBorder="1"/>
    <xf numFmtId="168" fontId="42" fillId="6" borderId="70" xfId="0" applyNumberFormat="1" applyFont="1" applyFill="1" applyBorder="1" applyAlignment="1">
      <alignment horizontal="center"/>
    </xf>
    <xf numFmtId="168" fontId="42" fillId="6" borderId="0" xfId="0" applyNumberFormat="1" applyFont="1" applyFill="1" applyAlignment="1">
      <alignment horizontal="center"/>
    </xf>
    <xf numFmtId="0" fontId="51" fillId="6" borderId="0" xfId="0" applyFont="1" applyFill="1"/>
    <xf numFmtId="0" fontId="52" fillId="6" borderId="0" xfId="0" applyFont="1" applyFill="1" applyAlignment="1">
      <alignment horizontal="left" vertical="center"/>
    </xf>
    <xf numFmtId="1" fontId="42" fillId="6" borderId="70" xfId="0" applyNumberFormat="1" applyFont="1" applyFill="1" applyBorder="1" applyAlignment="1">
      <alignment horizontal="center" vertical="center"/>
    </xf>
    <xf numFmtId="168" fontId="42" fillId="6" borderId="70" xfId="0" applyNumberFormat="1" applyFont="1" applyFill="1" applyBorder="1" applyAlignment="1">
      <alignment horizontal="center" vertical="center"/>
    </xf>
    <xf numFmtId="164" fontId="50" fillId="3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4" fillId="3" borderId="42" xfId="0" applyFont="1" applyFill="1" applyBorder="1" applyAlignment="1">
      <alignment vertical="center"/>
    </xf>
    <xf numFmtId="0" fontId="4" fillId="3" borderId="47" xfId="0" applyFont="1" applyFill="1" applyBorder="1" applyAlignment="1">
      <alignment vertical="center"/>
    </xf>
    <xf numFmtId="0" fontId="4" fillId="3" borderId="43" xfId="0" applyFont="1" applyFill="1" applyBorder="1" applyAlignment="1">
      <alignment vertical="center"/>
    </xf>
    <xf numFmtId="0" fontId="22" fillId="0" borderId="13" xfId="3" applyFont="1" applyBorder="1" applyAlignment="1">
      <alignment horizontal="center" vertical="center"/>
    </xf>
    <xf numFmtId="166" fontId="22" fillId="0" borderId="13" xfId="3" applyNumberFormat="1" applyFont="1" applyBorder="1" applyAlignment="1">
      <alignment horizontal="center" vertical="center"/>
    </xf>
    <xf numFmtId="166" fontId="22" fillId="0" borderId="14" xfId="3" applyNumberFormat="1" applyFont="1" applyBorder="1" applyAlignment="1">
      <alignment horizontal="center" vertical="center"/>
    </xf>
    <xf numFmtId="0" fontId="22" fillId="3" borderId="6" xfId="0" applyFont="1" applyFill="1" applyBorder="1" applyAlignment="1">
      <alignment vertical="center"/>
    </xf>
    <xf numFmtId="2" fontId="22" fillId="0" borderId="14" xfId="3" applyNumberFormat="1" applyFont="1" applyBorder="1" applyAlignment="1">
      <alignment horizontal="center" vertical="center"/>
    </xf>
    <xf numFmtId="0" fontId="11" fillId="0" borderId="6" xfId="3" applyBorder="1" applyAlignment="1">
      <alignment vertical="center"/>
    </xf>
    <xf numFmtId="0" fontId="22" fillId="3" borderId="44" xfId="0" applyFont="1" applyFill="1" applyBorder="1" applyAlignment="1">
      <alignment vertical="center"/>
    </xf>
    <xf numFmtId="0" fontId="22" fillId="3" borderId="45" xfId="0" applyFont="1" applyFill="1" applyBorder="1" applyAlignment="1">
      <alignment vertical="center"/>
    </xf>
    <xf numFmtId="0" fontId="22" fillId="3" borderId="46" xfId="0" applyFont="1" applyFill="1" applyBorder="1" applyAlignment="1">
      <alignment vertical="center"/>
    </xf>
    <xf numFmtId="2" fontId="11" fillId="0" borderId="6" xfId="3" applyNumberFormat="1" applyBorder="1" applyAlignment="1">
      <alignment vertical="center"/>
    </xf>
    <xf numFmtId="2" fontId="11" fillId="0" borderId="0" xfId="3" applyNumberFormat="1" applyAlignment="1">
      <alignment vertical="center"/>
    </xf>
    <xf numFmtId="11" fontId="22" fillId="3" borderId="14" xfId="3" applyNumberFormat="1" applyFont="1" applyFill="1" applyBorder="1" applyAlignment="1" applyProtection="1">
      <alignment horizontal="center"/>
      <protection locked="0"/>
    </xf>
    <xf numFmtId="0" fontId="22" fillId="3" borderId="7" xfId="3" applyFont="1" applyFill="1" applyBorder="1" applyAlignment="1" applyProtection="1">
      <alignment horizontal="center"/>
      <protection locked="0"/>
    </xf>
    <xf numFmtId="1" fontId="22" fillId="3" borderId="7" xfId="3" applyNumberFormat="1" applyFont="1" applyFill="1" applyBorder="1" applyAlignment="1" applyProtection="1">
      <alignment horizontal="center"/>
      <protection locked="0"/>
    </xf>
    <xf numFmtId="164" fontId="22" fillId="3" borderId="7" xfId="3" applyNumberFormat="1" applyFont="1" applyFill="1" applyBorder="1" applyAlignment="1" applyProtection="1">
      <alignment horizontal="center"/>
      <protection locked="0"/>
    </xf>
    <xf numFmtId="2" fontId="22" fillId="3" borderId="7" xfId="3" applyNumberFormat="1" applyFont="1" applyFill="1" applyBorder="1" applyAlignment="1" applyProtection="1">
      <alignment horizontal="left" indent="1"/>
      <protection locked="0"/>
    </xf>
    <xf numFmtId="2" fontId="22" fillId="3" borderId="7" xfId="3" applyNumberFormat="1" applyFont="1" applyFill="1" applyBorder="1" applyAlignment="1" applyProtection="1">
      <alignment horizontal="center"/>
      <protection locked="0"/>
    </xf>
    <xf numFmtId="0" fontId="11" fillId="5" borderId="48" xfId="3" applyFill="1" applyBorder="1" applyAlignment="1">
      <alignment horizontal="center" vertical="center"/>
    </xf>
    <xf numFmtId="0" fontId="11" fillId="5" borderId="49" xfId="3" applyFill="1" applyBorder="1" applyAlignment="1">
      <alignment horizontal="center" vertical="center"/>
    </xf>
    <xf numFmtId="0" fontId="11" fillId="5" borderId="49" xfId="3" applyFill="1" applyBorder="1" applyAlignment="1">
      <alignment horizontal="center" vertical="center" wrapText="1"/>
    </xf>
    <xf numFmtId="0" fontId="11" fillId="5" borderId="50" xfId="3" applyFill="1" applyBorder="1" applyAlignment="1">
      <alignment horizontal="center" vertical="center" wrapText="1"/>
    </xf>
    <xf numFmtId="0" fontId="22" fillId="3" borderId="33" xfId="3" applyFont="1" applyFill="1" applyBorder="1" applyAlignment="1">
      <alignment vertical="center" wrapText="1"/>
    </xf>
    <xf numFmtId="164" fontId="22" fillId="3" borderId="34" xfId="3" quotePrefix="1" applyNumberFormat="1" applyFont="1" applyFill="1" applyBorder="1" applyAlignment="1" applyProtection="1">
      <alignment horizontal="center" vertical="center"/>
      <protection locked="0"/>
    </xf>
    <xf numFmtId="0" fontId="22" fillId="3" borderId="34" xfId="3" quotePrefix="1" applyFont="1" applyFill="1" applyBorder="1" applyAlignment="1">
      <alignment horizontal="center" vertical="center" wrapText="1"/>
    </xf>
    <xf numFmtId="0" fontId="22" fillId="3" borderId="20" xfId="3" quotePrefix="1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vertical="center" wrapText="1"/>
    </xf>
    <xf numFmtId="2" fontId="22" fillId="5" borderId="7" xfId="3" applyNumberFormat="1" applyFont="1" applyFill="1" applyBorder="1" applyAlignment="1" applyProtection="1">
      <alignment horizontal="center" vertical="center"/>
      <protection locked="0" hidden="1"/>
    </xf>
    <xf numFmtId="2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173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166" fontId="22" fillId="5" borderId="7" xfId="3" applyNumberFormat="1" applyFont="1" applyFill="1" applyBorder="1" applyAlignment="1" applyProtection="1">
      <alignment horizontal="center" vertical="center" wrapText="1"/>
      <protection hidden="1"/>
    </xf>
    <xf numFmtId="11" fontId="22" fillId="5" borderId="7" xfId="3" applyNumberFormat="1" applyFont="1" applyFill="1" applyBorder="1" applyAlignment="1" applyProtection="1">
      <alignment horizontal="center" vertical="center"/>
      <protection hidden="1"/>
    </xf>
    <xf numFmtId="166" fontId="22" fillId="5" borderId="13" xfId="3" applyNumberFormat="1" applyFont="1" applyFill="1" applyBorder="1" applyAlignment="1" applyProtection="1">
      <alignment horizontal="center" vertical="center" wrapText="1"/>
      <protection hidden="1"/>
    </xf>
    <xf numFmtId="0" fontId="4" fillId="3" borderId="14" xfId="3" applyFont="1" applyFill="1" applyBorder="1" applyAlignment="1">
      <alignment vertical="center" wrapText="1"/>
    </xf>
    <xf numFmtId="0" fontId="22" fillId="3" borderId="7" xfId="3" applyFont="1" applyFill="1" applyBorder="1" applyAlignment="1">
      <alignment vertical="center"/>
    </xf>
    <xf numFmtId="173" fontId="22" fillId="3" borderId="7" xfId="3" quotePrefix="1" applyNumberFormat="1" applyFont="1" applyFill="1" applyBorder="1" applyAlignment="1" applyProtection="1">
      <alignment horizontal="center" vertical="center"/>
      <protection locked="0"/>
    </xf>
    <xf numFmtId="2" fontId="22" fillId="3" borderId="7" xfId="3" applyNumberFormat="1" applyFont="1" applyFill="1" applyBorder="1" applyAlignment="1" applyProtection="1">
      <alignment vertical="center"/>
      <protection hidden="1"/>
    </xf>
    <xf numFmtId="173" fontId="22" fillId="3" borderId="7" xfId="3" applyNumberFormat="1" applyFont="1" applyFill="1" applyBorder="1" applyAlignment="1" applyProtection="1">
      <alignment horizontal="center" vertical="center"/>
      <protection hidden="1"/>
    </xf>
    <xf numFmtId="173" fontId="22" fillId="3" borderId="7" xfId="3" quotePrefix="1" applyNumberFormat="1" applyFont="1" applyFill="1" applyBorder="1" applyAlignment="1" applyProtection="1">
      <alignment horizontal="center" vertical="center" wrapText="1"/>
      <protection hidden="1"/>
    </xf>
    <xf numFmtId="173" fontId="22" fillId="3" borderId="13" xfId="3" quotePrefix="1" applyNumberFormat="1" applyFont="1" applyFill="1" applyBorder="1" applyAlignment="1" applyProtection="1">
      <alignment horizontal="center" vertical="center" wrapText="1"/>
      <protection hidden="1"/>
    </xf>
    <xf numFmtId="2" fontId="22" fillId="3" borderId="7" xfId="0" applyNumberFormat="1" applyFont="1" applyFill="1" applyBorder="1" applyAlignment="1" applyProtection="1">
      <alignment vertical="center"/>
      <protection hidden="1"/>
    </xf>
    <xf numFmtId="166" fontId="22" fillId="3" borderId="7" xfId="3" quotePrefix="1" applyNumberFormat="1" applyFont="1" applyFill="1" applyBorder="1" applyAlignment="1" applyProtection="1">
      <alignment horizontal="center" vertical="center"/>
      <protection locked="0"/>
    </xf>
    <xf numFmtId="2" fontId="22" fillId="3" borderId="7" xfId="3" applyNumberFormat="1" applyFont="1" applyFill="1" applyBorder="1" applyAlignment="1" applyProtection="1">
      <alignment horizontal="left" vertical="center"/>
      <protection hidden="1"/>
    </xf>
    <xf numFmtId="173" fontId="22" fillId="3" borderId="7" xfId="0" applyNumberFormat="1" applyFont="1" applyFill="1" applyBorder="1" applyAlignment="1" applyProtection="1">
      <alignment horizontal="center" vertical="center"/>
      <protection hidden="1"/>
    </xf>
    <xf numFmtId="0" fontId="36" fillId="5" borderId="7" xfId="3" quotePrefix="1" applyFont="1" applyFill="1" applyBorder="1" applyAlignment="1" applyProtection="1">
      <alignment horizontal="center" vertical="center"/>
      <protection hidden="1"/>
    </xf>
    <xf numFmtId="0" fontId="22" fillId="5" borderId="7" xfId="3" applyFont="1" applyFill="1" applyBorder="1" applyAlignment="1" applyProtection="1">
      <alignment horizontal="center" vertical="center"/>
      <protection hidden="1"/>
    </xf>
    <xf numFmtId="173" fontId="22" fillId="5" borderId="13" xfId="3" applyNumberFormat="1" applyFont="1" applyFill="1" applyBorder="1" applyAlignment="1" applyProtection="1">
      <alignment horizontal="center" vertical="center"/>
      <protection hidden="1"/>
    </xf>
    <xf numFmtId="168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168" fontId="22" fillId="5" borderId="13" xfId="3" applyNumberFormat="1" applyFont="1" applyFill="1" applyBorder="1" applyAlignment="1" applyProtection="1">
      <alignment horizontal="center" vertical="center"/>
      <protection hidden="1"/>
    </xf>
    <xf numFmtId="0" fontId="11" fillId="3" borderId="0" xfId="0" applyFont="1" applyFill="1" applyAlignment="1">
      <alignment horizontal="center"/>
    </xf>
    <xf numFmtId="0" fontId="22" fillId="5" borderId="51" xfId="3" applyFont="1" applyFill="1" applyBorder="1" applyAlignment="1">
      <alignment horizontal="left" vertical="center" wrapText="1"/>
    </xf>
    <xf numFmtId="173" fontId="22" fillId="5" borderId="52" xfId="3" quotePrefix="1" applyNumberFormat="1" applyFont="1" applyFill="1" applyBorder="1" applyAlignment="1" applyProtection="1">
      <alignment horizontal="center" vertical="center"/>
      <protection locked="0"/>
    </xf>
    <xf numFmtId="173" fontId="22" fillId="5" borderId="52" xfId="3" quotePrefix="1" applyNumberFormat="1" applyFont="1" applyFill="1" applyBorder="1" applyAlignment="1" applyProtection="1">
      <alignment horizontal="center" vertical="center"/>
      <protection hidden="1"/>
    </xf>
    <xf numFmtId="0" fontId="22" fillId="5" borderId="52" xfId="3" applyFont="1" applyFill="1" applyBorder="1" applyAlignment="1" applyProtection="1">
      <alignment horizontal="center" vertical="center"/>
      <protection hidden="1"/>
    </xf>
    <xf numFmtId="2" fontId="22" fillId="5" borderId="52" xfId="3" applyNumberFormat="1" applyFont="1" applyFill="1" applyBorder="1" applyAlignment="1" applyProtection="1">
      <alignment vertical="center"/>
      <protection hidden="1"/>
    </xf>
    <xf numFmtId="166" fontId="22" fillId="5" borderId="52" xfId="3" applyNumberFormat="1" applyFont="1" applyFill="1" applyBorder="1" applyAlignment="1" applyProtection="1">
      <alignment horizontal="center" vertical="center"/>
      <protection hidden="1"/>
    </xf>
    <xf numFmtId="173" fontId="22" fillId="5" borderId="52" xfId="3" quotePrefix="1" applyNumberFormat="1" applyFont="1" applyFill="1" applyBorder="1" applyAlignment="1" applyProtection="1">
      <alignment horizontal="center" vertical="center" wrapText="1"/>
      <protection hidden="1"/>
    </xf>
    <xf numFmtId="173" fontId="22" fillId="5" borderId="53" xfId="3" applyNumberFormat="1" applyFont="1" applyFill="1" applyBorder="1" applyAlignment="1">
      <alignment horizontal="center" vertical="center"/>
    </xf>
    <xf numFmtId="2" fontId="22" fillId="3" borderId="7" xfId="3" applyNumberFormat="1" applyFont="1" applyFill="1" applyBorder="1" applyAlignment="1">
      <alignment horizontal="center" vertical="center"/>
    </xf>
    <xf numFmtId="2" fontId="22" fillId="3" borderId="7" xfId="3" applyNumberFormat="1" applyFont="1" applyFill="1" applyBorder="1" applyAlignment="1">
      <alignment vertical="center"/>
    </xf>
    <xf numFmtId="166" fontId="22" fillId="3" borderId="7" xfId="3" applyNumberFormat="1" applyFont="1" applyFill="1" applyBorder="1" applyAlignment="1">
      <alignment vertical="center"/>
    </xf>
    <xf numFmtId="0" fontId="11" fillId="3" borderId="7" xfId="0" applyFont="1" applyFill="1" applyBorder="1"/>
    <xf numFmtId="0" fontId="0" fillId="5" borderId="7" xfId="0" applyFill="1" applyBorder="1"/>
    <xf numFmtId="0" fontId="14" fillId="5" borderId="7" xfId="3" applyFont="1" applyFill="1" applyBorder="1" applyAlignment="1">
      <alignment vertical="center" wrapText="1"/>
    </xf>
    <xf numFmtId="0" fontId="11" fillId="5" borderId="7" xfId="0" applyFont="1" applyFill="1" applyBorder="1" applyAlignment="1">
      <alignment horizontal="center"/>
    </xf>
    <xf numFmtId="0" fontId="11" fillId="5" borderId="7" xfId="0" applyFont="1" applyFill="1" applyBorder="1"/>
    <xf numFmtId="166" fontId="22" fillId="3" borderId="54" xfId="0" applyNumberFormat="1" applyFont="1" applyFill="1" applyBorder="1" applyAlignment="1" applyProtection="1">
      <alignment horizontal="center" vertical="center"/>
      <protection locked="0"/>
    </xf>
    <xf numFmtId="166" fontId="22" fillId="3" borderId="7" xfId="3" applyNumberFormat="1" applyFont="1" applyFill="1" applyBorder="1" applyAlignment="1">
      <alignment horizontal="center" vertical="center"/>
    </xf>
    <xf numFmtId="0" fontId="25" fillId="3" borderId="0" xfId="0" applyFont="1" applyFill="1"/>
    <xf numFmtId="0" fontId="11" fillId="5" borderId="55" xfId="0" applyFont="1" applyFill="1" applyBorder="1" applyAlignment="1">
      <alignment horizontal="center" vertical="center"/>
    </xf>
    <xf numFmtId="0" fontId="11" fillId="5" borderId="56" xfId="0" applyFont="1" applyFill="1" applyBorder="1" applyAlignment="1">
      <alignment horizontal="center" vertical="center" wrapText="1"/>
    </xf>
    <xf numFmtId="0" fontId="11" fillId="5" borderId="57" xfId="0" applyFont="1" applyFill="1" applyBorder="1" applyAlignment="1">
      <alignment horizontal="center" vertical="center" wrapText="1"/>
    </xf>
    <xf numFmtId="0" fontId="11" fillId="5" borderId="58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2" fontId="21" fillId="3" borderId="59" xfId="0" applyNumberFormat="1" applyFont="1" applyFill="1" applyBorder="1" applyAlignment="1">
      <alignment vertical="center"/>
    </xf>
    <xf numFmtId="2" fontId="21" fillId="3" borderId="60" xfId="0" applyNumberFormat="1" applyFont="1" applyFill="1" applyBorder="1" applyAlignment="1" applyProtection="1">
      <alignment vertical="center"/>
      <protection hidden="1"/>
    </xf>
    <xf numFmtId="0" fontId="22" fillId="3" borderId="60" xfId="0" applyFont="1" applyFill="1" applyBorder="1"/>
    <xf numFmtId="0" fontId="14" fillId="3" borderId="7" xfId="3" applyFont="1" applyFill="1" applyBorder="1" applyAlignment="1">
      <alignment vertical="center"/>
    </xf>
    <xf numFmtId="0" fontId="14" fillId="5" borderId="7" xfId="3" applyFont="1" applyFill="1" applyBorder="1" applyAlignment="1">
      <alignment vertical="center"/>
    </xf>
    <xf numFmtId="0" fontId="11" fillId="0" borderId="7" xfId="3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/>
    </xf>
    <xf numFmtId="0" fontId="11" fillId="3" borderId="0" xfId="3" applyFill="1"/>
    <xf numFmtId="0" fontId="11" fillId="3" borderId="0" xfId="3" applyFill="1" applyAlignment="1">
      <alignment horizontal="left"/>
    </xf>
    <xf numFmtId="11" fontId="11" fillId="3" borderId="0" xfId="3" applyNumberFormat="1" applyFill="1" applyAlignment="1">
      <alignment horizontal="center"/>
    </xf>
    <xf numFmtId="0" fontId="11" fillId="3" borderId="0" xfId="3" quotePrefix="1" applyFill="1" applyAlignment="1">
      <alignment horizontal="left"/>
    </xf>
    <xf numFmtId="0" fontId="19" fillId="3" borderId="7" xfId="3" applyFont="1" applyFill="1" applyBorder="1"/>
    <xf numFmtId="0" fontId="19" fillId="3" borderId="7" xfId="3" applyFont="1" applyFill="1" applyBorder="1" applyAlignment="1">
      <alignment horizontal="center"/>
    </xf>
    <xf numFmtId="164" fontId="50" fillId="3" borderId="7" xfId="3" applyNumberFormat="1" applyFont="1" applyFill="1" applyBorder="1" applyAlignment="1" applyProtection="1">
      <alignment horizontal="center"/>
      <protection locked="0"/>
    </xf>
    <xf numFmtId="164" fontId="11" fillId="3" borderId="0" xfId="3" applyNumberFormat="1" applyFill="1"/>
    <xf numFmtId="0" fontId="11" fillId="3" borderId="7" xfId="3" applyFill="1" applyBorder="1" applyAlignment="1">
      <alignment horizontal="center"/>
    </xf>
    <xf numFmtId="168" fontId="11" fillId="3" borderId="7" xfId="3" applyNumberFormat="1" applyFill="1" applyBorder="1" applyAlignment="1">
      <alignment horizontal="center"/>
    </xf>
    <xf numFmtId="0" fontId="11" fillId="3" borderId="8" xfId="3" applyFill="1" applyBorder="1"/>
    <xf numFmtId="0" fontId="11" fillId="3" borderId="10" xfId="3" applyFill="1" applyBorder="1" applyAlignment="1">
      <alignment vertical="center"/>
    </xf>
    <xf numFmtId="0" fontId="11" fillId="3" borderId="0" xfId="3" applyFill="1" applyAlignment="1">
      <alignment vertical="center"/>
    </xf>
    <xf numFmtId="1" fontId="42" fillId="3" borderId="70" xfId="0" applyNumberFormat="1" applyFont="1" applyFill="1" applyBorder="1" applyAlignment="1">
      <alignment horizontal="center" vertical="center"/>
    </xf>
    <xf numFmtId="0" fontId="25" fillId="3" borderId="0" xfId="3" applyFont="1" applyFill="1" applyAlignment="1">
      <alignment horizontal="left"/>
    </xf>
    <xf numFmtId="0" fontId="25" fillId="3" borderId="0" xfId="3" applyFont="1" applyFill="1"/>
    <xf numFmtId="0" fontId="11" fillId="3" borderId="0" xfId="3" applyFill="1" applyAlignment="1" applyProtection="1">
      <alignment horizontal="center" vertical="center"/>
      <protection locked="0"/>
    </xf>
    <xf numFmtId="0" fontId="0" fillId="3" borderId="8" xfId="0" applyFill="1" applyBorder="1"/>
    <xf numFmtId="0" fontId="11" fillId="3" borderId="11" xfId="3" applyFill="1" applyBorder="1" applyAlignment="1">
      <alignment horizontal="right" vertical="center" indent="1"/>
    </xf>
    <xf numFmtId="0" fontId="11" fillId="3" borderId="9" xfId="3" applyFill="1" applyBorder="1"/>
    <xf numFmtId="0" fontId="11" fillId="3" borderId="11" xfId="3" applyFill="1" applyBorder="1" applyAlignment="1">
      <alignment horizontal="left"/>
    </xf>
    <xf numFmtId="2" fontId="11" fillId="3" borderId="7" xfId="3" applyNumberFormat="1" applyFill="1" applyBorder="1" applyAlignment="1">
      <alignment horizontal="center" vertical="center"/>
    </xf>
    <xf numFmtId="168" fontId="11" fillId="3" borderId="7" xfId="3" applyNumberFormat="1" applyFill="1" applyBorder="1" applyAlignment="1">
      <alignment horizontal="center" vertical="center"/>
    </xf>
    <xf numFmtId="17" fontId="38" fillId="3" borderId="0" xfId="0" applyNumberFormat="1" applyFont="1" applyFill="1" applyAlignment="1">
      <alignment horizontal="center"/>
    </xf>
    <xf numFmtId="164" fontId="53" fillId="3" borderId="7" xfId="3" applyNumberFormat="1" applyFont="1" applyFill="1" applyBorder="1" applyAlignment="1" applyProtection="1">
      <alignment horizontal="center" vertical="center"/>
      <protection locked="0"/>
    </xf>
    <xf numFmtId="1" fontId="11" fillId="3" borderId="7" xfId="4" applyNumberFormat="1" applyFill="1" applyBorder="1" applyAlignment="1">
      <alignment horizontal="center" vertical="center"/>
    </xf>
    <xf numFmtId="1" fontId="11" fillId="3" borderId="40" xfId="4" applyNumberForma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3" fontId="11" fillId="3" borderId="0" xfId="0" applyNumberFormat="1" applyFont="1" applyFill="1" applyAlignment="1">
      <alignment horizontal="center"/>
    </xf>
    <xf numFmtId="0" fontId="11" fillId="3" borderId="7" xfId="0" applyFont="1" applyFill="1" applyBorder="1" applyAlignment="1">
      <alignment horizontal="left" vertical="center" wrapText="1"/>
    </xf>
    <xf numFmtId="168" fontId="11" fillId="3" borderId="7" xfId="0" applyNumberFormat="1" applyFont="1" applyFill="1" applyBorder="1" applyAlignment="1">
      <alignment horizontal="center" vertical="center"/>
    </xf>
    <xf numFmtId="2" fontId="22" fillId="3" borderId="17" xfId="3" applyNumberFormat="1" applyFont="1" applyFill="1" applyBorder="1" applyAlignment="1">
      <alignment horizontal="center" vertical="center"/>
    </xf>
    <xf numFmtId="2" fontId="22" fillId="3" borderId="17" xfId="3" applyNumberFormat="1" applyFont="1" applyFill="1" applyBorder="1" applyAlignment="1">
      <alignment vertical="center"/>
    </xf>
    <xf numFmtId="0" fontId="0" fillId="0" borderId="17" xfId="0" applyBorder="1"/>
    <xf numFmtId="166" fontId="22" fillId="3" borderId="17" xfId="3" applyNumberFormat="1" applyFont="1" applyFill="1" applyBorder="1" applyAlignment="1">
      <alignment vertical="center"/>
    </xf>
    <xf numFmtId="166" fontId="22" fillId="3" borderId="16" xfId="3" applyNumberFormat="1" applyFont="1" applyFill="1" applyBorder="1" applyAlignment="1">
      <alignment horizontal="center" vertical="center"/>
    </xf>
    <xf numFmtId="164" fontId="22" fillId="5" borderId="7" xfId="3" applyNumberFormat="1" applyFont="1" applyFill="1" applyBorder="1" applyAlignment="1" applyProtection="1">
      <alignment horizontal="center" vertical="center"/>
      <protection locked="0" hidden="1"/>
    </xf>
    <xf numFmtId="164" fontId="22" fillId="3" borderId="7" xfId="3" applyNumberFormat="1" applyFont="1" applyFill="1" applyBorder="1" applyAlignment="1">
      <alignment vertical="center"/>
    </xf>
    <xf numFmtId="0" fontId="11" fillId="5" borderId="7" xfId="3" applyFill="1" applyBorder="1" applyAlignment="1">
      <alignment horizontal="center" vertical="center"/>
    </xf>
    <xf numFmtId="0" fontId="11" fillId="5" borderId="7" xfId="3" applyFill="1" applyBorder="1" applyAlignment="1">
      <alignment horizontal="center" vertical="center" wrapText="1"/>
    </xf>
    <xf numFmtId="2" fontId="21" fillId="3" borderId="7" xfId="0" applyNumberFormat="1" applyFont="1" applyFill="1" applyBorder="1" applyAlignment="1">
      <alignment vertical="center"/>
    </xf>
    <xf numFmtId="0" fontId="22" fillId="3" borderId="7" xfId="0" applyFont="1" applyFill="1" applyBorder="1"/>
    <xf numFmtId="0" fontId="4" fillId="3" borderId="7" xfId="3" applyFont="1" applyFill="1" applyBorder="1" applyAlignment="1">
      <alignment vertical="center" wrapText="1"/>
    </xf>
    <xf numFmtId="166" fontId="22" fillId="3" borderId="7" xfId="0" applyNumberFormat="1" applyFont="1" applyFill="1" applyBorder="1" applyAlignment="1" applyProtection="1">
      <alignment horizontal="center" vertical="center"/>
      <protection locked="0"/>
    </xf>
    <xf numFmtId="164" fontId="22" fillId="5" borderId="7" xfId="0" applyNumberFormat="1" applyFont="1" applyFill="1" applyBorder="1" applyAlignment="1">
      <alignment horizontal="center" vertical="center"/>
    </xf>
    <xf numFmtId="1" fontId="4" fillId="5" borderId="7" xfId="3" applyNumberFormat="1" applyFont="1" applyFill="1" applyBorder="1" applyAlignment="1" applyProtection="1">
      <alignment horizontal="center" vertical="center"/>
      <protection locked="0"/>
    </xf>
    <xf numFmtId="1" fontId="4" fillId="3" borderId="7" xfId="3" applyNumberFormat="1" applyFont="1" applyFill="1" applyBorder="1" applyAlignment="1" applyProtection="1">
      <alignment horizontal="center" vertical="center"/>
      <protection locked="0"/>
    </xf>
    <xf numFmtId="0" fontId="4" fillId="5" borderId="7" xfId="3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2" fontId="40" fillId="3" borderId="7" xfId="0" applyNumberFormat="1" applyFont="1" applyFill="1" applyBorder="1" applyAlignment="1">
      <alignment horizontal="center" vertical="center"/>
    </xf>
    <xf numFmtId="2" fontId="21" fillId="3" borderId="61" xfId="0" applyNumberFormat="1" applyFont="1" applyFill="1" applyBorder="1" applyAlignment="1">
      <alignment vertical="center"/>
    </xf>
    <xf numFmtId="2" fontId="21" fillId="3" borderId="62" xfId="0" applyNumberFormat="1" applyFont="1" applyFill="1" applyBorder="1" applyAlignment="1">
      <alignment vertical="center"/>
    </xf>
    <xf numFmtId="0" fontId="22" fillId="3" borderId="62" xfId="0" applyFont="1" applyFill="1" applyBorder="1"/>
    <xf numFmtId="173" fontId="22" fillId="0" borderId="7" xfId="0" applyNumberFormat="1" applyFont="1" applyBorder="1" applyAlignment="1" applyProtection="1">
      <alignment horizontal="center" vertical="center"/>
      <protection locked="0"/>
    </xf>
    <xf numFmtId="166" fontId="22" fillId="0" borderId="7" xfId="0" applyNumberFormat="1" applyFont="1" applyBorder="1"/>
    <xf numFmtId="2" fontId="22" fillId="0" borderId="7" xfId="0" applyNumberFormat="1" applyFont="1" applyBorder="1" applyAlignment="1" applyProtection="1">
      <alignment vertical="center"/>
      <protection hidden="1"/>
    </xf>
    <xf numFmtId="173" fontId="22" fillId="0" borderId="7" xfId="0" applyNumberFormat="1" applyFont="1" applyBorder="1" applyAlignment="1" applyProtection="1">
      <alignment horizontal="center" vertical="center"/>
      <protection hidden="1"/>
    </xf>
    <xf numFmtId="166" fontId="22" fillId="0" borderId="7" xfId="0" quotePrefix="1" applyNumberFormat="1" applyFont="1" applyBorder="1" applyAlignment="1" applyProtection="1">
      <alignment horizontal="center" vertical="center" wrapText="1"/>
      <protection hidden="1"/>
    </xf>
    <xf numFmtId="173" fontId="22" fillId="0" borderId="7" xfId="0" quotePrefix="1" applyNumberFormat="1" applyFont="1" applyBorder="1" applyAlignment="1" applyProtection="1">
      <alignment horizontal="center" vertical="center"/>
      <protection locked="0"/>
    </xf>
    <xf numFmtId="2" fontId="22" fillId="0" borderId="7" xfId="0" applyNumberFormat="1" applyFont="1" applyBorder="1" applyAlignment="1" applyProtection="1">
      <alignment horizontal="left" vertical="center"/>
      <protection hidden="1"/>
    </xf>
    <xf numFmtId="0" fontId="22" fillId="5" borderId="7" xfId="0" applyFont="1" applyFill="1" applyBorder="1" applyAlignment="1">
      <alignment horizontal="center"/>
    </xf>
    <xf numFmtId="0" fontId="22" fillId="5" borderId="7" xfId="0" quotePrefix="1" applyFont="1" applyFill="1" applyBorder="1" applyAlignment="1" applyProtection="1">
      <alignment horizontal="center" vertical="center"/>
      <protection hidden="1"/>
    </xf>
    <xf numFmtId="2" fontId="22" fillId="5" borderId="7" xfId="0" quotePrefix="1" applyNumberFormat="1" applyFont="1" applyFill="1" applyBorder="1" applyAlignment="1" applyProtection="1">
      <alignment horizontal="center" vertical="center"/>
      <protection hidden="1"/>
    </xf>
    <xf numFmtId="166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0" fontId="21" fillId="5" borderId="14" xfId="3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173" fontId="22" fillId="0" borderId="13" xfId="0" quotePrefix="1" applyNumberFormat="1" applyFont="1" applyBorder="1" applyAlignment="1" applyProtection="1">
      <alignment horizontal="center" vertical="center" wrapText="1"/>
      <protection hidden="1"/>
    </xf>
    <xf numFmtId="0" fontId="21" fillId="5" borderId="14" xfId="0" applyFont="1" applyFill="1" applyBorder="1" applyAlignment="1">
      <alignment vertical="center" wrapText="1"/>
    </xf>
    <xf numFmtId="173" fontId="22" fillId="5" borderId="13" xfId="0" applyNumberFormat="1" applyFont="1" applyFill="1" applyBorder="1" applyAlignment="1" applyProtection="1">
      <alignment horizontal="center" vertical="center"/>
      <protection hidden="1"/>
    </xf>
    <xf numFmtId="0" fontId="21" fillId="3" borderId="39" xfId="0" applyFont="1" applyFill="1" applyBorder="1" applyAlignment="1">
      <alignment vertical="center" wrapText="1"/>
    </xf>
    <xf numFmtId="0" fontId="22" fillId="3" borderId="40" xfId="0" applyFont="1" applyFill="1" applyBorder="1" applyAlignment="1">
      <alignment horizontal="center"/>
    </xf>
    <xf numFmtId="2" fontId="22" fillId="3" borderId="40" xfId="3" quotePrefix="1" applyNumberFormat="1" applyFont="1" applyFill="1" applyBorder="1" applyAlignment="1" applyProtection="1">
      <alignment horizontal="center" vertical="center"/>
      <protection locked="0"/>
    </xf>
    <xf numFmtId="0" fontId="22" fillId="3" borderId="40" xfId="0" quotePrefix="1" applyFont="1" applyFill="1" applyBorder="1" applyAlignment="1">
      <alignment horizontal="center" vertical="center" wrapText="1"/>
    </xf>
    <xf numFmtId="0" fontId="22" fillId="3" borderId="12" xfId="0" quotePrefix="1" applyFont="1" applyFill="1" applyBorder="1" applyAlignment="1">
      <alignment horizontal="center" vertical="center" wrapText="1"/>
    </xf>
    <xf numFmtId="0" fontId="21" fillId="3" borderId="40" xfId="0" applyFont="1" applyFill="1" applyBorder="1" applyAlignment="1">
      <alignment horizontal="center" vertical="center"/>
    </xf>
    <xf numFmtId="2" fontId="54" fillId="3" borderId="7" xfId="0" applyNumberFormat="1" applyFont="1" applyFill="1" applyBorder="1" applyAlignment="1">
      <alignment horizontal="center" vertical="center"/>
    </xf>
    <xf numFmtId="173" fontId="22" fillId="3" borderId="7" xfId="0" applyNumberFormat="1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21" fillId="3" borderId="9" xfId="0" applyFont="1" applyFill="1" applyBorder="1"/>
    <xf numFmtId="2" fontId="42" fillId="6" borderId="0" xfId="0" applyNumberFormat="1" applyFont="1" applyFill="1"/>
    <xf numFmtId="2" fontId="22" fillId="3" borderId="7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2" fontId="21" fillId="3" borderId="63" xfId="0" applyNumberFormat="1" applyFont="1" applyFill="1" applyBorder="1" applyAlignment="1">
      <alignment horizontal="center" vertical="center"/>
    </xf>
    <xf numFmtId="2" fontId="21" fillId="3" borderId="64" xfId="0" applyNumberFormat="1" applyFont="1" applyFill="1" applyBorder="1" applyAlignment="1">
      <alignment horizontal="center" vertical="center"/>
    </xf>
    <xf numFmtId="2" fontId="21" fillId="3" borderId="13" xfId="0" applyNumberFormat="1" applyFont="1" applyFill="1" applyBorder="1" applyAlignment="1">
      <alignment horizontal="center" vertical="center"/>
    </xf>
    <xf numFmtId="2" fontId="21" fillId="3" borderId="16" xfId="0" applyNumberFormat="1" applyFont="1" applyFill="1" applyBorder="1" applyAlignment="1" applyProtection="1">
      <alignment horizontal="center" vertical="center"/>
      <protection hidden="1"/>
    </xf>
    <xf numFmtId="1" fontId="22" fillId="5" borderId="7" xfId="0" applyNumberFormat="1" applyFont="1" applyFill="1" applyBorder="1" applyAlignment="1">
      <alignment horizontal="center" vertical="center"/>
    </xf>
    <xf numFmtId="0" fontId="22" fillId="5" borderId="7" xfId="0" applyFont="1" applyFill="1" applyBorder="1"/>
    <xf numFmtId="0" fontId="22" fillId="5" borderId="7" xfId="3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2" fontId="22" fillId="5" borderId="7" xfId="0" applyNumberFormat="1" applyFont="1" applyFill="1" applyBorder="1" applyAlignment="1">
      <alignment horizontal="center" vertical="center"/>
    </xf>
    <xf numFmtId="166" fontId="22" fillId="5" borderId="7" xfId="0" applyNumberFormat="1" applyFont="1" applyFill="1" applyBorder="1" applyAlignment="1">
      <alignment horizontal="center" vertical="center"/>
    </xf>
    <xf numFmtId="164" fontId="22" fillId="5" borderId="7" xfId="3" applyNumberFormat="1" applyFont="1" applyFill="1" applyBorder="1" applyAlignment="1" applyProtection="1">
      <alignment horizontal="center" vertical="center"/>
      <protection locked="0"/>
    </xf>
    <xf numFmtId="0" fontId="22" fillId="3" borderId="9" xfId="0" applyFont="1" applyFill="1" applyBorder="1" applyAlignment="1">
      <alignment horizontal="center" vertical="center"/>
    </xf>
    <xf numFmtId="166" fontId="22" fillId="5" borderId="7" xfId="3" applyNumberFormat="1" applyFont="1" applyFill="1" applyBorder="1" applyAlignment="1" applyProtection="1">
      <alignment horizontal="center" vertical="center"/>
      <protection locked="0"/>
    </xf>
    <xf numFmtId="0" fontId="22" fillId="5" borderId="9" xfId="0" applyFont="1" applyFill="1" applyBorder="1" applyAlignment="1">
      <alignment horizontal="center" vertical="center"/>
    </xf>
    <xf numFmtId="2" fontId="22" fillId="5" borderId="13" xfId="0" applyNumberFormat="1" applyFont="1" applyFill="1" applyBorder="1" applyAlignment="1" applyProtection="1">
      <alignment horizontal="center" vertical="center"/>
      <protection hidden="1"/>
    </xf>
    <xf numFmtId="173" fontId="22" fillId="5" borderId="7" xfId="0" applyNumberFormat="1" applyFont="1" applyFill="1" applyBorder="1" applyAlignment="1">
      <alignment horizontal="center" vertical="center"/>
    </xf>
    <xf numFmtId="166" fontId="21" fillId="3" borderId="7" xfId="0" applyNumberFormat="1" applyFont="1" applyFill="1" applyBorder="1" applyAlignment="1">
      <alignment horizontal="center" vertical="center"/>
    </xf>
    <xf numFmtId="11" fontId="22" fillId="0" borderId="7" xfId="0" applyNumberFormat="1" applyFont="1" applyBorder="1" applyAlignment="1" applyProtection="1">
      <alignment horizontal="center" vertical="center"/>
      <protection locked="0"/>
    </xf>
    <xf numFmtId="0" fontId="55" fillId="5" borderId="7" xfId="0" applyFont="1" applyFill="1" applyBorder="1" applyAlignment="1" applyProtection="1">
      <alignment horizontal="center" vertical="center"/>
      <protection locked="0"/>
    </xf>
    <xf numFmtId="0" fontId="4" fillId="0" borderId="8" xfId="5" applyFont="1" applyBorder="1" applyAlignment="1">
      <alignment vertical="center"/>
    </xf>
    <xf numFmtId="0" fontId="11" fillId="0" borderId="11" xfId="0" applyFont="1" applyBorder="1" applyAlignment="1" applyProtection="1">
      <alignment vertical="center"/>
      <protection locked="0"/>
    </xf>
    <xf numFmtId="174" fontId="4" fillId="3" borderId="0" xfId="0" applyNumberFormat="1" applyFont="1" applyFill="1" applyAlignment="1">
      <alignment horizontal="left" vertical="center"/>
    </xf>
    <xf numFmtId="166" fontId="22" fillId="3" borderId="32" xfId="0" applyNumberFormat="1" applyFont="1" applyFill="1" applyBorder="1" applyAlignment="1">
      <alignment horizontal="left" vertical="center"/>
    </xf>
    <xf numFmtId="0" fontId="56" fillId="0" borderId="0" xfId="0" applyFont="1" applyAlignment="1" applyProtection="1">
      <alignment vertical="center"/>
      <protection locked="0"/>
    </xf>
    <xf numFmtId="164" fontId="34" fillId="5" borderId="39" xfId="3" applyNumberFormat="1" applyFont="1" applyFill="1" applyBorder="1" applyAlignment="1" applyProtection="1">
      <alignment horizontal="center" vertical="center"/>
      <protection locked="0"/>
    </xf>
    <xf numFmtId="0" fontId="4" fillId="0" borderId="13" xfId="3" applyFont="1" applyBorder="1" applyAlignment="1">
      <alignment horizontal="center" vertical="center"/>
    </xf>
    <xf numFmtId="166" fontId="4" fillId="0" borderId="7" xfId="3" applyNumberFormat="1" applyFont="1" applyBorder="1" applyAlignment="1">
      <alignment horizontal="center" vertical="center"/>
    </xf>
    <xf numFmtId="166" fontId="4" fillId="0" borderId="13" xfId="3" applyNumberFormat="1" applyFont="1" applyBorder="1" applyAlignment="1">
      <alignment horizontal="center" vertical="center"/>
    </xf>
    <xf numFmtId="173" fontId="4" fillId="0" borderId="14" xfId="3" applyNumberFormat="1" applyFont="1" applyBorder="1" applyAlignment="1">
      <alignment horizontal="center" vertical="center"/>
    </xf>
    <xf numFmtId="0" fontId="28" fillId="3" borderId="0" xfId="4" applyFont="1" applyFill="1" applyAlignment="1">
      <alignment horizontal="right" vertical="center"/>
    </xf>
    <xf numFmtId="164" fontId="40" fillId="5" borderId="14" xfId="0" applyNumberFormat="1" applyFont="1" applyFill="1" applyBorder="1" applyAlignment="1" applyProtection="1">
      <alignment horizontal="center" vertical="center"/>
      <protection locked="0"/>
    </xf>
    <xf numFmtId="164" fontId="40" fillId="5" borderId="9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vertical="center" wrapText="1"/>
    </xf>
    <xf numFmtId="2" fontId="22" fillId="0" borderId="7" xfId="0" quotePrefix="1" applyNumberFormat="1" applyFont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>
      <alignment horizontal="center"/>
    </xf>
    <xf numFmtId="164" fontId="11" fillId="3" borderId="7" xfId="0" applyNumberFormat="1" applyFont="1" applyFill="1" applyBorder="1" applyAlignment="1">
      <alignment horizontal="center"/>
    </xf>
    <xf numFmtId="164" fontId="22" fillId="3" borderId="7" xfId="4" applyNumberFormat="1" applyFont="1" applyFill="1" applyBorder="1" applyAlignment="1" applyProtection="1">
      <alignment horizontal="center" vertical="center"/>
      <protection hidden="1"/>
    </xf>
    <xf numFmtId="173" fontId="22" fillId="0" borderId="7" xfId="4" applyNumberFormat="1" applyFont="1" applyBorder="1" applyAlignment="1" applyProtection="1">
      <alignment horizontal="center" vertical="center" wrapText="1"/>
      <protection hidden="1"/>
    </xf>
    <xf numFmtId="168" fontId="22" fillId="3" borderId="7" xfId="0" applyNumberFormat="1" applyFont="1" applyFill="1" applyBorder="1" applyAlignment="1">
      <alignment horizontal="center" vertical="center"/>
    </xf>
    <xf numFmtId="175" fontId="42" fillId="6" borderId="0" xfId="0" applyNumberFormat="1" applyFont="1" applyFill="1"/>
    <xf numFmtId="2" fontId="11" fillId="5" borderId="7" xfId="0" applyNumberFormat="1" applyFont="1" applyFill="1" applyBorder="1" applyAlignment="1">
      <alignment horizontal="center"/>
    </xf>
    <xf numFmtId="173" fontId="11" fillId="5" borderId="7" xfId="0" applyNumberFormat="1" applyFont="1" applyFill="1" applyBorder="1" applyAlignment="1">
      <alignment horizontal="center"/>
    </xf>
    <xf numFmtId="2" fontId="22" fillId="3" borderId="0" xfId="0" applyNumberFormat="1" applyFont="1" applyFill="1" applyAlignment="1">
      <alignment vertical="center"/>
    </xf>
    <xf numFmtId="2" fontId="22" fillId="3" borderId="0" xfId="0" applyNumberFormat="1" applyFont="1" applyFill="1" applyAlignment="1" applyProtection="1">
      <alignment vertical="center"/>
      <protection hidden="1"/>
    </xf>
    <xf numFmtId="0" fontId="22" fillId="3" borderId="0" xfId="0" applyFont="1" applyFill="1"/>
    <xf numFmtId="2" fontId="22" fillId="3" borderId="0" xfId="0" applyNumberFormat="1" applyFont="1" applyFill="1" applyAlignment="1">
      <alignment horizontal="center" vertical="center"/>
    </xf>
    <xf numFmtId="2" fontId="22" fillId="3" borderId="0" xfId="0" applyNumberFormat="1" applyFont="1" applyFill="1" applyAlignment="1" applyProtection="1">
      <alignment horizontal="center" vertical="center"/>
      <protection hidden="1"/>
    </xf>
    <xf numFmtId="11" fontId="22" fillId="5" borderId="7" xfId="4" applyNumberFormat="1" applyFont="1" applyFill="1" applyBorder="1" applyAlignment="1" applyProtection="1">
      <alignment horizontal="center" vertical="center"/>
      <protection hidden="1"/>
    </xf>
    <xf numFmtId="173" fontId="22" fillId="5" borderId="7" xfId="4" applyNumberFormat="1" applyFont="1" applyFill="1" applyBorder="1" applyAlignment="1" applyProtection="1">
      <alignment horizontal="center" vertical="center" wrapText="1"/>
      <protection hidden="1"/>
    </xf>
    <xf numFmtId="0" fontId="11" fillId="3" borderId="7" xfId="3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vertical="center" wrapText="1"/>
    </xf>
    <xf numFmtId="2" fontId="22" fillId="3" borderId="7" xfId="3" quotePrefix="1" applyNumberFormat="1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>
      <alignment vertical="center" wrapText="1"/>
    </xf>
    <xf numFmtId="2" fontId="21" fillId="3" borderId="7" xfId="0" applyNumberFormat="1" applyFont="1" applyFill="1" applyBorder="1" applyAlignment="1">
      <alignment horizontal="center" vertical="center"/>
    </xf>
    <xf numFmtId="2" fontId="21" fillId="3" borderId="7" xfId="0" applyNumberFormat="1" applyFont="1" applyFill="1" applyBorder="1" applyAlignment="1" applyProtection="1">
      <alignment vertical="center"/>
      <protection hidden="1"/>
    </xf>
    <xf numFmtId="2" fontId="21" fillId="3" borderId="7" xfId="0" applyNumberFormat="1" applyFont="1" applyFill="1" applyBorder="1" applyAlignment="1" applyProtection="1">
      <alignment horizontal="center" vertical="center"/>
      <protection hidden="1"/>
    </xf>
    <xf numFmtId="166" fontId="4" fillId="3" borderId="7" xfId="0" applyNumberFormat="1" applyFont="1" applyFill="1" applyBorder="1" applyAlignment="1">
      <alignment horizontal="left" vertical="center"/>
    </xf>
    <xf numFmtId="166" fontId="14" fillId="5" borderId="7" xfId="0" applyNumberFormat="1" applyFont="1" applyFill="1" applyBorder="1" applyAlignment="1">
      <alignment horizontal="left" vertical="center"/>
    </xf>
    <xf numFmtId="0" fontId="4" fillId="3" borderId="7" xfId="4" applyFont="1" applyFill="1" applyBorder="1" applyAlignment="1">
      <alignment vertical="center" wrapText="1"/>
    </xf>
    <xf numFmtId="173" fontId="0" fillId="0" borderId="7" xfId="0" applyNumberFormat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166" fontId="4" fillId="5" borderId="7" xfId="0" applyNumberFormat="1" applyFont="1" applyFill="1" applyBorder="1" applyAlignment="1">
      <alignment horizontal="left" vertical="center"/>
    </xf>
    <xf numFmtId="0" fontId="4" fillId="5" borderId="7" xfId="3" applyFont="1" applyFill="1" applyBorder="1" applyAlignment="1">
      <alignment vertical="center" wrapText="1"/>
    </xf>
    <xf numFmtId="166" fontId="54" fillId="5" borderId="7" xfId="0" applyNumberFormat="1" applyFont="1" applyFill="1" applyBorder="1" applyAlignment="1">
      <alignment horizontal="center" vertical="center"/>
    </xf>
    <xf numFmtId="0" fontId="22" fillId="5" borderId="7" xfId="3" applyFont="1" applyFill="1" applyBorder="1" applyAlignment="1">
      <alignment horizontal="left" vertical="center" wrapText="1"/>
    </xf>
    <xf numFmtId="166" fontId="22" fillId="5" borderId="7" xfId="3" quotePrefix="1" applyNumberFormat="1" applyFont="1" applyFill="1" applyBorder="1" applyAlignment="1" applyProtection="1">
      <alignment horizontal="center" vertical="center"/>
      <protection locked="0"/>
    </xf>
    <xf numFmtId="2" fontId="22" fillId="5" borderId="7" xfId="3" applyNumberFormat="1" applyFont="1" applyFill="1" applyBorder="1" applyAlignment="1" applyProtection="1">
      <alignment vertical="center"/>
      <protection hidden="1"/>
    </xf>
    <xf numFmtId="166" fontId="22" fillId="5" borderId="7" xfId="3" applyNumberFormat="1" applyFont="1" applyFill="1" applyBorder="1" applyAlignment="1" applyProtection="1">
      <alignment horizontal="center" vertical="center"/>
      <protection hidden="1"/>
    </xf>
    <xf numFmtId="173" fontId="22" fillId="5" borderId="7" xfId="3" quotePrefix="1" applyNumberFormat="1" applyFont="1" applyFill="1" applyBorder="1" applyAlignment="1" applyProtection="1">
      <alignment horizontal="center" vertical="center" wrapText="1"/>
      <protection hidden="1"/>
    </xf>
    <xf numFmtId="173" fontId="22" fillId="5" borderId="7" xfId="3" applyNumberFormat="1" applyFont="1" applyFill="1" applyBorder="1" applyAlignment="1">
      <alignment horizontal="center" vertical="center"/>
    </xf>
    <xf numFmtId="2" fontId="22" fillId="3" borderId="7" xfId="0" applyNumberFormat="1" applyFont="1" applyFill="1" applyBorder="1" applyAlignment="1">
      <alignment vertical="center"/>
    </xf>
    <xf numFmtId="2" fontId="22" fillId="3" borderId="7" xfId="0" applyNumberFormat="1" applyFont="1" applyFill="1" applyBorder="1" applyAlignment="1" applyProtection="1">
      <alignment horizontal="center" vertical="center"/>
      <protection hidden="1"/>
    </xf>
    <xf numFmtId="0" fontId="22" fillId="0" borderId="7" xfId="3" applyFont="1" applyBorder="1" applyAlignment="1">
      <alignment horizontal="center" vertical="center" wrapText="1"/>
    </xf>
    <xf numFmtId="2" fontId="22" fillId="3" borderId="15" xfId="3" applyNumberFormat="1" applyFont="1" applyFill="1" applyBorder="1" applyAlignment="1">
      <alignment vertical="center"/>
    </xf>
    <xf numFmtId="0" fontId="42" fillId="6" borderId="0" xfId="0" applyFont="1" applyFill="1" applyAlignment="1">
      <alignment horizontal="center" vertical="center"/>
    </xf>
    <xf numFmtId="176" fontId="42" fillId="6" borderId="0" xfId="0" applyNumberFormat="1" applyFont="1" applyFill="1" applyAlignment="1">
      <alignment horizontal="center" vertical="center"/>
    </xf>
    <xf numFmtId="14" fontId="42" fillId="6" borderId="0" xfId="0" applyNumberFormat="1" applyFont="1" applyFill="1" applyAlignment="1">
      <alignment horizontal="center" vertical="center"/>
    </xf>
    <xf numFmtId="0" fontId="44" fillId="6" borderId="3" xfId="0" applyFont="1" applyFill="1" applyBorder="1"/>
    <xf numFmtId="0" fontId="44" fillId="6" borderId="2" xfId="0" applyFont="1" applyFill="1" applyBorder="1"/>
    <xf numFmtId="0" fontId="11" fillId="3" borderId="4" xfId="0" applyFont="1" applyFill="1" applyBorder="1"/>
    <xf numFmtId="0" fontId="11" fillId="3" borderId="5" xfId="0" applyFont="1" applyFill="1" applyBorder="1"/>
    <xf numFmtId="0" fontId="11" fillId="3" borderId="23" xfId="0" applyFont="1" applyFill="1" applyBorder="1"/>
    <xf numFmtId="0" fontId="11" fillId="3" borderId="21" xfId="0" applyFont="1" applyFill="1" applyBorder="1"/>
    <xf numFmtId="166" fontId="4" fillId="0" borderId="7" xfId="0" applyNumberFormat="1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vertical="center"/>
      <protection locked="0"/>
    </xf>
    <xf numFmtId="164" fontId="22" fillId="3" borderId="7" xfId="0" applyNumberFormat="1" applyFont="1" applyFill="1" applyBorder="1" applyAlignment="1" applyProtection="1">
      <alignment horizontal="center" vertical="center"/>
      <protection locked="0"/>
    </xf>
    <xf numFmtId="0" fontId="30" fillId="3" borderId="0" xfId="0" applyFont="1" applyFill="1"/>
    <xf numFmtId="0" fontId="44" fillId="3" borderId="0" xfId="0" applyFont="1" applyFill="1"/>
    <xf numFmtId="15" fontId="11" fillId="3" borderId="7" xfId="0" applyNumberFormat="1" applyFont="1" applyFill="1" applyBorder="1" applyAlignment="1" applyProtection="1">
      <alignment horizontal="center"/>
      <protection locked="0"/>
    </xf>
    <xf numFmtId="0" fontId="4" fillId="3" borderId="7" xfId="0" applyFont="1" applyFill="1" applyBorder="1" applyAlignment="1">
      <alignment vertical="center" wrapText="1"/>
    </xf>
    <xf numFmtId="0" fontId="50" fillId="3" borderId="7" xfId="0" applyFont="1" applyFill="1" applyBorder="1" applyAlignment="1" applyProtection="1">
      <alignment horizontal="center" vertical="center"/>
      <protection locked="0"/>
    </xf>
    <xf numFmtId="173" fontId="11" fillId="3" borderId="7" xfId="0" applyNumberFormat="1" applyFont="1" applyFill="1" applyBorder="1" applyAlignment="1">
      <alignment horizontal="center" vertical="center"/>
    </xf>
    <xf numFmtId="173" fontId="50" fillId="3" borderId="7" xfId="0" applyNumberFormat="1" applyFont="1" applyFill="1" applyBorder="1" applyAlignment="1" applyProtection="1">
      <alignment horizontal="center" vertical="center"/>
      <protection locked="0"/>
    </xf>
    <xf numFmtId="1" fontId="11" fillId="3" borderId="0" xfId="4" applyNumberFormat="1" applyFill="1" applyAlignment="1">
      <alignment horizontal="center" vertical="center"/>
    </xf>
    <xf numFmtId="2" fontId="11" fillId="3" borderId="0" xfId="4" applyNumberFormat="1" applyFill="1" applyAlignment="1">
      <alignment horizontal="center" vertical="center"/>
    </xf>
    <xf numFmtId="0" fontId="57" fillId="3" borderId="0" xfId="0" applyFont="1" applyFill="1"/>
    <xf numFmtId="0" fontId="11" fillId="3" borderId="0" xfId="4" applyFill="1"/>
    <xf numFmtId="0" fontId="11" fillId="3" borderId="7" xfId="0" applyFont="1" applyFill="1" applyBorder="1" applyAlignment="1">
      <alignment horizontal="center" wrapText="1"/>
    </xf>
    <xf numFmtId="1" fontId="22" fillId="0" borderId="7" xfId="3" applyNumberFormat="1" applyFont="1" applyBorder="1" applyAlignment="1">
      <alignment horizontal="center" vertical="center"/>
    </xf>
    <xf numFmtId="164" fontId="22" fillId="7" borderId="7" xfId="0" applyNumberFormat="1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0" fontId="58" fillId="0" borderId="7" xfId="0" applyFont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vertical="center"/>
    </xf>
    <xf numFmtId="1" fontId="42" fillId="6" borderId="7" xfId="0" applyNumberFormat="1" applyFont="1" applyFill="1" applyBorder="1" applyAlignment="1">
      <alignment horizontal="center"/>
    </xf>
    <xf numFmtId="0" fontId="21" fillId="3" borderId="0" xfId="0" applyFont="1" applyFill="1"/>
    <xf numFmtId="0" fontId="59" fillId="6" borderId="0" xfId="0" applyFont="1" applyFill="1" applyAlignment="1">
      <alignment horizontal="center" vertical="center"/>
    </xf>
    <xf numFmtId="0" fontId="59" fillId="6" borderId="0" xfId="0" applyFont="1" applyFill="1"/>
    <xf numFmtId="0" fontId="40" fillId="3" borderId="0" xfId="0" applyFont="1" applyFill="1" applyAlignment="1">
      <alignment horizontal="center" vertical="center"/>
    </xf>
    <xf numFmtId="2" fontId="54" fillId="3" borderId="0" xfId="0" applyNumberFormat="1" applyFont="1" applyFill="1" applyAlignment="1">
      <alignment horizontal="center" vertical="center"/>
    </xf>
    <xf numFmtId="2" fontId="40" fillId="3" borderId="0" xfId="0" applyNumberFormat="1" applyFont="1" applyFill="1" applyAlignment="1">
      <alignment horizontal="center" vertical="center"/>
    </xf>
    <xf numFmtId="173" fontId="22" fillId="3" borderId="0" xfId="0" applyNumberFormat="1" applyFont="1" applyFill="1" applyAlignment="1">
      <alignment horizontal="center" vertical="center"/>
    </xf>
    <xf numFmtId="0" fontId="32" fillId="6" borderId="0" xfId="0" applyFont="1" applyFill="1"/>
    <xf numFmtId="0" fontId="21" fillId="3" borderId="0" xfId="0" applyFont="1" applyFill="1" applyAlignment="1">
      <alignment horizontal="left" vertical="center"/>
    </xf>
    <xf numFmtId="2" fontId="0" fillId="3" borderId="7" xfId="0" applyNumberFormat="1" applyFill="1" applyBorder="1" applyAlignment="1">
      <alignment horizontal="center" vertical="center"/>
    </xf>
    <xf numFmtId="173" fontId="11" fillId="3" borderId="7" xfId="0" applyNumberFormat="1" applyFont="1" applyFill="1" applyBorder="1" applyAlignment="1">
      <alignment horizontal="center"/>
    </xf>
    <xf numFmtId="11" fontId="42" fillId="3" borderId="0" xfId="0" applyNumberFormat="1" applyFont="1" applyFill="1" applyAlignment="1">
      <alignment horizontal="center" vertical="center"/>
    </xf>
    <xf numFmtId="11" fontId="42" fillId="6" borderId="0" xfId="0" applyNumberFormat="1" applyFont="1" applyFill="1" applyAlignment="1">
      <alignment horizontal="center"/>
    </xf>
    <xf numFmtId="0" fontId="21" fillId="0" borderId="7" xfId="0" applyFont="1" applyBorder="1" applyAlignment="1" applyProtection="1">
      <alignment horizontal="center" vertical="center"/>
      <protection locked="0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alignment vertical="center"/>
      <protection locked="0"/>
    </xf>
    <xf numFmtId="0" fontId="21" fillId="0" borderId="9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23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6" fillId="0" borderId="21" xfId="0" applyFont="1" applyBorder="1" applyAlignment="1" applyProtection="1">
      <alignment vertical="center"/>
      <protection locked="0"/>
    </xf>
    <xf numFmtId="0" fontId="42" fillId="6" borderId="8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11" fillId="3" borderId="11" xfId="0" applyFont="1" applyFill="1" applyBorder="1"/>
    <xf numFmtId="0" fontId="11" fillId="3" borderId="9" xfId="0" applyFont="1" applyFill="1" applyBorder="1"/>
    <xf numFmtId="0" fontId="42" fillId="6" borderId="77" xfId="0" applyFont="1" applyFill="1" applyBorder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2" fillId="6" borderId="73" xfId="0" applyFont="1" applyFill="1" applyBorder="1"/>
    <xf numFmtId="0" fontId="44" fillId="6" borderId="11" xfId="0" applyFont="1" applyFill="1" applyBorder="1" applyAlignment="1">
      <alignment vertical="center"/>
    </xf>
    <xf numFmtId="0" fontId="42" fillId="6" borderId="11" xfId="0" applyFont="1" applyFill="1" applyBorder="1"/>
    <xf numFmtId="0" fontId="42" fillId="6" borderId="9" xfId="0" applyFont="1" applyFill="1" applyBorder="1"/>
    <xf numFmtId="0" fontId="3" fillId="6" borderId="0" xfId="0" applyFont="1" applyFill="1"/>
    <xf numFmtId="0" fontId="3" fillId="3" borderId="0" xfId="0" applyFont="1" applyFill="1"/>
    <xf numFmtId="0" fontId="62" fillId="3" borderId="0" xfId="0" applyFont="1" applyFill="1"/>
    <xf numFmtId="15" fontId="3" fillId="3" borderId="7" xfId="0" applyNumberFormat="1" applyFont="1" applyFill="1" applyBorder="1" applyAlignment="1" applyProtection="1">
      <alignment horizontal="center"/>
      <protection locked="0"/>
    </xf>
    <xf numFmtId="17" fontId="3" fillId="3" borderId="0" xfId="0" applyNumberFormat="1" applyFont="1" applyFill="1" applyAlignment="1">
      <alignment horizontal="center"/>
    </xf>
    <xf numFmtId="0" fontId="63" fillId="3" borderId="0" xfId="0" applyFont="1" applyFill="1"/>
    <xf numFmtId="0" fontId="3" fillId="3" borderId="7" xfId="0" applyFont="1" applyFill="1" applyBorder="1" applyAlignment="1">
      <alignment horizontal="left" vertical="center" wrapText="1"/>
    </xf>
    <xf numFmtId="0" fontId="22" fillId="3" borderId="7" xfId="0" applyFont="1" applyFill="1" applyBorder="1" applyAlignment="1" applyProtection="1">
      <alignment horizontal="center" vertical="center"/>
      <protection locked="0"/>
    </xf>
    <xf numFmtId="0" fontId="50" fillId="3" borderId="7" xfId="3" applyFont="1" applyFill="1" applyBorder="1" applyAlignment="1" applyProtection="1">
      <alignment horizontal="center" vertical="center"/>
      <protection locked="0"/>
    </xf>
    <xf numFmtId="177" fontId="34" fillId="5" borderId="39" xfId="3" applyNumberFormat="1" applyFont="1" applyFill="1" applyBorder="1" applyAlignment="1" applyProtection="1">
      <alignment horizontal="center" vertical="center"/>
      <protection locked="0"/>
    </xf>
    <xf numFmtId="177" fontId="40" fillId="5" borderId="14" xfId="0" applyNumberFormat="1" applyFont="1" applyFill="1" applyBorder="1" applyAlignment="1" applyProtection="1">
      <alignment horizontal="center" vertical="center"/>
      <protection locked="0"/>
    </xf>
    <xf numFmtId="178" fontId="4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19" fillId="3" borderId="3" xfId="0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19" fillId="3" borderId="2" xfId="0" applyFont="1" applyFill="1" applyBorder="1" applyAlignment="1">
      <alignment vertical="center"/>
    </xf>
    <xf numFmtId="0" fontId="19" fillId="3" borderId="4" xfId="0" applyFont="1" applyFill="1" applyBorder="1" applyAlignment="1">
      <alignment vertical="center"/>
    </xf>
    <xf numFmtId="0" fontId="19" fillId="3" borderId="5" xfId="0" applyFont="1" applyFill="1" applyBorder="1" applyAlignment="1">
      <alignment vertical="center"/>
    </xf>
    <xf numFmtId="0" fontId="19" fillId="3" borderId="23" xfId="0" applyFont="1" applyFill="1" applyBorder="1" applyAlignment="1">
      <alignment vertical="center"/>
    </xf>
    <xf numFmtId="0" fontId="19" fillId="3" borderId="10" xfId="0" applyFont="1" applyFill="1" applyBorder="1" applyAlignment="1">
      <alignment vertical="center"/>
    </xf>
    <xf numFmtId="0" fontId="19" fillId="3" borderId="21" xfId="0" applyFont="1" applyFill="1" applyBorder="1" applyAlignment="1">
      <alignment vertical="center"/>
    </xf>
    <xf numFmtId="0" fontId="22" fillId="3" borderId="40" xfId="0" applyFont="1" applyFill="1" applyBorder="1" applyAlignment="1">
      <alignment horizontal="center" vertical="center"/>
    </xf>
    <xf numFmtId="0" fontId="40" fillId="3" borderId="0" xfId="0" applyFont="1" applyFill="1" applyAlignment="1">
      <alignment vertical="center"/>
    </xf>
    <xf numFmtId="164" fontId="22" fillId="3" borderId="0" xfId="0" applyNumberFormat="1" applyFont="1" applyFill="1" applyAlignment="1">
      <alignment horizontal="left" vertical="center"/>
    </xf>
    <xf numFmtId="0" fontId="4" fillId="3" borderId="4" xfId="3" applyFont="1" applyFill="1" applyBorder="1" applyAlignment="1">
      <alignment horizontal="left" vertical="center"/>
    </xf>
    <xf numFmtId="0" fontId="22" fillId="3" borderId="0" xfId="3" applyFont="1" applyFill="1" applyAlignment="1">
      <alignment horizontal="left" vertical="center" wrapText="1"/>
    </xf>
    <xf numFmtId="0" fontId="22" fillId="3" borderId="0" xfId="3" applyFont="1" applyFill="1" applyAlignment="1">
      <alignment horizontal="center" vertical="center" wrapText="1"/>
    </xf>
    <xf numFmtId="0" fontId="21" fillId="3" borderId="7" xfId="0" quotePrefix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20" fontId="22" fillId="3" borderId="7" xfId="0" quotePrefix="1" applyNumberFormat="1" applyFont="1" applyFill="1" applyBorder="1" applyAlignment="1">
      <alignment horizontal="center" vertical="center"/>
    </xf>
    <xf numFmtId="20" fontId="21" fillId="3" borderId="7" xfId="0" quotePrefix="1" applyNumberFormat="1" applyFont="1" applyFill="1" applyBorder="1" applyAlignment="1">
      <alignment horizontal="center" vertical="center"/>
    </xf>
    <xf numFmtId="0" fontId="22" fillId="3" borderId="0" xfId="0" applyFont="1" applyFill="1" applyAlignment="1" applyProtection="1">
      <alignment vertical="center"/>
      <protection hidden="1"/>
    </xf>
    <xf numFmtId="179" fontId="13" fillId="3" borderId="0" xfId="0" applyNumberFormat="1" applyFont="1" applyFill="1" applyAlignment="1" applyProtection="1">
      <alignment horizontal="center" vertical="center"/>
      <protection hidden="1"/>
    </xf>
    <xf numFmtId="0" fontId="21" fillId="3" borderId="0" xfId="5" applyFont="1" applyFill="1" applyAlignment="1">
      <alignment vertical="center"/>
    </xf>
    <xf numFmtId="0" fontId="21" fillId="3" borderId="0" xfId="5" applyFont="1" applyFill="1" applyAlignment="1">
      <alignment horizontal="center" vertical="center"/>
    </xf>
    <xf numFmtId="0" fontId="22" fillId="3" borderId="0" xfId="0" applyFont="1" applyFill="1" applyAlignment="1">
      <alignment horizontal="left" vertical="center" wrapText="1"/>
    </xf>
    <xf numFmtId="17" fontId="22" fillId="3" borderId="0" xfId="0" applyNumberFormat="1" applyFont="1" applyFill="1" applyAlignment="1">
      <alignment vertical="center"/>
    </xf>
    <xf numFmtId="0" fontId="21" fillId="3" borderId="3" xfId="5" applyFont="1" applyFill="1" applyBorder="1" applyAlignment="1">
      <alignment vertical="center"/>
    </xf>
    <xf numFmtId="0" fontId="21" fillId="3" borderId="1" xfId="5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17" fontId="22" fillId="3" borderId="1" xfId="0" applyNumberFormat="1" applyFont="1" applyFill="1" applyBorder="1" applyAlignment="1">
      <alignment vertical="center"/>
    </xf>
    <xf numFmtId="0" fontId="22" fillId="3" borderId="1" xfId="0" applyFont="1" applyFill="1" applyBorder="1" applyProtection="1">
      <protection hidden="1"/>
    </xf>
    <xf numFmtId="0" fontId="22" fillId="3" borderId="2" xfId="0" applyFont="1" applyFill="1" applyBorder="1" applyProtection="1">
      <protection hidden="1"/>
    </xf>
    <xf numFmtId="0" fontId="22" fillId="3" borderId="4" xfId="0" applyFont="1" applyFill="1" applyBorder="1" applyAlignment="1">
      <alignment horizontal="left" vertical="center"/>
    </xf>
    <xf numFmtId="0" fontId="22" fillId="3" borderId="0" xfId="0" applyFont="1" applyFill="1" applyAlignment="1" applyProtection="1">
      <alignment horizontal="left" vertical="center"/>
      <protection hidden="1"/>
    </xf>
    <xf numFmtId="166" fontId="22" fillId="3" borderId="0" xfId="0" applyNumberFormat="1" applyFont="1" applyFill="1" applyAlignment="1">
      <alignment vertical="center"/>
    </xf>
    <xf numFmtId="0" fontId="22" fillId="3" borderId="4" xfId="0" applyFont="1" applyFill="1" applyBorder="1" applyAlignment="1">
      <alignment horizontal="right" vertical="center"/>
    </xf>
    <xf numFmtId="0" fontId="22" fillId="3" borderId="0" xfId="0" applyFont="1" applyFill="1" applyAlignment="1" applyProtection="1">
      <alignment horizontal="right" vertical="center"/>
      <protection hidden="1"/>
    </xf>
    <xf numFmtId="0" fontId="22" fillId="3" borderId="23" xfId="0" applyFont="1" applyFill="1" applyBorder="1" applyAlignment="1">
      <alignment horizontal="left" vertical="center"/>
    </xf>
    <xf numFmtId="0" fontId="22" fillId="3" borderId="10" xfId="0" applyFont="1" applyFill="1" applyBorder="1" applyAlignment="1">
      <alignment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22" fillId="3" borderId="5" xfId="3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left" vertical="center"/>
    </xf>
    <xf numFmtId="164" fontId="22" fillId="3" borderId="0" xfId="0" applyNumberFormat="1" applyFont="1" applyFill="1" applyAlignment="1">
      <alignment vertical="center"/>
    </xf>
    <xf numFmtId="0" fontId="22" fillId="3" borderId="52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78" xfId="0" applyFont="1" applyFill="1" applyBorder="1" applyAlignment="1">
      <alignment horizontal="center" vertical="center"/>
    </xf>
    <xf numFmtId="0" fontId="22" fillId="3" borderId="8" xfId="0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Protection="1">
      <protection hidden="1"/>
    </xf>
    <xf numFmtId="0" fontId="22" fillId="3" borderId="7" xfId="0" quotePrefix="1" applyFont="1" applyFill="1" applyBorder="1" applyAlignment="1">
      <alignment horizontal="center" vertical="center"/>
    </xf>
    <xf numFmtId="0" fontId="22" fillId="3" borderId="7" xfId="0" applyFont="1" applyFill="1" applyBorder="1" applyProtection="1">
      <protection hidden="1"/>
    </xf>
    <xf numFmtId="1" fontId="40" fillId="3" borderId="4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 applyProtection="1">
      <alignment horizontal="left" vertical="center" indent="1"/>
      <protection hidden="1"/>
    </xf>
    <xf numFmtId="0" fontId="4" fillId="3" borderId="11" xfId="0" applyFont="1" applyFill="1" applyBorder="1" applyAlignment="1" applyProtection="1">
      <alignment horizontal="left" vertical="center" indent="1"/>
      <protection hidden="1"/>
    </xf>
    <xf numFmtId="0" fontId="4" fillId="3" borderId="9" xfId="0" applyFont="1" applyFill="1" applyBorder="1" applyAlignment="1" applyProtection="1">
      <alignment horizontal="left" vertical="center" indent="1"/>
      <protection hidden="1"/>
    </xf>
    <xf numFmtId="1" fontId="65" fillId="3" borderId="4" xfId="0" applyNumberFormat="1" applyFont="1" applyFill="1" applyBorder="1" applyAlignment="1">
      <alignment horizontal="center" vertical="center"/>
    </xf>
    <xf numFmtId="0" fontId="65" fillId="3" borderId="4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vertical="center"/>
    </xf>
    <xf numFmtId="164" fontId="22" fillId="3" borderId="10" xfId="0" applyNumberFormat="1" applyFont="1" applyFill="1" applyBorder="1" applyAlignment="1">
      <alignment vertical="center"/>
    </xf>
    <xf numFmtId="0" fontId="22" fillId="3" borderId="8" xfId="0" applyFont="1" applyFill="1" applyBorder="1" applyAlignment="1">
      <alignment vertical="center"/>
    </xf>
    <xf numFmtId="0" fontId="22" fillId="3" borderId="11" xfId="0" applyFont="1" applyFill="1" applyBorder="1" applyAlignment="1">
      <alignment vertical="center"/>
    </xf>
    <xf numFmtId="0" fontId="21" fillId="3" borderId="9" xfId="0" applyFont="1" applyFill="1" applyBorder="1" applyAlignment="1">
      <alignment vertical="center"/>
    </xf>
    <xf numFmtId="0" fontId="22" fillId="3" borderId="21" xfId="0" applyFont="1" applyFill="1" applyBorder="1" applyAlignment="1">
      <alignment vertical="center"/>
    </xf>
    <xf numFmtId="0" fontId="21" fillId="3" borderId="3" xfId="0" applyFont="1" applyFill="1" applyBorder="1" applyAlignment="1" applyProtection="1">
      <alignment horizontal="left" vertical="center"/>
      <protection hidden="1"/>
    </xf>
    <xf numFmtId="0" fontId="21" fillId="3" borderId="1" xfId="0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0" fontId="22" fillId="3" borderId="23" xfId="0" applyFont="1" applyFill="1" applyBorder="1" applyAlignment="1" applyProtection="1">
      <alignment horizontal="left" vertical="center" indent="2"/>
      <protection hidden="1"/>
    </xf>
    <xf numFmtId="0" fontId="21" fillId="3" borderId="0" xfId="0" applyFont="1" applyFill="1" applyAlignment="1" applyProtection="1">
      <alignment vertical="center"/>
      <protection hidden="1"/>
    </xf>
    <xf numFmtId="0" fontId="19" fillId="3" borderId="0" xfId="3" applyFont="1" applyFill="1" applyAlignment="1">
      <alignment horizontal="left"/>
    </xf>
    <xf numFmtId="0" fontId="19" fillId="3" borderId="0" xfId="3" applyFont="1" applyFill="1"/>
    <xf numFmtId="174" fontId="11" fillId="3" borderId="0" xfId="3" applyNumberFormat="1" applyFill="1" applyAlignment="1">
      <alignment horizontal="center" vertical="center"/>
    </xf>
    <xf numFmtId="0" fontId="42" fillId="3" borderId="7" xfId="11" applyFont="1" applyFill="1" applyBorder="1" applyAlignment="1">
      <alignment horizontal="center" vertical="center"/>
    </xf>
    <xf numFmtId="176" fontId="42" fillId="3" borderId="7" xfId="11" quotePrefix="1" applyNumberFormat="1" applyFont="1" applyFill="1" applyBorder="1" applyAlignment="1">
      <alignment horizontal="center" vertical="center"/>
    </xf>
    <xf numFmtId="174" fontId="42" fillId="3" borderId="7" xfId="11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9" fillId="3" borderId="0" xfId="0" applyFont="1" applyFill="1" applyAlignment="1">
      <alignment horizontal="right"/>
    </xf>
    <xf numFmtId="0" fontId="3" fillId="3" borderId="52" xfId="0" applyFont="1" applyFill="1" applyBorder="1" applyAlignment="1">
      <alignment horizontal="left" indent="1"/>
    </xf>
    <xf numFmtId="0" fontId="3" fillId="3" borderId="78" xfId="0" applyFont="1" applyFill="1" applyBorder="1" applyAlignment="1">
      <alignment horizontal="left" indent="1"/>
    </xf>
    <xf numFmtId="0" fontId="0" fillId="3" borderId="78" xfId="0" applyFill="1" applyBorder="1" applyAlignment="1">
      <alignment horizontal="left" indent="1"/>
    </xf>
    <xf numFmtId="16" fontId="0" fillId="3" borderId="78" xfId="0" applyNumberFormat="1" applyFill="1" applyBorder="1" applyAlignment="1">
      <alignment horizontal="left" indent="1"/>
    </xf>
    <xf numFmtId="0" fontId="4" fillId="3" borderId="78" xfId="5" applyFont="1" applyFill="1" applyBorder="1" applyAlignment="1">
      <alignment horizontal="left" vertical="center" indent="1"/>
    </xf>
    <xf numFmtId="0" fontId="4" fillId="3" borderId="40" xfId="5" applyFont="1" applyFill="1" applyBorder="1" applyAlignment="1">
      <alignment horizontal="left" vertical="center" indent="1"/>
    </xf>
    <xf numFmtId="0" fontId="22" fillId="3" borderId="0" xfId="0" applyFont="1" applyFill="1" applyAlignment="1" applyProtection="1">
      <alignment horizontal="left" vertical="center" indent="2"/>
      <protection hidden="1"/>
    </xf>
    <xf numFmtId="21" fontId="22" fillId="3" borderId="7" xfId="0" applyNumberFormat="1" applyFont="1" applyFill="1" applyBorder="1" applyProtection="1">
      <protection hidden="1"/>
    </xf>
    <xf numFmtId="0" fontId="4" fillId="3" borderId="8" xfId="3" applyFont="1" applyFill="1" applyBorder="1" applyAlignment="1">
      <alignment vertical="center"/>
    </xf>
    <xf numFmtId="2" fontId="22" fillId="3" borderId="26" xfId="0" applyNumberFormat="1" applyFont="1" applyFill="1" applyBorder="1" applyAlignment="1">
      <alignment horizontal="center" vertical="center"/>
    </xf>
    <xf numFmtId="2" fontId="22" fillId="3" borderId="29" xfId="0" applyNumberFormat="1" applyFont="1" applyFill="1" applyBorder="1" applyAlignment="1">
      <alignment horizontal="center" vertical="center"/>
    </xf>
    <xf numFmtId="0" fontId="6" fillId="3" borderId="0" xfId="0" applyFont="1" applyFill="1" applyAlignment="1" applyProtection="1">
      <alignment vertical="center"/>
      <protection locked="0"/>
    </xf>
    <xf numFmtId="0" fontId="8" fillId="3" borderId="0" xfId="0" applyFont="1" applyFill="1" applyAlignment="1" applyProtection="1">
      <alignment horizontal="center" vertical="center" wrapText="1"/>
      <protection locked="0"/>
    </xf>
    <xf numFmtId="0" fontId="14" fillId="3" borderId="0" xfId="3" applyFont="1" applyFill="1" applyAlignment="1" applyProtection="1">
      <alignment vertical="center"/>
      <protection locked="0"/>
    </xf>
    <xf numFmtId="0" fontId="19" fillId="3" borderId="0" xfId="0" applyFont="1" applyFill="1" applyAlignment="1" applyProtection="1">
      <alignment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167" fontId="11" fillId="3" borderId="0" xfId="0" applyNumberFormat="1" applyFont="1" applyFill="1" applyAlignment="1" applyProtection="1">
      <alignment vertical="center"/>
      <protection locked="0"/>
    </xf>
    <xf numFmtId="167" fontId="7" fillId="3" borderId="0" xfId="0" applyNumberFormat="1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4" fillId="3" borderId="0" xfId="5" applyFont="1" applyFill="1" applyAlignment="1">
      <alignment horizontal="right" vertical="center" wrapText="1"/>
    </xf>
    <xf numFmtId="178" fontId="4" fillId="3" borderId="0" xfId="5" applyNumberFormat="1" applyFont="1" applyFill="1" applyAlignment="1" applyProtection="1">
      <alignment horizontal="left" vertical="center"/>
      <protection locked="0"/>
    </xf>
    <xf numFmtId="17" fontId="11" fillId="3" borderId="0" xfId="0" applyNumberFormat="1" applyFont="1" applyFill="1" applyAlignment="1" applyProtection="1">
      <alignment horizontal="left" vertical="center"/>
      <protection locked="0"/>
    </xf>
    <xf numFmtId="17" fontId="7" fillId="3" borderId="0" xfId="0" applyNumberFormat="1" applyFont="1" applyFill="1" applyAlignment="1" applyProtection="1">
      <alignment horizontal="left" vertical="center"/>
      <protection locked="0"/>
    </xf>
    <xf numFmtId="172" fontId="4" fillId="3" borderId="0" xfId="0" applyNumberFormat="1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174" fontId="4" fillId="3" borderId="0" xfId="5" applyNumberFormat="1" applyFont="1" applyFill="1" applyAlignment="1" applyProtection="1">
      <alignment horizontal="left" vertical="center"/>
      <protection locked="0"/>
    </xf>
    <xf numFmtId="180" fontId="4" fillId="3" borderId="0" xfId="0" applyNumberFormat="1" applyFont="1" applyFill="1" applyAlignment="1" applyProtection="1">
      <alignment horizontal="left" vertical="center"/>
      <protection locked="0"/>
    </xf>
    <xf numFmtId="0" fontId="18" fillId="3" borderId="10" xfId="0" applyFont="1" applyFill="1" applyBorder="1" applyAlignment="1">
      <alignment vertical="center"/>
    </xf>
    <xf numFmtId="0" fontId="4" fillId="3" borderId="0" xfId="0" applyFont="1" applyFill="1" applyAlignment="1" applyProtection="1">
      <alignment vertical="center"/>
      <protection locked="0"/>
    </xf>
    <xf numFmtId="165" fontId="4" fillId="3" borderId="0" xfId="0" applyNumberFormat="1" applyFont="1" applyFill="1" applyAlignment="1" applyProtection="1">
      <alignment horizontal="left" vertical="center"/>
      <protection locked="0"/>
    </xf>
    <xf numFmtId="0" fontId="15" fillId="3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4" xfId="5" applyFont="1" applyFill="1" applyBorder="1" applyAlignment="1">
      <alignment vertical="center"/>
    </xf>
    <xf numFmtId="0" fontId="17" fillId="3" borderId="0" xfId="0" applyFont="1" applyFill="1" applyAlignment="1" applyProtection="1">
      <alignment vertical="center"/>
      <protection locked="0"/>
    </xf>
    <xf numFmtId="0" fontId="4" fillId="3" borderId="0" xfId="5" applyFont="1" applyFill="1" applyAlignment="1">
      <alignment horizontal="right" vertical="center"/>
    </xf>
    <xf numFmtId="181" fontId="4" fillId="3" borderId="0" xfId="5" applyNumberFormat="1" applyFont="1" applyFill="1" applyAlignment="1" applyProtection="1">
      <alignment horizontal="left" vertical="center"/>
      <protection locked="0"/>
    </xf>
    <xf numFmtId="182" fontId="4" fillId="3" borderId="5" xfId="3" applyNumberFormat="1" applyFont="1" applyFill="1" applyBorder="1" applyAlignment="1" applyProtection="1">
      <alignment horizontal="left" vertical="center"/>
      <protection locked="0"/>
    </xf>
    <xf numFmtId="172" fontId="4" fillId="3" borderId="5" xfId="3" applyNumberFormat="1" applyFont="1" applyFill="1" applyBorder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183" fontId="4" fillId="3" borderId="5" xfId="0" applyNumberFormat="1" applyFont="1" applyFill="1" applyBorder="1" applyAlignment="1" applyProtection="1">
      <alignment vertical="center"/>
      <protection locked="0"/>
    </xf>
    <xf numFmtId="0" fontId="22" fillId="3" borderId="10" xfId="0" applyFont="1" applyFill="1" applyBorder="1" applyAlignment="1" applyProtection="1">
      <alignment vertical="center"/>
      <protection locked="0"/>
    </xf>
    <xf numFmtId="0" fontId="22" fillId="3" borderId="21" xfId="0" applyFont="1" applyFill="1" applyBorder="1" applyAlignment="1" applyProtection="1">
      <alignment vertical="center"/>
      <protection locked="0"/>
    </xf>
    <xf numFmtId="0" fontId="4" fillId="3" borderId="3" xfId="5" applyFont="1" applyFill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 applyProtection="1">
      <alignment horizontal="center" vertical="center"/>
      <protection locked="0"/>
    </xf>
    <xf numFmtId="0" fontId="22" fillId="3" borderId="1" xfId="0" applyFont="1" applyFill="1" applyBorder="1" applyAlignment="1" applyProtection="1">
      <alignment vertical="center"/>
      <protection locked="0"/>
    </xf>
    <xf numFmtId="166" fontId="22" fillId="3" borderId="1" xfId="0" applyNumberFormat="1" applyFont="1" applyFill="1" applyBorder="1" applyAlignment="1" applyProtection="1">
      <alignment vertical="center"/>
      <protection locked="0"/>
    </xf>
    <xf numFmtId="0" fontId="4" fillId="3" borderId="1" xfId="5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16" fillId="3" borderId="4" xfId="5" applyFont="1" applyFill="1" applyBorder="1" applyAlignment="1">
      <alignment vertical="center"/>
    </xf>
    <xf numFmtId="0" fontId="6" fillId="3" borderId="0" xfId="0" quotePrefix="1" applyFont="1" applyFill="1" applyAlignment="1" applyProtection="1">
      <alignment vertical="center"/>
      <protection locked="0"/>
    </xf>
    <xf numFmtId="0" fontId="4" fillId="3" borderId="4" xfId="0" applyFont="1" applyFill="1" applyBorder="1" applyAlignment="1" applyProtection="1">
      <alignment vertical="center"/>
      <protection locked="0"/>
    </xf>
    <xf numFmtId="9" fontId="4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184" fontId="10" fillId="3" borderId="0" xfId="0" applyNumberFormat="1" applyFont="1" applyFill="1" applyAlignment="1" applyProtection="1">
      <alignment vertical="center"/>
      <protection locked="0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36" xfId="0" applyFont="1" applyFill="1" applyBorder="1" applyAlignment="1" applyProtection="1">
      <alignment vertical="center"/>
      <protection locked="0"/>
    </xf>
    <xf numFmtId="164" fontId="11" fillId="3" borderId="0" xfId="3" applyNumberFormat="1" applyFill="1" applyAlignment="1" applyProtection="1">
      <alignment vertical="center"/>
      <protection locked="0"/>
    </xf>
    <xf numFmtId="0" fontId="27" fillId="3" borderId="0" xfId="0" applyFont="1" applyFill="1" applyAlignment="1" applyProtection="1">
      <alignment vertical="center"/>
      <protection locked="0"/>
    </xf>
    <xf numFmtId="0" fontId="22" fillId="3" borderId="0" xfId="0" quotePrefix="1" applyFont="1" applyFill="1" applyAlignment="1" applyProtection="1">
      <alignment vertical="center"/>
      <protection locked="0"/>
    </xf>
    <xf numFmtId="0" fontId="22" fillId="3" borderId="0" xfId="0" applyFont="1" applyFill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vertical="center"/>
      <protection locked="0"/>
    </xf>
    <xf numFmtId="1" fontId="22" fillId="3" borderId="0" xfId="0" applyNumberFormat="1" applyFont="1" applyFill="1" applyAlignment="1" applyProtection="1">
      <alignment vertical="center"/>
      <protection locked="0"/>
    </xf>
    <xf numFmtId="0" fontId="22" fillId="3" borderId="0" xfId="0" applyFont="1" applyFill="1" applyAlignment="1" applyProtection="1">
      <alignment horizontal="right" vertical="center"/>
      <protection locked="0"/>
    </xf>
    <xf numFmtId="184" fontId="55" fillId="5" borderId="7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164" fontId="22" fillId="0" borderId="7" xfId="3" applyNumberFormat="1" applyFont="1" applyBorder="1" applyAlignment="1">
      <alignment vertical="center" wrapText="1"/>
    </xf>
    <xf numFmtId="0" fontId="22" fillId="0" borderId="0" xfId="0" applyFont="1" applyProtection="1">
      <protection hidden="1"/>
    </xf>
    <xf numFmtId="0" fontId="14" fillId="9" borderId="85" xfId="12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84" fontId="4" fillId="3" borderId="0" xfId="0" applyNumberFormat="1" applyFont="1" applyFill="1" applyAlignment="1" applyProtection="1">
      <alignment horizontal="center" vertical="center"/>
      <protection locked="0"/>
    </xf>
    <xf numFmtId="164" fontId="22" fillId="3" borderId="0" xfId="0" applyNumberFormat="1" applyFont="1" applyFill="1" applyAlignment="1" applyProtection="1">
      <alignment vertical="center"/>
      <protection locked="0"/>
    </xf>
    <xf numFmtId="185" fontId="22" fillId="3" borderId="0" xfId="0" applyNumberFormat="1" applyFont="1" applyFill="1" applyAlignment="1" applyProtection="1">
      <alignment vertical="center"/>
      <protection locked="0"/>
    </xf>
    <xf numFmtId="185" fontId="4" fillId="3" borderId="0" xfId="0" applyNumberFormat="1" applyFont="1" applyFill="1" applyAlignment="1" applyProtection="1">
      <alignment vertical="center"/>
      <protection locked="0"/>
    </xf>
    <xf numFmtId="0" fontId="10" fillId="3" borderId="23" xfId="0" applyFont="1" applyFill="1" applyBorder="1" applyAlignment="1" applyProtection="1">
      <alignment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4" fillId="3" borderId="10" xfId="0" applyFont="1" applyFill="1" applyBorder="1" applyAlignment="1">
      <alignment vertical="center"/>
    </xf>
    <xf numFmtId="0" fontId="4" fillId="3" borderId="21" xfId="0" applyFont="1" applyFill="1" applyBorder="1" applyAlignment="1" applyProtection="1">
      <alignment horizontal="center" vertical="center"/>
      <protection locked="0"/>
    </xf>
    <xf numFmtId="1" fontId="54" fillId="3" borderId="7" xfId="0" applyNumberFormat="1" applyFont="1" applyFill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 wrapText="1"/>
      <protection locked="0"/>
    </xf>
    <xf numFmtId="2" fontId="22" fillId="0" borderId="0" xfId="0" applyNumberFormat="1" applyFont="1" applyAlignment="1" applyProtection="1">
      <alignment horizontal="left" vertical="center" indent="1"/>
      <protection locked="0"/>
    </xf>
    <xf numFmtId="164" fontId="22" fillId="0" borderId="0" xfId="0" applyNumberFormat="1" applyFont="1" applyAlignment="1" applyProtection="1">
      <alignment horizontal="left" vertical="center" indent="1"/>
      <protection locked="0"/>
    </xf>
    <xf numFmtId="164" fontId="31" fillId="3" borderId="0" xfId="3" applyNumberFormat="1" applyFont="1" applyFill="1" applyProtection="1">
      <protection locked="0"/>
    </xf>
    <xf numFmtId="164" fontId="54" fillId="3" borderId="7" xfId="0" applyNumberFormat="1" applyFont="1" applyFill="1" applyBorder="1" applyAlignment="1" applyProtection="1">
      <alignment horizontal="center" vertical="center"/>
      <protection locked="0"/>
    </xf>
    <xf numFmtId="2" fontId="54" fillId="3" borderId="7" xfId="0" applyNumberFormat="1" applyFont="1" applyFill="1" applyBorder="1" applyAlignment="1" applyProtection="1">
      <alignment horizontal="center" vertical="center"/>
      <protection locked="0"/>
    </xf>
    <xf numFmtId="0" fontId="54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1" fontId="22" fillId="3" borderId="0" xfId="0" applyNumberFormat="1" applyFont="1" applyFill="1" applyAlignment="1" applyProtection="1">
      <alignment horizontal="center" vertical="center"/>
      <protection locked="0"/>
    </xf>
    <xf numFmtId="164" fontId="22" fillId="3" borderId="0" xfId="0" applyNumberFormat="1" applyFont="1" applyFill="1" applyAlignment="1" applyProtection="1">
      <alignment horizontal="center" vertical="center"/>
      <protection locked="0"/>
    </xf>
    <xf numFmtId="2" fontId="22" fillId="3" borderId="0" xfId="0" applyNumberFormat="1" applyFont="1" applyFill="1" applyAlignment="1" applyProtection="1">
      <alignment horizontal="center" vertical="center"/>
      <protection locked="0"/>
    </xf>
    <xf numFmtId="1" fontId="54" fillId="3" borderId="0" xfId="0" applyNumberFormat="1" applyFont="1" applyFill="1" applyAlignment="1" applyProtection="1">
      <alignment horizontal="center" vertical="center"/>
      <protection locked="0"/>
    </xf>
    <xf numFmtId="164" fontId="54" fillId="3" borderId="0" xfId="0" applyNumberFormat="1" applyFont="1" applyFill="1" applyAlignment="1" applyProtection="1">
      <alignment horizontal="center" vertical="center"/>
      <protection locked="0"/>
    </xf>
    <xf numFmtId="0" fontId="54" fillId="3" borderId="0" xfId="0" applyFont="1" applyFill="1" applyAlignment="1" applyProtection="1">
      <alignment horizontal="center" vertical="center"/>
      <protection locked="0"/>
    </xf>
    <xf numFmtId="2" fontId="54" fillId="3" borderId="0" xfId="0" applyNumberFormat="1" applyFont="1" applyFill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7" xfId="3" applyFont="1" applyFill="1" applyBorder="1" applyAlignment="1">
      <alignment horizontal="center" vertical="center"/>
    </xf>
    <xf numFmtId="0" fontId="22" fillId="3" borderId="7" xfId="0" applyFont="1" applyFill="1" applyBorder="1" applyAlignment="1" applyProtection="1">
      <alignment horizontal="center" vertical="center"/>
      <protection hidden="1"/>
    </xf>
    <xf numFmtId="0" fontId="21" fillId="3" borderId="7" xfId="0" applyFont="1" applyFill="1" applyBorder="1" applyAlignment="1">
      <alignment horizontal="center" vertical="center"/>
    </xf>
    <xf numFmtId="164" fontId="22" fillId="3" borderId="7" xfId="0" applyNumberFormat="1" applyFont="1" applyFill="1" applyBorder="1" applyAlignment="1">
      <alignment horizontal="center" vertical="center"/>
    </xf>
    <xf numFmtId="0" fontId="40" fillId="3" borderId="7" xfId="0" applyFont="1" applyFill="1" applyBorder="1" applyAlignment="1">
      <alignment horizontal="center" vertical="center"/>
    </xf>
    <xf numFmtId="0" fontId="22" fillId="3" borderId="0" xfId="0" applyFont="1" applyFill="1" applyProtection="1">
      <protection hidden="1"/>
    </xf>
    <xf numFmtId="166" fontId="22" fillId="3" borderId="7" xfId="0" applyNumberFormat="1" applyFont="1" applyFill="1" applyBorder="1" applyAlignment="1">
      <alignment horizontal="center" vertical="center"/>
    </xf>
    <xf numFmtId="166" fontId="4" fillId="3" borderId="7" xfId="3" applyNumberFormat="1" applyFont="1" applyFill="1" applyBorder="1" applyAlignment="1">
      <alignment horizontal="center" vertical="center"/>
    </xf>
    <xf numFmtId="0" fontId="4" fillId="3" borderId="7" xfId="3" applyFont="1" applyFill="1" applyBorder="1" applyAlignment="1">
      <alignment horizontal="left" vertical="center"/>
    </xf>
    <xf numFmtId="0" fontId="4" fillId="3" borderId="7" xfId="3" applyFont="1" applyFill="1" applyBorder="1" applyAlignment="1">
      <alignment horizontal="center" vertical="center"/>
    </xf>
    <xf numFmtId="1" fontId="22" fillId="3" borderId="7" xfId="0" applyNumberFormat="1" applyFont="1" applyFill="1" applyBorder="1" applyAlignment="1">
      <alignment horizontal="center" vertical="center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>
      <alignment horizontal="center" vertical="center"/>
    </xf>
    <xf numFmtId="0" fontId="22" fillId="3" borderId="0" xfId="0" applyFont="1" applyFill="1" applyAlignment="1" applyProtection="1">
      <alignment vertical="center"/>
      <protection locked="0"/>
    </xf>
    <xf numFmtId="0" fontId="22" fillId="3" borderId="0" xfId="0" applyFont="1" applyFill="1" applyAlignment="1">
      <alignment vertical="center"/>
    </xf>
    <xf numFmtId="0" fontId="22" fillId="3" borderId="14" xfId="3" applyFont="1" applyFill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166" fontId="22" fillId="3" borderId="4" xfId="0" applyNumberFormat="1" applyFont="1" applyFill="1" applyBorder="1" applyAlignment="1">
      <alignment horizontal="center" vertical="center"/>
    </xf>
    <xf numFmtId="0" fontId="19" fillId="0" borderId="7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left" vertical="center"/>
      <protection locked="0"/>
    </xf>
    <xf numFmtId="0" fontId="0" fillId="3" borderId="0" xfId="0" applyFill="1"/>
    <xf numFmtId="0" fontId="19" fillId="3" borderId="0" xfId="3" applyFont="1" applyFill="1" applyAlignment="1">
      <alignment horizontal="center" vertical="center"/>
    </xf>
    <xf numFmtId="0" fontId="42" fillId="6" borderId="0" xfId="0" applyFont="1" applyFill="1" applyAlignment="1">
      <alignment horizontal="center"/>
    </xf>
    <xf numFmtId="0" fontId="64" fillId="3" borderId="7" xfId="0" applyFont="1" applyFill="1" applyBorder="1" applyAlignment="1">
      <alignment horizontal="center" vertical="center"/>
    </xf>
    <xf numFmtId="0" fontId="0" fillId="0" borderId="9" xfId="0" applyBorder="1"/>
    <xf numFmtId="0" fontId="22" fillId="3" borderId="7" xfId="0" applyFont="1" applyFill="1" applyBorder="1" applyAlignment="1">
      <alignment horizontal="center" vertical="center"/>
    </xf>
    <xf numFmtId="0" fontId="0" fillId="0" borderId="2" xfId="0" applyBorder="1"/>
    <xf numFmtId="0" fontId="0" fillId="0" borderId="23" xfId="0" applyBorder="1"/>
    <xf numFmtId="0" fontId="0" fillId="0" borderId="21" xfId="0" applyBorder="1"/>
    <xf numFmtId="0" fontId="21" fillId="3" borderId="7" xfId="0" applyFont="1" applyFill="1" applyBorder="1" applyAlignment="1">
      <alignment horizontal="center" vertical="center"/>
    </xf>
    <xf numFmtId="0" fontId="0" fillId="0" borderId="11" xfId="0" applyBorder="1"/>
    <xf numFmtId="0" fontId="22" fillId="3" borderId="7" xfId="3" applyFont="1" applyFill="1" applyBorder="1" applyAlignment="1">
      <alignment horizontal="center" vertical="center"/>
    </xf>
    <xf numFmtId="164" fontId="22" fillId="3" borderId="7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0" fillId="0" borderId="78" xfId="0" applyBorder="1"/>
    <xf numFmtId="0" fontId="0" fillId="0" borderId="40" xfId="0" applyBorder="1"/>
    <xf numFmtId="0" fontId="21" fillId="3" borderId="52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49" fontId="22" fillId="3" borderId="7" xfId="3" applyNumberFormat="1" applyFont="1" applyFill="1" applyBorder="1" applyAlignment="1">
      <alignment horizontal="center" vertical="center"/>
    </xf>
    <xf numFmtId="0" fontId="22" fillId="3" borderId="7" xfId="3" applyFont="1" applyFill="1" applyBorder="1" applyAlignment="1">
      <alignment horizontal="left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2" fillId="3" borderId="1" xfId="10" applyFont="1" applyFill="1" applyBorder="1" applyAlignment="1" applyProtection="1">
      <alignment horizontal="center" vertical="center" wrapText="1"/>
    </xf>
    <xf numFmtId="0" fontId="0" fillId="0" borderId="1" xfId="0" applyBorder="1"/>
    <xf numFmtId="0" fontId="21" fillId="3" borderId="7" xfId="3" applyFont="1" applyFill="1" applyBorder="1" applyAlignment="1">
      <alignment horizontal="center" vertical="center"/>
    </xf>
    <xf numFmtId="0" fontId="40" fillId="3" borderId="7" xfId="0" applyFont="1" applyFill="1" applyBorder="1" applyAlignment="1">
      <alignment horizontal="center" vertical="center"/>
    </xf>
    <xf numFmtId="186" fontId="22" fillId="3" borderId="7" xfId="0" applyNumberFormat="1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horizontal="left" vertical="center"/>
    </xf>
    <xf numFmtId="0" fontId="0" fillId="0" borderId="10" xfId="0" applyBorder="1"/>
    <xf numFmtId="0" fontId="19" fillId="3" borderId="7" xfId="0" applyFont="1" applyFill="1" applyBorder="1" applyAlignment="1" applyProtection="1">
      <alignment horizontal="left" vertical="center" wrapText="1"/>
      <protection hidden="1"/>
    </xf>
    <xf numFmtId="0" fontId="0" fillId="0" borderId="4" xfId="0" applyBorder="1" applyProtection="1">
      <protection hidden="1"/>
    </xf>
    <xf numFmtId="0" fontId="0" fillId="0" borderId="0" xfId="0" applyProtection="1">
      <protection hidden="1"/>
    </xf>
    <xf numFmtId="0" fontId="0" fillId="0" borderId="5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21" xfId="0" applyBorder="1" applyProtection="1">
      <protection hidden="1"/>
    </xf>
    <xf numFmtId="0" fontId="22" fillId="3" borderId="7" xfId="0" applyFont="1" applyFill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0" fillId="0" borderId="9" xfId="0" applyBorder="1" applyProtection="1">
      <protection hidden="1"/>
    </xf>
    <xf numFmtId="0" fontId="4" fillId="3" borderId="7" xfId="0" applyFont="1" applyFill="1" applyBorder="1" applyAlignment="1" applyProtection="1">
      <alignment horizontal="left" vertical="center" indent="1"/>
      <protection hidden="1"/>
    </xf>
    <xf numFmtId="0" fontId="21" fillId="3" borderId="7" xfId="5" applyFont="1" applyFill="1" applyBorder="1" applyAlignment="1">
      <alignment horizontal="center" vertical="center"/>
    </xf>
    <xf numFmtId="179" fontId="13" fillId="3" borderId="78" xfId="0" applyNumberFormat="1" applyFont="1" applyFill="1" applyBorder="1" applyAlignment="1" applyProtection="1">
      <alignment horizontal="center" vertical="center"/>
      <protection hidden="1"/>
    </xf>
    <xf numFmtId="0" fontId="21" fillId="3" borderId="7" xfId="3" applyFont="1" applyFill="1" applyBorder="1" applyAlignment="1">
      <alignment horizontal="left" vertical="center" wrapText="1"/>
    </xf>
    <xf numFmtId="0" fontId="22" fillId="3" borderId="7" xfId="3" applyFont="1" applyFill="1" applyBorder="1" applyAlignment="1">
      <alignment horizontal="left" vertical="center"/>
    </xf>
    <xf numFmtId="0" fontId="21" fillId="3" borderId="7" xfId="0" applyFont="1" applyFill="1" applyBorder="1" applyAlignment="1" applyProtection="1">
      <alignment horizontal="center" vertical="center"/>
      <protection hidden="1"/>
    </xf>
    <xf numFmtId="0" fontId="13" fillId="3" borderId="78" xfId="0" applyFont="1" applyFill="1" applyBorder="1" applyAlignment="1">
      <alignment horizontal="center" vertical="center"/>
    </xf>
    <xf numFmtId="0" fontId="22" fillId="3" borderId="0" xfId="0" applyFont="1" applyFill="1" applyProtection="1">
      <protection hidden="1"/>
    </xf>
    <xf numFmtId="0" fontId="0" fillId="0" borderId="5" xfId="0" applyBorder="1"/>
    <xf numFmtId="0" fontId="14" fillId="3" borderId="7" xfId="0" applyFont="1" applyFill="1" applyBorder="1" applyAlignment="1" applyProtection="1">
      <alignment horizontal="center" vertical="center" wrapText="1"/>
      <protection hidden="1"/>
    </xf>
    <xf numFmtId="0" fontId="21" fillId="3" borderId="40" xfId="0" applyFont="1" applyFill="1" applyBorder="1" applyAlignment="1" applyProtection="1">
      <alignment horizontal="center" vertical="center" wrapText="1"/>
      <protection hidden="1"/>
    </xf>
    <xf numFmtId="0" fontId="0" fillId="0" borderId="40" xfId="0" applyBorder="1" applyProtection="1">
      <protection hidden="1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0" fontId="0" fillId="0" borderId="9" xfId="0" applyBorder="1" applyProtection="1">
      <protection locked="0"/>
    </xf>
    <xf numFmtId="164" fontId="4" fillId="3" borderId="7" xfId="0" applyNumberFormat="1" applyFont="1" applyFill="1" applyBorder="1" applyAlignment="1" applyProtection="1">
      <alignment horizontal="center" vertical="center"/>
      <protection locked="0"/>
    </xf>
    <xf numFmtId="0" fontId="4" fillId="3" borderId="7" xfId="3" applyFont="1" applyFill="1" applyBorder="1" applyAlignment="1">
      <alignment horizontal="left" vertical="center"/>
    </xf>
    <xf numFmtId="0" fontId="4" fillId="3" borderId="7" xfId="3" applyFont="1" applyFill="1" applyBorder="1" applyAlignment="1">
      <alignment horizontal="center" vertical="center"/>
    </xf>
    <xf numFmtId="1" fontId="22" fillId="3" borderId="7" xfId="0" applyNumberFormat="1" applyFont="1" applyFill="1" applyBorder="1" applyAlignment="1">
      <alignment horizontal="center" vertical="center"/>
    </xf>
    <xf numFmtId="0" fontId="4" fillId="3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166" fontId="22" fillId="3" borderId="7" xfId="0" applyNumberFormat="1" applyFont="1" applyFill="1" applyBorder="1" applyAlignment="1">
      <alignment horizontal="center" vertical="center"/>
    </xf>
    <xf numFmtId="2" fontId="4" fillId="3" borderId="7" xfId="3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22" fillId="3" borderId="0" xfId="0" applyFont="1" applyFill="1" applyAlignment="1" applyProtection="1">
      <alignment horizontal="left" vertical="center"/>
      <protection locked="0"/>
    </xf>
    <xf numFmtId="164" fontId="4" fillId="3" borderId="7" xfId="3" applyNumberFormat="1" applyFont="1" applyFill="1" applyBorder="1" applyAlignment="1">
      <alignment horizontal="center" vertical="center"/>
    </xf>
    <xf numFmtId="188" fontId="4" fillId="3" borderId="0" xfId="5" applyNumberFormat="1" applyFont="1" applyFill="1" applyAlignment="1" applyProtection="1">
      <alignment horizontal="left" vertical="center"/>
      <protection locked="0"/>
    </xf>
    <xf numFmtId="0" fontId="29" fillId="3" borderId="0" xfId="0" applyFont="1" applyFill="1" applyAlignment="1" applyProtection="1">
      <alignment horizontal="center" vertical="center"/>
      <protection locked="0"/>
    </xf>
    <xf numFmtId="0" fontId="14" fillId="3" borderId="7" xfId="3" applyFont="1" applyFill="1" applyBorder="1" applyAlignment="1">
      <alignment horizontal="center" vertical="center"/>
    </xf>
    <xf numFmtId="0" fontId="21" fillId="3" borderId="7" xfId="0" applyFont="1" applyFill="1" applyBorder="1" applyAlignment="1" applyProtection="1">
      <alignment horizontal="center" vertical="center"/>
      <protection locked="0"/>
    </xf>
    <xf numFmtId="166" fontId="4" fillId="3" borderId="7" xfId="3" applyNumberFormat="1" applyFont="1" applyFill="1" applyBorder="1" applyAlignment="1">
      <alignment horizontal="center" vertical="center"/>
    </xf>
    <xf numFmtId="187" fontId="14" fillId="3" borderId="7" xfId="0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>
      <alignment horizontal="center" vertical="center" wrapText="1"/>
    </xf>
    <xf numFmtId="0" fontId="22" fillId="3" borderId="0" xfId="0" applyFont="1" applyFill="1" applyAlignment="1" applyProtection="1">
      <alignment vertical="center"/>
      <protection locked="0"/>
    </xf>
    <xf numFmtId="0" fontId="15" fillId="3" borderId="40" xfId="0" applyFont="1" applyFill="1" applyBorder="1" applyAlignment="1">
      <alignment horizontal="center" vertical="center" wrapText="1"/>
    </xf>
    <xf numFmtId="0" fontId="15" fillId="3" borderId="52" xfId="0" applyFont="1" applyFill="1" applyBorder="1" applyAlignment="1">
      <alignment horizontal="center" vertical="center" wrapText="1"/>
    </xf>
    <xf numFmtId="189" fontId="13" fillId="3" borderId="0" xfId="0" applyNumberFormat="1" applyFont="1" applyFill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4" fillId="3" borderId="4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vertical="center"/>
    </xf>
    <xf numFmtId="0" fontId="4" fillId="0" borderId="33" xfId="0" applyFont="1" applyBorder="1" applyAlignment="1" applyProtection="1">
      <alignment horizontal="center" vertical="center"/>
      <protection locked="0"/>
    </xf>
    <xf numFmtId="0" fontId="0" fillId="0" borderId="39" xfId="0" applyBorder="1" applyProtection="1">
      <protection locked="0"/>
    </xf>
    <xf numFmtId="0" fontId="32" fillId="3" borderId="0" xfId="4" quotePrefix="1" applyFont="1" applyFill="1" applyAlignment="1">
      <alignment horizontal="left" vertical="center" wrapText="1"/>
    </xf>
    <xf numFmtId="0" fontId="22" fillId="3" borderId="14" xfId="3" applyFont="1" applyFill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0" fillId="0" borderId="40" xfId="0" applyBorder="1" applyProtection="1">
      <protection locked="0"/>
    </xf>
    <xf numFmtId="189" fontId="13" fillId="3" borderId="0" xfId="0" applyNumberFormat="1" applyFont="1" applyFill="1" applyAlignment="1" applyProtection="1">
      <alignment horizontal="center" wrapText="1"/>
      <protection hidden="1"/>
    </xf>
    <xf numFmtId="0" fontId="15" fillId="3" borderId="79" xfId="3" applyFont="1" applyFill="1" applyBorder="1" applyAlignment="1">
      <alignment horizontal="center" vertical="center"/>
    </xf>
    <xf numFmtId="0" fontId="0" fillId="0" borderId="65" xfId="0" applyBorder="1"/>
    <xf numFmtId="0" fontId="0" fillId="0" borderId="66" xfId="0" applyBorder="1"/>
    <xf numFmtId="0" fontId="4" fillId="3" borderId="0" xfId="0" applyFont="1" applyFill="1" applyAlignment="1">
      <alignment horizontal="left" vertical="center" wrapText="1"/>
    </xf>
    <xf numFmtId="166" fontId="22" fillId="3" borderId="4" xfId="0" applyNumberFormat="1" applyFont="1" applyFill="1" applyBorder="1" applyAlignment="1">
      <alignment horizontal="center" vertical="center"/>
    </xf>
    <xf numFmtId="0" fontId="20" fillId="3" borderId="78" xfId="0" applyFont="1" applyFill="1" applyBorder="1" applyAlignment="1">
      <alignment horizontal="center" vertical="center"/>
    </xf>
    <xf numFmtId="187" fontId="4" fillId="0" borderId="80" xfId="0" applyNumberFormat="1" applyFont="1" applyBorder="1" applyAlignment="1" applyProtection="1">
      <alignment horizontal="center" vertical="center" wrapText="1"/>
      <protection locked="0"/>
    </xf>
    <xf numFmtId="0" fontId="0" fillId="0" borderId="47" xfId="0" applyBorder="1" applyProtection="1">
      <protection locked="0"/>
    </xf>
    <xf numFmtId="0" fontId="0" fillId="0" borderId="67" xfId="0" applyBorder="1" applyProtection="1">
      <protection locked="0"/>
    </xf>
    <xf numFmtId="2" fontId="22" fillId="0" borderId="7" xfId="0" applyNumberFormat="1" applyFont="1" applyBorder="1" applyAlignment="1" applyProtection="1">
      <alignment horizontal="center" vertical="center"/>
      <protection locked="0"/>
    </xf>
    <xf numFmtId="172" fontId="39" fillId="5" borderId="7" xfId="0" applyNumberFormat="1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4" fillId="3" borderId="14" xfId="3" applyFont="1" applyFill="1" applyBorder="1" applyAlignment="1">
      <alignment horizontal="left" vertical="center"/>
    </xf>
    <xf numFmtId="1" fontId="40" fillId="5" borderId="7" xfId="0" applyNumberFormat="1" applyFont="1" applyFill="1" applyBorder="1" applyAlignment="1" applyProtection="1">
      <alignment horizontal="center" vertical="center"/>
      <protection locked="0"/>
    </xf>
    <xf numFmtId="2" fontId="40" fillId="0" borderId="7" xfId="0" applyNumberFormat="1" applyFont="1" applyBorder="1" applyAlignment="1" applyProtection="1">
      <alignment horizontal="center" vertical="center"/>
      <protection locked="0"/>
    </xf>
    <xf numFmtId="0" fontId="34" fillId="5" borderId="80" xfId="3" applyFont="1" applyFill="1" applyBorder="1" applyAlignment="1">
      <alignment horizontal="center" vertical="center"/>
    </xf>
    <xf numFmtId="0" fontId="0" fillId="0" borderId="47" xfId="0" applyBorder="1"/>
    <xf numFmtId="0" fontId="0" fillId="0" borderId="67" xfId="0" applyBorder="1"/>
    <xf numFmtId="49" fontId="39" fillId="5" borderId="82" xfId="3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/>
    </xf>
    <xf numFmtId="0" fontId="21" fillId="0" borderId="33" xfId="3" applyFont="1" applyBorder="1" applyAlignment="1" applyProtection="1">
      <alignment horizontal="center" vertical="center"/>
      <protection hidden="1"/>
    </xf>
    <xf numFmtId="0" fontId="0" fillId="0" borderId="39" xfId="0" applyBorder="1" applyProtection="1">
      <protection hidden="1"/>
    </xf>
    <xf numFmtId="0" fontId="21" fillId="0" borderId="20" xfId="3" applyFont="1" applyBorder="1" applyAlignment="1" applyProtection="1">
      <alignment horizontal="center" vertical="center"/>
      <protection hidden="1"/>
    </xf>
    <xf numFmtId="0" fontId="0" fillId="0" borderId="67" xfId="0" applyBorder="1" applyProtection="1">
      <protection hidden="1"/>
    </xf>
    <xf numFmtId="0" fontId="40" fillId="5" borderId="7" xfId="0" applyFont="1" applyFill="1" applyBorder="1" applyAlignment="1" applyProtection="1">
      <alignment horizontal="center" vertical="center"/>
      <protection locked="0"/>
    </xf>
    <xf numFmtId="0" fontId="0" fillId="0" borderId="69" xfId="0" applyBorder="1" applyProtection="1">
      <protection locked="0"/>
    </xf>
    <xf numFmtId="0" fontId="4" fillId="3" borderId="15" xfId="3" applyFont="1" applyFill="1" applyBorder="1" applyAlignment="1">
      <alignment horizontal="left" vertical="center"/>
    </xf>
    <xf numFmtId="0" fontId="0" fillId="0" borderId="68" xfId="0" applyBorder="1"/>
    <xf numFmtId="0" fontId="40" fillId="5" borderId="4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14" fillId="0" borderId="14" xfId="3" applyFont="1" applyBorder="1" applyAlignment="1">
      <alignment horizontal="left" vertical="center"/>
    </xf>
    <xf numFmtId="0" fontId="14" fillId="3" borderId="33" xfId="3" applyFont="1" applyFill="1" applyBorder="1" applyAlignment="1">
      <alignment horizontal="center" vertical="center"/>
    </xf>
    <xf numFmtId="0" fontId="0" fillId="0" borderId="69" xfId="0" applyBorder="1"/>
    <xf numFmtId="0" fontId="21" fillId="0" borderId="34" xfId="3" applyFont="1" applyBorder="1" applyAlignment="1" applyProtection="1">
      <alignment horizontal="center" vertical="center"/>
      <protection hidden="1"/>
    </xf>
    <xf numFmtId="0" fontId="0" fillId="0" borderId="35" xfId="0" applyBorder="1" applyProtection="1">
      <protection hidden="1"/>
    </xf>
    <xf numFmtId="0" fontId="4" fillId="0" borderId="81" xfId="0" applyFont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22" fillId="0" borderId="7" xfId="0" applyFont="1" applyBorder="1" applyAlignment="1">
      <alignment horizontal="center" vertical="center"/>
    </xf>
    <xf numFmtId="0" fontId="4" fillId="3" borderId="33" xfId="3" applyFont="1" applyFill="1" applyBorder="1" applyAlignment="1">
      <alignment horizontal="left" vertical="center"/>
    </xf>
    <xf numFmtId="0" fontId="4" fillId="3" borderId="14" xfId="3" applyFont="1" applyFill="1" applyBorder="1" applyAlignment="1">
      <alignment horizontal="center" vertical="center"/>
    </xf>
    <xf numFmtId="0" fontId="14" fillId="3" borderId="14" xfId="3" applyFont="1" applyFill="1" applyBorder="1" applyAlignment="1">
      <alignment horizontal="left" vertical="center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left" vertical="center"/>
      <protection locked="0"/>
    </xf>
    <xf numFmtId="0" fontId="0" fillId="0" borderId="69" xfId="0" applyBorder="1" applyProtection="1">
      <protection hidden="1"/>
    </xf>
    <xf numFmtId="0" fontId="40" fillId="8" borderId="7" xfId="0" applyFont="1" applyFill="1" applyBorder="1" applyAlignment="1" applyProtection="1">
      <alignment horizontal="center" vertical="center"/>
      <protection locked="0"/>
    </xf>
    <xf numFmtId="0" fontId="60" fillId="0" borderId="79" xfId="0" applyFont="1" applyBorder="1" applyAlignment="1" applyProtection="1">
      <alignment horizontal="center" vertical="center"/>
      <protection locked="0"/>
    </xf>
    <xf numFmtId="0" fontId="0" fillId="0" borderId="65" xfId="0" applyBorder="1" applyProtection="1">
      <protection locked="0"/>
    </xf>
    <xf numFmtId="0" fontId="0" fillId="0" borderId="66" xfId="0" applyBorder="1" applyProtection="1">
      <protection locked="0"/>
    </xf>
    <xf numFmtId="0" fontId="60" fillId="0" borderId="48" xfId="0" applyFont="1" applyBorder="1" applyAlignment="1" applyProtection="1">
      <alignment horizontal="center" vertical="center"/>
      <protection locked="0"/>
    </xf>
    <xf numFmtId="0" fontId="0" fillId="0" borderId="83" xfId="0" applyBorder="1" applyProtection="1">
      <protection locked="0"/>
    </xf>
    <xf numFmtId="0" fontId="39" fillId="5" borderId="82" xfId="3" applyFont="1" applyFill="1" applyBorder="1" applyAlignment="1" applyProtection="1">
      <alignment horizontal="center" vertical="center"/>
      <protection locked="0"/>
    </xf>
    <xf numFmtId="0" fontId="14" fillId="3" borderId="15" xfId="3" applyFont="1" applyFill="1" applyBorder="1" applyAlignment="1">
      <alignment horizontal="left" vertical="center"/>
    </xf>
    <xf numFmtId="0" fontId="56" fillId="0" borderId="0" xfId="0" applyFont="1" applyAlignment="1" applyProtection="1">
      <alignment horizontal="center" vertical="center" wrapText="1"/>
      <protection locked="0"/>
    </xf>
    <xf numFmtId="0" fontId="26" fillId="3" borderId="7" xfId="0" applyFont="1" applyFill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61" fillId="6" borderId="84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73" xfId="0" applyBorder="1"/>
    <xf numFmtId="0" fontId="0" fillId="0" borderId="4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174" fontId="11" fillId="3" borderId="7" xfId="3" applyNumberFormat="1" applyFill="1" applyBorder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174" fontId="42" fillId="0" borderId="7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51" fillId="6" borderId="0" xfId="0" applyFont="1" applyFill="1" applyAlignment="1">
      <alignment horizontal="center"/>
    </xf>
    <xf numFmtId="0" fontId="32" fillId="6" borderId="70" xfId="0" applyFont="1" applyFill="1" applyBorder="1" applyAlignment="1">
      <alignment horizontal="left" vertical="center"/>
    </xf>
    <xf numFmtId="0" fontId="0" fillId="0" borderId="72" xfId="0" applyBorder="1"/>
    <xf numFmtId="0" fontId="42" fillId="6" borderId="0" xfId="0" applyFont="1" applyFill="1" applyAlignment="1">
      <alignment horizontal="center"/>
    </xf>
    <xf numFmtId="0" fontId="32" fillId="6" borderId="70" xfId="0" applyFont="1" applyFill="1" applyBorder="1" applyAlignment="1">
      <alignment horizontal="left" vertical="center" wrapText="1"/>
    </xf>
    <xf numFmtId="168" fontId="3" fillId="0" borderId="7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190" fontId="11" fillId="0" borderId="7" xfId="0" applyNumberFormat="1" applyFont="1" applyBorder="1" applyAlignment="1">
      <alignment horizontal="center" vertical="center"/>
    </xf>
    <xf numFmtId="168" fontId="11" fillId="0" borderId="7" xfId="0" applyNumberFormat="1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/>
    </xf>
    <xf numFmtId="191" fontId="11" fillId="0" borderId="7" xfId="0" applyNumberFormat="1" applyFont="1" applyBorder="1" applyAlignment="1">
      <alignment horizontal="center" vertical="center"/>
    </xf>
    <xf numFmtId="173" fontId="11" fillId="0" borderId="7" xfId="0" applyNumberFormat="1" applyFont="1" applyBorder="1" applyAlignment="1">
      <alignment horizontal="center" vertical="center"/>
    </xf>
  </cellXfs>
  <cellStyles count="13">
    <cellStyle name="Euro" xfId="1" xr:uid="{00000000-0005-0000-0000-000001000000}"/>
    <cellStyle name="Hipervínculo" xfId="10" builtinId="8"/>
    <cellStyle name="Millares 2" xfId="2" xr:uid="{00000000-0005-0000-0000-000002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12" xr:uid="{00000000-0005-0000-0000-00000C000000}"/>
    <cellStyle name="Normal 6" xfId="11" xr:uid="{00000000-0005-0000-0000-00000B000000}"/>
    <cellStyle name="Normal_ENSAYOS" xfId="5" xr:uid="{00000000-0005-0000-0000-000005000000}"/>
    <cellStyle name="Normal_Sub Base F-001 -GRAN. 21-10-03 2" xfId="6" xr:uid="{00000000-0005-0000-0000-000006000000}"/>
    <cellStyle name="Porcentaje 2" xfId="7" xr:uid="{00000000-0005-0000-0000-000007000000}"/>
    <cellStyle name="Porcentual 2" xfId="8" xr:uid="{00000000-0005-0000-0000-000008000000}"/>
    <cellStyle name="Porcentual 3" xfId="9" xr:uid="{00000000-0005-0000-0000-000009000000}"/>
  </cellStyles>
  <dxfs count="1">
    <dxf>
      <font>
        <b/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c:rich>
      </c:tx>
      <c:layout>
        <c:manualLayout>
          <c:xMode val="edge"/>
          <c:yMode val="edge"/>
          <c:x val="0.33875284176838488"/>
          <c:y val="2.042313967510818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8577596651920991"/>
          <c:y val="9.0804071788323767E-2"/>
          <c:w val="0.75722194651278207"/>
          <c:h val="0.76356990849116835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DATOS!$G$44:$G$55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71-42CC-B738-4B1677A319CC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71-42CC-B738-4B1677A319CC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2"/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71-42CC-B738-4B1677A319CC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71-42CC-B738-4B1677A319CC}"/>
            </c:ext>
          </c:extLst>
        </c:ser>
        <c:ser>
          <c:idx val="3"/>
          <c:order val="3"/>
          <c:tx>
            <c:v>Linea Correccion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  <a:prstDash val="solid"/>
              </a:ln>
            </c:spPr>
          </c:marker>
          <c:dPt>
            <c:idx val="1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071-42CC-B738-4B1677A319CC}"/>
              </c:ext>
            </c:extLst>
          </c:dPt>
          <c:xVal>
            <c:numRef>
              <c:f>'INFORME-2'!$AA$15:$AA$16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'INFORME-2'!$AB$15:$AB$16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71-42CC-B738-4B1677A3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98176"/>
        <c:axId val="1"/>
      </c:scatterChart>
      <c:valAx>
        <c:axId val="1568898176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25084643229"/>
              <c:y val="0.9190480244023551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2.3517450653240839E-2"/>
              <c:y val="0.2044583954032772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8898176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c:rich>
      </c:tx>
      <c:layout>
        <c:manualLayout>
          <c:xMode val="edge"/>
          <c:yMode val="edge"/>
          <c:x val="1.977827681287132E-2"/>
          <c:y val="2.0422691066055772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corregida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9.0368355776921372E-2"/>
                  <c:y val="-0.2972413526962235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'INFORME-2'!$U$29:$U$39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'INFORME-2'!$V$29:$V$39</c:f>
              <c:numCache>
                <c:formatCode>0.0</c:formatCode>
                <c:ptCount val="11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85-4B16-AA06-3B0767FF2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900096"/>
        <c:axId val="1"/>
      </c:scatterChart>
      <c:valAx>
        <c:axId val="1568900096"/>
        <c:scaling>
          <c:orientation val="minMax"/>
          <c:max val="0.60000000000000009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98351289118"/>
              <c:y val="0.9190478019515853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4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1305608459602E-2"/>
              <c:y val="0.2044588328897911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8900096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c:rich>
      </c:tx>
      <c:layout>
        <c:manualLayout>
          <c:xMode val="edge"/>
          <c:yMode val="edge"/>
          <c:x val="1.977799286717067E-2"/>
          <c:y val="2.0422729844281829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corregida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7025180943291179"/>
                  <c:y val="-0.7609674885529820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'INFORME-2'!$AE$29:$AE$39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'INFORME-2'!$AF$29:$AF$39</c:f>
              <c:numCache>
                <c:formatCode>0.0</c:formatCode>
                <c:ptCount val="11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9-4768-A609-5E657F383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817904"/>
        <c:axId val="1"/>
      </c:scatterChart>
      <c:valAx>
        <c:axId val="1188817904"/>
        <c:scaling>
          <c:orientation val="minMax"/>
          <c:max val="0.4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2020386986507"/>
              <c:y val="0.919048069521345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3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2095116017467E-2"/>
              <c:y val="0.2044587889411350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88817904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c:rich>
      </c:tx>
      <c:layout>
        <c:manualLayout>
          <c:xMode val="edge"/>
          <c:yMode val="edge"/>
          <c:x val="1.9778656700170549E-2"/>
          <c:y val="2.042305687398831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7072867817914461"/>
                  <c:y val="-0.2623031833388241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'INFORME-2'!$AO$29:$AO$39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'INFORME-2'!$AP$29:$AP$38</c:f>
              <c:numCache>
                <c:formatCode>0.0</c:formatCode>
                <c:ptCount val="10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2C-45AF-988A-6C7716BE6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76880"/>
        <c:axId val="1"/>
      </c:scatterChart>
      <c:valAx>
        <c:axId val="1188776880"/>
        <c:scaling>
          <c:orientation val="minMax"/>
          <c:max val="0.4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78381734542"/>
              <c:y val="0.9190478019515853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171256818704E-2"/>
              <c:y val="0.2044588328897911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88776880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c:rich>
      </c:tx>
      <c:layout>
        <c:manualLayout>
          <c:xMode val="edge"/>
          <c:yMode val="edge"/>
          <c:x val="0.37419498926270578"/>
          <c:y val="2.042313967510818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DATOS!$K$44:$K$55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53-4FF7-85AC-685BFF20F70A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53-4FF7-85AC-685BFF20F70A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2"/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53-4FF7-85AC-685BFF20F70A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53-4FF7-85AC-685BFF20F70A}"/>
            </c:ext>
          </c:extLst>
        </c:ser>
        <c:ser>
          <c:idx val="3"/>
          <c:order val="3"/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  <a:prstDash val="solid"/>
              </a:ln>
            </c:spPr>
          </c:marker>
          <c:dPt>
            <c:idx val="1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B53-4FF7-85AC-685BFF20F70A}"/>
              </c:ext>
            </c:extLst>
          </c:dPt>
          <c:xVal>
            <c:numRef>
              <c:f>'INFORME-2'!$AK$15:$AK$16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'INFORME-2'!$AL$15:$AL$16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53-4FF7-85AC-685BFF20F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80399"/>
        <c:axId val="1"/>
      </c:scatterChart>
      <c:valAx>
        <c:axId val="1486280399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80434263888"/>
              <c:y val="0.9190480244023551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3.5330947267955139E-2"/>
              <c:y val="0.2044583954032772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86280399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c:rich>
      </c:tx>
      <c:layout>
        <c:manualLayout>
          <c:xMode val="edge"/>
          <c:yMode val="edge"/>
          <c:x val="0.37419447569053871"/>
          <c:y val="2.042313967510818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DATOS!$O$44:$O$55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AE-400E-87ED-D0EB6EE1A550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AE-400E-87ED-D0EB6EE1A550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2"/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AE-400E-87ED-D0EB6EE1A550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AE-400E-87ED-D0EB6EE1A550}"/>
            </c:ext>
          </c:extLst>
        </c:ser>
        <c:ser>
          <c:idx val="3"/>
          <c:order val="3"/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  <a:prstDash val="solid"/>
              </a:ln>
            </c:spPr>
          </c:marker>
          <c:dPt>
            <c:idx val="1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FAE-400E-87ED-D0EB6EE1A550}"/>
              </c:ext>
            </c:extLst>
          </c:dPt>
          <c:xVal>
            <c:numRef>
              <c:f>'INFORME-2'!$AU$15:$AU$16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'INFORME-2'!$AV$15:$AV$16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FAE-400E-87ED-D0EB6EE1A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636832"/>
        <c:axId val="1"/>
      </c:scatterChart>
      <c:valAx>
        <c:axId val="1678636832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2045577636129"/>
              <c:y val="0.9190480244023551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3.5331833520809902E-2"/>
              <c:y val="0.2044583954032772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78636832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PESO UNITARIO VS CBR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04897764278172"/>
          <c:y val="0.120270657936183"/>
          <c:w val="0.79988800468657306"/>
          <c:h val="0.73459849694733226"/>
        </c:manualLayout>
      </c:layout>
      <c:scatterChart>
        <c:scatterStyle val="smoothMarker"/>
        <c:varyColors val="0"/>
        <c:ser>
          <c:idx val="0"/>
          <c:order val="0"/>
          <c:tx>
            <c:v>CBR 0.1"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3333CC"/>
                </a:solidFill>
                <a:prstDash val="solid"/>
              </a:ln>
            </c:spPr>
          </c:marker>
          <c:xVal>
            <c:numRef>
              <c:f>'INFORME-2'!$V$60:$X$60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'INFORME-2'!$V$59:$X$59</c:f>
              <c:numCache>
                <c:formatCode>0.0</c:formatCode>
                <c:ptCount val="3"/>
                <c:pt idx="0">
                  <c:v>8.3166496524545608E-2</c:v>
                </c:pt>
                <c:pt idx="1">
                  <c:v>8.3166496524545608E-2</c:v>
                </c:pt>
                <c:pt idx="2">
                  <c:v>8.3166496524545608E-2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C9-4A45-A550-0EBEFAD97E28}"/>
            </c:ext>
          </c:extLst>
        </c:ser>
        <c:ser>
          <c:idx val="1"/>
          <c:order val="1"/>
          <c:tx>
            <c:v>CBR 0.2"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'INFORME-2'!$V$63:$X$63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'INFORME-2'!$V$62:$X$62</c:f>
              <c:numCache>
                <c:formatCode>0.0</c:formatCode>
                <c:ptCount val="3"/>
                <c:pt idx="0">
                  <c:v>5.3890668418181138E-2</c:v>
                </c:pt>
                <c:pt idx="1">
                  <c:v>5.3890668418181138E-2</c:v>
                </c:pt>
                <c:pt idx="2">
                  <c:v>5.3890668418181138E-2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C9-4A45-A550-0EBEFAD97E28}"/>
            </c:ext>
          </c:extLst>
        </c:ser>
        <c:ser>
          <c:idx val="2"/>
          <c:order val="2"/>
          <c:tx>
            <c:v>95%MDS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ot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graficos'!$J$41:$K$41</c:f>
              <c:numCache>
                <c:formatCode>General</c:formatCode>
                <c:ptCount val="2"/>
                <c:pt idx="0">
                  <c:v>0</c:v>
                </c:pt>
                <c:pt idx="1">
                  <c:v>2.983590648201544</c:v>
                </c:pt>
              </c:numCache>
            </c:numRef>
          </c:xVal>
          <c:yVal>
            <c:numRef>
              <c:f>'cbr graficos'!$J$43:$K$43</c:f>
              <c:numCache>
                <c:formatCode>General</c:formatCode>
                <c:ptCount val="2"/>
                <c:pt idx="0">
                  <c:v>1.8353999999999999</c:v>
                </c:pt>
                <c:pt idx="1">
                  <c:v>1.8353999999999999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C9-4A45-A550-0EBEFAD97E28}"/>
            </c:ext>
          </c:extLst>
        </c:ser>
        <c:ser>
          <c:idx val="3"/>
          <c:order val="3"/>
          <c:tx>
            <c:v>100%MDS</c:v>
          </c:tx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9C9-4A45-A550-0EBEFAD97E28}"/>
            </c:ext>
          </c:extLst>
        </c:ser>
        <c:ser>
          <c:idx val="4"/>
          <c:order val="4"/>
          <c:tx>
            <c:v>VERTICAL 1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3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'cbr graficos'!$S$29:$S$30</c:f>
              <c:numCache>
                <c:formatCode>General</c:formatCode>
                <c:ptCount val="2"/>
                <c:pt idx="0">
                  <c:v>3.057248501192761</c:v>
                </c:pt>
                <c:pt idx="1">
                  <c:v>3.057248501192761</c:v>
                </c:pt>
              </c:numCache>
            </c:numRef>
          </c:xVal>
          <c:yVal>
            <c:numRef>
              <c:f>'cbr graficos'!$T$29:$T$30</c:f>
              <c:numCache>
                <c:formatCode>General</c:formatCode>
                <c:ptCount val="2"/>
                <c:pt idx="0">
                  <c:v>0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C9-4A45-A550-0EBEFAD97E28}"/>
            </c:ext>
          </c:extLst>
        </c:ser>
        <c:ser>
          <c:idx val="5"/>
          <c:order val="5"/>
          <c:tx>
            <c:v>VERTICAL 2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graficos'!$S$32:$S$33</c:f>
              <c:numCache>
                <c:formatCode>General</c:formatCode>
                <c:ptCount val="2"/>
                <c:pt idx="0">
                  <c:v>2.983590648201544</c:v>
                </c:pt>
                <c:pt idx="1">
                  <c:v>2.983590648201544</c:v>
                </c:pt>
              </c:numCache>
            </c:numRef>
          </c:xVal>
          <c:yVal>
            <c:numRef>
              <c:f>'cbr graficos'!$T$32:$T$33</c:f>
              <c:numCache>
                <c:formatCode>General</c:formatCode>
                <c:ptCount val="2"/>
                <c:pt idx="0">
                  <c:v>0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C9-4A45-A550-0EBEFAD97E28}"/>
            </c:ext>
          </c:extLst>
        </c:ser>
        <c:ser>
          <c:idx val="6"/>
          <c:order val="6"/>
          <c:tx>
            <c:v>VERTICAL 3</c:v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diamond"/>
            <c:size val="3"/>
            <c:spPr>
              <a:solidFill>
                <a:srgbClr val="424242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'cbr graficos'!$V$29:$V$30</c:f>
              <c:numCache>
                <c:formatCode>General</c:formatCode>
                <c:ptCount val="2"/>
                <c:pt idx="0">
                  <c:v>4.4910604508071206</c:v>
                </c:pt>
                <c:pt idx="1">
                  <c:v>4.4910604508071206</c:v>
                </c:pt>
              </c:numCache>
            </c:numRef>
          </c:xVal>
          <c:yVal>
            <c:numRef>
              <c:f>'cbr graficos'!$W$29:$W$30</c:f>
              <c:numCache>
                <c:formatCode>General</c:formatCode>
                <c:ptCount val="2"/>
                <c:pt idx="0">
                  <c:v>0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C9-4A45-A550-0EBEFAD97E28}"/>
            </c:ext>
          </c:extLst>
        </c:ser>
        <c:ser>
          <c:idx val="7"/>
          <c:order val="7"/>
          <c:tx>
            <c:v>VERTICAL 4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graficos'!$V$32:$V$33</c:f>
              <c:numCache>
                <c:formatCode>General</c:formatCode>
                <c:ptCount val="2"/>
                <c:pt idx="0">
                  <c:v>4.0982100679275506</c:v>
                </c:pt>
                <c:pt idx="1">
                  <c:v>4.0982100679275506</c:v>
                </c:pt>
              </c:numCache>
            </c:numRef>
          </c:xVal>
          <c:yVal>
            <c:numRef>
              <c:f>'cbr graficos'!$W$32:$W$33</c:f>
              <c:numCache>
                <c:formatCode>General</c:formatCode>
                <c:ptCount val="2"/>
                <c:pt idx="0">
                  <c:v>0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9C9-4A45-A550-0EBEFAD97E28}"/>
            </c:ext>
          </c:extLst>
        </c:ser>
        <c:ser>
          <c:idx val="8"/>
          <c:order val="8"/>
          <c:spPr>
            <a:ln w="12700">
              <a:solidFill>
                <a:srgbClr val="0000FF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'cbr graficos'!$Z$29:$AA$29</c:f>
              <c:numCache>
                <c:formatCode>General</c:formatCode>
                <c:ptCount val="2"/>
                <c:pt idx="0">
                  <c:v>0</c:v>
                </c:pt>
                <c:pt idx="1">
                  <c:v>4.4910604508071206</c:v>
                </c:pt>
              </c:numCache>
            </c:numRef>
          </c:xVal>
          <c:yVal>
            <c:numRef>
              <c:f>'cbr graficos'!$Z$30:$AA$30</c:f>
              <c:numCache>
                <c:formatCode>General</c:formatCode>
                <c:ptCount val="2"/>
                <c:pt idx="0">
                  <c:v>1.9319999999999999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9C9-4A45-A550-0EBEFAD97E28}"/>
            </c:ext>
          </c:extLst>
        </c:ser>
        <c:ser>
          <c:idx val="9"/>
          <c:order val="9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'cbr graficos'!$Z$32:$AA$32</c:f>
              <c:numCache>
                <c:formatCode>General</c:formatCode>
                <c:ptCount val="2"/>
                <c:pt idx="0">
                  <c:v>0</c:v>
                </c:pt>
                <c:pt idx="1">
                  <c:v>4.0982100679275506</c:v>
                </c:pt>
              </c:numCache>
            </c:numRef>
          </c:xVal>
          <c:yVal>
            <c:numRef>
              <c:f>'cbr graficos'!$Z$33:$AA$33</c:f>
              <c:numCache>
                <c:formatCode>General</c:formatCode>
                <c:ptCount val="2"/>
                <c:pt idx="0">
                  <c:v>1.8353999999999999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9C9-4A45-A550-0EBEFAD97E28}"/>
            </c:ext>
          </c:extLst>
        </c:ser>
        <c:ser>
          <c:idx val="10"/>
          <c:order val="10"/>
          <c:tx>
            <c:v>90%MDS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'cbr graficos'!$J$44:$K$44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'cbr graficos'!$J$46:$K$46</c:f>
              <c:numCache>
                <c:formatCode>General</c:formatCode>
                <c:ptCount val="2"/>
                <c:pt idx="0">
                  <c:v>1.7387999999999999</c:v>
                </c:pt>
                <c:pt idx="1">
                  <c:v>1.7387999999999999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9C9-4A45-A550-0EBEFAD97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00080"/>
        <c:axId val="1"/>
      </c:scatterChart>
      <c:valAx>
        <c:axId val="1188100080"/>
        <c:scaling>
          <c:orientation val="minMax"/>
          <c:max val="25"/>
          <c:min val="15"/>
        </c:scaling>
        <c:delete val="0"/>
        <c:axPos val="b"/>
        <c:majorGridlines>
          <c:spPr>
            <a:ln w="3175">
              <a:solidFill>
                <a:srgbClr val="0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Peso Unitario Seco (kN/m3)</a:t>
                </a:r>
              </a:p>
            </c:rich>
          </c:tx>
          <c:layout>
            <c:manualLayout>
              <c:xMode val="edge"/>
              <c:yMode val="edge"/>
              <c:x val="0.36748516489786598"/>
              <c:y val="0.92026009906656403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in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"/>
        <c:minorUnit val="1"/>
      </c:valAx>
      <c:valAx>
        <c:axId val="1"/>
        <c:scaling>
          <c:orientation val="minMax"/>
          <c:max val="150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 C.B.R. Corregido (%)
</a:t>
                </a:r>
              </a:p>
            </c:rich>
          </c:tx>
          <c:layout>
            <c:manualLayout>
              <c:xMode val="edge"/>
              <c:yMode val="edge"/>
              <c:x val="8.7064932100878699E-3"/>
              <c:y val="0.270663667041619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88100080"/>
        <c:crossesAt val="0"/>
        <c:crossBetween val="midCat"/>
        <c:majorUnit val="50"/>
        <c:minorUnit val="10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6296759100764577"/>
          <c:y val="0.60904189607877968"/>
          <c:w val="0.20981598767545359"/>
          <c:h val="0.2105330254770785"/>
        </c:manualLayout>
      </c:layout>
      <c:overlay val="0"/>
      <c:txPr>
        <a:bodyPr/>
        <a:lstStyle/>
        <a:p>
          <a:pPr>
            <a:defRPr sz="67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47625</xdr:rowOff>
    </xdr:from>
    <xdr:to>
      <xdr:col>2</xdr:col>
      <xdr:colOff>274320</xdr:colOff>
      <xdr:row>4</xdr:row>
      <xdr:rowOff>81993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5" y="47625"/>
          <a:ext cx="1047750" cy="621108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60</xdr:row>
      <xdr:rowOff>45720</xdr:rowOff>
    </xdr:from>
    <xdr:to>
      <xdr:col>13</xdr:col>
      <xdr:colOff>518213</xdr:colOff>
      <xdr:row>66</xdr:row>
      <xdr:rowOff>89633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0875" t="14008" r="10875" b="9598"/>
        <a:stretch>
          <a:fillRect/>
        </a:stretch>
      </xdr:blipFill>
      <xdr:spPr bwMode="auto">
        <a:xfrm>
          <a:off x="4960620" y="10546080"/>
          <a:ext cx="1097333" cy="1095473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18</xdr:col>
      <xdr:colOff>419100</xdr:colOff>
      <xdr:row>59</xdr:row>
      <xdr:rowOff>152400</xdr:rowOff>
    </xdr:from>
    <xdr:to>
      <xdr:col>21</xdr:col>
      <xdr:colOff>376011</xdr:colOff>
      <xdr:row>66</xdr:row>
      <xdr:rowOff>136854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12480" y="10378440"/>
          <a:ext cx="2646771" cy="131033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8</xdr:col>
      <xdr:colOff>68581</xdr:colOff>
      <xdr:row>59</xdr:row>
      <xdr:rowOff>220980</xdr:rowOff>
    </xdr:from>
    <xdr:to>
      <xdr:col>11</xdr:col>
      <xdr:colOff>339091</xdr:colOff>
      <xdr:row>66</xdr:row>
      <xdr:rowOff>31750</xdr:rowOff>
    </xdr:to>
    <xdr:pic>
      <xdr:nvPicPr>
        <xdr:cNvPr id="8" name="Imagen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1550" t="18437" r="19247" b="17812"/>
        <a:stretch>
          <a:fillRect/>
        </a:stretch>
      </xdr:blipFill>
      <xdr:spPr bwMode="auto">
        <a:xfrm rot="60000">
          <a:off x="3352801" y="10447020"/>
          <a:ext cx="1527810" cy="1136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9525</xdr:rowOff>
    </xdr:from>
    <xdr:to>
      <xdr:col>7</xdr:col>
      <xdr:colOff>66675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38100</xdr:colOff>
      <xdr:row>26</xdr:row>
      <xdr:rowOff>19050</xdr:rowOff>
    </xdr:from>
    <xdr:to>
      <xdr:col>29</xdr:col>
      <xdr:colOff>514350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47625</xdr:colOff>
      <xdr:row>26</xdr:row>
      <xdr:rowOff>38100</xdr:rowOff>
    </xdr:from>
    <xdr:to>
      <xdr:col>39</xdr:col>
      <xdr:colOff>561975</xdr:colOff>
      <xdr:row>39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47625</xdr:colOff>
      <xdr:row>26</xdr:row>
      <xdr:rowOff>57150</xdr:rowOff>
    </xdr:from>
    <xdr:to>
      <xdr:col>49</xdr:col>
      <xdr:colOff>666750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95250</xdr:colOff>
      <xdr:row>12</xdr:row>
      <xdr:rowOff>19050</xdr:rowOff>
    </xdr:from>
    <xdr:to>
      <xdr:col>12</xdr:col>
      <xdr:colOff>190500</xdr:colOff>
      <xdr:row>26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9525</xdr:colOff>
      <xdr:row>12</xdr:row>
      <xdr:rowOff>19050</xdr:rowOff>
    </xdr:from>
    <xdr:to>
      <xdr:col>17</xdr:col>
      <xdr:colOff>152400</xdr:colOff>
      <xdr:row>26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30</xdr:row>
      <xdr:rowOff>95250</xdr:rowOff>
    </xdr:from>
    <xdr:to>
      <xdr:col>9</xdr:col>
      <xdr:colOff>228600</xdr:colOff>
      <xdr:row>43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 editAs="oneCell">
    <xdr:from>
      <xdr:col>9</xdr:col>
      <xdr:colOff>190500</xdr:colOff>
      <xdr:row>51</xdr:row>
      <xdr:rowOff>41907</xdr:rowOff>
    </xdr:from>
    <xdr:to>
      <xdr:col>11</xdr:col>
      <xdr:colOff>346710</xdr:colOff>
      <xdr:row>59</xdr:row>
      <xdr:rowOff>43177</xdr:rowOff>
    </xdr:to>
    <xdr:pic>
      <xdr:nvPicPr>
        <xdr:cNvPr id="11738242" name="Imagen 8">
          <a:extLst>
            <a:ext uri="{FF2B5EF4-FFF2-40B4-BE49-F238E27FC236}">
              <a16:creationId xmlns:a16="http://schemas.microsoft.com/office/drawing/2014/main" id="{00000000-0008-0000-0300-0000821C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l="21550" t="18437" r="19247" b="17812"/>
        <a:stretch>
          <a:fillRect/>
        </a:stretch>
      </xdr:blipFill>
      <xdr:spPr bwMode="auto">
        <a:xfrm rot="60000">
          <a:off x="3573780" y="9803127"/>
          <a:ext cx="1527810" cy="1136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15</xdr:col>
      <xdr:colOff>1958</xdr:colOff>
      <xdr:row>59</xdr:row>
      <xdr:rowOff>51533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/>
        <a:srcRect l="10875" t="14008" r="10875" b="9598"/>
        <a:stretch>
          <a:fillRect/>
        </a:stretch>
      </xdr:blipFill>
      <xdr:spPr bwMode="auto">
        <a:xfrm>
          <a:off x="5425440" y="9852660"/>
          <a:ext cx="1097333" cy="1095473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19</xdr:col>
      <xdr:colOff>205740</xdr:colOff>
      <xdr:row>63</xdr:row>
      <xdr:rowOff>182880</xdr:rowOff>
    </xdr:from>
    <xdr:to>
      <xdr:col>23</xdr:col>
      <xdr:colOff>383631</xdr:colOff>
      <xdr:row>70</xdr:row>
      <xdr:rowOff>159714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336280" y="11849100"/>
          <a:ext cx="2646771" cy="131033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733425</xdr:colOff>
      <xdr:row>13</xdr:row>
      <xdr:rowOff>152400</xdr:rowOff>
    </xdr:from>
    <xdr:to>
      <xdr:col>16</xdr:col>
      <xdr:colOff>647700</xdr:colOff>
      <xdr:row>15</xdr:row>
      <xdr:rowOff>95250</xdr:rowOff>
    </xdr:to>
    <xdr:pic>
      <xdr:nvPicPr>
        <xdr:cNvPr id="11650229" name="Imagen 2">
          <a:extLst>
            <a:ext uri="{FF2B5EF4-FFF2-40B4-BE49-F238E27FC236}">
              <a16:creationId xmlns:a16="http://schemas.microsoft.com/office/drawing/2014/main" id="{00000000-0008-0000-0500-0000B5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011275" y="2981325"/>
          <a:ext cx="828675" cy="3238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15</xdr:col>
      <xdr:colOff>647700</xdr:colOff>
      <xdr:row>15</xdr:row>
      <xdr:rowOff>180975</xdr:rowOff>
    </xdr:from>
    <xdr:to>
      <xdr:col>17</xdr:col>
      <xdr:colOff>447675</xdr:colOff>
      <xdr:row>18</xdr:row>
      <xdr:rowOff>95250</xdr:rowOff>
    </xdr:to>
    <xdr:pic>
      <xdr:nvPicPr>
        <xdr:cNvPr id="11650230" name="Imagen 3">
          <a:extLst>
            <a:ext uri="{FF2B5EF4-FFF2-40B4-BE49-F238E27FC236}">
              <a16:creationId xmlns:a16="http://schemas.microsoft.com/office/drawing/2014/main" id="{00000000-0008-0000-0500-0000B6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925550" y="3390900"/>
          <a:ext cx="1676400" cy="4857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18</xdr:col>
      <xdr:colOff>171450</xdr:colOff>
      <xdr:row>13</xdr:row>
      <xdr:rowOff>133350</xdr:rowOff>
    </xdr:from>
    <xdr:to>
      <xdr:col>20</xdr:col>
      <xdr:colOff>1409700</xdr:colOff>
      <xdr:row>20</xdr:row>
      <xdr:rowOff>95251</xdr:rowOff>
    </xdr:to>
    <xdr:pic>
      <xdr:nvPicPr>
        <xdr:cNvPr id="11650231" name="Imagen 5">
          <a:extLst>
            <a:ext uri="{FF2B5EF4-FFF2-40B4-BE49-F238E27FC236}">
              <a16:creationId xmlns:a16="http://schemas.microsoft.com/office/drawing/2014/main" id="{00000000-0008-0000-0500-0000B7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211550" y="2962275"/>
          <a:ext cx="2800350" cy="1190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742950</xdr:colOff>
      <xdr:row>14</xdr:row>
      <xdr:rowOff>9525</xdr:rowOff>
    </xdr:from>
    <xdr:to>
      <xdr:col>10</xdr:col>
      <xdr:colOff>314325</xdr:colOff>
      <xdr:row>20</xdr:row>
      <xdr:rowOff>152401</xdr:rowOff>
    </xdr:to>
    <xdr:pic>
      <xdr:nvPicPr>
        <xdr:cNvPr id="11650234" name="Imagen 2">
          <a:extLst>
            <a:ext uri="{FF2B5EF4-FFF2-40B4-BE49-F238E27FC236}">
              <a16:creationId xmlns:a16="http://schemas.microsoft.com/office/drawing/2014/main" id="{00000000-0008-0000-0500-0000BA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t="2402" r="687"/>
        <a:stretch>
          <a:fillRect/>
        </a:stretch>
      </xdr:blipFill>
      <xdr:spPr bwMode="auto">
        <a:xfrm>
          <a:off x="5486400" y="3028950"/>
          <a:ext cx="2828925" cy="11811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624416</xdr:colOff>
      <xdr:row>0</xdr:row>
      <xdr:rowOff>31750</xdr:rowOff>
    </xdr:from>
    <xdr:to>
      <xdr:col>2</xdr:col>
      <xdr:colOff>98391</xdr:colOff>
      <xdr:row>3</xdr:row>
      <xdr:rowOff>128086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67833" y="31750"/>
          <a:ext cx="955641" cy="57258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2</xdr:row>
      <xdr:rowOff>38100</xdr:rowOff>
    </xdr:from>
    <xdr:to>
      <xdr:col>19</xdr:col>
      <xdr:colOff>152400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0425" y="361950"/>
          <a:ext cx="5810250" cy="619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53340</xdr:colOff>
      <xdr:row>2</xdr:row>
      <xdr:rowOff>60960</xdr:rowOff>
    </xdr:from>
    <xdr:to>
      <xdr:col>9</xdr:col>
      <xdr:colOff>560967</xdr:colOff>
      <xdr:row>5</xdr:row>
      <xdr:rowOff>137238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381000"/>
          <a:ext cx="6596007" cy="55633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zoomScaleNormal="109" zoomScaleSheetLayoutView="70" workbookViewId="0"/>
  </sheetViews>
  <sheetFormatPr baseColWidth="10" defaultRowHeight="13.2" x14ac:dyDescent="0.25"/>
  <sheetData/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7"/>
  <sheetViews>
    <sheetView zoomScaleNormal="100" zoomScaleSheetLayoutView="115" workbookViewId="0">
      <selection activeCell="S24" sqref="S24"/>
    </sheetView>
  </sheetViews>
  <sheetFormatPr baseColWidth="10" defaultColWidth="10.33203125" defaultRowHeight="11.4" x14ac:dyDescent="0.2"/>
  <cols>
    <col min="1" max="1" width="8" style="795" customWidth="1"/>
    <col min="2" max="3" width="9.33203125" style="795" customWidth="1"/>
    <col min="4" max="4" width="10.109375" style="795" customWidth="1"/>
    <col min="5" max="5" width="4.6640625" style="795" customWidth="1"/>
    <col min="6" max="6" width="7.33203125" style="795" customWidth="1"/>
    <col min="7" max="7" width="6.6640625" style="795" customWidth="1"/>
    <col min="8" max="8" width="6.5546875" style="795" customWidth="1"/>
    <col min="9" max="9" width="6" style="795" customWidth="1"/>
    <col min="10" max="10" width="6.5546875" style="795" customWidth="1"/>
    <col min="11" max="11" width="11.33203125" style="795" customWidth="1"/>
    <col min="12" max="12" width="7.44140625" style="795" customWidth="1"/>
    <col min="13" max="13" width="9" style="795" customWidth="1"/>
    <col min="14" max="14" width="5" style="795" customWidth="1"/>
    <col min="15" max="15" width="5.6640625" style="795" customWidth="1"/>
    <col min="16" max="17" width="6.33203125" style="795" customWidth="1"/>
    <col min="18" max="18" width="10.6640625" style="795" customWidth="1"/>
    <col min="19" max="19" width="16.109375" style="795" customWidth="1"/>
    <col min="20" max="20" width="13.33203125" style="795" customWidth="1"/>
    <col min="21" max="22" width="10.33203125" style="795" customWidth="1"/>
    <col min="23" max="16384" width="10.33203125" style="795"/>
  </cols>
  <sheetData>
    <row r="1" spans="1:21" ht="11.4" customHeight="1" x14ac:dyDescent="0.2">
      <c r="A1" s="605"/>
      <c r="B1" s="606"/>
      <c r="C1" s="607"/>
      <c r="D1" s="605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7"/>
    </row>
    <row r="2" spans="1:21" ht="11.4" customHeight="1" x14ac:dyDescent="0.25">
      <c r="A2" s="608"/>
      <c r="B2" s="72"/>
      <c r="C2" s="609"/>
      <c r="D2" s="859" t="s">
        <v>0</v>
      </c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860"/>
      <c r="Q2" s="861"/>
      <c r="T2" s="11" t="s">
        <v>1</v>
      </c>
      <c r="U2" s="679"/>
    </row>
    <row r="3" spans="1:21" ht="11.4" customHeight="1" x14ac:dyDescent="0.25">
      <c r="A3" s="608"/>
      <c r="B3" s="72"/>
      <c r="C3" s="609"/>
      <c r="D3" s="855" t="s">
        <v>2</v>
      </c>
      <c r="E3" s="845"/>
      <c r="F3" s="845"/>
      <c r="G3" s="845"/>
      <c r="H3" s="845"/>
      <c r="I3" s="845"/>
      <c r="J3" s="845"/>
      <c r="K3" s="845"/>
      <c r="L3" s="845"/>
      <c r="M3" s="845"/>
      <c r="N3" s="845"/>
      <c r="O3" s="845"/>
      <c r="P3" s="845"/>
      <c r="Q3" s="846"/>
      <c r="T3" s="11" t="s">
        <v>3</v>
      </c>
      <c r="U3" s="680"/>
    </row>
    <row r="4" spans="1:21" ht="11.4" customHeight="1" x14ac:dyDescent="0.25">
      <c r="A4" s="608"/>
      <c r="B4" s="72"/>
      <c r="C4" s="609"/>
      <c r="D4" s="608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609"/>
      <c r="T4" s="11" t="s">
        <v>4</v>
      </c>
      <c r="U4" s="680"/>
    </row>
    <row r="5" spans="1:21" ht="11.4" customHeight="1" x14ac:dyDescent="0.25">
      <c r="A5" s="610"/>
      <c r="B5" s="611"/>
      <c r="C5" s="612"/>
      <c r="D5" s="610"/>
      <c r="E5" s="611"/>
      <c r="F5" s="611"/>
      <c r="G5" s="611"/>
      <c r="H5" s="611"/>
      <c r="I5" s="611"/>
      <c r="J5" s="611"/>
      <c r="K5" s="611"/>
      <c r="L5" s="611"/>
      <c r="M5" s="611"/>
      <c r="N5" s="611"/>
      <c r="O5" s="611"/>
      <c r="P5" s="611"/>
      <c r="Q5" s="612"/>
      <c r="T5" s="11" t="s">
        <v>5</v>
      </c>
      <c r="U5" s="680"/>
    </row>
    <row r="6" spans="1:21" ht="3" customHeight="1" x14ac:dyDescent="0.25">
      <c r="A6" s="624"/>
      <c r="B6" s="624"/>
      <c r="C6" s="624"/>
      <c r="D6" s="624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T6" s="678"/>
      <c r="U6" s="681"/>
    </row>
    <row r="7" spans="1:21" ht="15.75" customHeight="1" x14ac:dyDescent="0.25">
      <c r="A7" s="604"/>
      <c r="B7" s="604"/>
      <c r="C7" s="604"/>
      <c r="D7" s="604"/>
      <c r="E7" s="604"/>
      <c r="F7" s="604"/>
      <c r="G7" s="604"/>
      <c r="H7" s="604"/>
      <c r="I7" s="604"/>
      <c r="J7" s="604"/>
      <c r="K7" s="604"/>
      <c r="L7" s="604"/>
      <c r="M7" s="604"/>
      <c r="N7" s="604"/>
      <c r="O7" s="604"/>
      <c r="T7" s="11" t="s">
        <v>6</v>
      </c>
      <c r="U7" s="681"/>
    </row>
    <row r="8" spans="1:21" ht="15.75" customHeight="1" x14ac:dyDescent="0.25">
      <c r="B8" s="625"/>
      <c r="C8" s="625"/>
      <c r="D8" s="817" t="s">
        <v>7</v>
      </c>
      <c r="E8" s="818"/>
      <c r="F8" s="817" t="s">
        <v>8</v>
      </c>
      <c r="G8" s="818"/>
      <c r="H8" s="817" t="s">
        <v>9</v>
      </c>
      <c r="I8" s="824"/>
      <c r="J8" s="818"/>
      <c r="K8" s="817" t="s">
        <v>10</v>
      </c>
      <c r="L8" s="824"/>
      <c r="M8" s="824"/>
      <c r="N8" s="818"/>
      <c r="T8" s="11" t="s">
        <v>11</v>
      </c>
      <c r="U8" s="682"/>
    </row>
    <row r="9" spans="1:21" ht="15.75" customHeight="1" x14ac:dyDescent="0.25">
      <c r="A9" s="625"/>
      <c r="B9" s="625"/>
      <c r="C9" s="625"/>
      <c r="D9" s="854"/>
      <c r="E9" s="818"/>
      <c r="F9" s="854"/>
      <c r="G9" s="818"/>
      <c r="H9" s="854"/>
      <c r="I9" s="824"/>
      <c r="J9" s="818"/>
      <c r="K9" s="854"/>
      <c r="L9" s="824"/>
      <c r="M9" s="824"/>
      <c r="N9" s="818"/>
      <c r="T9" s="11" t="s">
        <v>12</v>
      </c>
      <c r="U9" s="681"/>
    </row>
    <row r="10" spans="1:21" ht="15.75" customHeight="1" x14ac:dyDescent="0.25">
      <c r="A10" s="625"/>
      <c r="B10" s="626"/>
      <c r="C10" s="627"/>
      <c r="D10" s="627"/>
      <c r="E10" s="627"/>
      <c r="F10" s="627"/>
      <c r="G10" s="627"/>
      <c r="H10" s="627"/>
      <c r="I10" s="627"/>
      <c r="J10" s="627"/>
      <c r="K10" s="628"/>
      <c r="L10" s="628"/>
      <c r="M10" s="628"/>
      <c r="N10" s="628"/>
      <c r="O10" s="628"/>
      <c r="T10" s="678"/>
      <c r="U10" s="681"/>
    </row>
    <row r="11" spans="1:21" ht="15" customHeight="1" x14ac:dyDescent="0.25">
      <c r="A11" s="830" t="s">
        <v>13</v>
      </c>
      <c r="B11" s="831"/>
      <c r="C11" s="831"/>
      <c r="D11" s="831"/>
      <c r="E11" s="831"/>
      <c r="F11" s="831"/>
      <c r="G11" s="831"/>
      <c r="H11" s="831"/>
      <c r="I11" s="831"/>
      <c r="J11" s="831"/>
      <c r="K11" s="831"/>
      <c r="L11" s="831"/>
      <c r="M11" s="831"/>
      <c r="N11" s="831"/>
      <c r="O11" s="831"/>
      <c r="P11" s="831"/>
      <c r="Q11" s="832"/>
      <c r="T11" s="11" t="s">
        <v>14</v>
      </c>
      <c r="U11" s="681"/>
    </row>
    <row r="12" spans="1:21" ht="13.5" customHeight="1" x14ac:dyDescent="0.25">
      <c r="A12" s="863" t="s">
        <v>15</v>
      </c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8"/>
      <c r="N12" s="848"/>
      <c r="O12" s="848"/>
      <c r="P12" s="848"/>
      <c r="Q12" s="849"/>
      <c r="T12" s="11" t="s">
        <v>16</v>
      </c>
      <c r="U12" s="682"/>
    </row>
    <row r="13" spans="1:21" ht="11.25" customHeight="1" x14ac:dyDescent="0.25">
      <c r="A13" s="629"/>
      <c r="B13" s="630"/>
      <c r="C13" s="631"/>
      <c r="D13" s="631"/>
      <c r="E13" s="631"/>
      <c r="F13" s="631"/>
      <c r="G13" s="631"/>
      <c r="H13" s="631"/>
      <c r="I13" s="631"/>
      <c r="J13" s="631"/>
      <c r="K13" s="632"/>
      <c r="L13" s="632"/>
      <c r="M13" s="632"/>
      <c r="N13" s="632"/>
      <c r="O13" s="632"/>
      <c r="P13" s="633"/>
      <c r="Q13" s="634"/>
      <c r="T13" s="11" t="s">
        <v>17</v>
      </c>
      <c r="U13" s="682"/>
    </row>
    <row r="14" spans="1:21" ht="19.5" customHeight="1" x14ac:dyDescent="0.25">
      <c r="A14" s="635" t="s">
        <v>18</v>
      </c>
      <c r="B14" s="805"/>
      <c r="C14" s="124"/>
      <c r="D14" s="805"/>
      <c r="E14" s="819"/>
      <c r="F14" s="818"/>
      <c r="G14" s="636" t="s">
        <v>19</v>
      </c>
      <c r="H14" s="805"/>
      <c r="K14" s="637"/>
      <c r="L14" s="805"/>
      <c r="N14" s="638" t="s">
        <v>20</v>
      </c>
      <c r="O14" s="826"/>
      <c r="P14" s="818"/>
      <c r="Q14" s="88"/>
      <c r="T14" s="678"/>
      <c r="U14" s="681"/>
    </row>
    <row r="15" spans="1:21" ht="19.5" customHeight="1" x14ac:dyDescent="0.25">
      <c r="A15" s="635" t="s">
        <v>21</v>
      </c>
      <c r="B15" s="805"/>
      <c r="C15" s="805"/>
      <c r="D15" s="805"/>
      <c r="E15" s="819"/>
      <c r="F15" s="818"/>
      <c r="G15" s="636" t="s">
        <v>22</v>
      </c>
      <c r="H15" s="805"/>
      <c r="K15" s="805"/>
      <c r="L15" s="805"/>
      <c r="N15" s="638" t="s">
        <v>23</v>
      </c>
      <c r="O15" s="826"/>
      <c r="P15" s="818"/>
      <c r="Q15" s="88"/>
      <c r="T15" s="11" t="s">
        <v>24</v>
      </c>
      <c r="U15" s="683"/>
    </row>
    <row r="16" spans="1:21" ht="19.5" customHeight="1" x14ac:dyDescent="0.25">
      <c r="A16" s="635" t="s">
        <v>25</v>
      </c>
      <c r="B16" s="805"/>
      <c r="C16" s="805"/>
      <c r="D16" s="124" t="s">
        <v>26</v>
      </c>
      <c r="E16" s="613"/>
      <c r="G16" s="623"/>
      <c r="H16" s="805"/>
      <c r="K16" s="805"/>
      <c r="L16" s="805"/>
      <c r="N16" s="124" t="s">
        <v>27</v>
      </c>
      <c r="O16" s="826"/>
      <c r="P16" s="818"/>
      <c r="Q16" s="88"/>
      <c r="T16" s="11" t="s">
        <v>28</v>
      </c>
      <c r="U16" s="683"/>
    </row>
    <row r="17" spans="1:21" ht="17.399999999999999" customHeight="1" x14ac:dyDescent="0.25">
      <c r="A17" s="635"/>
      <c r="B17" s="805"/>
      <c r="C17" s="805"/>
      <c r="D17" s="639" t="s">
        <v>29</v>
      </c>
      <c r="E17" s="789"/>
      <c r="F17" s="805"/>
      <c r="H17" s="805"/>
      <c r="K17" s="805"/>
      <c r="L17" s="805"/>
      <c r="N17" s="124" t="s">
        <v>30</v>
      </c>
      <c r="O17" s="826"/>
      <c r="P17" s="818"/>
      <c r="Q17" s="88"/>
      <c r="T17" s="11" t="s">
        <v>31</v>
      </c>
      <c r="U17" s="684"/>
    </row>
    <row r="18" spans="1:21" ht="6" customHeight="1" x14ac:dyDescent="0.2">
      <c r="A18" s="635"/>
      <c r="B18" s="805"/>
      <c r="C18" s="805"/>
      <c r="D18" s="639"/>
      <c r="E18" s="561"/>
      <c r="F18" s="805"/>
      <c r="H18" s="805"/>
      <c r="K18" s="805"/>
      <c r="L18" s="805"/>
      <c r="N18" s="124"/>
      <c r="O18" s="124"/>
      <c r="P18" s="124"/>
      <c r="Q18" s="88"/>
    </row>
    <row r="19" spans="1:21" ht="15.75" customHeight="1" x14ac:dyDescent="0.25">
      <c r="A19" s="128" t="s">
        <v>32</v>
      </c>
      <c r="B19" s="805"/>
      <c r="C19" s="805"/>
      <c r="D19" s="805"/>
      <c r="E19" s="614"/>
      <c r="F19" s="614"/>
      <c r="G19" s="839"/>
      <c r="H19" s="818"/>
      <c r="K19" s="805"/>
      <c r="L19" s="805"/>
      <c r="N19" s="124"/>
      <c r="O19" s="615"/>
      <c r="P19" s="805"/>
      <c r="Q19" s="88"/>
    </row>
    <row r="20" spans="1:21" ht="24.75" customHeight="1" x14ac:dyDescent="0.25">
      <c r="A20" s="640" t="s">
        <v>33</v>
      </c>
      <c r="B20" s="641"/>
      <c r="C20" s="641"/>
      <c r="D20" s="642"/>
      <c r="E20" s="841"/>
      <c r="F20" s="842"/>
      <c r="G20" s="842"/>
      <c r="H20" s="842"/>
      <c r="I20" s="842"/>
      <c r="J20" s="842"/>
      <c r="K20" s="842"/>
      <c r="L20" s="842"/>
      <c r="M20" s="842"/>
      <c r="N20" s="842"/>
      <c r="O20" s="842"/>
      <c r="P20" s="842"/>
      <c r="Q20" s="822"/>
    </row>
    <row r="21" spans="1:21" ht="13.95" customHeight="1" x14ac:dyDescent="0.25">
      <c r="A21" s="838" t="s">
        <v>34</v>
      </c>
      <c r="B21" s="824"/>
      <c r="C21" s="818"/>
      <c r="D21" s="838" t="s">
        <v>35</v>
      </c>
      <c r="E21" s="824"/>
      <c r="F21" s="824"/>
      <c r="G21" s="818"/>
      <c r="H21" s="838" t="s">
        <v>36</v>
      </c>
      <c r="I21" s="824"/>
      <c r="J21" s="824"/>
      <c r="K21" s="818"/>
      <c r="L21" s="838" t="s">
        <v>37</v>
      </c>
      <c r="M21" s="824"/>
      <c r="N21" s="824"/>
      <c r="O21" s="824"/>
      <c r="P21" s="824"/>
      <c r="Q21" s="818"/>
      <c r="R21" s="105"/>
    </row>
    <row r="22" spans="1:21" ht="13.95" customHeight="1" x14ac:dyDescent="0.25">
      <c r="A22" s="838" t="s">
        <v>38</v>
      </c>
      <c r="B22" s="824"/>
      <c r="C22" s="818"/>
      <c r="D22" s="838" t="s">
        <v>39</v>
      </c>
      <c r="E22" s="818"/>
      <c r="F22" s="838" t="s">
        <v>40</v>
      </c>
      <c r="G22" s="818"/>
      <c r="H22" s="838" t="s">
        <v>39</v>
      </c>
      <c r="I22" s="818"/>
      <c r="J22" s="838" t="s">
        <v>40</v>
      </c>
      <c r="K22" s="818"/>
      <c r="L22" s="838" t="s">
        <v>39</v>
      </c>
      <c r="M22" s="824"/>
      <c r="N22" s="818"/>
      <c r="O22" s="838" t="s">
        <v>40</v>
      </c>
      <c r="P22" s="824"/>
      <c r="Q22" s="818"/>
      <c r="R22" s="105"/>
    </row>
    <row r="23" spans="1:21" ht="19.5" customHeight="1" x14ac:dyDescent="0.25">
      <c r="A23" s="834" t="s">
        <v>41</v>
      </c>
      <c r="B23" s="824"/>
      <c r="C23" s="818"/>
      <c r="D23" s="833">
        <v>56</v>
      </c>
      <c r="E23" s="824"/>
      <c r="F23" s="824"/>
      <c r="G23" s="818"/>
      <c r="H23" s="825">
        <v>25</v>
      </c>
      <c r="I23" s="824"/>
      <c r="J23" s="824"/>
      <c r="K23" s="818"/>
      <c r="L23" s="825">
        <v>10</v>
      </c>
      <c r="M23" s="824"/>
      <c r="N23" s="824"/>
      <c r="O23" s="824"/>
      <c r="P23" s="824"/>
      <c r="Q23" s="818"/>
    </row>
    <row r="24" spans="1:21" ht="19.5" customHeight="1" x14ac:dyDescent="0.25">
      <c r="A24" s="834" t="s">
        <v>42</v>
      </c>
      <c r="B24" s="824"/>
      <c r="C24" s="818"/>
      <c r="D24" s="833"/>
      <c r="E24" s="824"/>
      <c r="F24" s="824"/>
      <c r="G24" s="818"/>
      <c r="H24" s="833"/>
      <c r="I24" s="824"/>
      <c r="J24" s="824"/>
      <c r="K24" s="818"/>
      <c r="L24" s="825"/>
      <c r="M24" s="824"/>
      <c r="N24" s="824"/>
      <c r="O24" s="824"/>
      <c r="P24" s="824"/>
      <c r="Q24" s="818"/>
    </row>
    <row r="25" spans="1:21" ht="19.5" customHeight="1" x14ac:dyDescent="0.25">
      <c r="A25" s="857" t="s">
        <v>43</v>
      </c>
      <c r="B25" s="824"/>
      <c r="C25" s="818"/>
      <c r="D25" s="825"/>
      <c r="E25" s="824"/>
      <c r="F25" s="824"/>
      <c r="G25" s="818"/>
      <c r="H25" s="825"/>
      <c r="I25" s="824"/>
      <c r="J25" s="824"/>
      <c r="K25" s="818"/>
      <c r="L25" s="835"/>
      <c r="M25" s="824"/>
      <c r="N25" s="824"/>
      <c r="O25" s="824"/>
      <c r="P25" s="824"/>
      <c r="Q25" s="818"/>
    </row>
    <row r="26" spans="1:21" ht="19.5" customHeight="1" x14ac:dyDescent="0.25">
      <c r="A26" s="857" t="s">
        <v>44</v>
      </c>
      <c r="B26" s="824"/>
      <c r="C26" s="818"/>
      <c r="D26" s="825"/>
      <c r="E26" s="824"/>
      <c r="F26" s="824"/>
      <c r="G26" s="818"/>
      <c r="H26" s="825"/>
      <c r="I26" s="824"/>
      <c r="J26" s="824"/>
      <c r="K26" s="818"/>
      <c r="L26" s="835"/>
      <c r="M26" s="824"/>
      <c r="N26" s="824"/>
      <c r="O26" s="824"/>
      <c r="P26" s="824"/>
      <c r="Q26" s="818"/>
      <c r="S26" s="814"/>
      <c r="T26" s="814"/>
    </row>
    <row r="27" spans="1:21" ht="19.5" customHeight="1" x14ac:dyDescent="0.25">
      <c r="A27" s="834" t="s">
        <v>45</v>
      </c>
      <c r="B27" s="824"/>
      <c r="C27" s="818"/>
      <c r="D27" s="835"/>
      <c r="E27" s="818"/>
      <c r="F27" s="825"/>
      <c r="G27" s="818"/>
      <c r="H27" s="825"/>
      <c r="I27" s="818"/>
      <c r="J27" s="825"/>
      <c r="K27" s="818"/>
      <c r="L27" s="825"/>
      <c r="M27" s="824"/>
      <c r="N27" s="818"/>
      <c r="O27" s="825"/>
      <c r="P27" s="824"/>
      <c r="Q27" s="818"/>
      <c r="S27" s="814"/>
      <c r="T27" s="814"/>
    </row>
    <row r="28" spans="1:21" ht="11.4" customHeight="1" x14ac:dyDescent="0.25">
      <c r="A28" s="856" t="s">
        <v>46</v>
      </c>
      <c r="B28" s="824"/>
      <c r="C28" s="824"/>
      <c r="D28" s="824"/>
      <c r="E28" s="824"/>
      <c r="F28" s="824"/>
      <c r="G28" s="824"/>
      <c r="H28" s="824"/>
      <c r="I28" s="824"/>
      <c r="J28" s="824"/>
      <c r="K28" s="824"/>
      <c r="L28" s="824"/>
      <c r="M28" s="824"/>
      <c r="N28" s="824"/>
      <c r="O28" s="824"/>
      <c r="P28" s="824"/>
      <c r="Q28" s="818"/>
      <c r="S28" s="814"/>
      <c r="T28" s="814"/>
    </row>
    <row r="29" spans="1:21" ht="19.5" customHeight="1" x14ac:dyDescent="0.25">
      <c r="A29" s="834" t="s">
        <v>47</v>
      </c>
      <c r="B29" s="824"/>
      <c r="C29" s="818"/>
      <c r="D29" s="835"/>
      <c r="E29" s="818"/>
      <c r="F29" s="825"/>
      <c r="G29" s="818"/>
      <c r="H29" s="825"/>
      <c r="I29" s="818"/>
      <c r="J29" s="825"/>
      <c r="K29" s="818"/>
      <c r="L29" s="825"/>
      <c r="M29" s="824"/>
      <c r="N29" s="818"/>
      <c r="O29" s="825"/>
      <c r="P29" s="824"/>
      <c r="Q29" s="818"/>
      <c r="S29" s="753" t="s">
        <v>48</v>
      </c>
      <c r="T29" s="754">
        <v>2500</v>
      </c>
    </row>
    <row r="30" spans="1:21" ht="19.5" customHeight="1" x14ac:dyDescent="0.25">
      <c r="A30" s="834" t="s">
        <v>49</v>
      </c>
      <c r="B30" s="824"/>
      <c r="C30" s="818"/>
      <c r="D30" s="835"/>
      <c r="E30" s="818"/>
      <c r="F30" s="825"/>
      <c r="G30" s="818"/>
      <c r="H30" s="825"/>
      <c r="I30" s="818"/>
      <c r="J30" s="825"/>
      <c r="K30" s="818"/>
      <c r="L30" s="825"/>
      <c r="M30" s="824"/>
      <c r="N30" s="818"/>
      <c r="O30" s="825"/>
      <c r="P30" s="824"/>
      <c r="Q30" s="818"/>
      <c r="S30" s="755" t="e">
        <f>+(D32-(D34-D30))/(D34-D30)*100</f>
        <v>#DIV/0!</v>
      </c>
      <c r="T30" s="754" t="str">
        <f>+IF(D32&gt;T29,"Cumple","No Cumple")</f>
        <v>No Cumple</v>
      </c>
    </row>
    <row r="31" spans="1:21" ht="19.5" customHeight="1" x14ac:dyDescent="0.25">
      <c r="A31" s="834" t="s">
        <v>50</v>
      </c>
      <c r="B31" s="824"/>
      <c r="C31" s="818"/>
      <c r="D31" s="835"/>
      <c r="E31" s="818"/>
      <c r="F31" s="825"/>
      <c r="G31" s="818"/>
      <c r="H31" s="825"/>
      <c r="I31" s="818"/>
      <c r="J31" s="825"/>
      <c r="K31" s="818"/>
      <c r="L31" s="825"/>
      <c r="M31" s="824"/>
      <c r="N31" s="818"/>
      <c r="O31" s="825"/>
      <c r="P31" s="824"/>
      <c r="Q31" s="818"/>
      <c r="S31" s="755" t="e">
        <f>+(H32-(H34-H30))/(H34-H30)*100</f>
        <v>#DIV/0!</v>
      </c>
      <c r="T31" s="754" t="str">
        <f>+IF(H32&gt;T29,"Cumple","No Cumple")</f>
        <v>No Cumple</v>
      </c>
    </row>
    <row r="32" spans="1:21" ht="19.5" customHeight="1" x14ac:dyDescent="0.25">
      <c r="A32" s="834" t="s">
        <v>51</v>
      </c>
      <c r="B32" s="824"/>
      <c r="C32" s="818"/>
      <c r="D32" s="835">
        <f>+D31-D30</f>
        <v>0</v>
      </c>
      <c r="E32" s="818"/>
      <c r="F32" s="835">
        <f>+F31-F30</f>
        <v>0</v>
      </c>
      <c r="G32" s="818"/>
      <c r="H32" s="835">
        <f>+H31-H30</f>
        <v>0</v>
      </c>
      <c r="I32" s="818"/>
      <c r="J32" s="835">
        <f>+J31-J30</f>
        <v>0</v>
      </c>
      <c r="K32" s="818"/>
      <c r="L32" s="835">
        <f>+L31-L30</f>
        <v>0</v>
      </c>
      <c r="M32" s="824"/>
      <c r="N32" s="818"/>
      <c r="O32" s="835">
        <f>+O31-O30</f>
        <v>0</v>
      </c>
      <c r="P32" s="824"/>
      <c r="Q32" s="818"/>
      <c r="S32" s="755" t="e">
        <f>+(L32-(L34-L30))/(L34-L30)*100</f>
        <v>#DIV/0!</v>
      </c>
      <c r="T32" s="754" t="str">
        <f>+IF(L32&gt;T29,"Cumple","No Cumple")</f>
        <v>No Cumple</v>
      </c>
    </row>
    <row r="33" spans="1:20" ht="19.5" customHeight="1" x14ac:dyDescent="0.25">
      <c r="A33" s="834" t="s">
        <v>52</v>
      </c>
      <c r="B33" s="824"/>
      <c r="C33" s="818"/>
      <c r="D33" s="835"/>
      <c r="E33" s="818"/>
      <c r="F33" s="825"/>
      <c r="G33" s="818"/>
      <c r="H33" s="825"/>
      <c r="I33" s="818"/>
      <c r="J33" s="825"/>
      <c r="K33" s="818"/>
      <c r="L33" s="825"/>
      <c r="M33" s="824"/>
      <c r="N33" s="818"/>
      <c r="O33" s="825"/>
      <c r="P33" s="824"/>
      <c r="Q33" s="818"/>
      <c r="S33" s="754" t="s">
        <v>53</v>
      </c>
    </row>
    <row r="34" spans="1:20" ht="22.5" customHeight="1" x14ac:dyDescent="0.25">
      <c r="A34" s="834" t="s">
        <v>54</v>
      </c>
      <c r="B34" s="824"/>
      <c r="C34" s="818"/>
      <c r="D34" s="835"/>
      <c r="E34" s="818"/>
      <c r="F34" s="825"/>
      <c r="G34" s="818"/>
      <c r="H34" s="825"/>
      <c r="I34" s="818"/>
      <c r="J34" s="825"/>
      <c r="K34" s="818"/>
      <c r="L34" s="825"/>
      <c r="M34" s="824"/>
      <c r="N34" s="818"/>
      <c r="O34" s="825"/>
      <c r="P34" s="824"/>
      <c r="Q34" s="818"/>
      <c r="S34" s="755" t="e">
        <f>+(F32-(F34-F30))/(F34-F30)*100</f>
        <v>#DIV/0!</v>
      </c>
    </row>
    <row r="35" spans="1:20" ht="12.75" customHeight="1" x14ac:dyDescent="0.2">
      <c r="A35" s="616" t="s">
        <v>55</v>
      </c>
      <c r="B35" s="617"/>
      <c r="C35" s="617"/>
      <c r="D35" s="618"/>
      <c r="E35" s="618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4"/>
      <c r="S35" s="755" t="e">
        <f>+(J32-(J34-J30))/(J34-J30)*100</f>
        <v>#DIV/0!</v>
      </c>
    </row>
    <row r="36" spans="1:20" ht="15" customHeight="1" x14ac:dyDescent="0.2">
      <c r="A36" s="645" t="s">
        <v>56</v>
      </c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805"/>
      <c r="N36" s="646"/>
      <c r="O36" s="646"/>
      <c r="P36" s="646"/>
      <c r="Q36" s="88"/>
      <c r="S36" s="755" t="e">
        <f>+(O32-(O34-O30))/(O34-O30)*100</f>
        <v>#DIV/0!</v>
      </c>
    </row>
    <row r="37" spans="1:20" ht="19.5" customHeight="1" x14ac:dyDescent="0.25">
      <c r="A37" s="827" t="s">
        <v>57</v>
      </c>
      <c r="B37" s="819" t="s">
        <v>58</v>
      </c>
      <c r="C37" s="818"/>
      <c r="D37" s="647" t="s">
        <v>59</v>
      </c>
      <c r="E37" s="819" t="s">
        <v>60</v>
      </c>
      <c r="F37" s="824"/>
      <c r="G37" s="824"/>
      <c r="H37" s="824"/>
      <c r="I37" s="824"/>
      <c r="J37" s="818"/>
      <c r="K37" s="648"/>
      <c r="L37" s="823" t="s">
        <v>61</v>
      </c>
      <c r="M37" s="824"/>
      <c r="N37" s="824"/>
      <c r="O37" s="824"/>
      <c r="P37" s="824"/>
      <c r="Q37" s="818"/>
      <c r="S37" s="756"/>
      <c r="T37" s="756"/>
    </row>
    <row r="38" spans="1:20" ht="21" customHeight="1" x14ac:dyDescent="0.2">
      <c r="A38" s="828"/>
      <c r="B38" s="819" t="s">
        <v>62</v>
      </c>
      <c r="C38" s="819" t="s">
        <v>63</v>
      </c>
      <c r="D38" s="649" t="s">
        <v>64</v>
      </c>
      <c r="E38" s="819" t="s">
        <v>65</v>
      </c>
      <c r="F38" s="820"/>
      <c r="G38" s="819" t="s">
        <v>65</v>
      </c>
      <c r="H38" s="820"/>
      <c r="I38" s="819" t="s">
        <v>65</v>
      </c>
      <c r="J38" s="820"/>
      <c r="K38" s="648"/>
      <c r="L38" s="819" t="s">
        <v>66</v>
      </c>
      <c r="M38" s="820"/>
      <c r="N38" s="850" t="s">
        <v>67</v>
      </c>
      <c r="O38" s="791" t="s">
        <v>68</v>
      </c>
      <c r="P38" s="791" t="s">
        <v>69</v>
      </c>
      <c r="Q38" s="791" t="s">
        <v>70</v>
      </c>
      <c r="S38" s="757" t="s">
        <v>71</v>
      </c>
      <c r="T38" s="757" t="s">
        <v>72</v>
      </c>
    </row>
    <row r="39" spans="1:20" ht="19.5" customHeight="1" x14ac:dyDescent="0.25">
      <c r="A39" s="829"/>
      <c r="B39" s="829"/>
      <c r="C39" s="829"/>
      <c r="D39" s="650" t="s">
        <v>73</v>
      </c>
      <c r="E39" s="821"/>
      <c r="F39" s="822"/>
      <c r="G39" s="821"/>
      <c r="H39" s="822"/>
      <c r="I39" s="821"/>
      <c r="J39" s="822"/>
      <c r="K39" s="648"/>
      <c r="L39" s="821"/>
      <c r="M39" s="822"/>
      <c r="N39" s="864"/>
      <c r="O39" s="819" t="s">
        <v>74</v>
      </c>
      <c r="P39" s="824"/>
      <c r="Q39" s="818"/>
      <c r="R39" s="651"/>
      <c r="S39" s="787" t="s">
        <v>75</v>
      </c>
      <c r="T39" s="788" t="s">
        <v>76</v>
      </c>
    </row>
    <row r="40" spans="1:20" ht="16.2" customHeight="1" x14ac:dyDescent="0.25">
      <c r="A40" s="652" t="s">
        <v>77</v>
      </c>
      <c r="B40" s="796">
        <v>0</v>
      </c>
      <c r="C40" s="450">
        <v>0</v>
      </c>
      <c r="D40" s="789"/>
      <c r="E40" s="819"/>
      <c r="F40" s="818"/>
      <c r="G40" s="819"/>
      <c r="H40" s="818"/>
      <c r="I40" s="819"/>
      <c r="J40" s="818"/>
      <c r="K40" s="648"/>
      <c r="L40" s="840"/>
      <c r="M40" s="818"/>
      <c r="N40" s="686"/>
      <c r="O40" s="620"/>
      <c r="P40" s="620"/>
      <c r="Q40" s="789"/>
      <c r="R40" s="651"/>
      <c r="S40" s="787" t="s">
        <v>78</v>
      </c>
      <c r="T40" s="788" t="s">
        <v>79</v>
      </c>
    </row>
    <row r="41" spans="1:20" ht="16.2" customHeight="1" x14ac:dyDescent="0.25">
      <c r="A41" s="652" t="s">
        <v>80</v>
      </c>
      <c r="B41" s="796">
        <v>2.5000000000000001E-2</v>
      </c>
      <c r="C41" s="450">
        <v>0.64</v>
      </c>
      <c r="D41" s="789"/>
      <c r="E41" s="819"/>
      <c r="F41" s="818"/>
      <c r="G41" s="819"/>
      <c r="H41" s="818"/>
      <c r="I41" s="819"/>
      <c r="J41" s="818"/>
      <c r="K41" s="654"/>
      <c r="L41" s="840"/>
      <c r="M41" s="818"/>
      <c r="N41" s="653"/>
      <c r="O41" s="796"/>
      <c r="P41" s="796"/>
      <c r="Q41" s="796"/>
      <c r="R41" s="498"/>
      <c r="S41" s="787" t="s">
        <v>81</v>
      </c>
      <c r="T41" s="788" t="s">
        <v>82</v>
      </c>
    </row>
    <row r="42" spans="1:20" ht="16.2" customHeight="1" x14ac:dyDescent="0.25">
      <c r="A42" s="652" t="s">
        <v>83</v>
      </c>
      <c r="B42" s="796">
        <v>0.05</v>
      </c>
      <c r="C42" s="450">
        <v>1.3</v>
      </c>
      <c r="D42" s="789"/>
      <c r="E42" s="819"/>
      <c r="F42" s="818"/>
      <c r="G42" s="819"/>
      <c r="H42" s="818"/>
      <c r="I42" s="819"/>
      <c r="J42" s="818"/>
      <c r="K42" s="654"/>
      <c r="L42" s="840"/>
      <c r="M42" s="818"/>
      <c r="N42" s="653"/>
      <c r="O42" s="796"/>
      <c r="P42" s="796"/>
      <c r="Q42" s="796"/>
      <c r="R42" s="498"/>
      <c r="S42" s="787" t="s">
        <v>84</v>
      </c>
      <c r="T42" s="759" t="s">
        <v>85</v>
      </c>
    </row>
    <row r="43" spans="1:20" ht="18" customHeight="1" x14ac:dyDescent="0.25">
      <c r="A43" s="652" t="s">
        <v>86</v>
      </c>
      <c r="B43" s="796">
        <v>7.4999999999999997E-2</v>
      </c>
      <c r="C43" s="450">
        <v>1.9</v>
      </c>
      <c r="D43" s="789"/>
      <c r="E43" s="819"/>
      <c r="F43" s="818"/>
      <c r="G43" s="819"/>
      <c r="H43" s="818"/>
      <c r="I43" s="819"/>
      <c r="J43" s="818"/>
      <c r="K43" s="654"/>
      <c r="L43" s="840"/>
      <c r="M43" s="818"/>
      <c r="N43" s="653"/>
      <c r="O43" s="796"/>
      <c r="P43" s="796"/>
      <c r="Q43" s="796"/>
      <c r="R43" s="498"/>
      <c r="S43" s="787" t="s">
        <v>87</v>
      </c>
      <c r="T43" s="759" t="s">
        <v>88</v>
      </c>
    </row>
    <row r="44" spans="1:20" ht="16.2" customHeight="1" x14ac:dyDescent="0.25">
      <c r="A44" s="619" t="s">
        <v>89</v>
      </c>
      <c r="B44" s="468">
        <v>0.1</v>
      </c>
      <c r="C44" s="507">
        <v>2.5</v>
      </c>
      <c r="D44" s="792">
        <v>1000</v>
      </c>
      <c r="E44" s="819"/>
      <c r="F44" s="818"/>
      <c r="G44" s="819"/>
      <c r="H44" s="818"/>
      <c r="I44" s="819"/>
      <c r="J44" s="818"/>
      <c r="K44" s="654"/>
      <c r="L44" s="840"/>
      <c r="M44" s="818"/>
      <c r="N44" s="653"/>
      <c r="O44" s="796"/>
      <c r="P44" s="796"/>
      <c r="Q44" s="796"/>
      <c r="R44" s="498"/>
      <c r="S44" s="787" t="s">
        <v>90</v>
      </c>
      <c r="T44" s="759" t="s">
        <v>91</v>
      </c>
    </row>
    <row r="45" spans="1:20" ht="16.2" customHeight="1" x14ac:dyDescent="0.25">
      <c r="A45" s="621">
        <v>0.1041666666666667</v>
      </c>
      <c r="B45" s="796">
        <v>0.125</v>
      </c>
      <c r="C45" s="450">
        <v>3.18</v>
      </c>
      <c r="D45" s="789"/>
      <c r="E45" s="819"/>
      <c r="F45" s="818"/>
      <c r="G45" s="819"/>
      <c r="H45" s="818"/>
      <c r="I45" s="819"/>
      <c r="J45" s="818"/>
      <c r="K45" s="654"/>
      <c r="L45" s="633"/>
      <c r="M45" s="633"/>
      <c r="N45" s="633"/>
      <c r="O45" s="633"/>
      <c r="P45" s="633"/>
      <c r="Q45" s="634"/>
      <c r="R45" s="498"/>
      <c r="S45" s="787" t="s">
        <v>92</v>
      </c>
      <c r="T45" s="759" t="s">
        <v>93</v>
      </c>
    </row>
    <row r="46" spans="1:20" ht="16.2" customHeight="1" x14ac:dyDescent="0.25">
      <c r="A46" s="621">
        <v>0.125</v>
      </c>
      <c r="B46" s="796">
        <v>0.15</v>
      </c>
      <c r="C46" s="450">
        <v>3.8</v>
      </c>
      <c r="D46" s="789"/>
      <c r="E46" s="819"/>
      <c r="F46" s="818"/>
      <c r="G46" s="819"/>
      <c r="H46" s="818"/>
      <c r="I46" s="819"/>
      <c r="J46" s="818"/>
      <c r="K46" s="654"/>
      <c r="L46" s="862" t="s">
        <v>94</v>
      </c>
      <c r="M46" s="851"/>
      <c r="N46" s="852"/>
      <c r="O46" s="858" t="s">
        <v>95</v>
      </c>
      <c r="P46" s="851"/>
      <c r="Q46" s="852"/>
      <c r="R46" s="498"/>
      <c r="S46" s="787" t="s">
        <v>96</v>
      </c>
      <c r="T46" s="759" t="s">
        <v>97</v>
      </c>
    </row>
    <row r="47" spans="1:20" ht="16.2" customHeight="1" x14ac:dyDescent="0.25">
      <c r="A47" s="621">
        <v>0.14583333333333329</v>
      </c>
      <c r="B47" s="796">
        <v>0.17499999999999999</v>
      </c>
      <c r="C47" s="450">
        <v>4.45</v>
      </c>
      <c r="D47" s="789"/>
      <c r="E47" s="819"/>
      <c r="F47" s="818"/>
      <c r="G47" s="819"/>
      <c r="H47" s="818"/>
      <c r="I47" s="819"/>
      <c r="J47" s="818"/>
      <c r="K47" s="654"/>
      <c r="L47" s="853" t="s">
        <v>98</v>
      </c>
      <c r="M47" s="851"/>
      <c r="N47" s="852"/>
      <c r="O47" s="850"/>
      <c r="P47" s="851"/>
      <c r="Q47" s="852"/>
      <c r="R47" s="498"/>
      <c r="S47" s="787" t="s">
        <v>99</v>
      </c>
      <c r="T47" s="759" t="s">
        <v>100</v>
      </c>
    </row>
    <row r="48" spans="1:20" ht="16.2" customHeight="1" x14ac:dyDescent="0.25">
      <c r="A48" s="622">
        <v>0.16666666666666671</v>
      </c>
      <c r="B48" s="468">
        <v>0.2</v>
      </c>
      <c r="C48" s="507">
        <v>5.0999999999999996</v>
      </c>
      <c r="D48" s="792">
        <v>1500</v>
      </c>
      <c r="E48" s="819"/>
      <c r="F48" s="818"/>
      <c r="G48" s="819"/>
      <c r="H48" s="818"/>
      <c r="I48" s="819"/>
      <c r="J48" s="818"/>
      <c r="K48" s="654"/>
      <c r="L48" s="853" t="s">
        <v>101</v>
      </c>
      <c r="M48" s="851"/>
      <c r="N48" s="852"/>
      <c r="O48" s="850"/>
      <c r="P48" s="851"/>
      <c r="Q48" s="852"/>
      <c r="R48" s="498"/>
      <c r="S48" s="758"/>
      <c r="T48" s="759"/>
    </row>
    <row r="49" spans="1:20" ht="16.2" customHeight="1" x14ac:dyDescent="0.25">
      <c r="A49" s="621">
        <v>0.25</v>
      </c>
      <c r="B49" s="796">
        <v>0.3</v>
      </c>
      <c r="C49" s="450">
        <v>7.6</v>
      </c>
      <c r="D49" s="789"/>
      <c r="E49" s="819"/>
      <c r="F49" s="818"/>
      <c r="G49" s="819"/>
      <c r="H49" s="818"/>
      <c r="I49" s="819"/>
      <c r="J49" s="818"/>
      <c r="K49" s="658"/>
      <c r="L49" s="853" t="s">
        <v>102</v>
      </c>
      <c r="M49" s="851"/>
      <c r="N49" s="852"/>
      <c r="O49" s="850"/>
      <c r="P49" s="851"/>
      <c r="Q49" s="852"/>
      <c r="R49" s="498"/>
      <c r="S49" s="758"/>
      <c r="T49" s="759"/>
    </row>
    <row r="50" spans="1:20" ht="16.2" customHeight="1" x14ac:dyDescent="0.25">
      <c r="A50" s="621">
        <v>0.33333333333333331</v>
      </c>
      <c r="B50" s="796">
        <v>0.4</v>
      </c>
      <c r="C50" s="450">
        <v>10</v>
      </c>
      <c r="D50" s="789"/>
      <c r="E50" s="819"/>
      <c r="F50" s="818"/>
      <c r="G50" s="819"/>
      <c r="H50" s="818"/>
      <c r="I50" s="819"/>
      <c r="J50" s="818"/>
      <c r="K50" s="658"/>
      <c r="L50" s="655" t="s">
        <v>103</v>
      </c>
      <c r="M50" s="656"/>
      <c r="N50" s="657"/>
      <c r="O50" s="850"/>
      <c r="P50" s="851"/>
      <c r="Q50" s="852"/>
      <c r="R50" s="498"/>
      <c r="S50" s="758"/>
      <c r="T50" s="759"/>
    </row>
    <row r="51" spans="1:20" ht="16.2" customHeight="1" x14ac:dyDescent="0.25">
      <c r="A51" s="621">
        <v>0.41666666666666669</v>
      </c>
      <c r="B51" s="796">
        <v>0.5</v>
      </c>
      <c r="C51" s="450">
        <v>13</v>
      </c>
      <c r="D51" s="789"/>
      <c r="E51" s="819"/>
      <c r="F51" s="818"/>
      <c r="G51" s="819"/>
      <c r="H51" s="818"/>
      <c r="I51" s="819"/>
      <c r="J51" s="818"/>
      <c r="K51" s="659"/>
      <c r="L51" s="655" t="s">
        <v>104</v>
      </c>
      <c r="M51" s="656"/>
      <c r="N51" s="657"/>
      <c r="O51" s="850"/>
      <c r="P51" s="851"/>
      <c r="Q51" s="852"/>
      <c r="R51" s="498"/>
      <c r="S51" s="758"/>
      <c r="T51" s="759"/>
    </row>
    <row r="52" spans="1:20" ht="16.2" customHeight="1" x14ac:dyDescent="0.25">
      <c r="A52" s="253"/>
      <c r="B52" s="641"/>
      <c r="C52" s="641"/>
      <c r="D52" s="660"/>
      <c r="E52" s="641"/>
      <c r="F52" s="641"/>
      <c r="G52" s="641"/>
      <c r="H52" s="641"/>
      <c r="I52" s="661"/>
      <c r="J52" s="641"/>
      <c r="K52" s="805"/>
      <c r="L52" s="853" t="s">
        <v>105</v>
      </c>
      <c r="M52" s="851"/>
      <c r="N52" s="852"/>
      <c r="O52" s="850"/>
      <c r="P52" s="851"/>
      <c r="Q52" s="852"/>
      <c r="S52" s="758"/>
      <c r="T52" s="759"/>
    </row>
    <row r="53" spans="1:20" ht="16.2" customHeight="1" x14ac:dyDescent="0.25">
      <c r="A53" s="662" t="s">
        <v>106</v>
      </c>
      <c r="B53" s="663"/>
      <c r="C53" s="663"/>
      <c r="D53" s="664"/>
      <c r="E53" s="819"/>
      <c r="F53" s="818"/>
      <c r="G53" s="819"/>
      <c r="H53" s="818"/>
      <c r="I53" s="826"/>
      <c r="J53" s="818"/>
      <c r="K53" s="128"/>
      <c r="L53" s="853" t="s">
        <v>107</v>
      </c>
      <c r="M53" s="851"/>
      <c r="N53" s="852"/>
      <c r="O53" s="850"/>
      <c r="P53" s="851"/>
      <c r="Q53" s="852"/>
      <c r="S53" s="758"/>
      <c r="T53" s="759"/>
    </row>
    <row r="54" spans="1:20" ht="16.2" customHeight="1" x14ac:dyDescent="0.2">
      <c r="A54" s="805"/>
      <c r="B54" s="805"/>
      <c r="C54" s="805"/>
      <c r="D54" s="70"/>
      <c r="E54" s="805"/>
      <c r="F54" s="805"/>
      <c r="G54" s="805"/>
      <c r="H54" s="805"/>
      <c r="I54" s="646"/>
      <c r="J54" s="805"/>
      <c r="K54" s="805"/>
      <c r="L54" s="805"/>
      <c r="M54" s="805"/>
      <c r="N54" s="805"/>
      <c r="O54" s="805"/>
      <c r="P54" s="805"/>
      <c r="Q54" s="805"/>
      <c r="S54" s="758"/>
      <c r="T54" s="759"/>
    </row>
    <row r="55" spans="1:20" ht="15.6" customHeight="1" x14ac:dyDescent="0.2">
      <c r="A55" s="253"/>
      <c r="B55" s="641"/>
      <c r="C55" s="641"/>
      <c r="D55" s="660"/>
      <c r="E55" s="641"/>
      <c r="F55" s="641"/>
      <c r="G55" s="641"/>
      <c r="H55" s="641"/>
      <c r="I55" s="661"/>
      <c r="J55" s="641"/>
      <c r="K55" s="641"/>
      <c r="L55" s="660"/>
      <c r="M55" s="641"/>
      <c r="N55" s="641"/>
      <c r="O55" s="641"/>
      <c r="P55" s="641"/>
      <c r="Q55" s="665"/>
      <c r="S55" s="758"/>
      <c r="T55" s="759"/>
    </row>
    <row r="56" spans="1:20" ht="15.75" customHeight="1" x14ac:dyDescent="0.2">
      <c r="A56" s="666" t="s">
        <v>108</v>
      </c>
      <c r="B56" s="80"/>
      <c r="C56" s="80"/>
      <c r="D56" s="667"/>
      <c r="E56" s="80"/>
      <c r="F56" s="80"/>
      <c r="G56" s="80"/>
      <c r="H56" s="80"/>
      <c r="I56" s="668"/>
      <c r="J56" s="80"/>
      <c r="K56" s="80"/>
      <c r="L56" s="667"/>
      <c r="M56" s="80"/>
      <c r="N56" s="80"/>
      <c r="O56" s="80"/>
      <c r="P56" s="80"/>
      <c r="Q56" s="84"/>
      <c r="S56" s="758"/>
      <c r="T56" s="759"/>
    </row>
    <row r="57" spans="1:20" ht="15" customHeight="1" x14ac:dyDescent="0.25">
      <c r="A57" s="669"/>
      <c r="B57" s="641"/>
      <c r="C57" s="641"/>
      <c r="D57" s="660"/>
      <c r="E57" s="641"/>
      <c r="F57" s="641"/>
      <c r="G57" s="641"/>
      <c r="H57" s="641"/>
      <c r="I57" s="661"/>
      <c r="J57" s="641"/>
      <c r="K57" s="641"/>
      <c r="L57" s="660"/>
      <c r="M57" s="641"/>
      <c r="N57" s="641"/>
      <c r="O57" s="641"/>
      <c r="P57" s="641"/>
      <c r="Q57" s="665"/>
      <c r="S57" s="814"/>
      <c r="T57" s="814"/>
    </row>
    <row r="58" spans="1:20" ht="6" customHeight="1" x14ac:dyDescent="0.25">
      <c r="A58" s="685"/>
      <c r="C58" s="805"/>
      <c r="D58" s="70"/>
      <c r="E58" s="805"/>
      <c r="F58" s="805"/>
      <c r="G58" s="805"/>
      <c r="H58" s="805"/>
      <c r="I58" s="646"/>
      <c r="J58" s="805"/>
      <c r="K58" s="805"/>
      <c r="L58" s="70"/>
      <c r="M58" s="805"/>
      <c r="N58" s="805"/>
      <c r="O58" s="805"/>
      <c r="P58" s="805"/>
      <c r="Q58" s="805"/>
      <c r="S58" s="814"/>
      <c r="T58" s="814"/>
    </row>
    <row r="59" spans="1:20" ht="15" customHeight="1" x14ac:dyDescent="0.25">
      <c r="A59" s="685"/>
      <c r="B59" s="805"/>
      <c r="C59" s="843" t="s">
        <v>109</v>
      </c>
      <c r="D59" s="831"/>
      <c r="E59" s="831"/>
      <c r="F59" s="832"/>
      <c r="G59" s="805"/>
      <c r="H59" s="805"/>
      <c r="I59" s="843" t="s">
        <v>109</v>
      </c>
      <c r="J59" s="831"/>
      <c r="K59" s="831"/>
      <c r="L59" s="832"/>
      <c r="M59" s="805"/>
      <c r="N59" s="805"/>
      <c r="O59" s="805"/>
      <c r="P59" s="805"/>
      <c r="Q59" s="805"/>
      <c r="S59" s="814"/>
      <c r="T59" s="814"/>
    </row>
    <row r="60" spans="1:20" ht="15" customHeight="1" x14ac:dyDescent="0.2">
      <c r="C60" s="844"/>
      <c r="D60" s="845"/>
      <c r="E60" s="845"/>
      <c r="F60" s="846"/>
      <c r="I60" s="844"/>
      <c r="J60" s="845"/>
      <c r="K60" s="845"/>
      <c r="L60" s="846"/>
    </row>
    <row r="61" spans="1:20" ht="23.4" customHeight="1" x14ac:dyDescent="0.2">
      <c r="C61" s="847"/>
      <c r="D61" s="848"/>
      <c r="E61" s="848"/>
      <c r="F61" s="849"/>
      <c r="I61" s="847"/>
      <c r="J61" s="848"/>
      <c r="K61" s="848"/>
      <c r="L61" s="849"/>
    </row>
    <row r="62" spans="1:20" ht="15.75" customHeight="1" x14ac:dyDescent="0.2">
      <c r="A62" s="623" t="s">
        <v>110</v>
      </c>
      <c r="B62" s="670"/>
      <c r="C62" s="670"/>
      <c r="D62" s="670"/>
      <c r="E62" s="670"/>
      <c r="F62" s="670"/>
      <c r="G62" s="670"/>
      <c r="H62" s="670"/>
      <c r="I62" s="670"/>
      <c r="J62" s="670"/>
      <c r="K62" s="670"/>
      <c r="L62" s="670"/>
      <c r="M62" s="670"/>
      <c r="N62" s="670"/>
      <c r="O62" s="670"/>
    </row>
    <row r="63" spans="1:20" ht="15.75" customHeight="1" x14ac:dyDescent="0.2">
      <c r="A63" s="623" t="s">
        <v>111</v>
      </c>
      <c r="B63" s="670"/>
      <c r="C63" s="670"/>
      <c r="D63" s="670"/>
      <c r="E63" s="623"/>
      <c r="F63" s="623" t="s">
        <v>112</v>
      </c>
      <c r="G63" s="670"/>
      <c r="I63" s="670"/>
      <c r="J63" s="670"/>
      <c r="K63" s="670"/>
      <c r="L63" s="670"/>
      <c r="M63" s="670"/>
      <c r="N63" s="670"/>
      <c r="O63" s="670"/>
    </row>
    <row r="64" spans="1:20" ht="7.2" customHeight="1" x14ac:dyDescent="0.2"/>
    <row r="65" spans="1:17" ht="30.75" customHeight="1" x14ac:dyDescent="0.25">
      <c r="A65" s="836" t="s">
        <v>113</v>
      </c>
      <c r="B65" s="837"/>
      <c r="C65" s="837"/>
      <c r="D65" s="837"/>
      <c r="E65" s="837"/>
      <c r="F65" s="837"/>
      <c r="G65" s="837"/>
      <c r="H65" s="837"/>
      <c r="I65" s="837"/>
      <c r="J65" s="837"/>
      <c r="K65" s="837"/>
      <c r="L65" s="837"/>
      <c r="M65" s="837"/>
      <c r="N65" s="837"/>
      <c r="O65" s="837"/>
      <c r="P65" s="837"/>
      <c r="Q65" s="837"/>
    </row>
    <row r="66" spans="1:17" ht="15.9" customHeight="1" x14ac:dyDescent="0.2"/>
    <row r="67" spans="1:17" ht="15.9" customHeight="1" x14ac:dyDescent="0.2"/>
  </sheetData>
  <sheetProtection sheet="1" objects="1" scenarios="1"/>
  <mergeCells count="170">
    <mergeCell ref="A27:C27"/>
    <mergeCell ref="H27:I27"/>
    <mergeCell ref="E51:F51"/>
    <mergeCell ref="O51:Q51"/>
    <mergeCell ref="I38:J39"/>
    <mergeCell ref="H26:K26"/>
    <mergeCell ref="O47:Q47"/>
    <mergeCell ref="A23:C23"/>
    <mergeCell ref="D2:Q2"/>
    <mergeCell ref="O16:P16"/>
    <mergeCell ref="L46:N46"/>
    <mergeCell ref="A12:Q12"/>
    <mergeCell ref="I42:J42"/>
    <mergeCell ref="N38:N39"/>
    <mergeCell ref="E49:F49"/>
    <mergeCell ref="D21:G21"/>
    <mergeCell ref="J31:K31"/>
    <mergeCell ref="A34:C34"/>
    <mergeCell ref="L48:N48"/>
    <mergeCell ref="L40:M40"/>
    <mergeCell ref="I44:J44"/>
    <mergeCell ref="O17:P17"/>
    <mergeCell ref="O33:Q33"/>
    <mergeCell ref="L32:N32"/>
    <mergeCell ref="D33:E33"/>
    <mergeCell ref="L47:N47"/>
    <mergeCell ref="E48:F48"/>
    <mergeCell ref="G48:H48"/>
    <mergeCell ref="O50:Q50"/>
    <mergeCell ref="H23:K23"/>
    <mergeCell ref="H34:I34"/>
    <mergeCell ref="H25:K25"/>
    <mergeCell ref="J22:K22"/>
    <mergeCell ref="E15:F15"/>
    <mergeCell ref="L27:N27"/>
    <mergeCell ref="O32:Q32"/>
    <mergeCell ref="D25:G25"/>
    <mergeCell ref="I49:J49"/>
    <mergeCell ref="L30:N30"/>
    <mergeCell ref="E42:F42"/>
    <mergeCell ref="L26:Q26"/>
    <mergeCell ref="O29:Q29"/>
    <mergeCell ref="L33:N33"/>
    <mergeCell ref="F29:G29"/>
    <mergeCell ref="O22:Q22"/>
    <mergeCell ref="O15:P15"/>
    <mergeCell ref="O31:Q31"/>
    <mergeCell ref="H24:K24"/>
    <mergeCell ref="D22:E22"/>
    <mergeCell ref="D31:E31"/>
    <mergeCell ref="I59:L61"/>
    <mergeCell ref="D26:G26"/>
    <mergeCell ref="F30:G30"/>
    <mergeCell ref="J34:K34"/>
    <mergeCell ref="O46:Q46"/>
    <mergeCell ref="A32:C32"/>
    <mergeCell ref="I41:J41"/>
    <mergeCell ref="L42:M42"/>
    <mergeCell ref="F33:G33"/>
    <mergeCell ref="O52:Q52"/>
    <mergeCell ref="J27:K27"/>
    <mergeCell ref="L34:N34"/>
    <mergeCell ref="A29:C29"/>
    <mergeCell ref="E40:F40"/>
    <mergeCell ref="O48:Q48"/>
    <mergeCell ref="L52:N52"/>
    <mergeCell ref="G49:H49"/>
    <mergeCell ref="I43:J43"/>
    <mergeCell ref="L49:N49"/>
    <mergeCell ref="B37:C37"/>
    <mergeCell ref="A31:C31"/>
    <mergeCell ref="E37:J37"/>
    <mergeCell ref="F31:G31"/>
    <mergeCell ref="E46:F46"/>
    <mergeCell ref="D3:Q3"/>
    <mergeCell ref="D29:E29"/>
    <mergeCell ref="A28:Q28"/>
    <mergeCell ref="A25:C25"/>
    <mergeCell ref="E50:F50"/>
    <mergeCell ref="O49:Q49"/>
    <mergeCell ref="J29:K29"/>
    <mergeCell ref="G42:H42"/>
    <mergeCell ref="I45:J45"/>
    <mergeCell ref="H31:I31"/>
    <mergeCell ref="L38:M39"/>
    <mergeCell ref="E44:F44"/>
    <mergeCell ref="L43:M43"/>
    <mergeCell ref="I47:J47"/>
    <mergeCell ref="O27:Q27"/>
    <mergeCell ref="D27:E27"/>
    <mergeCell ref="A22:C22"/>
    <mergeCell ref="K9:N9"/>
    <mergeCell ref="F8:G8"/>
    <mergeCell ref="L21:Q21"/>
    <mergeCell ref="O39:Q39"/>
    <mergeCell ref="G44:H44"/>
    <mergeCell ref="I46:J46"/>
    <mergeCell ref="D34:E34"/>
    <mergeCell ref="I51:J51"/>
    <mergeCell ref="D30:E30"/>
    <mergeCell ref="C38:C39"/>
    <mergeCell ref="E41:F41"/>
    <mergeCell ref="G41:H41"/>
    <mergeCell ref="L53:N53"/>
    <mergeCell ref="G50:H50"/>
    <mergeCell ref="K8:N8"/>
    <mergeCell ref="H9:J9"/>
    <mergeCell ref="I50:J50"/>
    <mergeCell ref="E38:F39"/>
    <mergeCell ref="H30:I30"/>
    <mergeCell ref="E43:F43"/>
    <mergeCell ref="G43:H43"/>
    <mergeCell ref="L24:Q24"/>
    <mergeCell ref="H29:I29"/>
    <mergeCell ref="D9:E9"/>
    <mergeCell ref="L44:M44"/>
    <mergeCell ref="A24:C24"/>
    <mergeCell ref="F9:G9"/>
    <mergeCell ref="E53:F53"/>
    <mergeCell ref="F34:G34"/>
    <mergeCell ref="D24:G24"/>
    <mergeCell ref="L23:Q23"/>
    <mergeCell ref="A65:Q65"/>
    <mergeCell ref="L22:N22"/>
    <mergeCell ref="G19:H19"/>
    <mergeCell ref="L31:N31"/>
    <mergeCell ref="D32:E32"/>
    <mergeCell ref="G53:H53"/>
    <mergeCell ref="F32:G32"/>
    <mergeCell ref="I53:J53"/>
    <mergeCell ref="H32:I32"/>
    <mergeCell ref="J32:K32"/>
    <mergeCell ref="E45:F45"/>
    <mergeCell ref="L41:M41"/>
    <mergeCell ref="G45:H45"/>
    <mergeCell ref="H21:K21"/>
    <mergeCell ref="F27:G27"/>
    <mergeCell ref="I48:J48"/>
    <mergeCell ref="O34:Q34"/>
    <mergeCell ref="E20:Q20"/>
    <mergeCell ref="F22:G22"/>
    <mergeCell ref="A30:C30"/>
    <mergeCell ref="H22:I22"/>
    <mergeCell ref="C59:F61"/>
    <mergeCell ref="G51:H51"/>
    <mergeCell ref="O53:Q53"/>
    <mergeCell ref="D8:E8"/>
    <mergeCell ref="G47:H47"/>
    <mergeCell ref="G38:H39"/>
    <mergeCell ref="L37:Q37"/>
    <mergeCell ref="H33:I33"/>
    <mergeCell ref="O14:P14"/>
    <mergeCell ref="J33:K33"/>
    <mergeCell ref="O30:Q30"/>
    <mergeCell ref="A37:A39"/>
    <mergeCell ref="G46:H46"/>
    <mergeCell ref="G40:H40"/>
    <mergeCell ref="I40:J40"/>
    <mergeCell ref="E47:F47"/>
    <mergeCell ref="A11:Q11"/>
    <mergeCell ref="B38:B39"/>
    <mergeCell ref="L29:N29"/>
    <mergeCell ref="D23:G23"/>
    <mergeCell ref="J30:K30"/>
    <mergeCell ref="A33:C33"/>
    <mergeCell ref="L25:Q25"/>
    <mergeCell ref="H8:J8"/>
    <mergeCell ref="E14:F14"/>
    <mergeCell ref="A21:C21"/>
    <mergeCell ref="A26:C26"/>
  </mergeCells>
  <pageMargins left="0.39" right="0.12" top="0.46" bottom="0.36" header="0.3" footer="0.3"/>
  <pageSetup paperSize="9" scale="7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V97"/>
  <sheetViews>
    <sheetView showGridLines="0" tabSelected="1" showWhiteSpace="0" zoomScaleNormal="100" zoomScaleSheetLayoutView="100" workbookViewId="0">
      <selection activeCell="C13" sqref="C13:M13"/>
    </sheetView>
  </sheetViews>
  <sheetFormatPr baseColWidth="10" defaultColWidth="11.44140625" defaultRowHeight="15" customHeight="1" x14ac:dyDescent="0.25"/>
  <cols>
    <col min="1" max="1" width="11" style="804" customWidth="1"/>
    <col min="2" max="2" width="3.109375" style="804" customWidth="1"/>
    <col min="3" max="3" width="4.6640625" style="804" customWidth="1"/>
    <col min="4" max="4" width="7.88671875" style="804" customWidth="1"/>
    <col min="5" max="5" width="5.33203125" style="804" customWidth="1"/>
    <col min="6" max="12" width="6.109375" style="804" customWidth="1"/>
    <col min="13" max="13" width="8.44140625" style="804" customWidth="1"/>
    <col min="14" max="14" width="11.33203125" style="804" customWidth="1"/>
    <col min="15" max="15" width="1.33203125" style="804" customWidth="1"/>
    <col min="16" max="16" width="8.88671875" style="804" customWidth="1"/>
    <col min="17" max="17" width="4.5546875" style="804" customWidth="1"/>
    <col min="18" max="18" width="10" style="690" customWidth="1"/>
    <col min="19" max="19" width="16.33203125" style="690" customWidth="1"/>
    <col min="20" max="22" width="11.44140625" style="690" customWidth="1"/>
    <col min="23" max="16384" width="11.44140625" style="690"/>
  </cols>
  <sheetData>
    <row r="1" spans="1:18" ht="12" customHeight="1" x14ac:dyDescent="0.25">
      <c r="A1" s="760"/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2"/>
    </row>
    <row r="2" spans="1:18" ht="12" customHeight="1" x14ac:dyDescent="0.25">
      <c r="A2" s="760"/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2"/>
    </row>
    <row r="3" spans="1:18" ht="10.5" customHeight="1" x14ac:dyDescent="0.25">
      <c r="A3" s="760"/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2"/>
    </row>
    <row r="4" spans="1:18" ht="10.5" customHeight="1" x14ac:dyDescent="0.25">
      <c r="A4" s="760"/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760"/>
      <c r="R4" s="2"/>
    </row>
    <row r="5" spans="1:18" ht="7.5" customHeight="1" x14ac:dyDescent="0.25">
      <c r="A5" s="760"/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760"/>
      <c r="R5" s="2"/>
    </row>
    <row r="6" spans="1:18" ht="7.5" customHeight="1" x14ac:dyDescent="0.25">
      <c r="A6" s="761"/>
      <c r="B6" s="761"/>
      <c r="C6" s="762"/>
      <c r="D6" s="762"/>
      <c r="E6" s="761"/>
      <c r="F6" s="762"/>
      <c r="G6" s="762"/>
      <c r="H6" s="762"/>
      <c r="I6" s="762"/>
      <c r="J6" s="762"/>
      <c r="K6" s="762"/>
      <c r="L6" s="762"/>
      <c r="M6" s="762"/>
      <c r="N6" s="761"/>
      <c r="O6" s="762"/>
      <c r="P6" s="762"/>
      <c r="Q6" s="762"/>
      <c r="R6" s="2"/>
    </row>
    <row r="7" spans="1:18" ht="15.75" customHeight="1" x14ac:dyDescent="0.25">
      <c r="A7" s="886" t="s">
        <v>0</v>
      </c>
      <c r="B7" s="887"/>
      <c r="C7" s="887"/>
      <c r="D7" s="887"/>
      <c r="E7" s="887"/>
      <c r="F7" s="887"/>
      <c r="G7" s="887"/>
      <c r="H7" s="887"/>
      <c r="I7" s="887"/>
      <c r="J7" s="887"/>
      <c r="K7" s="887"/>
      <c r="L7" s="887"/>
      <c r="M7" s="887"/>
      <c r="N7" s="887"/>
      <c r="O7" s="887"/>
      <c r="P7" s="887"/>
      <c r="Q7" s="887"/>
    </row>
    <row r="8" spans="1:18" ht="15.75" customHeight="1" x14ac:dyDescent="0.25">
      <c r="A8" s="890">
        <v>0</v>
      </c>
      <c r="B8" s="873"/>
      <c r="C8" s="873"/>
      <c r="D8" s="873"/>
      <c r="E8" s="873"/>
      <c r="F8" s="873"/>
      <c r="G8" s="873"/>
      <c r="H8" s="873"/>
      <c r="I8" s="873"/>
      <c r="J8" s="873"/>
      <c r="K8" s="873"/>
      <c r="L8" s="873"/>
      <c r="M8" s="873"/>
      <c r="N8" s="873"/>
      <c r="O8" s="873"/>
      <c r="P8" s="873"/>
      <c r="Q8" s="873"/>
      <c r="R8" s="691"/>
    </row>
    <row r="9" spans="1:18" ht="15.75" customHeight="1" x14ac:dyDescent="0.25">
      <c r="A9" s="692"/>
      <c r="B9" s="693"/>
      <c r="C9" s="694"/>
      <c r="D9" s="694"/>
      <c r="E9" s="801"/>
      <c r="F9" s="695"/>
      <c r="G9" s="696"/>
      <c r="H9" s="696"/>
      <c r="I9" s="695"/>
      <c r="J9" s="695"/>
      <c r="K9" s="695"/>
      <c r="L9" s="695"/>
      <c r="M9" s="695"/>
      <c r="N9" s="695"/>
      <c r="O9" s="695"/>
      <c r="P9" s="697"/>
      <c r="Q9" s="697"/>
      <c r="R9" s="698"/>
    </row>
    <row r="10" spans="1:18" ht="13.95" customHeight="1" x14ac:dyDescent="0.25">
      <c r="A10" s="6" t="s">
        <v>1</v>
      </c>
      <c r="B10" s="7" t="s">
        <v>114</v>
      </c>
      <c r="C10" s="872">
        <f>+FORMATO!U2</f>
        <v>0</v>
      </c>
      <c r="D10" s="873"/>
      <c r="E10" s="873"/>
      <c r="F10" s="873"/>
      <c r="G10" s="873"/>
      <c r="H10" s="873"/>
      <c r="I10" s="873"/>
      <c r="J10" s="873"/>
      <c r="K10" s="873"/>
      <c r="L10" s="873"/>
      <c r="M10" s="873"/>
      <c r="N10" s="8" t="s">
        <v>115</v>
      </c>
      <c r="O10" s="9" t="s">
        <v>114</v>
      </c>
      <c r="P10" s="10" t="s">
        <v>116</v>
      </c>
      <c r="Q10" s="10"/>
      <c r="R10" s="699"/>
    </row>
    <row r="11" spans="1:18" ht="17.399999999999999" customHeight="1" x14ac:dyDescent="0.25">
      <c r="A11" s="6" t="s">
        <v>117</v>
      </c>
      <c r="B11" s="7" t="s">
        <v>114</v>
      </c>
      <c r="C11" s="872">
        <f>+FORMATO!U3</f>
        <v>0</v>
      </c>
      <c r="D11" s="873"/>
      <c r="E11" s="873"/>
      <c r="F11" s="873"/>
      <c r="G11" s="873"/>
      <c r="H11" s="873"/>
      <c r="I11" s="873"/>
      <c r="J11" s="873"/>
      <c r="K11" s="873"/>
      <c r="L11" s="873"/>
      <c r="M11" s="873"/>
      <c r="N11" s="700" t="s">
        <v>6</v>
      </c>
      <c r="O11" s="7" t="s">
        <v>114</v>
      </c>
      <c r="P11" s="701">
        <f>+FORMATO!U7</f>
        <v>0</v>
      </c>
      <c r="Q11" s="702"/>
      <c r="R11" s="703"/>
    </row>
    <row r="12" spans="1:18" ht="13.95" customHeight="1" x14ac:dyDescent="0.25">
      <c r="A12" s="6" t="s">
        <v>118</v>
      </c>
      <c r="B12" s="7" t="s">
        <v>114</v>
      </c>
      <c r="C12" s="872">
        <f>+FORMATO!U4</f>
        <v>0</v>
      </c>
      <c r="D12" s="873"/>
      <c r="E12" s="873"/>
      <c r="F12" s="873"/>
      <c r="G12" s="873"/>
      <c r="H12" s="873"/>
      <c r="I12" s="873"/>
      <c r="J12" s="873"/>
      <c r="K12" s="873"/>
      <c r="L12" s="873"/>
      <c r="M12" s="873"/>
      <c r="N12" s="11" t="s">
        <v>12</v>
      </c>
      <c r="O12" s="7" t="s">
        <v>114</v>
      </c>
      <c r="P12" s="701">
        <f>+FORMATO!U9</f>
        <v>0</v>
      </c>
      <c r="Q12" s="704"/>
      <c r="R12" s="705"/>
    </row>
    <row r="13" spans="1:18" ht="13.95" customHeight="1" x14ac:dyDescent="0.25">
      <c r="A13" s="6" t="s">
        <v>119</v>
      </c>
      <c r="B13" s="7" t="s">
        <v>114</v>
      </c>
      <c r="C13" s="872">
        <f>+FORMATO!U5</f>
        <v>0</v>
      </c>
      <c r="D13" s="873"/>
      <c r="E13" s="873"/>
      <c r="F13" s="873"/>
      <c r="G13" s="873"/>
      <c r="H13" s="873"/>
      <c r="I13" s="873"/>
      <c r="J13" s="873"/>
      <c r="K13" s="873"/>
      <c r="L13" s="873"/>
      <c r="M13" s="873"/>
      <c r="N13" s="700" t="s">
        <v>11</v>
      </c>
      <c r="O13" s="7" t="s">
        <v>114</v>
      </c>
      <c r="P13" s="706">
        <f>+FORMATO!U8</f>
        <v>0</v>
      </c>
      <c r="Q13" s="707"/>
      <c r="R13" s="705"/>
    </row>
    <row r="14" spans="1:18" ht="10.199999999999999" customHeight="1" x14ac:dyDescent="0.25">
      <c r="A14" s="708" t="s">
        <v>120</v>
      </c>
      <c r="B14" s="7"/>
      <c r="C14" s="10"/>
      <c r="D14" s="10"/>
      <c r="F14" s="709"/>
      <c r="G14" s="709"/>
      <c r="H14" s="709"/>
      <c r="I14" s="709"/>
      <c r="N14" s="11"/>
      <c r="O14" s="7"/>
      <c r="P14" s="710"/>
      <c r="Q14" s="710"/>
      <c r="R14" s="705"/>
    </row>
    <row r="15" spans="1:18" ht="15" customHeight="1" x14ac:dyDescent="0.25">
      <c r="A15" s="889" t="s">
        <v>121</v>
      </c>
      <c r="B15" s="837"/>
      <c r="C15" s="837"/>
      <c r="D15" s="837"/>
      <c r="E15" s="837"/>
      <c r="F15" s="837"/>
      <c r="G15" s="837"/>
      <c r="H15" s="837"/>
      <c r="I15" s="837"/>
      <c r="J15" s="837"/>
      <c r="K15" s="837"/>
      <c r="L15" s="837"/>
      <c r="M15" s="837"/>
      <c r="N15" s="837"/>
      <c r="O15" s="837"/>
      <c r="P15" s="837"/>
      <c r="Q15" s="820"/>
      <c r="R15" s="705"/>
    </row>
    <row r="16" spans="1:18" ht="15" customHeight="1" x14ac:dyDescent="0.25">
      <c r="A16" s="888" t="s">
        <v>122</v>
      </c>
      <c r="B16" s="842"/>
      <c r="C16" s="842"/>
      <c r="D16" s="842"/>
      <c r="E16" s="842"/>
      <c r="F16" s="842"/>
      <c r="G16" s="842"/>
      <c r="H16" s="842"/>
      <c r="I16" s="842"/>
      <c r="J16" s="842"/>
      <c r="K16" s="842"/>
      <c r="L16" s="842"/>
      <c r="M16" s="842"/>
      <c r="N16" s="842"/>
      <c r="O16" s="842"/>
      <c r="P16" s="842"/>
      <c r="Q16" s="822"/>
      <c r="R16" s="705"/>
    </row>
    <row r="17" spans="1:22" ht="6" customHeight="1" x14ac:dyDescent="0.25">
      <c r="A17" s="711"/>
      <c r="B17" s="712"/>
      <c r="C17" s="712"/>
      <c r="D17" s="712"/>
      <c r="E17" s="712"/>
      <c r="F17" s="713"/>
      <c r="G17" s="713"/>
      <c r="H17" s="713"/>
      <c r="I17" s="713"/>
      <c r="J17" s="713"/>
      <c r="K17" s="713"/>
      <c r="L17" s="713"/>
      <c r="M17" s="713"/>
      <c r="N17" s="713"/>
      <c r="O17" s="713"/>
      <c r="P17" s="713"/>
      <c r="Q17" s="714"/>
      <c r="R17" s="705"/>
    </row>
    <row r="18" spans="1:22" ht="12.9" customHeight="1" x14ac:dyDescent="0.25">
      <c r="A18" s="715" t="s">
        <v>123</v>
      </c>
      <c r="B18" s="805"/>
      <c r="C18" s="805"/>
      <c r="D18" s="7" t="s">
        <v>114</v>
      </c>
      <c r="E18" s="709">
        <f>+FORMATO!U15</f>
        <v>0</v>
      </c>
      <c r="F18" s="690"/>
      <c r="G18" s="709"/>
      <c r="H18" s="709"/>
      <c r="I18" s="716"/>
      <c r="M18" s="805"/>
      <c r="N18" s="717" t="s">
        <v>124</v>
      </c>
      <c r="O18" s="9" t="s">
        <v>114</v>
      </c>
      <c r="P18" s="718">
        <f>+FORMATO!D9</f>
        <v>0</v>
      </c>
      <c r="Q18" s="719"/>
      <c r="R18" s="705"/>
    </row>
    <row r="19" spans="1:22" ht="12.9" customHeight="1" x14ac:dyDescent="0.25">
      <c r="A19" s="715" t="s">
        <v>125</v>
      </c>
      <c r="B19" s="805"/>
      <c r="C19" s="805"/>
      <c r="D19" s="7" t="s">
        <v>114</v>
      </c>
      <c r="E19" s="709">
        <f>+FORMATO!U16</f>
        <v>0</v>
      </c>
      <c r="F19" s="690"/>
      <c r="G19" s="709"/>
      <c r="H19" s="709"/>
      <c r="I19" s="716"/>
      <c r="M19" s="805"/>
      <c r="N19" s="717" t="s">
        <v>126</v>
      </c>
      <c r="O19" s="9" t="s">
        <v>114</v>
      </c>
      <c r="P19" s="706">
        <f>+FORMATO!U12</f>
        <v>0</v>
      </c>
      <c r="Q19" s="720"/>
      <c r="R19" s="705"/>
      <c r="T19" s="709"/>
    </row>
    <row r="20" spans="1:22" ht="12.9" customHeight="1" x14ac:dyDescent="0.25">
      <c r="A20" s="715" t="s">
        <v>127</v>
      </c>
      <c r="B20" s="805"/>
      <c r="C20" s="805"/>
      <c r="D20" s="7" t="s">
        <v>114</v>
      </c>
      <c r="E20" s="709">
        <f>+FORMATO!U17</f>
        <v>0</v>
      </c>
      <c r="F20" s="690"/>
      <c r="G20" s="709"/>
      <c r="H20" s="709"/>
      <c r="I20" s="716"/>
      <c r="M20" s="805"/>
      <c r="N20" s="717" t="s">
        <v>128</v>
      </c>
      <c r="O20" s="9" t="s">
        <v>114</v>
      </c>
      <c r="P20" s="706">
        <f>+FORMATO!U13</f>
        <v>0</v>
      </c>
      <c r="Q20" s="720"/>
      <c r="R20" s="705">
        <f>+FORMATO!H9</f>
        <v>0</v>
      </c>
    </row>
    <row r="21" spans="1:22" ht="12.9" customHeight="1" x14ac:dyDescent="0.25">
      <c r="A21" s="715" t="s">
        <v>129</v>
      </c>
      <c r="B21" s="805"/>
      <c r="C21" s="805"/>
      <c r="D21" s="7" t="s">
        <v>114</v>
      </c>
      <c r="E21" s="709" t="s">
        <v>130</v>
      </c>
      <c r="F21" s="690"/>
      <c r="G21" s="709"/>
      <c r="H21" s="709"/>
      <c r="I21" s="716"/>
      <c r="N21" s="717" t="s">
        <v>131</v>
      </c>
      <c r="O21" s="9" t="s">
        <v>114</v>
      </c>
      <c r="P21" s="721" t="str">
        <f>+DATOS!D2</f>
        <v>-</v>
      </c>
      <c r="Q21" s="722"/>
    </row>
    <row r="22" spans="1:22" ht="6" customHeight="1" x14ac:dyDescent="0.25">
      <c r="A22" s="253"/>
      <c r="B22" s="641"/>
      <c r="C22" s="641"/>
      <c r="D22" s="641"/>
      <c r="E22" s="660"/>
      <c r="F22" s="723"/>
      <c r="G22" s="723"/>
      <c r="H22" s="723"/>
      <c r="I22" s="723"/>
      <c r="J22" s="723"/>
      <c r="K22" s="723"/>
      <c r="L22" s="723"/>
      <c r="M22" s="641"/>
      <c r="N22" s="641"/>
      <c r="O22" s="660"/>
      <c r="P22" s="723"/>
      <c r="Q22" s="724"/>
    </row>
    <row r="23" spans="1:22" ht="7.5" customHeight="1" x14ac:dyDescent="0.25"/>
    <row r="24" spans="1:22" ht="12.9" customHeight="1" x14ac:dyDescent="0.25">
      <c r="A24" s="883" t="s">
        <v>132</v>
      </c>
      <c r="B24" s="866"/>
      <c r="C24" s="866"/>
      <c r="D24" s="866"/>
      <c r="E24" s="866"/>
      <c r="F24" s="866"/>
      <c r="G24" s="866"/>
      <c r="H24" s="866"/>
      <c r="I24" s="866"/>
      <c r="J24" s="866"/>
      <c r="K24" s="866"/>
      <c r="L24" s="866"/>
      <c r="M24" s="866"/>
      <c r="N24" s="866"/>
      <c r="O24" s="866"/>
      <c r="P24" s="866"/>
      <c r="Q24" s="867"/>
    </row>
    <row r="25" spans="1:22" ht="12.9" customHeight="1" x14ac:dyDescent="0.25">
      <c r="A25" s="725" t="s">
        <v>133</v>
      </c>
      <c r="B25" s="80"/>
      <c r="C25" s="79"/>
      <c r="D25" s="79"/>
      <c r="E25" s="726" t="s">
        <v>114</v>
      </c>
      <c r="F25" s="727">
        <f>+DATOS!J2</f>
        <v>0</v>
      </c>
      <c r="G25" s="728"/>
      <c r="H25" s="728"/>
      <c r="I25" s="728"/>
      <c r="J25" s="729"/>
      <c r="K25" s="729"/>
      <c r="L25" s="728"/>
      <c r="M25" s="728"/>
      <c r="N25" s="730" t="s">
        <v>134</v>
      </c>
      <c r="O25" s="731" t="s">
        <v>114</v>
      </c>
      <c r="P25" s="892" t="str">
        <f>+DATOS!D4</f>
        <v>-</v>
      </c>
      <c r="Q25" s="893"/>
    </row>
    <row r="26" spans="1:22" ht="12.9" customHeight="1" x14ac:dyDescent="0.25">
      <c r="A26" s="715" t="s">
        <v>135</v>
      </c>
      <c r="B26" s="805"/>
      <c r="C26" s="805"/>
      <c r="D26" s="805"/>
      <c r="E26" s="7" t="s">
        <v>114</v>
      </c>
      <c r="F26" s="721">
        <f>+DATOS!J3</f>
        <v>0</v>
      </c>
      <c r="N26" s="717" t="s">
        <v>136</v>
      </c>
      <c r="O26" s="9" t="s">
        <v>114</v>
      </c>
      <c r="P26" s="721" t="str">
        <f>+DATOS!D5</f>
        <v>-</v>
      </c>
      <c r="Q26" s="732"/>
    </row>
    <row r="27" spans="1:22" ht="12.9" customHeight="1" x14ac:dyDescent="0.25">
      <c r="A27" s="715" t="s">
        <v>137</v>
      </c>
      <c r="B27" s="805"/>
      <c r="C27" s="805"/>
      <c r="D27" s="805"/>
      <c r="E27" s="7" t="s">
        <v>114</v>
      </c>
      <c r="F27" s="763">
        <f>+DATOS!J4</f>
        <v>0</v>
      </c>
      <c r="H27" s="764"/>
      <c r="N27" s="717" t="s">
        <v>138</v>
      </c>
      <c r="O27" s="9" t="s">
        <v>114</v>
      </c>
      <c r="P27" s="721">
        <v>10</v>
      </c>
      <c r="Q27" s="732"/>
    </row>
    <row r="28" spans="1:22" ht="13.5" customHeight="1" x14ac:dyDescent="0.25">
      <c r="A28" s="733" t="s">
        <v>139</v>
      </c>
      <c r="B28" s="805"/>
      <c r="C28" s="805"/>
      <c r="D28" s="805"/>
      <c r="E28" s="7"/>
      <c r="F28" s="721"/>
      <c r="G28" s="765"/>
      <c r="H28" s="765"/>
      <c r="I28" s="765"/>
      <c r="J28" s="765"/>
      <c r="K28" s="765"/>
      <c r="L28" s="765"/>
      <c r="N28" s="717" t="s">
        <v>140</v>
      </c>
      <c r="O28" s="9" t="s">
        <v>114</v>
      </c>
      <c r="P28" s="721"/>
      <c r="Q28" s="732"/>
      <c r="R28" s="734" t="s">
        <v>141</v>
      </c>
      <c r="S28" s="575"/>
      <c r="T28" s="576"/>
      <c r="U28" s="576"/>
      <c r="V28" s="577"/>
    </row>
    <row r="29" spans="1:22" ht="13.5" customHeight="1" x14ac:dyDescent="0.25">
      <c r="A29" s="735" t="s">
        <v>142</v>
      </c>
      <c r="B29" s="709"/>
      <c r="C29" s="709"/>
      <c r="D29" s="709"/>
      <c r="E29" s="709"/>
      <c r="F29" s="736" t="s">
        <v>143</v>
      </c>
      <c r="G29" s="709" t="s">
        <v>144</v>
      </c>
      <c r="H29" s="699"/>
      <c r="I29" s="699"/>
      <c r="J29" s="709" t="s">
        <v>145</v>
      </c>
      <c r="K29" s="766"/>
      <c r="L29" s="766"/>
      <c r="M29" s="709"/>
      <c r="N29" s="802" t="s">
        <v>143</v>
      </c>
      <c r="O29" s="10" t="s">
        <v>146</v>
      </c>
      <c r="P29" s="721"/>
      <c r="Q29" s="732"/>
      <c r="S29" s="157" t="s">
        <v>147</v>
      </c>
      <c r="T29" s="2"/>
      <c r="U29" s="2" t="s">
        <v>148</v>
      </c>
      <c r="V29" s="578"/>
    </row>
    <row r="30" spans="1:22" ht="21.6" customHeight="1" x14ac:dyDescent="0.25">
      <c r="A30" s="735" t="s">
        <v>149</v>
      </c>
      <c r="B30" s="10"/>
      <c r="C30" s="10"/>
      <c r="D30" s="10"/>
      <c r="E30" s="10"/>
      <c r="F30" s="736" t="s">
        <v>143</v>
      </c>
      <c r="G30" s="894" t="s">
        <v>150</v>
      </c>
      <c r="H30" s="887"/>
      <c r="I30" s="887"/>
      <c r="J30" s="709" t="s">
        <v>151</v>
      </c>
      <c r="K30" s="766"/>
      <c r="L30" s="766"/>
      <c r="M30" s="709"/>
      <c r="N30" s="803" t="s">
        <v>143</v>
      </c>
      <c r="O30" s="10" t="s">
        <v>152</v>
      </c>
      <c r="P30" s="721"/>
      <c r="Q30" s="732"/>
      <c r="S30" s="157" t="s">
        <v>152</v>
      </c>
      <c r="T30" s="2"/>
      <c r="U30" s="2" t="s">
        <v>153</v>
      </c>
      <c r="V30" s="578"/>
    </row>
    <row r="31" spans="1:22" ht="13.5" customHeight="1" x14ac:dyDescent="0.25">
      <c r="A31" s="767" t="s">
        <v>154</v>
      </c>
      <c r="B31" s="768"/>
      <c r="C31" s="768"/>
      <c r="D31" s="768"/>
      <c r="E31" s="768"/>
      <c r="F31" s="768"/>
      <c r="G31" s="768"/>
      <c r="H31" s="768"/>
      <c r="I31" s="768"/>
      <c r="J31" s="769"/>
      <c r="K31" s="769"/>
      <c r="L31" s="769"/>
      <c r="M31" s="769"/>
      <c r="N31" s="769"/>
      <c r="O31" s="769"/>
      <c r="P31" s="769"/>
      <c r="Q31" s="770"/>
      <c r="S31" s="579"/>
      <c r="T31" s="580"/>
      <c r="U31" s="580"/>
      <c r="V31" s="581"/>
    </row>
    <row r="32" spans="1:22" ht="8.25" customHeight="1" x14ac:dyDescent="0.25">
      <c r="A32" s="737"/>
      <c r="B32" s="690"/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4"/>
      <c r="S32" s="74"/>
    </row>
    <row r="33" spans="1:19" ht="15.75" customHeight="1" x14ac:dyDescent="0.25">
      <c r="A33" s="883" t="s">
        <v>155</v>
      </c>
      <c r="B33" s="866"/>
      <c r="C33" s="866"/>
      <c r="D33" s="866"/>
      <c r="E33" s="866"/>
      <c r="F33" s="866"/>
      <c r="G33" s="866"/>
      <c r="H33" s="866"/>
      <c r="I33" s="866"/>
      <c r="J33" s="866"/>
      <c r="K33" s="866"/>
      <c r="L33" s="866"/>
      <c r="M33" s="866"/>
      <c r="N33" s="866"/>
      <c r="O33" s="866"/>
      <c r="P33" s="866"/>
      <c r="Q33" s="867"/>
      <c r="S33" s="74"/>
    </row>
    <row r="34" spans="1:19" s="699" customFormat="1" ht="15.75" customHeight="1" x14ac:dyDescent="0.25">
      <c r="A34" s="869" t="s">
        <v>156</v>
      </c>
      <c r="B34" s="824"/>
      <c r="C34" s="824"/>
      <c r="D34" s="824"/>
      <c r="E34" s="818"/>
      <c r="F34" s="882">
        <f>+DATOS!D15</f>
        <v>56</v>
      </c>
      <c r="G34" s="824"/>
      <c r="H34" s="824"/>
      <c r="I34" s="818"/>
      <c r="J34" s="882">
        <f>+DATOS!H15</f>
        <v>25</v>
      </c>
      <c r="K34" s="824"/>
      <c r="L34" s="824"/>
      <c r="M34" s="818"/>
      <c r="N34" s="882">
        <f>+DATOS!L15</f>
        <v>10</v>
      </c>
      <c r="O34" s="824"/>
      <c r="P34" s="824"/>
      <c r="Q34" s="818"/>
      <c r="R34" s="738"/>
      <c r="S34" s="74"/>
    </row>
    <row r="35" spans="1:19" s="699" customFormat="1" ht="15.75" customHeight="1" x14ac:dyDescent="0.25">
      <c r="A35" s="869" t="s">
        <v>157</v>
      </c>
      <c r="B35" s="824"/>
      <c r="C35" s="824"/>
      <c r="D35" s="824"/>
      <c r="E35" s="818"/>
      <c r="F35" s="870" t="str">
        <f>+DATOS!D6</f>
        <v>-</v>
      </c>
      <c r="G35" s="824"/>
      <c r="H35" s="824"/>
      <c r="I35" s="818"/>
      <c r="J35" s="870" t="str">
        <f>+DATOS!D6</f>
        <v>-</v>
      </c>
      <c r="K35" s="824"/>
      <c r="L35" s="824"/>
      <c r="M35" s="818"/>
      <c r="N35" s="870" t="str">
        <f>+DATOS!D6</f>
        <v>-</v>
      </c>
      <c r="O35" s="824"/>
      <c r="P35" s="824"/>
      <c r="Q35" s="818"/>
      <c r="S35" s="74"/>
    </row>
    <row r="36" spans="1:19" s="699" customFormat="1" ht="15.75" customHeight="1" x14ac:dyDescent="0.25">
      <c r="A36" s="687" t="s">
        <v>158</v>
      </c>
      <c r="B36" s="40"/>
      <c r="C36" s="40"/>
      <c r="D36" s="164"/>
      <c r="E36" s="799" t="s">
        <v>159</v>
      </c>
      <c r="F36" s="884" t="e">
        <f>+DATOS!E23</f>
        <v>#N/A</v>
      </c>
      <c r="G36" s="824"/>
      <c r="H36" s="824"/>
      <c r="I36" s="818"/>
      <c r="J36" s="884" t="e">
        <f>+DATOS!I23</f>
        <v>#N/A</v>
      </c>
      <c r="K36" s="824"/>
      <c r="L36" s="824"/>
      <c r="M36" s="818"/>
      <c r="N36" s="884" t="e">
        <f>+DATOS!M23</f>
        <v>#N/A</v>
      </c>
      <c r="O36" s="824"/>
      <c r="P36" s="824"/>
      <c r="Q36" s="818"/>
      <c r="R36" s="699" t="s">
        <v>160</v>
      </c>
      <c r="S36" s="74"/>
    </row>
    <row r="37" spans="1:19" s="699" customFormat="1" ht="15.75" customHeight="1" x14ac:dyDescent="0.25">
      <c r="A37" s="158" t="s">
        <v>161</v>
      </c>
      <c r="B37" s="158"/>
      <c r="C37" s="158"/>
      <c r="D37" s="798"/>
      <c r="E37" s="799" t="s">
        <v>162</v>
      </c>
      <c r="F37" s="875" t="e">
        <f>+DATOS!E24</f>
        <v>#N/A</v>
      </c>
      <c r="G37" s="824"/>
      <c r="H37" s="824"/>
      <c r="I37" s="818"/>
      <c r="J37" s="875" t="e">
        <f>+DATOS!I24</f>
        <v>#N/A</v>
      </c>
      <c r="K37" s="824"/>
      <c r="L37" s="824"/>
      <c r="M37" s="818"/>
      <c r="N37" s="875" t="e">
        <f>+DATOS!M24</f>
        <v>#N/A</v>
      </c>
      <c r="O37" s="824"/>
      <c r="P37" s="824"/>
      <c r="Q37" s="818"/>
      <c r="R37" s="699" t="s">
        <v>160</v>
      </c>
      <c r="S37" s="74"/>
    </row>
    <row r="38" spans="1:19" s="699" customFormat="1" ht="15.75" customHeight="1" x14ac:dyDescent="0.25">
      <c r="A38" s="883" t="s">
        <v>163</v>
      </c>
      <c r="B38" s="866"/>
      <c r="C38" s="866"/>
      <c r="D38" s="866"/>
      <c r="E38" s="866"/>
      <c r="F38" s="866"/>
      <c r="G38" s="866"/>
      <c r="H38" s="866"/>
      <c r="I38" s="866"/>
      <c r="J38" s="866"/>
      <c r="K38" s="866"/>
      <c r="L38" s="866"/>
      <c r="M38" s="866"/>
      <c r="N38" s="866"/>
      <c r="O38" s="866"/>
      <c r="P38" s="866"/>
      <c r="Q38" s="867"/>
      <c r="S38" s="74"/>
    </row>
    <row r="39" spans="1:19" s="699" customFormat="1" ht="15.75" customHeight="1" x14ac:dyDescent="0.25">
      <c r="A39" s="869" t="s">
        <v>164</v>
      </c>
      <c r="B39" s="824"/>
      <c r="C39" s="824"/>
      <c r="D39" s="818"/>
      <c r="E39" s="799" t="s">
        <v>19</v>
      </c>
      <c r="F39" s="879" t="e">
        <f>+DATOS!E32</f>
        <v>#DIV/0!</v>
      </c>
      <c r="G39" s="824"/>
      <c r="H39" s="824"/>
      <c r="I39" s="818"/>
      <c r="J39" s="879" t="e">
        <f>+DATOS!I32</f>
        <v>#DIV/0!</v>
      </c>
      <c r="K39" s="824"/>
      <c r="L39" s="824"/>
      <c r="M39" s="818"/>
      <c r="N39" s="879" t="e">
        <f>+DATOS!M32</f>
        <v>#DIV/0!</v>
      </c>
      <c r="O39" s="824"/>
      <c r="P39" s="824"/>
      <c r="Q39" s="818"/>
      <c r="R39" s="739">
        <v>1E-3</v>
      </c>
      <c r="S39" s="74"/>
    </row>
    <row r="40" spans="1:19" s="699" customFormat="1" ht="15.75" customHeight="1" x14ac:dyDescent="0.25">
      <c r="A40" s="883" t="s">
        <v>165</v>
      </c>
      <c r="B40" s="866"/>
      <c r="C40" s="866"/>
      <c r="D40" s="866"/>
      <c r="E40" s="866"/>
      <c r="F40" s="866"/>
      <c r="G40" s="866"/>
      <c r="H40" s="866"/>
      <c r="I40" s="866"/>
      <c r="J40" s="866"/>
      <c r="K40" s="866"/>
      <c r="L40" s="866"/>
      <c r="M40" s="866"/>
      <c r="N40" s="866"/>
      <c r="O40" s="866"/>
      <c r="P40" s="866"/>
      <c r="Q40" s="867"/>
      <c r="S40" s="74"/>
    </row>
    <row r="41" spans="1:19" s="699" customFormat="1" ht="15.75" customHeight="1" x14ac:dyDescent="0.25">
      <c r="A41" s="869" t="s">
        <v>164</v>
      </c>
      <c r="B41" s="824"/>
      <c r="C41" s="824"/>
      <c r="D41" s="818"/>
      <c r="E41" s="799" t="s">
        <v>19</v>
      </c>
      <c r="F41" s="868" t="e">
        <f>+DATOS!G32</f>
        <v>#DIV/0!</v>
      </c>
      <c r="G41" s="866"/>
      <c r="H41" s="866"/>
      <c r="I41" s="867"/>
      <c r="J41" s="868" t="e">
        <f>+DATOS!K32</f>
        <v>#DIV/0!</v>
      </c>
      <c r="K41" s="866"/>
      <c r="L41" s="866"/>
      <c r="M41" s="867"/>
      <c r="N41" s="868" t="e">
        <f>+DATOS!O32</f>
        <v>#DIV/0!</v>
      </c>
      <c r="O41" s="866"/>
      <c r="P41" s="866"/>
      <c r="Q41" s="867"/>
      <c r="R41" s="739">
        <v>1E-3</v>
      </c>
      <c r="S41" s="74"/>
    </row>
    <row r="42" spans="1:19" s="699" customFormat="1" ht="15.75" customHeight="1" x14ac:dyDescent="0.25">
      <c r="A42" s="883" t="s">
        <v>61</v>
      </c>
      <c r="B42" s="866"/>
      <c r="C42" s="866"/>
      <c r="D42" s="866"/>
      <c r="E42" s="866"/>
      <c r="F42" s="866"/>
      <c r="G42" s="866"/>
      <c r="H42" s="866"/>
      <c r="I42" s="866"/>
      <c r="J42" s="866"/>
      <c r="K42" s="866"/>
      <c r="L42" s="866"/>
      <c r="M42" s="866"/>
      <c r="N42" s="866"/>
      <c r="O42" s="866"/>
      <c r="P42" s="866"/>
      <c r="Q42" s="867"/>
      <c r="S42" s="74"/>
    </row>
    <row r="43" spans="1:19" s="699" customFormat="1" ht="15.75" customHeight="1" x14ac:dyDescent="0.25">
      <c r="A43" s="869" t="s">
        <v>166</v>
      </c>
      <c r="B43" s="824"/>
      <c r="C43" s="824"/>
      <c r="D43" s="818"/>
      <c r="E43" s="799" t="s">
        <v>19</v>
      </c>
      <c r="F43" s="879" t="e">
        <f>+DATOS!G40</f>
        <v>#N/A</v>
      </c>
      <c r="G43" s="824"/>
      <c r="H43" s="824"/>
      <c r="I43" s="818"/>
      <c r="J43" s="879" t="e">
        <f>+DATOS!K40</f>
        <v>#N/A</v>
      </c>
      <c r="K43" s="824"/>
      <c r="L43" s="824"/>
      <c r="M43" s="818"/>
      <c r="N43" s="879" t="e">
        <f>+DATOS!O40</f>
        <v>#N/A</v>
      </c>
      <c r="O43" s="824"/>
      <c r="P43" s="824"/>
      <c r="Q43" s="818"/>
      <c r="R43" s="739">
        <v>1E-3</v>
      </c>
      <c r="S43" s="74"/>
    </row>
    <row r="44" spans="1:19" s="699" customFormat="1" ht="6" customHeight="1" x14ac:dyDescent="0.25">
      <c r="A44" s="825"/>
      <c r="B44" s="824"/>
      <c r="C44" s="824"/>
      <c r="D44" s="824"/>
      <c r="E44" s="824"/>
      <c r="F44" s="824"/>
      <c r="G44" s="824"/>
      <c r="H44" s="824"/>
      <c r="I44" s="824"/>
      <c r="J44" s="824"/>
      <c r="K44" s="824"/>
      <c r="L44" s="824"/>
      <c r="M44" s="824"/>
      <c r="N44" s="824"/>
      <c r="O44" s="824"/>
      <c r="P44" s="824"/>
      <c r="Q44" s="818"/>
      <c r="S44" s="74"/>
    </row>
    <row r="45" spans="1:19" s="699" customFormat="1" ht="15.75" customHeight="1" x14ac:dyDescent="0.25">
      <c r="A45" s="883" t="s">
        <v>167</v>
      </c>
      <c r="B45" s="866"/>
      <c r="C45" s="866"/>
      <c r="D45" s="866"/>
      <c r="E45" s="866"/>
      <c r="F45" s="866"/>
      <c r="G45" s="866"/>
      <c r="H45" s="866"/>
      <c r="I45" s="866"/>
      <c r="J45" s="866"/>
      <c r="K45" s="866"/>
      <c r="L45" s="866"/>
      <c r="M45" s="866"/>
      <c r="N45" s="866"/>
      <c r="O45" s="866"/>
      <c r="P45" s="866"/>
      <c r="Q45" s="867"/>
      <c r="S45" s="74"/>
    </row>
    <row r="46" spans="1:19" s="699" customFormat="1" ht="22.5" customHeight="1" x14ac:dyDescent="0.25">
      <c r="A46" s="740" t="s">
        <v>58</v>
      </c>
      <c r="B46" s="741"/>
      <c r="C46" s="891" t="s">
        <v>168</v>
      </c>
      <c r="D46" s="866"/>
      <c r="E46" s="867"/>
      <c r="F46" s="885">
        <f>+F34</f>
        <v>56</v>
      </c>
      <c r="G46" s="866"/>
      <c r="H46" s="866"/>
      <c r="I46" s="867"/>
      <c r="J46" s="885">
        <f>+J34</f>
        <v>25</v>
      </c>
      <c r="K46" s="866"/>
      <c r="L46" s="866"/>
      <c r="M46" s="867"/>
      <c r="N46" s="885">
        <f>+N34</f>
        <v>10</v>
      </c>
      <c r="O46" s="866"/>
      <c r="P46" s="866"/>
      <c r="Q46" s="867"/>
      <c r="S46" s="74"/>
    </row>
    <row r="47" spans="1:19" s="699" customFormat="1" ht="21" customHeight="1" x14ac:dyDescent="0.25">
      <c r="A47" s="876" t="s">
        <v>169</v>
      </c>
      <c r="B47" s="818"/>
      <c r="C47" s="865" t="s">
        <v>73</v>
      </c>
      <c r="D47" s="866"/>
      <c r="E47" s="867"/>
      <c r="F47" s="877" t="s">
        <v>170</v>
      </c>
      <c r="G47" s="818"/>
      <c r="H47" s="865" t="s">
        <v>171</v>
      </c>
      <c r="I47" s="867"/>
      <c r="J47" s="877" t="s">
        <v>170</v>
      </c>
      <c r="K47" s="818"/>
      <c r="L47" s="865" t="s">
        <v>171</v>
      </c>
      <c r="M47" s="867"/>
      <c r="N47" s="877" t="s">
        <v>170</v>
      </c>
      <c r="O47" s="818"/>
      <c r="P47" s="865" t="s">
        <v>171</v>
      </c>
      <c r="Q47" s="867"/>
      <c r="S47" s="74"/>
    </row>
    <row r="48" spans="1:19" s="699" customFormat="1" ht="15.75" customHeight="1" x14ac:dyDescent="0.25">
      <c r="A48" s="874">
        <f>+DATOS!A44</f>
        <v>0</v>
      </c>
      <c r="B48" s="818"/>
      <c r="C48" s="865"/>
      <c r="D48" s="866"/>
      <c r="E48" s="867"/>
      <c r="F48" s="871">
        <f>+DATOS!D44*2.2046</f>
        <v>0</v>
      </c>
      <c r="G48" s="818"/>
      <c r="H48" s="868">
        <f>+DATOS!G44</f>
        <v>0</v>
      </c>
      <c r="I48" s="867"/>
      <c r="J48" s="871">
        <f>+DATOS!H44*2.2046</f>
        <v>0</v>
      </c>
      <c r="K48" s="818"/>
      <c r="L48" s="868">
        <f>+DATOS!K44</f>
        <v>0</v>
      </c>
      <c r="M48" s="867"/>
      <c r="N48" s="871">
        <f>+DATOS!L44*2.2046</f>
        <v>0</v>
      </c>
      <c r="O48" s="818"/>
      <c r="P48" s="868">
        <f>+DATOS!O44</f>
        <v>0</v>
      </c>
      <c r="Q48" s="867"/>
      <c r="S48" s="74"/>
    </row>
    <row r="49" spans="1:20" s="699" customFormat="1" ht="15.75" customHeight="1" x14ac:dyDescent="0.25">
      <c r="A49" s="874">
        <f>+DATOS!A45</f>
        <v>2.5000000000000001E-2</v>
      </c>
      <c r="B49" s="818"/>
      <c r="C49" s="865"/>
      <c r="D49" s="866"/>
      <c r="E49" s="867"/>
      <c r="F49" s="871">
        <f>+DATOS!D45*2.2046</f>
        <v>0</v>
      </c>
      <c r="G49" s="818"/>
      <c r="H49" s="868">
        <f>+DATOS!G45</f>
        <v>0.78855422374304684</v>
      </c>
      <c r="I49" s="867"/>
      <c r="J49" s="871">
        <f>+DATOS!H45*2.2046</f>
        <v>0</v>
      </c>
      <c r="K49" s="818"/>
      <c r="L49" s="868">
        <f>+DATOS!K45</f>
        <v>0.78855422374304684</v>
      </c>
      <c r="M49" s="867"/>
      <c r="N49" s="871">
        <f>+DATOS!L45*2.2046</f>
        <v>0</v>
      </c>
      <c r="O49" s="818"/>
      <c r="P49" s="868">
        <f>+DATOS!O45</f>
        <v>0.78855422374304684</v>
      </c>
      <c r="Q49" s="867"/>
      <c r="S49" s="74"/>
    </row>
    <row r="50" spans="1:20" s="699" customFormat="1" ht="15.75" customHeight="1" x14ac:dyDescent="0.25">
      <c r="A50" s="874">
        <f>+DATOS!A46</f>
        <v>0.05</v>
      </c>
      <c r="B50" s="818"/>
      <c r="C50" s="865"/>
      <c r="D50" s="866"/>
      <c r="E50" s="867"/>
      <c r="F50" s="871">
        <f>+DATOS!D46*2.2046</f>
        <v>0</v>
      </c>
      <c r="G50" s="818"/>
      <c r="H50" s="868">
        <f>+DATOS!G46</f>
        <v>0.78855422374304684</v>
      </c>
      <c r="I50" s="867"/>
      <c r="J50" s="871">
        <f>+DATOS!H46*2.2046</f>
        <v>0</v>
      </c>
      <c r="K50" s="818"/>
      <c r="L50" s="868">
        <f>+DATOS!K46</f>
        <v>0.78855422374304684</v>
      </c>
      <c r="M50" s="867"/>
      <c r="N50" s="871">
        <f>+DATOS!L46*2.2046</f>
        <v>0</v>
      </c>
      <c r="O50" s="818"/>
      <c r="P50" s="868">
        <f>+DATOS!O46</f>
        <v>0.78855422374304684</v>
      </c>
      <c r="Q50" s="867"/>
      <c r="S50" s="74"/>
    </row>
    <row r="51" spans="1:20" s="699" customFormat="1" ht="15.75" customHeight="1" x14ac:dyDescent="0.25">
      <c r="A51" s="874">
        <f>+DATOS!A47</f>
        <v>7.4999999999999997E-2</v>
      </c>
      <c r="B51" s="818"/>
      <c r="C51" s="865"/>
      <c r="D51" s="866"/>
      <c r="E51" s="867"/>
      <c r="F51" s="871">
        <f>+DATOS!D47*2.2046</f>
        <v>0</v>
      </c>
      <c r="G51" s="818"/>
      <c r="H51" s="868">
        <f>+DATOS!G47</f>
        <v>0.78855422374304684</v>
      </c>
      <c r="I51" s="867"/>
      <c r="J51" s="871">
        <f>+DATOS!H47*2.2046</f>
        <v>0</v>
      </c>
      <c r="K51" s="818"/>
      <c r="L51" s="868">
        <f>+DATOS!K47</f>
        <v>0.78855422374304684</v>
      </c>
      <c r="M51" s="867"/>
      <c r="N51" s="871">
        <f>+DATOS!L47*2.2046</f>
        <v>0</v>
      </c>
      <c r="O51" s="818"/>
      <c r="P51" s="868">
        <f>+DATOS!O47</f>
        <v>0.78855422374304684</v>
      </c>
      <c r="Q51" s="867"/>
    </row>
    <row r="52" spans="1:20" s="699" customFormat="1" ht="15.75" customHeight="1" x14ac:dyDescent="0.25">
      <c r="A52" s="874">
        <f>+DATOS!A48</f>
        <v>0.1</v>
      </c>
      <c r="B52" s="818"/>
      <c r="C52" s="865">
        <v>1000</v>
      </c>
      <c r="D52" s="866"/>
      <c r="E52" s="867"/>
      <c r="F52" s="871">
        <f>+DATOS!D48*2.2046</f>
        <v>0</v>
      </c>
      <c r="G52" s="818"/>
      <c r="H52" s="868">
        <f>+DATOS!G48</f>
        <v>0.78855422374304684</v>
      </c>
      <c r="I52" s="867"/>
      <c r="J52" s="871">
        <f>+DATOS!H48*2.2046</f>
        <v>0</v>
      </c>
      <c r="K52" s="818"/>
      <c r="L52" s="868">
        <f>+DATOS!K48</f>
        <v>0.78855422374304684</v>
      </c>
      <c r="M52" s="867"/>
      <c r="N52" s="871">
        <f>+DATOS!L48*2.2046</f>
        <v>0</v>
      </c>
      <c r="O52" s="818"/>
      <c r="P52" s="868">
        <f>+DATOS!O48</f>
        <v>0.78855422374304684</v>
      </c>
      <c r="Q52" s="867"/>
    </row>
    <row r="53" spans="1:20" s="699" customFormat="1" ht="15.75" customHeight="1" x14ac:dyDescent="0.25">
      <c r="A53" s="874">
        <f>+DATOS!A49</f>
        <v>0.125</v>
      </c>
      <c r="B53" s="818"/>
      <c r="C53" s="865"/>
      <c r="D53" s="866"/>
      <c r="E53" s="867"/>
      <c r="F53" s="871">
        <f>+DATOS!D49*2.2046</f>
        <v>0</v>
      </c>
      <c r="G53" s="818"/>
      <c r="H53" s="868">
        <f>+DATOS!G49</f>
        <v>0.78855422374304684</v>
      </c>
      <c r="I53" s="867"/>
      <c r="J53" s="871">
        <f>+DATOS!H49*2.2046</f>
        <v>0</v>
      </c>
      <c r="K53" s="818"/>
      <c r="L53" s="868">
        <f>+DATOS!K49</f>
        <v>0.78855422374304684</v>
      </c>
      <c r="M53" s="867"/>
      <c r="N53" s="871">
        <f>+DATOS!L49*2.2046</f>
        <v>0</v>
      </c>
      <c r="O53" s="818"/>
      <c r="P53" s="868">
        <f>+DATOS!O49</f>
        <v>0.78855422374304684</v>
      </c>
      <c r="Q53" s="867"/>
    </row>
    <row r="54" spans="1:20" s="699" customFormat="1" ht="15.75" customHeight="1" x14ac:dyDescent="0.25">
      <c r="A54" s="874">
        <f>+DATOS!A50</f>
        <v>0.15</v>
      </c>
      <c r="B54" s="818"/>
      <c r="C54" s="865"/>
      <c r="D54" s="866"/>
      <c r="E54" s="867"/>
      <c r="F54" s="871">
        <f>+DATOS!D50*2.2046</f>
        <v>0</v>
      </c>
      <c r="G54" s="818"/>
      <c r="H54" s="868">
        <f>+DATOS!G50</f>
        <v>0.78855422374304684</v>
      </c>
      <c r="I54" s="867"/>
      <c r="J54" s="871">
        <f>+DATOS!H50*2.2046</f>
        <v>0</v>
      </c>
      <c r="K54" s="818"/>
      <c r="L54" s="868">
        <f>+DATOS!K50</f>
        <v>0.78855422374304684</v>
      </c>
      <c r="M54" s="867"/>
      <c r="N54" s="871">
        <f>+DATOS!L50*2.2046</f>
        <v>0</v>
      </c>
      <c r="O54" s="818"/>
      <c r="P54" s="868">
        <f>+DATOS!O50</f>
        <v>0.78855422374304684</v>
      </c>
      <c r="Q54" s="867"/>
    </row>
    <row r="55" spans="1:20" s="699" customFormat="1" ht="15.75" customHeight="1" x14ac:dyDescent="0.25">
      <c r="A55" s="874">
        <f>+DATOS!A51</f>
        <v>0.17499999999999999</v>
      </c>
      <c r="B55" s="818"/>
      <c r="C55" s="865"/>
      <c r="D55" s="866"/>
      <c r="E55" s="867"/>
      <c r="F55" s="871">
        <f>+DATOS!D51*2.2046</f>
        <v>0</v>
      </c>
      <c r="G55" s="818"/>
      <c r="H55" s="868">
        <f>+DATOS!G51</f>
        <v>0.78855422374304684</v>
      </c>
      <c r="I55" s="867"/>
      <c r="J55" s="871">
        <f>+DATOS!H51*2.2046</f>
        <v>0</v>
      </c>
      <c r="K55" s="818"/>
      <c r="L55" s="868">
        <f>+DATOS!K51</f>
        <v>0.78855422374304684</v>
      </c>
      <c r="M55" s="867"/>
      <c r="N55" s="871">
        <f>+DATOS!L51*2.2046</f>
        <v>0</v>
      </c>
      <c r="O55" s="818"/>
      <c r="P55" s="868">
        <f>+DATOS!O51</f>
        <v>0.78855422374304684</v>
      </c>
      <c r="Q55" s="867"/>
    </row>
    <row r="56" spans="1:20" s="699" customFormat="1" ht="15.75" customHeight="1" x14ac:dyDescent="0.25">
      <c r="A56" s="874">
        <f>+DATOS!A52</f>
        <v>0.2</v>
      </c>
      <c r="B56" s="818"/>
      <c r="C56" s="865">
        <v>1500</v>
      </c>
      <c r="D56" s="866"/>
      <c r="E56" s="867"/>
      <c r="F56" s="871">
        <f>+DATOS!D52*2.2046</f>
        <v>0</v>
      </c>
      <c r="G56" s="818"/>
      <c r="H56" s="868">
        <f>+DATOS!G52</f>
        <v>0.78855422374304684</v>
      </c>
      <c r="I56" s="867"/>
      <c r="J56" s="871">
        <f>+DATOS!H52*2.2046</f>
        <v>0</v>
      </c>
      <c r="K56" s="818"/>
      <c r="L56" s="868">
        <f>+DATOS!K52</f>
        <v>0.78855422374304684</v>
      </c>
      <c r="M56" s="867"/>
      <c r="N56" s="871">
        <f>+DATOS!L52*2.2046</f>
        <v>0</v>
      </c>
      <c r="O56" s="818"/>
      <c r="P56" s="868">
        <f>+DATOS!O52</f>
        <v>0.78855422374304684</v>
      </c>
      <c r="Q56" s="867"/>
    </row>
    <row r="57" spans="1:20" s="699" customFormat="1" ht="15.75" customHeight="1" x14ac:dyDescent="0.25">
      <c r="A57" s="874">
        <f>+DATOS!A53</f>
        <v>0.3</v>
      </c>
      <c r="B57" s="818"/>
      <c r="C57" s="865"/>
      <c r="D57" s="866"/>
      <c r="E57" s="867"/>
      <c r="F57" s="871">
        <f>+DATOS!D53*2.2046</f>
        <v>0</v>
      </c>
      <c r="G57" s="818"/>
      <c r="H57" s="868">
        <f>+DATOS!G53</f>
        <v>0.78855422374304684</v>
      </c>
      <c r="I57" s="867"/>
      <c r="J57" s="871">
        <f>+DATOS!H53*2.2046</f>
        <v>0</v>
      </c>
      <c r="K57" s="818"/>
      <c r="L57" s="868">
        <f>+DATOS!K53</f>
        <v>0.78855422374304684</v>
      </c>
      <c r="M57" s="867"/>
      <c r="N57" s="871">
        <f>+DATOS!L53*2.2046</f>
        <v>0</v>
      </c>
      <c r="O57" s="818"/>
      <c r="P57" s="868">
        <f>+DATOS!O53</f>
        <v>0.78855422374304684</v>
      </c>
      <c r="Q57" s="867"/>
    </row>
    <row r="58" spans="1:20" s="699" customFormat="1" ht="15.75" customHeight="1" x14ac:dyDescent="0.25">
      <c r="A58" s="874">
        <f>+DATOS!A54</f>
        <v>0.4</v>
      </c>
      <c r="B58" s="818"/>
      <c r="C58" s="865"/>
      <c r="D58" s="866"/>
      <c r="E58" s="867"/>
      <c r="F58" s="871">
        <f>+DATOS!D54*2.2046</f>
        <v>0</v>
      </c>
      <c r="G58" s="818"/>
      <c r="H58" s="868">
        <f>+DATOS!G54</f>
        <v>0.78855422374304684</v>
      </c>
      <c r="I58" s="867"/>
      <c r="J58" s="871">
        <f>+DATOS!H54*2.2046</f>
        <v>0</v>
      </c>
      <c r="K58" s="818"/>
      <c r="L58" s="868">
        <f>+DATOS!K54</f>
        <v>0.78855422374304684</v>
      </c>
      <c r="M58" s="867"/>
      <c r="N58" s="871">
        <f>+DATOS!L54*2.2046</f>
        <v>0</v>
      </c>
      <c r="O58" s="818"/>
      <c r="P58" s="868">
        <f>+DATOS!O54</f>
        <v>0.78855422374304684</v>
      </c>
      <c r="Q58" s="867"/>
    </row>
    <row r="59" spans="1:20" s="699" customFormat="1" ht="15.75" customHeight="1" x14ac:dyDescent="0.25">
      <c r="A59" s="874">
        <f>+DATOS!A55</f>
        <v>0.5</v>
      </c>
      <c r="B59" s="818"/>
      <c r="C59" s="865"/>
      <c r="D59" s="866"/>
      <c r="E59" s="867"/>
      <c r="F59" s="871">
        <f>+DATOS!D55*2.2046</f>
        <v>0</v>
      </c>
      <c r="G59" s="818"/>
      <c r="H59" s="868">
        <f>+DATOS!G55</f>
        <v>0.78855422374304684</v>
      </c>
      <c r="I59" s="867"/>
      <c r="J59" s="871">
        <f>+DATOS!H55*2.2046</f>
        <v>0</v>
      </c>
      <c r="K59" s="818"/>
      <c r="L59" s="868">
        <f>+DATOS!K55</f>
        <v>0.78855422374304684</v>
      </c>
      <c r="M59" s="867"/>
      <c r="N59" s="871">
        <f>+DATOS!L55*2.2046</f>
        <v>0</v>
      </c>
      <c r="O59" s="818"/>
      <c r="P59" s="868">
        <f>+DATOS!O55</f>
        <v>0.78855422374304684</v>
      </c>
      <c r="Q59" s="867"/>
    </row>
    <row r="60" spans="1:20" s="699" customFormat="1" ht="21.75" customHeight="1" x14ac:dyDescent="0.25">
      <c r="A60" s="13" t="s">
        <v>108</v>
      </c>
      <c r="B60" s="709"/>
      <c r="C60" s="742"/>
      <c r="D60" s="742"/>
      <c r="E60" s="742"/>
      <c r="F60" s="742"/>
      <c r="G60" s="742"/>
      <c r="H60" s="742"/>
      <c r="I60" s="742"/>
      <c r="J60" s="742"/>
      <c r="K60" s="742"/>
      <c r="L60" s="742"/>
      <c r="M60" s="742"/>
      <c r="N60" s="742"/>
      <c r="O60" s="742"/>
      <c r="P60" s="742"/>
      <c r="Q60" s="742"/>
    </row>
    <row r="61" spans="1:20" s="699" customFormat="1" ht="14.25" customHeight="1" x14ac:dyDescent="0.25">
      <c r="S61" s="743"/>
      <c r="T61" s="743"/>
    </row>
    <row r="62" spans="1:20" s="699" customFormat="1" ht="14.25" customHeight="1" x14ac:dyDescent="0.25">
      <c r="A62" s="67"/>
      <c r="B62" s="709"/>
      <c r="C62" s="709"/>
      <c r="D62" s="709"/>
      <c r="E62" s="709"/>
      <c r="F62" s="709"/>
      <c r="G62" s="709"/>
      <c r="H62" s="709"/>
      <c r="I62" s="709"/>
      <c r="J62" s="709"/>
      <c r="K62" s="709"/>
      <c r="L62" s="709"/>
      <c r="M62" s="709"/>
      <c r="N62" s="709"/>
      <c r="O62" s="709"/>
      <c r="P62" s="709"/>
      <c r="Q62" s="709"/>
      <c r="S62" s="743"/>
      <c r="T62" s="743"/>
    </row>
    <row r="63" spans="1:20" ht="14.25" customHeight="1" x14ac:dyDescent="0.25">
      <c r="A63" s="67"/>
      <c r="R63" s="699"/>
      <c r="S63" s="743"/>
      <c r="T63" s="743"/>
    </row>
    <row r="64" spans="1:20" ht="14.25" customHeight="1" x14ac:dyDescent="0.25">
      <c r="A64" s="690"/>
      <c r="S64" s="743"/>
      <c r="T64" s="743"/>
    </row>
    <row r="65" spans="1:20" ht="14.25" customHeight="1" x14ac:dyDescent="0.25">
      <c r="A65" s="690"/>
      <c r="S65" s="743"/>
      <c r="T65" s="743"/>
    </row>
    <row r="66" spans="1:20" ht="14.25" customHeight="1" x14ac:dyDescent="0.25">
      <c r="A66" s="10" t="s">
        <v>172</v>
      </c>
      <c r="B66" s="690"/>
      <c r="C66" s="690"/>
      <c r="D66" s="690"/>
      <c r="S66" s="743"/>
      <c r="T66" s="743"/>
    </row>
    <row r="67" spans="1:20" ht="14.25" customHeight="1" x14ac:dyDescent="0.25">
      <c r="A67" s="10" t="s">
        <v>173</v>
      </c>
      <c r="B67" s="690"/>
      <c r="C67" s="690"/>
      <c r="D67" s="690"/>
      <c r="P67" s="744"/>
      <c r="Q67" s="481" t="s">
        <v>174</v>
      </c>
      <c r="S67" s="743"/>
      <c r="T67" s="743"/>
    </row>
    <row r="68" spans="1:20" ht="14.25" customHeight="1" x14ac:dyDescent="0.25">
      <c r="S68" s="743"/>
      <c r="T68" s="743"/>
    </row>
    <row r="69" spans="1:20" ht="14.25" customHeight="1" x14ac:dyDescent="0.25">
      <c r="S69" s="743"/>
      <c r="T69" s="743"/>
    </row>
    <row r="70" spans="1:20" ht="14.25" customHeight="1" x14ac:dyDescent="0.25">
      <c r="S70" s="743"/>
      <c r="T70" s="743"/>
    </row>
    <row r="71" spans="1:20" ht="14.25" customHeight="1" x14ac:dyDescent="0.25">
      <c r="A71" s="690"/>
      <c r="B71" s="690"/>
      <c r="C71" s="690"/>
      <c r="D71" s="690"/>
      <c r="E71" s="690"/>
      <c r="F71" s="690"/>
      <c r="G71" s="690"/>
      <c r="H71" s="690"/>
      <c r="I71" s="690"/>
      <c r="J71" s="690"/>
      <c r="S71" s="743"/>
      <c r="T71" s="743"/>
    </row>
    <row r="72" spans="1:20" ht="12" customHeight="1" x14ac:dyDescent="0.25">
      <c r="A72" s="690"/>
      <c r="B72" s="690"/>
      <c r="C72" s="690"/>
      <c r="D72" s="690"/>
      <c r="E72" s="690"/>
      <c r="F72" s="690"/>
      <c r="G72" s="690"/>
      <c r="H72" s="690"/>
      <c r="I72" s="690"/>
      <c r="J72" s="690"/>
      <c r="K72" s="805"/>
      <c r="L72" s="805"/>
      <c r="M72" s="805"/>
      <c r="N72" s="805"/>
      <c r="O72" s="805"/>
      <c r="P72" s="805"/>
      <c r="Q72" s="805"/>
      <c r="S72" s="743"/>
      <c r="T72" s="743"/>
    </row>
    <row r="73" spans="1:20" ht="12" customHeight="1" x14ac:dyDescent="0.25">
      <c r="A73" s="690"/>
      <c r="B73" s="690"/>
      <c r="C73" s="690"/>
      <c r="D73" s="690"/>
      <c r="E73" s="690"/>
      <c r="F73" s="690"/>
      <c r="G73" s="690"/>
      <c r="H73" s="690"/>
      <c r="I73" s="690"/>
      <c r="J73" s="690"/>
      <c r="K73" s="805"/>
      <c r="L73" s="805"/>
      <c r="M73" s="805"/>
      <c r="N73" s="805"/>
      <c r="O73" s="805"/>
      <c r="P73" s="805"/>
      <c r="Q73" s="805"/>
      <c r="S73" s="743"/>
      <c r="T73" s="743"/>
    </row>
    <row r="74" spans="1:20" ht="12" customHeight="1" x14ac:dyDescent="0.25">
      <c r="A74" s="690"/>
      <c r="B74" s="690"/>
      <c r="C74" s="690"/>
      <c r="D74" s="690"/>
      <c r="E74" s="690"/>
      <c r="F74" s="690"/>
      <c r="G74" s="690"/>
      <c r="H74" s="690"/>
      <c r="I74" s="690"/>
      <c r="J74" s="690"/>
      <c r="K74" s="805"/>
      <c r="L74" s="805"/>
      <c r="M74" s="805"/>
      <c r="N74" s="805"/>
      <c r="O74" s="805"/>
      <c r="P74" s="805"/>
      <c r="Q74" s="805"/>
      <c r="S74" s="743"/>
      <c r="T74" s="743"/>
    </row>
    <row r="75" spans="1:20" ht="12" customHeight="1" x14ac:dyDescent="0.25">
      <c r="A75" s="690"/>
      <c r="B75" s="690"/>
      <c r="C75" s="690"/>
      <c r="D75" s="690"/>
      <c r="E75" s="690"/>
      <c r="F75" s="690"/>
      <c r="G75" s="690"/>
      <c r="H75" s="690"/>
      <c r="I75" s="690"/>
      <c r="J75" s="690"/>
      <c r="K75" s="805"/>
      <c r="L75" s="805"/>
      <c r="M75" s="805"/>
      <c r="N75" s="805"/>
      <c r="O75" s="805"/>
      <c r="P75" s="805"/>
      <c r="Q75" s="805"/>
      <c r="S75" s="743"/>
      <c r="T75" s="743"/>
    </row>
    <row r="76" spans="1:20" ht="12" customHeight="1" x14ac:dyDescent="0.25">
      <c r="B76" s="805"/>
      <c r="C76" s="805"/>
      <c r="D76" s="805"/>
      <c r="E76" s="805"/>
      <c r="F76" s="805"/>
      <c r="G76" s="805"/>
      <c r="H76" s="805"/>
      <c r="I76" s="805"/>
      <c r="J76" s="805"/>
      <c r="K76" s="805"/>
      <c r="L76" s="805"/>
      <c r="M76" s="805"/>
      <c r="N76" s="805"/>
      <c r="O76" s="805"/>
      <c r="P76" s="805"/>
      <c r="Q76" s="805"/>
      <c r="S76" s="743"/>
      <c r="T76" s="743"/>
    </row>
    <row r="77" spans="1:20" ht="15.6" customHeight="1" x14ac:dyDescent="0.25">
      <c r="B77" s="805"/>
      <c r="C77" s="805"/>
      <c r="D77" s="805"/>
      <c r="E77" s="805"/>
      <c r="F77" s="805"/>
      <c r="G77" s="805"/>
      <c r="H77" s="805"/>
      <c r="I77" s="805"/>
      <c r="J77" s="805"/>
      <c r="K77" s="805"/>
      <c r="L77" s="805"/>
      <c r="M77" s="805"/>
      <c r="N77" s="805"/>
      <c r="O77" s="805"/>
      <c r="P77" s="805"/>
      <c r="Q77" s="805"/>
      <c r="S77" s="743"/>
      <c r="T77" s="743"/>
    </row>
    <row r="78" spans="1:20" ht="15.6" customHeight="1" x14ac:dyDescent="0.25">
      <c r="B78" s="805"/>
      <c r="C78" s="805"/>
      <c r="D78" s="805"/>
      <c r="E78" s="805"/>
      <c r="F78" s="805"/>
      <c r="G78" s="805"/>
      <c r="H78" s="805"/>
      <c r="I78" s="805"/>
      <c r="J78" s="805"/>
      <c r="K78" s="805"/>
      <c r="L78" s="805"/>
      <c r="M78" s="805"/>
      <c r="N78" s="805"/>
      <c r="O78" s="805"/>
      <c r="P78" s="805"/>
      <c r="Q78" s="805"/>
      <c r="S78" s="743"/>
      <c r="T78" s="743"/>
    </row>
    <row r="79" spans="1:20" ht="15.6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S79" s="743"/>
      <c r="T79" s="743"/>
    </row>
    <row r="80" spans="1:20" ht="15.6" customHeight="1" x14ac:dyDescent="0.25">
      <c r="S80" s="743"/>
      <c r="T80" s="743"/>
    </row>
    <row r="81" spans="1:20" ht="15.6" customHeight="1" x14ac:dyDescent="0.25">
      <c r="S81" s="743"/>
      <c r="T81" s="743"/>
    </row>
    <row r="82" spans="1:20" ht="15.6" customHeight="1" x14ac:dyDescent="0.25">
      <c r="S82" s="743"/>
      <c r="T82" s="743"/>
    </row>
    <row r="83" spans="1:20" ht="15.6" customHeight="1" x14ac:dyDescent="0.25">
      <c r="A83" s="745"/>
      <c r="F83" s="746"/>
      <c r="J83" s="745"/>
      <c r="K83" s="745"/>
      <c r="S83" s="743"/>
      <c r="T83" s="743"/>
    </row>
    <row r="84" spans="1:20" ht="15.6" customHeight="1" x14ac:dyDescent="0.25">
      <c r="A84" s="745"/>
      <c r="F84" s="746"/>
      <c r="J84" s="745"/>
      <c r="K84" s="745"/>
      <c r="R84" s="747"/>
    </row>
    <row r="85" spans="1:20" ht="15.6" customHeight="1" x14ac:dyDescent="0.25">
      <c r="A85" s="745"/>
      <c r="F85" s="746"/>
      <c r="J85" s="745"/>
      <c r="K85" s="745"/>
    </row>
    <row r="86" spans="1:20" ht="19.2" customHeight="1" x14ac:dyDescent="0.25">
      <c r="A86" s="745"/>
      <c r="F86" s="746"/>
      <c r="J86" s="745"/>
      <c r="K86" s="745"/>
    </row>
    <row r="87" spans="1:20" ht="19.2" customHeight="1" x14ac:dyDescent="0.25">
      <c r="A87" s="745"/>
      <c r="F87" s="746"/>
      <c r="J87" s="745"/>
      <c r="K87" s="745"/>
    </row>
    <row r="88" spans="1:20" ht="19.2" customHeight="1" x14ac:dyDescent="0.25"/>
    <row r="89" spans="1:20" ht="19.2" customHeight="1" x14ac:dyDescent="0.25">
      <c r="A89" s="748"/>
      <c r="B89" s="748"/>
      <c r="C89" s="748"/>
      <c r="D89" s="748"/>
    </row>
    <row r="90" spans="1:20" ht="19.2" customHeight="1" x14ac:dyDescent="0.25">
      <c r="A90" s="881"/>
      <c r="B90" s="873"/>
      <c r="C90" s="873"/>
      <c r="D90" s="873"/>
      <c r="E90" s="873"/>
      <c r="F90" s="873"/>
      <c r="G90" s="873"/>
      <c r="H90" s="873"/>
      <c r="I90" s="873"/>
      <c r="J90" s="873"/>
      <c r="K90" s="873"/>
      <c r="L90" s="873"/>
    </row>
    <row r="91" spans="1:20" ht="15.6" customHeight="1" x14ac:dyDescent="0.25">
      <c r="A91" s="873"/>
      <c r="B91" s="873"/>
      <c r="C91" s="873"/>
      <c r="D91" s="873"/>
      <c r="E91" s="873"/>
      <c r="F91" s="873"/>
      <c r="G91" s="873"/>
      <c r="H91" s="873"/>
      <c r="I91" s="873"/>
      <c r="J91" s="873"/>
      <c r="K91" s="873"/>
      <c r="L91" s="873"/>
    </row>
    <row r="92" spans="1:20" ht="15.6" customHeight="1" x14ac:dyDescent="0.25"/>
    <row r="93" spans="1:20" ht="15.6" customHeight="1" x14ac:dyDescent="0.25"/>
    <row r="94" spans="1:20" ht="15.6" customHeight="1" x14ac:dyDescent="0.25">
      <c r="L94" s="749"/>
    </row>
    <row r="95" spans="1:20" ht="15.6" customHeight="1" x14ac:dyDescent="0.25">
      <c r="E95" s="750"/>
      <c r="F95" s="878"/>
      <c r="G95" s="873"/>
      <c r="J95" s="746"/>
      <c r="K95" s="746"/>
      <c r="L95" s="746"/>
      <c r="M95" s="709"/>
      <c r="N95" s="709"/>
      <c r="O95" s="709"/>
      <c r="P95" s="709"/>
      <c r="Q95" s="709"/>
      <c r="R95" s="705"/>
    </row>
    <row r="96" spans="1:20" ht="15.6" customHeight="1" x14ac:dyDescent="0.25">
      <c r="E96" s="750"/>
      <c r="F96" s="878"/>
      <c r="G96" s="873"/>
      <c r="M96" s="709"/>
      <c r="N96" s="709"/>
      <c r="O96" s="709"/>
      <c r="P96" s="709"/>
      <c r="Q96" s="709"/>
      <c r="R96" s="705"/>
    </row>
    <row r="97" spans="5:7" ht="15.6" customHeight="1" x14ac:dyDescent="0.25">
      <c r="E97" s="750"/>
      <c r="F97" s="880"/>
      <c r="G97" s="873"/>
    </row>
  </sheetData>
  <sheetProtection algorithmName="SHA-512" hashValue="kqvnvFF3VzaFkfbm1H84Ap5wndXSxacRrFNCZ+XUhzhFKch4it8oBHJDz6TzDBs+bVv5ntEFTaQ1RDMlra0Vgg==" saltValue="epu+YdC3e2KOS9E9ihFp1w==" spinCount="100000" sheet="1" objects="1" scenarios="1"/>
  <mergeCells count="155">
    <mergeCell ref="P59:Q59"/>
    <mergeCell ref="J53:K53"/>
    <mergeCell ref="N58:O58"/>
    <mergeCell ref="L58:M58"/>
    <mergeCell ref="N59:O59"/>
    <mergeCell ref="P54:Q54"/>
    <mergeCell ref="C54:E54"/>
    <mergeCell ref="N47:O47"/>
    <mergeCell ref="C56:E56"/>
    <mergeCell ref="F59:G59"/>
    <mergeCell ref="F55:G55"/>
    <mergeCell ref="C10:M10"/>
    <mergeCell ref="A56:B56"/>
    <mergeCell ref="H52:I52"/>
    <mergeCell ref="N48:O48"/>
    <mergeCell ref="P48:Q48"/>
    <mergeCell ref="C57:E57"/>
    <mergeCell ref="C49:E49"/>
    <mergeCell ref="A41:D41"/>
    <mergeCell ref="N46:Q46"/>
    <mergeCell ref="F56:G56"/>
    <mergeCell ref="A24:Q24"/>
    <mergeCell ref="P25:Q25"/>
    <mergeCell ref="G30:I30"/>
    <mergeCell ref="H56:I56"/>
    <mergeCell ref="P52:Q52"/>
    <mergeCell ref="C52:E52"/>
    <mergeCell ref="N56:O56"/>
    <mergeCell ref="P56:Q56"/>
    <mergeCell ref="A55:B55"/>
    <mergeCell ref="A57:B57"/>
    <mergeCell ref="H57:I57"/>
    <mergeCell ref="P53:Q53"/>
    <mergeCell ref="F49:G49"/>
    <mergeCell ref="J52:K52"/>
    <mergeCell ref="F96:G96"/>
    <mergeCell ref="P47:Q47"/>
    <mergeCell ref="A53:B53"/>
    <mergeCell ref="A38:Q38"/>
    <mergeCell ref="P58:Q58"/>
    <mergeCell ref="J58:K58"/>
    <mergeCell ref="F57:G57"/>
    <mergeCell ref="A48:B48"/>
    <mergeCell ref="A34:E34"/>
    <mergeCell ref="A40:Q40"/>
    <mergeCell ref="A59:B59"/>
    <mergeCell ref="F54:G54"/>
    <mergeCell ref="F43:I43"/>
    <mergeCell ref="H54:I54"/>
    <mergeCell ref="A58:B58"/>
    <mergeCell ref="N50:O50"/>
    <mergeCell ref="J57:K57"/>
    <mergeCell ref="P50:Q50"/>
    <mergeCell ref="F37:I37"/>
    <mergeCell ref="L57:M57"/>
    <mergeCell ref="N51:O51"/>
    <mergeCell ref="C59:E59"/>
    <mergeCell ref="H50:I50"/>
    <mergeCell ref="C46:E46"/>
    <mergeCell ref="A7:Q7"/>
    <mergeCell ref="N35:Q35"/>
    <mergeCell ref="H49:I49"/>
    <mergeCell ref="A16:Q16"/>
    <mergeCell ref="C48:E48"/>
    <mergeCell ref="J49:K49"/>
    <mergeCell ref="F34:I34"/>
    <mergeCell ref="N52:O52"/>
    <mergeCell ref="F47:G47"/>
    <mergeCell ref="A15:Q15"/>
    <mergeCell ref="L47:M47"/>
    <mergeCell ref="A39:D39"/>
    <mergeCell ref="P49:Q49"/>
    <mergeCell ref="F50:G50"/>
    <mergeCell ref="N41:Q41"/>
    <mergeCell ref="C12:M12"/>
    <mergeCell ref="L50:M50"/>
    <mergeCell ref="N43:Q43"/>
    <mergeCell ref="A33:Q33"/>
    <mergeCell ref="F36:I36"/>
    <mergeCell ref="A8:Q8"/>
    <mergeCell ref="L52:M52"/>
    <mergeCell ref="J50:K50"/>
    <mergeCell ref="J35:M35"/>
    <mergeCell ref="F97:G97"/>
    <mergeCell ref="L55:M55"/>
    <mergeCell ref="J37:M37"/>
    <mergeCell ref="F58:G58"/>
    <mergeCell ref="A90:L91"/>
    <mergeCell ref="J34:M34"/>
    <mergeCell ref="A42:Q42"/>
    <mergeCell ref="J36:M36"/>
    <mergeCell ref="L59:M59"/>
    <mergeCell ref="A52:B52"/>
    <mergeCell ref="F48:G48"/>
    <mergeCell ref="H48:I48"/>
    <mergeCell ref="N39:Q39"/>
    <mergeCell ref="J51:K51"/>
    <mergeCell ref="N55:O55"/>
    <mergeCell ref="F46:I46"/>
    <mergeCell ref="J48:K48"/>
    <mergeCell ref="P55:Q55"/>
    <mergeCell ref="L48:M48"/>
    <mergeCell ref="A44:Q44"/>
    <mergeCell ref="C50:E50"/>
    <mergeCell ref="C55:E55"/>
    <mergeCell ref="P51:Q51"/>
    <mergeCell ref="A49:B49"/>
    <mergeCell ref="C11:M11"/>
    <mergeCell ref="N57:O57"/>
    <mergeCell ref="P57:Q57"/>
    <mergeCell ref="H47:I47"/>
    <mergeCell ref="J47:K47"/>
    <mergeCell ref="F52:G52"/>
    <mergeCell ref="J56:K56"/>
    <mergeCell ref="H59:I59"/>
    <mergeCell ref="F95:G95"/>
    <mergeCell ref="J39:M39"/>
    <mergeCell ref="F51:G51"/>
    <mergeCell ref="H51:I51"/>
    <mergeCell ref="J55:K55"/>
    <mergeCell ref="F39:I39"/>
    <mergeCell ref="N54:O54"/>
    <mergeCell ref="J46:M46"/>
    <mergeCell ref="H58:I58"/>
    <mergeCell ref="H53:I53"/>
    <mergeCell ref="J43:M43"/>
    <mergeCell ref="N34:Q34"/>
    <mergeCell ref="H55:I55"/>
    <mergeCell ref="J59:K59"/>
    <mergeCell ref="L53:M53"/>
    <mergeCell ref="N53:O53"/>
    <mergeCell ref="C58:E58"/>
    <mergeCell ref="L56:M56"/>
    <mergeCell ref="A35:E35"/>
    <mergeCell ref="F41:I41"/>
    <mergeCell ref="F35:I35"/>
    <mergeCell ref="L49:M49"/>
    <mergeCell ref="N49:O49"/>
    <mergeCell ref="C13:M13"/>
    <mergeCell ref="J41:M41"/>
    <mergeCell ref="F53:G53"/>
    <mergeCell ref="C47:E47"/>
    <mergeCell ref="A50:B50"/>
    <mergeCell ref="N37:Q37"/>
    <mergeCell ref="L51:M51"/>
    <mergeCell ref="C53:E53"/>
    <mergeCell ref="J54:K54"/>
    <mergeCell ref="L54:M54"/>
    <mergeCell ref="A47:B47"/>
    <mergeCell ref="A51:B51"/>
    <mergeCell ref="C51:E51"/>
    <mergeCell ref="A54:B54"/>
    <mergeCell ref="N36:Q36"/>
    <mergeCell ref="A43:D43"/>
    <mergeCell ref="A45:Q45"/>
  </mergeCells>
  <printOptions horizontalCentered="1"/>
  <pageMargins left="0.39370078740157483" right="0.39370078740157483" top="0.82677165354330717" bottom="0" header="0" footer="0"/>
  <pageSetup paperSize="274" scale="77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X92"/>
  <sheetViews>
    <sheetView view="pageBreakPreview" zoomScaleNormal="120" zoomScaleSheetLayoutView="100" workbookViewId="0">
      <selection activeCell="D7" sqref="D7:M7"/>
    </sheetView>
  </sheetViews>
  <sheetFormatPr baseColWidth="10" defaultColWidth="5.5546875" defaultRowHeight="15" customHeight="1" x14ac:dyDescent="0.25"/>
  <cols>
    <col min="1" max="1" width="5.5546875" style="805" customWidth="1"/>
    <col min="2" max="2" width="4.6640625" style="805" customWidth="1"/>
    <col min="3" max="3" width="2" style="805" customWidth="1"/>
    <col min="4" max="4" width="9.6640625" style="805" customWidth="1"/>
    <col min="5" max="5" width="7.109375" style="805" customWidth="1"/>
    <col min="6" max="6" width="3.6640625" style="805" customWidth="1"/>
    <col min="7" max="9" width="5.5546875" style="805" customWidth="1"/>
    <col min="10" max="10" width="11.109375" style="805" customWidth="1"/>
    <col min="11" max="11" width="8.88671875" style="805" customWidth="1"/>
    <col min="12" max="12" width="6.6640625" style="805" customWidth="1"/>
    <col min="13" max="13" width="3.109375" style="805" customWidth="1"/>
    <col min="14" max="14" width="8.88671875" style="805" customWidth="1"/>
    <col min="15" max="15" width="7.33203125" style="805" customWidth="1"/>
    <col min="16" max="16" width="6.33203125" style="805" customWidth="1"/>
    <col min="17" max="17" width="11.44140625" style="805" customWidth="1"/>
    <col min="18" max="18" width="3" style="805" customWidth="1"/>
    <col min="19" max="19" width="2.44140625" style="805" customWidth="1"/>
    <col min="20" max="20" width="5.6640625" style="805" customWidth="1"/>
    <col min="21" max="24" width="10.109375" style="805" customWidth="1"/>
    <col min="25" max="25" width="12.5546875" style="805" customWidth="1"/>
    <col min="26" max="26" width="9.5546875" style="805" customWidth="1"/>
    <col min="27" max="27" width="7" style="805" customWidth="1"/>
    <col min="28" max="29" width="11.33203125" style="805" customWidth="1"/>
    <col min="30" max="30" width="8.44140625" style="805" customWidth="1"/>
    <col min="31" max="34" width="11.44140625" style="805" customWidth="1"/>
    <col min="35" max="35" width="13.109375" style="805" customWidth="1"/>
    <col min="36" max="36" width="11.33203125" style="805" customWidth="1"/>
    <col min="37" max="37" width="11.6640625" style="805" customWidth="1"/>
    <col min="38" max="38" width="10.109375" style="805" customWidth="1"/>
    <col min="39" max="40" width="9.109375" style="805" customWidth="1"/>
    <col min="41" max="48" width="12.33203125" style="805" customWidth="1"/>
    <col min="49" max="50" width="10.109375" style="805" customWidth="1"/>
    <col min="51" max="53" width="5.5546875" style="805" customWidth="1"/>
    <col min="54" max="16384" width="5.5546875" style="805"/>
  </cols>
  <sheetData>
    <row r="1" spans="1:50" ht="15.75" customHeight="1" x14ac:dyDescent="0.25">
      <c r="A1" s="886" t="s">
        <v>0</v>
      </c>
      <c r="B1" s="895"/>
      <c r="C1" s="895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</row>
    <row r="2" spans="1:50" ht="15.75" customHeight="1" x14ac:dyDescent="0.25">
      <c r="A2" s="903">
        <f>+'INFORME-1'!A8:Q8</f>
        <v>0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</row>
    <row r="3" spans="1:50" ht="9" customHeight="1" x14ac:dyDescent="0.25">
      <c r="A3" s="71"/>
      <c r="B3" s="72"/>
      <c r="C3" s="73"/>
      <c r="D3" s="73"/>
      <c r="E3" s="807"/>
      <c r="F3" s="74"/>
      <c r="G3" s="75"/>
      <c r="H3" s="75"/>
      <c r="I3" s="74"/>
      <c r="J3" s="74"/>
      <c r="K3" s="74"/>
      <c r="L3" s="74"/>
      <c r="M3" s="74"/>
      <c r="N3" s="74"/>
      <c r="O3" s="76"/>
      <c r="P3" s="76"/>
      <c r="Q3" s="69"/>
      <c r="R3" s="69"/>
    </row>
    <row r="4" spans="1:50" ht="15.6" customHeight="1" x14ac:dyDescent="0.25">
      <c r="A4" s="6" t="s">
        <v>1</v>
      </c>
      <c r="C4" s="7" t="s">
        <v>114</v>
      </c>
      <c r="D4" s="900">
        <f>+'INFORME-1'!C10</f>
        <v>0</v>
      </c>
      <c r="E4" s="895"/>
      <c r="F4" s="895"/>
      <c r="G4" s="895"/>
      <c r="H4" s="895"/>
      <c r="I4" s="895"/>
      <c r="J4" s="895"/>
      <c r="K4" s="895"/>
      <c r="L4" s="895"/>
      <c r="M4" s="895"/>
      <c r="O4" s="8" t="s">
        <v>115</v>
      </c>
      <c r="P4" s="9" t="s">
        <v>114</v>
      </c>
      <c r="Q4" s="10" t="str">
        <f>+'INFORME-1'!P10</f>
        <v>F-LEM-P-SU.37.02</v>
      </c>
      <c r="R4" s="10"/>
    </row>
    <row r="5" spans="1:50" ht="15.6" customHeight="1" x14ac:dyDescent="0.25">
      <c r="A5" s="6" t="s">
        <v>117</v>
      </c>
      <c r="C5" s="7" t="s">
        <v>114</v>
      </c>
      <c r="D5" s="900">
        <f>+'INFORME-1'!C11</f>
        <v>0</v>
      </c>
      <c r="E5" s="895"/>
      <c r="F5" s="895"/>
      <c r="G5" s="895"/>
      <c r="H5" s="895"/>
      <c r="I5" s="895"/>
      <c r="J5" s="895"/>
      <c r="K5" s="895"/>
      <c r="L5" s="895"/>
      <c r="M5" s="895"/>
      <c r="O5" s="11" t="s">
        <v>6</v>
      </c>
      <c r="P5" s="7" t="s">
        <v>114</v>
      </c>
      <c r="Q5" s="603">
        <f>+'INFORME-1'!P11</f>
        <v>0</v>
      </c>
      <c r="R5" s="169"/>
    </row>
    <row r="6" spans="1:50" ht="15.6" customHeight="1" x14ac:dyDescent="0.25">
      <c r="A6" s="6" t="s">
        <v>118</v>
      </c>
      <c r="C6" s="7" t="s">
        <v>114</v>
      </c>
      <c r="D6" s="907">
        <f>+'INFORME-1'!C12</f>
        <v>0</v>
      </c>
      <c r="E6" s="895"/>
      <c r="F6" s="895"/>
      <c r="G6" s="895"/>
      <c r="H6" s="895"/>
      <c r="I6" s="895"/>
      <c r="J6" s="895"/>
      <c r="K6" s="895"/>
      <c r="L6" s="895"/>
      <c r="M6" s="895"/>
      <c r="O6" s="11" t="s">
        <v>12</v>
      </c>
      <c r="P6" s="7" t="s">
        <v>114</v>
      </c>
      <c r="Q6" s="603">
        <f>+'INFORME-1'!P12</f>
        <v>0</v>
      </c>
      <c r="R6" s="169"/>
    </row>
    <row r="7" spans="1:50" ht="15.6" customHeight="1" x14ac:dyDescent="0.25">
      <c r="A7" s="6" t="s">
        <v>119</v>
      </c>
      <c r="C7" s="7" t="s">
        <v>114</v>
      </c>
      <c r="D7" s="907">
        <f>+'INFORME-1'!C13</f>
        <v>0</v>
      </c>
      <c r="E7" s="895"/>
      <c r="F7" s="895"/>
      <c r="G7" s="895"/>
      <c r="H7" s="895"/>
      <c r="I7" s="895"/>
      <c r="J7" s="895"/>
      <c r="K7" s="895"/>
      <c r="L7" s="895"/>
      <c r="M7" s="895"/>
      <c r="O7" s="11" t="s">
        <v>11</v>
      </c>
      <c r="P7" s="7" t="s">
        <v>114</v>
      </c>
      <c r="Q7" s="473">
        <f>+'INFORME-1'!P13</f>
        <v>0</v>
      </c>
      <c r="R7" s="170"/>
    </row>
    <row r="8" spans="1:50" ht="9" customHeight="1" thickBot="1" x14ac:dyDescent="0.3">
      <c r="A8" s="6"/>
      <c r="B8" s="7"/>
      <c r="C8" s="10"/>
      <c r="D8" s="10"/>
      <c r="E8" s="10"/>
      <c r="F8" s="10"/>
      <c r="G8" s="10"/>
      <c r="H8" s="10"/>
      <c r="I8" s="10"/>
      <c r="M8" s="11"/>
      <c r="N8" s="7"/>
      <c r="O8" s="12"/>
      <c r="P8" s="12"/>
      <c r="Q8" s="69"/>
      <c r="R8" s="69"/>
    </row>
    <row r="9" spans="1:50" ht="18" customHeight="1" thickBot="1" x14ac:dyDescent="0.3">
      <c r="A9" s="889" t="str">
        <f>+'INFORME-1'!A15</f>
        <v>Standard Test Method for California Bearing Ratio (CBR) of Laboratory-Compacted Soils</v>
      </c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20"/>
      <c r="U9" s="904" t="s">
        <v>175</v>
      </c>
      <c r="V9" s="905"/>
      <c r="W9" s="905"/>
      <c r="X9" s="905"/>
      <c r="Y9" s="905"/>
      <c r="Z9" s="905"/>
      <c r="AA9" s="905"/>
      <c r="AB9" s="905"/>
      <c r="AC9" s="905"/>
      <c r="AD9" s="906"/>
      <c r="AE9" s="904" t="s">
        <v>176</v>
      </c>
      <c r="AF9" s="905"/>
      <c r="AG9" s="905"/>
      <c r="AH9" s="905"/>
      <c r="AI9" s="905"/>
      <c r="AJ9" s="905"/>
      <c r="AK9" s="905"/>
      <c r="AL9" s="905"/>
      <c r="AM9" s="905"/>
      <c r="AN9" s="906"/>
      <c r="AO9" s="904" t="s">
        <v>177</v>
      </c>
      <c r="AP9" s="905"/>
      <c r="AQ9" s="905"/>
      <c r="AR9" s="905"/>
      <c r="AS9" s="905"/>
      <c r="AT9" s="905"/>
      <c r="AU9" s="905"/>
      <c r="AV9" s="905"/>
      <c r="AW9" s="905"/>
      <c r="AX9" s="906"/>
    </row>
    <row r="10" spans="1:50" ht="14.25" customHeight="1" x14ac:dyDescent="0.25">
      <c r="A10" s="888" t="str">
        <f>+'INFORME-1'!A16</f>
        <v>ASTM D1883-21</v>
      </c>
      <c r="B10" s="842"/>
      <c r="C10" s="842"/>
      <c r="D10" s="842"/>
      <c r="E10" s="842"/>
      <c r="F10" s="842"/>
      <c r="G10" s="842"/>
      <c r="H10" s="842"/>
      <c r="I10" s="842"/>
      <c r="J10" s="842"/>
      <c r="K10" s="842"/>
      <c r="L10" s="842"/>
      <c r="M10" s="842"/>
      <c r="N10" s="842"/>
      <c r="O10" s="842"/>
      <c r="P10" s="842"/>
      <c r="Q10" s="842"/>
      <c r="R10" s="822"/>
      <c r="U10" s="241"/>
      <c r="V10" s="242"/>
      <c r="W10" s="243"/>
      <c r="X10" s="242"/>
      <c r="Y10" s="242"/>
      <c r="Z10" s="242"/>
      <c r="AA10" s="243"/>
      <c r="AB10" s="243"/>
      <c r="AC10" s="243"/>
      <c r="AD10" s="244"/>
      <c r="AE10" s="241"/>
      <c r="AF10" s="242"/>
      <c r="AG10" s="243"/>
      <c r="AH10" s="242"/>
      <c r="AI10" s="242"/>
      <c r="AJ10" s="242"/>
      <c r="AK10" s="243"/>
      <c r="AL10" s="243"/>
      <c r="AM10" s="243"/>
      <c r="AN10" s="244"/>
      <c r="AO10" s="241"/>
      <c r="AP10" s="242"/>
      <c r="AQ10" s="243"/>
      <c r="AR10" s="242"/>
      <c r="AS10" s="242"/>
      <c r="AT10" s="242"/>
      <c r="AU10" s="243"/>
      <c r="AV10" s="243"/>
      <c r="AW10" s="243"/>
      <c r="AX10" s="244"/>
    </row>
    <row r="11" spans="1:50" ht="11.4" customHeight="1" x14ac:dyDescent="0.25">
      <c r="A11" s="78"/>
      <c r="B11" s="79"/>
      <c r="C11" s="80"/>
      <c r="D11" s="80"/>
      <c r="E11" s="80"/>
      <c r="F11" s="80"/>
      <c r="G11" s="81"/>
      <c r="H11" s="82"/>
      <c r="I11" s="83"/>
      <c r="J11" s="80"/>
      <c r="K11" s="80"/>
      <c r="L11" s="80"/>
      <c r="M11" s="80"/>
      <c r="N11" s="80"/>
      <c r="O11" s="80"/>
      <c r="P11" s="80"/>
      <c r="Q11" s="80"/>
      <c r="R11" s="84"/>
      <c r="U11" s="899" t="s">
        <v>178</v>
      </c>
      <c r="V11" s="824"/>
      <c r="W11" s="824"/>
      <c r="X11" s="818"/>
      <c r="Y11" s="217" t="s">
        <v>179</v>
      </c>
      <c r="Z11" s="25"/>
      <c r="AD11" s="77"/>
      <c r="AE11" s="899" t="s">
        <v>178</v>
      </c>
      <c r="AF11" s="824"/>
      <c r="AG11" s="824"/>
      <c r="AH11" s="818"/>
      <c r="AI11" s="217" t="s">
        <v>179</v>
      </c>
      <c r="AJ11" s="25"/>
      <c r="AN11" s="77"/>
      <c r="AO11" s="899" t="s">
        <v>178</v>
      </c>
      <c r="AP11" s="824"/>
      <c r="AQ11" s="824"/>
      <c r="AR11" s="818"/>
      <c r="AS11" s="217" t="s">
        <v>179</v>
      </c>
      <c r="AT11" s="25"/>
      <c r="AX11" s="77"/>
    </row>
    <row r="12" spans="1:50" ht="15.45" customHeight="1" x14ac:dyDescent="0.25">
      <c r="A12" s="909" t="s">
        <v>180</v>
      </c>
      <c r="B12" s="895"/>
      <c r="C12" s="895"/>
      <c r="D12" s="895"/>
      <c r="E12" s="895"/>
      <c r="F12" s="895"/>
      <c r="G12" s="895"/>
      <c r="H12" s="895"/>
      <c r="I12" s="895"/>
      <c r="J12" s="895"/>
      <c r="K12" s="895"/>
      <c r="L12" s="895"/>
      <c r="M12" s="895"/>
      <c r="N12" s="895"/>
      <c r="O12" s="895"/>
      <c r="P12" s="895"/>
      <c r="Q12" s="895"/>
      <c r="R12" s="861"/>
      <c r="U12" s="19"/>
      <c r="V12" s="25"/>
      <c r="W12" s="25"/>
      <c r="X12" s="25"/>
      <c r="Y12" s="25"/>
      <c r="Z12" s="25"/>
      <c r="AD12" s="77"/>
      <c r="AE12" s="19"/>
      <c r="AF12" s="25"/>
      <c r="AG12" s="25"/>
      <c r="AH12" s="25"/>
      <c r="AI12" s="25"/>
      <c r="AJ12" s="25"/>
      <c r="AN12" s="77"/>
      <c r="AO12" s="19"/>
      <c r="AP12" s="25"/>
      <c r="AQ12" s="25"/>
      <c r="AR12" s="25"/>
      <c r="AS12" s="25"/>
      <c r="AT12" s="25"/>
      <c r="AX12" s="77"/>
    </row>
    <row r="13" spans="1:50" s="10" customFormat="1" ht="15.45" customHeight="1" x14ac:dyDescent="0.25">
      <c r="A13" s="85"/>
      <c r="G13" s="86"/>
      <c r="H13" s="86"/>
      <c r="I13" s="87"/>
      <c r="J13" s="87"/>
      <c r="K13" s="87"/>
      <c r="L13" s="87"/>
      <c r="M13" s="87"/>
      <c r="N13" s="87"/>
      <c r="O13" s="87"/>
      <c r="P13" s="805"/>
      <c r="R13" s="88"/>
      <c r="U13" s="29" t="s">
        <v>181</v>
      </c>
      <c r="V13" s="20"/>
      <c r="X13" s="30" t="s">
        <v>182</v>
      </c>
      <c r="Y13" s="20"/>
      <c r="Z13" s="25"/>
      <c r="AA13" s="38" t="s">
        <v>183</v>
      </c>
      <c r="AB13" s="38"/>
      <c r="AD13" s="89"/>
      <c r="AE13" s="29" t="s">
        <v>181</v>
      </c>
      <c r="AF13" s="20"/>
      <c r="AH13" s="30" t="s">
        <v>182</v>
      </c>
      <c r="AI13" s="20"/>
      <c r="AJ13" s="25"/>
      <c r="AK13" s="30" t="s">
        <v>183</v>
      </c>
      <c r="AN13" s="89"/>
      <c r="AO13" s="29" t="s">
        <v>181</v>
      </c>
      <c r="AP13" s="20"/>
      <c r="AR13" s="30" t="s">
        <v>182</v>
      </c>
      <c r="AS13" s="20"/>
      <c r="AT13" s="25"/>
      <c r="AU13" s="30" t="s">
        <v>183</v>
      </c>
      <c r="AX13" s="89"/>
    </row>
    <row r="14" spans="1:50" s="10" customFormat="1" ht="15.45" customHeight="1" x14ac:dyDescent="0.2">
      <c r="A14" s="90"/>
      <c r="B14" s="807"/>
      <c r="C14" s="807"/>
      <c r="D14" s="807"/>
      <c r="E14" s="86"/>
      <c r="F14" s="86"/>
      <c r="G14" s="86"/>
      <c r="I14" s="807"/>
      <c r="J14" s="807"/>
      <c r="K14" s="807"/>
      <c r="L14" s="86"/>
      <c r="M14" s="86"/>
      <c r="N14" s="86"/>
      <c r="R14" s="91"/>
      <c r="U14" s="806" t="s">
        <v>184</v>
      </c>
      <c r="V14" s="24" t="s">
        <v>185</v>
      </c>
      <c r="X14" s="27" t="s">
        <v>186</v>
      </c>
      <c r="Y14" s="33">
        <f>(V17-V15)/(U17-U15)</f>
        <v>0</v>
      </c>
      <c r="AA14" s="24" t="s">
        <v>187</v>
      </c>
      <c r="AB14" s="24" t="s">
        <v>188</v>
      </c>
      <c r="AD14" s="89"/>
      <c r="AE14" s="806" t="s">
        <v>184</v>
      </c>
      <c r="AF14" s="24" t="s">
        <v>185</v>
      </c>
      <c r="AH14" s="27" t="s">
        <v>186</v>
      </c>
      <c r="AI14" s="33">
        <f>(AF17-AF15)/(AE17-AE15)</f>
        <v>0</v>
      </c>
      <c r="AK14" s="24" t="s">
        <v>187</v>
      </c>
      <c r="AL14" s="24" t="s">
        <v>188</v>
      </c>
      <c r="AN14" s="89"/>
      <c r="AO14" s="806" t="s">
        <v>184</v>
      </c>
      <c r="AP14" s="24" t="s">
        <v>185</v>
      </c>
      <c r="AR14" s="27" t="s">
        <v>186</v>
      </c>
      <c r="AS14" s="33">
        <f>(AP17-AP15)/(AO17-AO15)</f>
        <v>0</v>
      </c>
      <c r="AU14" s="24" t="s">
        <v>187</v>
      </c>
      <c r="AV14" s="24" t="s">
        <v>188</v>
      </c>
      <c r="AX14" s="89"/>
    </row>
    <row r="15" spans="1:50" s="10" customFormat="1" ht="15.45" customHeight="1" x14ac:dyDescent="0.2">
      <c r="A15" s="90"/>
      <c r="B15" s="807"/>
      <c r="C15" s="807"/>
      <c r="D15" s="807"/>
      <c r="E15" s="86"/>
      <c r="F15" s="86"/>
      <c r="G15" s="86"/>
      <c r="I15" s="807"/>
      <c r="J15" s="807"/>
      <c r="K15" s="807"/>
      <c r="L15" s="92"/>
      <c r="M15" s="92"/>
      <c r="N15" s="92"/>
      <c r="R15" s="91"/>
      <c r="U15" s="215">
        <f>+DATOS!A49</f>
        <v>0.125</v>
      </c>
      <c r="V15" s="216">
        <f>+DATOS!G49</f>
        <v>0.78855422374304684</v>
      </c>
      <c r="X15" s="27" t="s">
        <v>189</v>
      </c>
      <c r="Y15" s="24">
        <v>0</v>
      </c>
      <c r="AA15" s="24">
        <f>IF(Y11="SI",U17,0)</f>
        <v>0</v>
      </c>
      <c r="AB15" s="33">
        <f>IF(Y11="SI",V17,0)</f>
        <v>0</v>
      </c>
      <c r="AD15" s="89"/>
      <c r="AE15" s="215">
        <f>+DATOS!A49</f>
        <v>0.125</v>
      </c>
      <c r="AF15" s="216">
        <f>+DATOS!K49</f>
        <v>0.78855422374304684</v>
      </c>
      <c r="AH15" s="27" t="s">
        <v>189</v>
      </c>
      <c r="AI15" s="24">
        <v>0</v>
      </c>
      <c r="AK15" s="24">
        <f>IF(AI11="SI",AE17,0)</f>
        <v>0</v>
      </c>
      <c r="AL15" s="33">
        <f>IF(AI11="SI",AF17,0)</f>
        <v>0</v>
      </c>
      <c r="AN15" s="89"/>
      <c r="AO15" s="215">
        <f>+DATOS!A48</f>
        <v>0.1</v>
      </c>
      <c r="AP15" s="216">
        <f>+DATOS!O48</f>
        <v>0.78855422374304684</v>
      </c>
      <c r="AR15" s="27" t="s">
        <v>189</v>
      </c>
      <c r="AS15" s="24">
        <v>0</v>
      </c>
      <c r="AU15" s="24">
        <f>IF(AS11="SI",AO17,0)</f>
        <v>0</v>
      </c>
      <c r="AV15" s="33">
        <f>IF(AS11="SI",AP17,0)</f>
        <v>0</v>
      </c>
      <c r="AX15" s="89"/>
    </row>
    <row r="16" spans="1:50" s="10" customFormat="1" ht="15.45" customHeight="1" x14ac:dyDescent="0.2">
      <c r="A16" s="90"/>
      <c r="B16" s="807"/>
      <c r="C16" s="807"/>
      <c r="D16" s="807"/>
      <c r="E16" s="93"/>
      <c r="F16" s="86"/>
      <c r="G16" s="86"/>
      <c r="I16" s="807"/>
      <c r="J16" s="807"/>
      <c r="K16" s="807"/>
      <c r="L16" s="92"/>
      <c r="M16" s="92"/>
      <c r="N16" s="92"/>
      <c r="R16" s="91"/>
      <c r="U16" s="806" t="s">
        <v>190</v>
      </c>
      <c r="V16" s="24" t="s">
        <v>191</v>
      </c>
      <c r="W16" s="20"/>
      <c r="X16" s="27" t="s">
        <v>192</v>
      </c>
      <c r="Y16" s="28" t="e">
        <f>(Y15-V15)/Y14+U15</f>
        <v>#DIV/0!</v>
      </c>
      <c r="Z16" s="10" t="s">
        <v>193</v>
      </c>
      <c r="AA16" s="28">
        <f>IF(Y11="SI",Y16,0)</f>
        <v>0</v>
      </c>
      <c r="AB16" s="24">
        <f>+Y15</f>
        <v>0</v>
      </c>
      <c r="AD16" s="89"/>
      <c r="AE16" s="806" t="s">
        <v>190</v>
      </c>
      <c r="AF16" s="24" t="s">
        <v>191</v>
      </c>
      <c r="AG16" s="20"/>
      <c r="AH16" s="27" t="s">
        <v>192</v>
      </c>
      <c r="AI16" s="28" t="e">
        <f>(AI15-AF15)/AI14+AE15</f>
        <v>#DIV/0!</v>
      </c>
      <c r="AK16" s="28">
        <f>IF(AI11="SI",AI16,0)</f>
        <v>0</v>
      </c>
      <c r="AL16" s="24">
        <f>+AI15</f>
        <v>0</v>
      </c>
      <c r="AN16" s="89"/>
      <c r="AO16" s="806" t="s">
        <v>190</v>
      </c>
      <c r="AP16" s="24" t="s">
        <v>191</v>
      </c>
      <c r="AQ16" s="20"/>
      <c r="AR16" s="27" t="s">
        <v>192</v>
      </c>
      <c r="AS16" s="28" t="e">
        <f>(AS15-AP15)/AS14+AO15</f>
        <v>#DIV/0!</v>
      </c>
      <c r="AU16" s="28">
        <f>IF(AS11="SI",AS16,0)</f>
        <v>0</v>
      </c>
      <c r="AV16" s="24">
        <f>+AS15</f>
        <v>0</v>
      </c>
      <c r="AX16" s="89"/>
    </row>
    <row r="17" spans="1:50" s="10" customFormat="1" ht="15.45" customHeight="1" x14ac:dyDescent="0.2">
      <c r="A17" s="90"/>
      <c r="B17" s="807"/>
      <c r="C17" s="807"/>
      <c r="D17" s="807"/>
      <c r="E17" s="86"/>
      <c r="F17" s="86"/>
      <c r="G17" s="86"/>
      <c r="I17" s="807"/>
      <c r="J17" s="807"/>
      <c r="K17" s="807"/>
      <c r="L17" s="92"/>
      <c r="M17" s="92"/>
      <c r="N17" s="92"/>
      <c r="R17" s="91"/>
      <c r="U17" s="215">
        <f>+DATOS!A52</f>
        <v>0.2</v>
      </c>
      <c r="V17" s="216">
        <f>+DATOS!G52</f>
        <v>0.78855422374304684</v>
      </c>
      <c r="Z17" s="37"/>
      <c r="AD17" s="89"/>
      <c r="AE17" s="215">
        <f>+DATOS!A52</f>
        <v>0.2</v>
      </c>
      <c r="AF17" s="216">
        <f>+DATOS!K52</f>
        <v>0.78855422374304684</v>
      </c>
      <c r="AJ17" s="37"/>
      <c r="AN17" s="89"/>
      <c r="AO17" s="215">
        <f>+DATOS!A52</f>
        <v>0.2</v>
      </c>
      <c r="AP17" s="216">
        <f>+DATOS!O52</f>
        <v>0.78855422374304684</v>
      </c>
      <c r="AT17" s="37"/>
      <c r="AX17" s="89"/>
    </row>
    <row r="18" spans="1:50" s="10" customFormat="1" ht="15.45" customHeight="1" x14ac:dyDescent="0.2">
      <c r="A18" s="90"/>
      <c r="B18" s="807"/>
      <c r="C18" s="807"/>
      <c r="D18" s="807"/>
      <c r="E18" s="86"/>
      <c r="F18" s="86"/>
      <c r="G18" s="86"/>
      <c r="I18" s="807"/>
      <c r="J18" s="807"/>
      <c r="K18" s="807"/>
      <c r="L18" s="92"/>
      <c r="M18" s="92"/>
      <c r="N18" s="92"/>
      <c r="R18" s="91"/>
      <c r="U18" s="19"/>
      <c r="V18" s="25"/>
      <c r="X18" s="25"/>
      <c r="Y18" s="25"/>
      <c r="Z18" s="25"/>
      <c r="AD18" s="89"/>
      <c r="AE18" s="19"/>
      <c r="AF18" s="25"/>
      <c r="AH18" s="25"/>
      <c r="AI18" s="25"/>
      <c r="AJ18" s="25"/>
      <c r="AN18" s="89"/>
      <c r="AO18" s="19"/>
      <c r="AP18" s="25"/>
      <c r="AR18" s="25"/>
      <c r="AS18" s="25"/>
      <c r="AT18" s="25"/>
      <c r="AX18" s="89"/>
    </row>
    <row r="19" spans="1:50" s="10" customFormat="1" ht="15.45" customHeight="1" x14ac:dyDescent="0.25">
      <c r="A19" s="90"/>
      <c r="B19" s="807"/>
      <c r="C19" s="807"/>
      <c r="D19" s="807"/>
      <c r="E19" s="86"/>
      <c r="F19" s="86"/>
      <c r="G19" s="86"/>
      <c r="I19" s="807"/>
      <c r="J19" s="807"/>
      <c r="K19" s="807"/>
      <c r="L19" s="92"/>
      <c r="M19" s="92"/>
      <c r="N19" s="92"/>
      <c r="R19" s="91"/>
      <c r="U19" s="19"/>
      <c r="V19" s="26" t="s">
        <v>194</v>
      </c>
      <c r="X19" s="25"/>
      <c r="Y19" s="25"/>
      <c r="Z19" s="25"/>
      <c r="AD19" s="89"/>
      <c r="AE19" s="19"/>
      <c r="AF19" s="26" t="s">
        <v>194</v>
      </c>
      <c r="AH19" s="25"/>
      <c r="AI19" s="25"/>
      <c r="AJ19" s="25"/>
      <c r="AN19" s="89"/>
      <c r="AO19" s="19"/>
      <c r="AP19" s="26" t="s">
        <v>194</v>
      </c>
      <c r="AR19" s="25"/>
      <c r="AS19" s="25"/>
      <c r="AT19" s="25"/>
      <c r="AX19" s="89"/>
    </row>
    <row r="20" spans="1:50" s="10" customFormat="1" ht="15.45" customHeight="1" x14ac:dyDescent="0.2">
      <c r="A20" s="90"/>
      <c r="B20" s="807"/>
      <c r="C20" s="807"/>
      <c r="D20" s="807"/>
      <c r="E20" s="86"/>
      <c r="F20" s="86"/>
      <c r="G20" s="86"/>
      <c r="I20" s="807"/>
      <c r="J20" s="807"/>
      <c r="K20" s="807"/>
      <c r="L20" s="94"/>
      <c r="M20" s="94"/>
      <c r="N20" s="94"/>
      <c r="R20" s="91"/>
      <c r="U20" s="806" t="s">
        <v>195</v>
      </c>
      <c r="V20" s="233" t="s">
        <v>196</v>
      </c>
      <c r="W20" s="233" t="s">
        <v>197</v>
      </c>
      <c r="X20" s="233" t="s">
        <v>198</v>
      </c>
      <c r="Y20" s="233" t="s">
        <v>199</v>
      </c>
      <c r="Z20" s="233" t="s">
        <v>200</v>
      </c>
      <c r="AD20" s="89"/>
      <c r="AE20" s="806" t="s">
        <v>195</v>
      </c>
      <c r="AF20" s="233" t="s">
        <v>196</v>
      </c>
      <c r="AG20" s="233" t="s">
        <v>197</v>
      </c>
      <c r="AH20" s="233" t="s">
        <v>198</v>
      </c>
      <c r="AI20" s="233" t="s">
        <v>199</v>
      </c>
      <c r="AJ20" s="233" t="s">
        <v>200</v>
      </c>
      <c r="AN20" s="89"/>
      <c r="AO20" s="806" t="s">
        <v>195</v>
      </c>
      <c r="AP20" s="233" t="s">
        <v>196</v>
      </c>
      <c r="AQ20" s="233" t="s">
        <v>197</v>
      </c>
      <c r="AR20" s="233" t="s">
        <v>198</v>
      </c>
      <c r="AS20" s="233" t="s">
        <v>199</v>
      </c>
      <c r="AT20" s="233" t="s">
        <v>200</v>
      </c>
      <c r="AX20" s="89"/>
    </row>
    <row r="21" spans="1:50" s="10" customFormat="1" ht="15.45" customHeight="1" x14ac:dyDescent="0.2">
      <c r="A21" s="90"/>
      <c r="B21" s="807"/>
      <c r="C21" s="807"/>
      <c r="D21" s="807"/>
      <c r="E21" s="95"/>
      <c r="F21" s="95"/>
      <c r="G21" s="95"/>
      <c r="I21" s="807"/>
      <c r="J21" s="807"/>
      <c r="K21" s="807"/>
      <c r="L21" s="96"/>
      <c r="M21" s="96"/>
      <c r="N21" s="96"/>
      <c r="R21" s="91"/>
      <c r="U21" s="301"/>
      <c r="V21" s="302">
        <v>0</v>
      </c>
      <c r="W21" s="303">
        <f>+AB45</f>
        <v>75.335239151102542</v>
      </c>
      <c r="X21" s="303">
        <f>+AB44</f>
        <v>-51.590400340557608</v>
      </c>
      <c r="Y21" s="304">
        <f>+AB43</f>
        <v>9.9706039718627153</v>
      </c>
      <c r="Z21" s="306">
        <f>+AB42</f>
        <v>0.27517333231365804</v>
      </c>
      <c r="AD21" s="89"/>
      <c r="AE21" s="301"/>
      <c r="AF21" s="302">
        <v>0</v>
      </c>
      <c r="AG21" s="303">
        <f>+AL45</f>
        <v>75.335239151102542</v>
      </c>
      <c r="AH21" s="306">
        <f>+AL44</f>
        <v>-51.590400340557608</v>
      </c>
      <c r="AI21" s="304">
        <f>+AL43</f>
        <v>9.9706039718627153</v>
      </c>
      <c r="AJ21" s="305">
        <f>+AL42</f>
        <v>0.27517333231365804</v>
      </c>
      <c r="AN21" s="89"/>
      <c r="AO21" s="301"/>
      <c r="AP21" s="302">
        <v>0</v>
      </c>
      <c r="AQ21" s="303">
        <f>+AV45</f>
        <v>75.335239151102542</v>
      </c>
      <c r="AR21" s="303">
        <f>+AV44</f>
        <v>-51.590400340557608</v>
      </c>
      <c r="AS21" s="304">
        <f>+AV43</f>
        <v>9.9706039718627153</v>
      </c>
      <c r="AT21" s="305">
        <f>+AV42</f>
        <v>0.27517333231365804</v>
      </c>
      <c r="AX21" s="89"/>
    </row>
    <row r="22" spans="1:50" s="10" customFormat="1" ht="15.45" customHeight="1" x14ac:dyDescent="0.2">
      <c r="A22" s="97"/>
      <c r="R22" s="91"/>
      <c r="U22" s="98"/>
      <c r="Z22" s="20"/>
      <c r="AD22" s="89"/>
      <c r="AE22" s="98"/>
      <c r="AJ22" s="20"/>
      <c r="AN22" s="89"/>
      <c r="AO22" s="98"/>
      <c r="AT22" s="20"/>
      <c r="AX22" s="89"/>
    </row>
    <row r="23" spans="1:50" s="10" customFormat="1" ht="15.45" customHeight="1" x14ac:dyDescent="0.2">
      <c r="A23" s="99"/>
      <c r="B23" s="9"/>
      <c r="C23" s="9"/>
      <c r="D23" s="9"/>
      <c r="E23" s="9"/>
      <c r="F23" s="9"/>
      <c r="G23" s="9"/>
      <c r="H23" s="9"/>
      <c r="I23" s="9"/>
      <c r="R23" s="91"/>
      <c r="U23" s="98"/>
      <c r="W23" s="20"/>
      <c r="X23" s="20"/>
      <c r="Y23" s="31" t="s">
        <v>201</v>
      </c>
      <c r="Z23" s="31" t="s">
        <v>202</v>
      </c>
      <c r="AD23" s="89"/>
      <c r="AE23" s="98"/>
      <c r="AG23" s="20"/>
      <c r="AH23" s="20"/>
      <c r="AI23" s="31" t="s">
        <v>201</v>
      </c>
      <c r="AJ23" s="31" t="s">
        <v>202</v>
      </c>
      <c r="AN23" s="89"/>
      <c r="AO23" s="98"/>
      <c r="AQ23" s="20"/>
      <c r="AR23" s="20"/>
      <c r="AS23" s="31" t="s">
        <v>201</v>
      </c>
      <c r="AT23" s="31" t="s">
        <v>202</v>
      </c>
      <c r="AX23" s="89"/>
    </row>
    <row r="24" spans="1:50" s="10" customFormat="1" ht="15.45" customHeight="1" x14ac:dyDescent="0.2">
      <c r="A24" s="100"/>
      <c r="B24" s="101"/>
      <c r="C24" s="101"/>
      <c r="D24" s="101"/>
      <c r="E24" s="101"/>
      <c r="F24" s="102"/>
      <c r="G24" s="102"/>
      <c r="H24" s="101"/>
      <c r="I24" s="101"/>
      <c r="R24" s="91"/>
      <c r="U24" s="98"/>
      <c r="W24" s="34" t="s">
        <v>203</v>
      </c>
      <c r="X24" s="35"/>
      <c r="Y24" s="32">
        <f>IF(Y11="SI",0.1+Y16,0.1)</f>
        <v>0.1</v>
      </c>
      <c r="Z24" s="33">
        <f>$U$21*Y24^5+$V$21*Y24^4+$W$21*Y24^3+$X$21*Y24^2+$Y$21*Y24+$Z$21</f>
        <v>0.83166496524545597</v>
      </c>
      <c r="AD24" s="89"/>
      <c r="AE24" s="98"/>
      <c r="AG24" s="34" t="s">
        <v>203</v>
      </c>
      <c r="AH24" s="35"/>
      <c r="AI24" s="32">
        <f>IF(AI11="SI",0.1+AI16,0.1)</f>
        <v>0.1</v>
      </c>
      <c r="AJ24" s="33">
        <f>$AE$21*AI24^5+$AF$21*AI24^4+$AG$21*AI24^3+$AH$21*AI24^2+$AI$21*AI24+$AJ$21</f>
        <v>0.83166496524545597</v>
      </c>
      <c r="AN24" s="89"/>
      <c r="AO24" s="98"/>
      <c r="AQ24" s="34" t="s">
        <v>203</v>
      </c>
      <c r="AR24" s="35"/>
      <c r="AS24" s="32">
        <f>IF(AS11="SI",0.1+AS16,0.1)</f>
        <v>0.1</v>
      </c>
      <c r="AT24" s="33">
        <f>$AO$21*AS24^5+$AP$21*AS24^4+$AQ$21*AS24^3+$AR$21*AS24^2+$AS$21*AS24+$AT$21</f>
        <v>0.83166496524545597</v>
      </c>
      <c r="AX24" s="89"/>
    </row>
    <row r="25" spans="1:50" s="10" customFormat="1" ht="15.45" customHeight="1" x14ac:dyDescent="0.2">
      <c r="A25" s="100"/>
      <c r="B25" s="101"/>
      <c r="C25" s="101"/>
      <c r="D25" s="101"/>
      <c r="E25" s="101"/>
      <c r="F25" s="101"/>
      <c r="G25" s="101"/>
      <c r="H25" s="101"/>
      <c r="I25" s="101"/>
      <c r="K25" s="70"/>
      <c r="L25" s="805"/>
      <c r="M25" s="805"/>
      <c r="N25" s="805"/>
      <c r="R25" s="91"/>
      <c r="U25" s="98"/>
      <c r="W25" s="34" t="s">
        <v>204</v>
      </c>
      <c r="X25" s="36"/>
      <c r="Y25" s="32">
        <f>IF(Y11="SI",0.2+Y16,0.2)</f>
        <v>0.2</v>
      </c>
      <c r="Z25" s="33">
        <f>$U$21*Y25^5+$V$21*Y25^4+$W$21*Y25^3+$X$21*Y25^2+$Y$21*Y25+$Z$21</f>
        <v>0.80836002627271708</v>
      </c>
      <c r="AD25" s="89"/>
      <c r="AE25" s="98"/>
      <c r="AG25" s="34" t="s">
        <v>204</v>
      </c>
      <c r="AH25" s="36"/>
      <c r="AI25" s="32">
        <f>IF(AI11="SI",0.2+AI16,0.2)</f>
        <v>0.2</v>
      </c>
      <c r="AJ25" s="33">
        <f>$AE$21*AI25^5+$AF$21*AI25^4+$AG$21*AI25^3+$AH$21*AI25^2+$AI$21*AI25+$AJ$21</f>
        <v>0.80836002627271708</v>
      </c>
      <c r="AN25" s="89"/>
      <c r="AO25" s="98"/>
      <c r="AQ25" s="34" t="s">
        <v>204</v>
      </c>
      <c r="AR25" s="36"/>
      <c r="AS25" s="32">
        <f>IF(AS11="SI",0.2+AS16,0.2)</f>
        <v>0.2</v>
      </c>
      <c r="AT25" s="33">
        <f>$AO$21*AS25^5+$AP$21*AS25^4+$AQ$21*AS25^3+$AR$21*AS25^2+$AS$21*AS25+$AT$21</f>
        <v>0.80836002627271708</v>
      </c>
      <c r="AX25" s="89"/>
    </row>
    <row r="26" spans="1:50" s="10" customFormat="1" ht="15.45" customHeight="1" thickBot="1" x14ac:dyDescent="0.25">
      <c r="A26" s="100"/>
      <c r="B26" s="101"/>
      <c r="C26" s="101"/>
      <c r="D26" s="101"/>
      <c r="E26" s="101"/>
      <c r="F26" s="101"/>
      <c r="G26" s="101"/>
      <c r="H26" s="101"/>
      <c r="I26" s="101"/>
      <c r="K26" s="805"/>
      <c r="L26" s="805"/>
      <c r="M26" s="805"/>
      <c r="N26" s="805"/>
      <c r="R26" s="91"/>
      <c r="U26" s="245"/>
      <c r="V26" s="246"/>
      <c r="W26" s="246"/>
      <c r="X26" s="246"/>
      <c r="Y26" s="246"/>
      <c r="Z26" s="247"/>
      <c r="AA26" s="246"/>
      <c r="AB26" s="246"/>
      <c r="AC26" s="246"/>
      <c r="AD26" s="248"/>
      <c r="AE26" s="245"/>
      <c r="AF26" s="246"/>
      <c r="AG26" s="246"/>
      <c r="AH26" s="246"/>
      <c r="AI26" s="246"/>
      <c r="AJ26" s="247"/>
      <c r="AK26" s="246"/>
      <c r="AL26" s="246"/>
      <c r="AM26" s="246"/>
      <c r="AN26" s="248"/>
      <c r="AO26" s="245"/>
      <c r="AP26" s="246"/>
      <c r="AQ26" s="246"/>
      <c r="AR26" s="246"/>
      <c r="AS26" s="246"/>
      <c r="AT26" s="247"/>
      <c r="AU26" s="246"/>
      <c r="AV26" s="246"/>
      <c r="AW26" s="246"/>
      <c r="AX26" s="248"/>
    </row>
    <row r="27" spans="1:50" s="10" customFormat="1" ht="15.45" customHeight="1" x14ac:dyDescent="0.25">
      <c r="A27" s="103"/>
      <c r="B27" s="86"/>
      <c r="C27" s="104"/>
      <c r="D27" s="104"/>
      <c r="E27" s="104"/>
      <c r="F27" s="104"/>
      <c r="G27" s="104"/>
      <c r="H27" s="86"/>
      <c r="I27" s="104"/>
      <c r="K27" s="105"/>
      <c r="L27" s="105"/>
      <c r="M27" s="105"/>
      <c r="N27" s="105"/>
      <c r="R27" s="91"/>
      <c r="U27" s="896" t="s">
        <v>205</v>
      </c>
      <c r="V27" s="901" t="s">
        <v>206</v>
      </c>
      <c r="W27" s="243"/>
      <c r="X27" s="243"/>
      <c r="Y27" s="243"/>
      <c r="Z27" s="243"/>
      <c r="AA27" s="287"/>
      <c r="AB27" s="287"/>
      <c r="AC27" s="288"/>
      <c r="AD27" s="289"/>
      <c r="AE27" s="896" t="s">
        <v>205</v>
      </c>
      <c r="AF27" s="901" t="s">
        <v>206</v>
      </c>
      <c r="AG27" s="243"/>
      <c r="AH27" s="243"/>
      <c r="AI27" s="243"/>
      <c r="AJ27" s="243"/>
      <c r="AK27" s="287"/>
      <c r="AL27" s="287"/>
      <c r="AM27" s="288"/>
      <c r="AN27" s="289"/>
      <c r="AO27" s="896" t="s">
        <v>205</v>
      </c>
      <c r="AP27" s="901" t="s">
        <v>206</v>
      </c>
      <c r="AQ27" s="243"/>
      <c r="AR27" s="243"/>
      <c r="AS27" s="243"/>
      <c r="AT27" s="243"/>
      <c r="AU27" s="287"/>
      <c r="AV27" s="287"/>
      <c r="AW27" s="288"/>
      <c r="AX27" s="289"/>
    </row>
    <row r="28" spans="1:50" s="10" customFormat="1" ht="18" customHeight="1" x14ac:dyDescent="0.25">
      <c r="A28" s="167" t="s">
        <v>207</v>
      </c>
      <c r="B28" s="95"/>
      <c r="C28" s="95"/>
      <c r="D28" s="95"/>
      <c r="E28" s="104">
        <f>+W55</f>
        <v>8.3166496524545608E-2</v>
      </c>
      <c r="F28" s="95"/>
      <c r="G28" s="104"/>
      <c r="I28" s="168" t="s">
        <v>208</v>
      </c>
      <c r="L28" s="104">
        <f>+Z55</f>
        <v>8.3166496524545608E-2</v>
      </c>
      <c r="N28" s="168" t="s">
        <v>209</v>
      </c>
      <c r="O28" s="95"/>
      <c r="Q28" s="104">
        <f>+AC55</f>
        <v>8.3166496524545608E-2</v>
      </c>
      <c r="R28" s="91"/>
      <c r="S28" s="10" t="s">
        <v>210</v>
      </c>
      <c r="U28" s="897"/>
      <c r="V28" s="902"/>
      <c r="W28" s="237" t="s">
        <v>211</v>
      </c>
      <c r="X28" s="237" t="s">
        <v>212</v>
      </c>
      <c r="Y28" s="237" t="s">
        <v>213</v>
      </c>
      <c r="Z28" s="237" t="s">
        <v>214</v>
      </c>
      <c r="AA28" s="237" t="s">
        <v>215</v>
      </c>
      <c r="AB28" s="237" t="s">
        <v>216</v>
      </c>
      <c r="AC28" s="237" t="s">
        <v>217</v>
      </c>
      <c r="AD28" s="290" t="s">
        <v>218</v>
      </c>
      <c r="AE28" s="897"/>
      <c r="AF28" s="902"/>
      <c r="AG28" s="237" t="s">
        <v>211</v>
      </c>
      <c r="AH28" s="237" t="s">
        <v>212</v>
      </c>
      <c r="AI28" s="237" t="s">
        <v>213</v>
      </c>
      <c r="AJ28" s="237" t="s">
        <v>214</v>
      </c>
      <c r="AK28" s="237" t="s">
        <v>215</v>
      </c>
      <c r="AL28" s="237" t="s">
        <v>216</v>
      </c>
      <c r="AM28" s="237" t="s">
        <v>217</v>
      </c>
      <c r="AN28" s="290" t="s">
        <v>218</v>
      </c>
      <c r="AO28" s="897"/>
      <c r="AP28" s="902"/>
      <c r="AQ28" s="237" t="s">
        <v>211</v>
      </c>
      <c r="AR28" s="237" t="s">
        <v>212</v>
      </c>
      <c r="AS28" s="237" t="s">
        <v>213</v>
      </c>
      <c r="AT28" s="237" t="s">
        <v>214</v>
      </c>
      <c r="AU28" s="237" t="s">
        <v>215</v>
      </c>
      <c r="AV28" s="237" t="s">
        <v>216</v>
      </c>
      <c r="AW28" s="237" t="s">
        <v>217</v>
      </c>
      <c r="AX28" s="290" t="s">
        <v>218</v>
      </c>
    </row>
    <row r="29" spans="1:50" s="10" customFormat="1" ht="15.45" customHeight="1" x14ac:dyDescent="0.25">
      <c r="A29" s="167" t="s">
        <v>219</v>
      </c>
      <c r="B29" s="95"/>
      <c r="C29" s="95"/>
      <c r="D29" s="95"/>
      <c r="E29" s="104">
        <f>+W56</f>
        <v>5.3890668418181138E-2</v>
      </c>
      <c r="F29" s="95"/>
      <c r="G29" s="104"/>
      <c r="I29" s="168" t="s">
        <v>220</v>
      </c>
      <c r="L29" s="104">
        <f>+Z56</f>
        <v>5.3890668418181138E-2</v>
      </c>
      <c r="N29" s="168" t="s">
        <v>221</v>
      </c>
      <c r="O29" s="95"/>
      <c r="Q29" s="104">
        <f>+AC56</f>
        <v>5.3890668418181138E-2</v>
      </c>
      <c r="R29" s="91"/>
      <c r="S29" s="10" t="s">
        <v>210</v>
      </c>
      <c r="U29" s="106">
        <f>IF(Y11="SI",Y16,0)</f>
        <v>0</v>
      </c>
      <c r="V29" s="107">
        <f>+Y15</f>
        <v>0</v>
      </c>
      <c r="W29" s="239">
        <f t="shared" ref="W29:W39" si="0">IF(U29="","",U29^2)</f>
        <v>0</v>
      </c>
      <c r="X29" s="239">
        <f t="shared" ref="X29:X39" si="1">IF(U29="","",U29^3)</f>
        <v>0</v>
      </c>
      <c r="Y29" s="239">
        <f t="shared" ref="Y29:Y39" si="2">IF(U29="","",U29^4)</f>
        <v>0</v>
      </c>
      <c r="Z29" s="239">
        <f t="shared" ref="Z29:Z39" si="3">IF(U29="","",U29^5)</f>
        <v>0</v>
      </c>
      <c r="AA29" s="239">
        <f t="shared" ref="AA29:AA39" si="4">IF(U29="","",U29^6)</f>
        <v>0</v>
      </c>
      <c r="AB29" s="239">
        <f t="shared" ref="AB29:AB39" si="5">IF(U29="","",U29*V29)</f>
        <v>0</v>
      </c>
      <c r="AC29" s="239">
        <f t="shared" ref="AC29:AC39" si="6">IF(U29="","",U29^2*V29)</f>
        <v>0</v>
      </c>
      <c r="AD29" s="291">
        <f t="shared" ref="AD29:AD39" si="7">IF(U29="","",U29^3*V29)</f>
        <v>0</v>
      </c>
      <c r="AE29" s="106">
        <f>IF(AI11="SI",AI16,0)</f>
        <v>0</v>
      </c>
      <c r="AF29" s="107">
        <f>+AI15</f>
        <v>0</v>
      </c>
      <c r="AG29" s="239">
        <f t="shared" ref="AG29:AG39" si="8">IF(AE29="","",AE29^2)</f>
        <v>0</v>
      </c>
      <c r="AH29" s="239">
        <f t="shared" ref="AH29:AH39" si="9">IF(AE29="","",AE29^3)</f>
        <v>0</v>
      </c>
      <c r="AI29" s="239">
        <f t="shared" ref="AI29:AI39" si="10">IF(AE29="","",AE29^4)</f>
        <v>0</v>
      </c>
      <c r="AJ29" s="239">
        <f t="shared" ref="AJ29:AJ39" si="11">IF(AE29="","",AE29^5)</f>
        <v>0</v>
      </c>
      <c r="AK29" s="239">
        <f t="shared" ref="AK29:AK39" si="12">IF(AE29="","",AE29^6)</f>
        <v>0</v>
      </c>
      <c r="AL29" s="239">
        <f t="shared" ref="AL29:AL39" si="13">IF(AE29="","",AE29*AF29)</f>
        <v>0</v>
      </c>
      <c r="AM29" s="239">
        <f t="shared" ref="AM29:AM39" si="14">IF(AE29="","",AE29^2*AF29)</f>
        <v>0</v>
      </c>
      <c r="AN29" s="291">
        <f t="shared" ref="AN29:AN39" si="15">IF(AE29="","",AE29^3*AF29)</f>
        <v>0</v>
      </c>
      <c r="AO29" s="106">
        <f>IF(AS11="SI",AS16,0)</f>
        <v>0</v>
      </c>
      <c r="AP29" s="107">
        <f>+AS15</f>
        <v>0</v>
      </c>
      <c r="AQ29" s="239">
        <f t="shared" ref="AQ29:AQ39" si="16">IF(AO29="","",AO29^2)</f>
        <v>0</v>
      </c>
      <c r="AR29" s="239">
        <f t="shared" ref="AR29:AR39" si="17">IF(AO29="","",AO29^3)</f>
        <v>0</v>
      </c>
      <c r="AS29" s="239">
        <f t="shared" ref="AS29:AS39" si="18">IF(AO29="","",AO29^4)</f>
        <v>0</v>
      </c>
      <c r="AT29" s="239">
        <f t="shared" ref="AT29:AT39" si="19">IF(AO29="","",AO29^5)</f>
        <v>0</v>
      </c>
      <c r="AU29" s="239">
        <f t="shared" ref="AU29:AU39" si="20">IF(AO29="","",AO29^6)</f>
        <v>0</v>
      </c>
      <c r="AV29" s="239">
        <f t="shared" ref="AV29:AV39" si="21">IF(AO29="","",AO29*AP29)</f>
        <v>0</v>
      </c>
      <c r="AW29" s="239">
        <f t="shared" ref="AW29:AW39" si="22">IF(AO29="","",AO29^2*AP29)</f>
        <v>0</v>
      </c>
      <c r="AX29" s="291">
        <f t="shared" ref="AX29:AX39" si="23">IF(AO29="","",AO29^3*AP29)</f>
        <v>0</v>
      </c>
    </row>
    <row r="30" spans="1:50" ht="15.45" customHeight="1" x14ac:dyDescent="0.25">
      <c r="A30" s="167" t="s">
        <v>222</v>
      </c>
      <c r="B30" s="95"/>
      <c r="C30" s="95"/>
      <c r="D30" s="95"/>
      <c r="E30" s="92" t="e">
        <f>+DATOS!E24</f>
        <v>#N/A</v>
      </c>
      <c r="F30" s="95"/>
      <c r="G30" s="104"/>
      <c r="I30" s="168" t="s">
        <v>222</v>
      </c>
      <c r="J30" s="10"/>
      <c r="L30" s="92" t="e">
        <f>+DATOS!I24</f>
        <v>#N/A</v>
      </c>
      <c r="N30" s="168" t="s">
        <v>222</v>
      </c>
      <c r="O30" s="95"/>
      <c r="Q30" s="92" t="e">
        <f>+DATOS!M24</f>
        <v>#N/A</v>
      </c>
      <c r="R30" s="91"/>
      <c r="S30" s="10" t="s">
        <v>223</v>
      </c>
      <c r="U30" s="218">
        <f>+DATOS!A45</f>
        <v>2.5000000000000001E-2</v>
      </c>
      <c r="V30" s="219">
        <f>+DATOS!G45</f>
        <v>0.78855422374304684</v>
      </c>
      <c r="W30" s="239">
        <f t="shared" si="0"/>
        <v>6.2500000000000012E-4</v>
      </c>
      <c r="X30" s="239">
        <f t="shared" si="1"/>
        <v>1.5625000000000004E-5</v>
      </c>
      <c r="Y30" s="239">
        <f t="shared" si="2"/>
        <v>3.9062500000000018E-7</v>
      </c>
      <c r="Z30" s="239">
        <f t="shared" si="3"/>
        <v>9.7656250000000058E-9</v>
      </c>
      <c r="AA30" s="239">
        <f t="shared" si="4"/>
        <v>2.4414062500000014E-10</v>
      </c>
      <c r="AB30" s="239">
        <f t="shared" si="5"/>
        <v>1.9713855593576173E-2</v>
      </c>
      <c r="AC30" s="239">
        <f t="shared" si="6"/>
        <v>4.9284638983940437E-4</v>
      </c>
      <c r="AD30" s="291">
        <f t="shared" si="7"/>
        <v>1.2321159745985109E-5</v>
      </c>
      <c r="AE30" s="218">
        <f>+DATOS!A45</f>
        <v>2.5000000000000001E-2</v>
      </c>
      <c r="AF30" s="219">
        <f>+DATOS!K45</f>
        <v>0.78855422374304684</v>
      </c>
      <c r="AG30" s="239">
        <f t="shared" si="8"/>
        <v>6.2500000000000012E-4</v>
      </c>
      <c r="AH30" s="239">
        <f t="shared" si="9"/>
        <v>1.5625000000000004E-5</v>
      </c>
      <c r="AI30" s="239">
        <f t="shared" si="10"/>
        <v>3.9062500000000018E-7</v>
      </c>
      <c r="AJ30" s="239">
        <f t="shared" si="11"/>
        <v>9.7656250000000058E-9</v>
      </c>
      <c r="AK30" s="239">
        <f t="shared" si="12"/>
        <v>2.4414062500000014E-10</v>
      </c>
      <c r="AL30" s="239">
        <f t="shared" si="13"/>
        <v>1.9713855593576173E-2</v>
      </c>
      <c r="AM30" s="239">
        <f t="shared" si="14"/>
        <v>4.9284638983940437E-4</v>
      </c>
      <c r="AN30" s="291">
        <f t="shared" si="15"/>
        <v>1.2321159745985109E-5</v>
      </c>
      <c r="AO30" s="218">
        <f>+DATOS!A45</f>
        <v>2.5000000000000001E-2</v>
      </c>
      <c r="AP30" s="219">
        <f>+DATOS!O45</f>
        <v>0.78855422374304684</v>
      </c>
      <c r="AQ30" s="239">
        <f t="shared" si="16"/>
        <v>6.2500000000000012E-4</v>
      </c>
      <c r="AR30" s="239">
        <f t="shared" si="17"/>
        <v>1.5625000000000004E-5</v>
      </c>
      <c r="AS30" s="239">
        <f t="shared" si="18"/>
        <v>3.9062500000000018E-7</v>
      </c>
      <c r="AT30" s="239">
        <f t="shared" si="19"/>
        <v>9.7656250000000058E-9</v>
      </c>
      <c r="AU30" s="239">
        <f t="shared" si="20"/>
        <v>2.4414062500000014E-10</v>
      </c>
      <c r="AV30" s="239">
        <f t="shared" si="21"/>
        <v>1.9713855593576173E-2</v>
      </c>
      <c r="AW30" s="239">
        <f t="shared" si="22"/>
        <v>4.9284638983940437E-4</v>
      </c>
      <c r="AX30" s="291">
        <f t="shared" si="23"/>
        <v>1.2321159745985109E-5</v>
      </c>
    </row>
    <row r="31" spans="1:50" ht="15.45" customHeight="1" x14ac:dyDescent="0.25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88"/>
      <c r="U31" s="218">
        <f>+DATOS!A46</f>
        <v>0.05</v>
      </c>
      <c r="V31" s="219">
        <f>+DATOS!G46</f>
        <v>0.78855422374304684</v>
      </c>
      <c r="W31" s="239">
        <f t="shared" si="0"/>
        <v>2.5000000000000005E-3</v>
      </c>
      <c r="X31" s="239">
        <f t="shared" si="1"/>
        <v>1.2500000000000003E-4</v>
      </c>
      <c r="Y31" s="239">
        <f t="shared" si="2"/>
        <v>6.2500000000000028E-6</v>
      </c>
      <c r="Z31" s="239">
        <f t="shared" si="3"/>
        <v>3.1250000000000018E-7</v>
      </c>
      <c r="AA31" s="239">
        <f t="shared" si="4"/>
        <v>1.5625000000000009E-8</v>
      </c>
      <c r="AB31" s="239">
        <f t="shared" si="5"/>
        <v>3.9427711187152346E-2</v>
      </c>
      <c r="AC31" s="239">
        <f t="shared" si="6"/>
        <v>1.9713855593576175E-3</v>
      </c>
      <c r="AD31" s="291">
        <f t="shared" si="7"/>
        <v>9.8569277967880875E-5</v>
      </c>
      <c r="AE31" s="218">
        <f>+DATOS!A46</f>
        <v>0.05</v>
      </c>
      <c r="AF31" s="219">
        <f>+DATOS!K46</f>
        <v>0.78855422374304684</v>
      </c>
      <c r="AG31" s="239">
        <f t="shared" si="8"/>
        <v>2.5000000000000005E-3</v>
      </c>
      <c r="AH31" s="239">
        <f t="shared" si="9"/>
        <v>1.2500000000000003E-4</v>
      </c>
      <c r="AI31" s="239">
        <f t="shared" si="10"/>
        <v>6.2500000000000028E-6</v>
      </c>
      <c r="AJ31" s="239">
        <f t="shared" si="11"/>
        <v>3.1250000000000018E-7</v>
      </c>
      <c r="AK31" s="239">
        <f t="shared" si="12"/>
        <v>1.5625000000000009E-8</v>
      </c>
      <c r="AL31" s="239">
        <f t="shared" si="13"/>
        <v>3.9427711187152346E-2</v>
      </c>
      <c r="AM31" s="239">
        <f t="shared" si="14"/>
        <v>1.9713855593576175E-3</v>
      </c>
      <c r="AN31" s="291">
        <f t="shared" si="15"/>
        <v>9.8569277967880875E-5</v>
      </c>
      <c r="AO31" s="218">
        <f>+DATOS!A46</f>
        <v>0.05</v>
      </c>
      <c r="AP31" s="219">
        <f>+DATOS!O46</f>
        <v>0.78855422374304684</v>
      </c>
      <c r="AQ31" s="239">
        <f t="shared" si="16"/>
        <v>2.5000000000000005E-3</v>
      </c>
      <c r="AR31" s="239">
        <f t="shared" si="17"/>
        <v>1.2500000000000003E-4</v>
      </c>
      <c r="AS31" s="239">
        <f t="shared" si="18"/>
        <v>6.2500000000000028E-6</v>
      </c>
      <c r="AT31" s="239">
        <f t="shared" si="19"/>
        <v>3.1250000000000018E-7</v>
      </c>
      <c r="AU31" s="239">
        <f t="shared" si="20"/>
        <v>1.5625000000000009E-8</v>
      </c>
      <c r="AV31" s="239">
        <f t="shared" si="21"/>
        <v>3.9427711187152346E-2</v>
      </c>
      <c r="AW31" s="239">
        <f t="shared" si="22"/>
        <v>1.9713855593576175E-3</v>
      </c>
      <c r="AX31" s="291">
        <f t="shared" si="23"/>
        <v>9.8569277967880875E-5</v>
      </c>
    </row>
    <row r="32" spans="1:50" ht="21.75" customHeight="1" thickBot="1" x14ac:dyDescent="0.3">
      <c r="A32" s="908"/>
      <c r="B32" s="895"/>
      <c r="C32" s="895"/>
      <c r="D32" s="895"/>
      <c r="E32" s="895"/>
      <c r="F32" s="895"/>
      <c r="G32" s="895"/>
      <c r="H32" s="895"/>
      <c r="I32" s="895"/>
      <c r="J32" s="895"/>
      <c r="K32" s="111"/>
      <c r="R32" s="88"/>
      <c r="U32" s="218">
        <f>+DATOS!A47</f>
        <v>7.4999999999999997E-2</v>
      </c>
      <c r="V32" s="219">
        <f>+DATOS!G47</f>
        <v>0.78855422374304684</v>
      </c>
      <c r="W32" s="239">
        <f t="shared" si="0"/>
        <v>5.6249999999999998E-3</v>
      </c>
      <c r="X32" s="239">
        <f t="shared" si="1"/>
        <v>4.21875E-4</v>
      </c>
      <c r="Y32" s="239">
        <f t="shared" si="2"/>
        <v>3.1640624999999998E-5</v>
      </c>
      <c r="Z32" s="239">
        <f t="shared" si="3"/>
        <v>2.3730468749999999E-6</v>
      </c>
      <c r="AA32" s="239">
        <f t="shared" si="4"/>
        <v>1.7797851562499999E-7</v>
      </c>
      <c r="AB32" s="239">
        <f t="shared" si="5"/>
        <v>5.9141566780728509E-2</v>
      </c>
      <c r="AC32" s="239">
        <f t="shared" si="6"/>
        <v>4.4356175085546387E-3</v>
      </c>
      <c r="AD32" s="291">
        <f t="shared" si="7"/>
        <v>3.3267131314159787E-4</v>
      </c>
      <c r="AE32" s="218">
        <f>+DATOS!A47</f>
        <v>7.4999999999999997E-2</v>
      </c>
      <c r="AF32" s="219">
        <f>+DATOS!K47</f>
        <v>0.78855422374304684</v>
      </c>
      <c r="AG32" s="239">
        <f t="shared" si="8"/>
        <v>5.6249999999999998E-3</v>
      </c>
      <c r="AH32" s="239">
        <f t="shared" si="9"/>
        <v>4.21875E-4</v>
      </c>
      <c r="AI32" s="239">
        <f t="shared" si="10"/>
        <v>3.1640624999999998E-5</v>
      </c>
      <c r="AJ32" s="239">
        <f t="shared" si="11"/>
        <v>2.3730468749999999E-6</v>
      </c>
      <c r="AK32" s="239">
        <f t="shared" si="12"/>
        <v>1.7797851562499999E-7</v>
      </c>
      <c r="AL32" s="239">
        <f t="shared" si="13"/>
        <v>5.9141566780728509E-2</v>
      </c>
      <c r="AM32" s="239">
        <f t="shared" si="14"/>
        <v>4.4356175085546387E-3</v>
      </c>
      <c r="AN32" s="291">
        <f t="shared" si="15"/>
        <v>3.3267131314159787E-4</v>
      </c>
      <c r="AO32" s="218">
        <f>+DATOS!A47</f>
        <v>7.4999999999999997E-2</v>
      </c>
      <c r="AP32" s="219">
        <f>+DATOS!O47</f>
        <v>0.78855422374304684</v>
      </c>
      <c r="AQ32" s="239">
        <f t="shared" si="16"/>
        <v>5.6249999999999998E-3</v>
      </c>
      <c r="AR32" s="239">
        <f t="shared" si="17"/>
        <v>4.21875E-4</v>
      </c>
      <c r="AS32" s="239">
        <f t="shared" si="18"/>
        <v>3.1640624999999998E-5</v>
      </c>
      <c r="AT32" s="239">
        <f t="shared" si="19"/>
        <v>2.3730468749999999E-6</v>
      </c>
      <c r="AU32" s="239">
        <f t="shared" si="20"/>
        <v>1.7797851562499999E-7</v>
      </c>
      <c r="AV32" s="239">
        <f t="shared" si="21"/>
        <v>5.9141566780728509E-2</v>
      </c>
      <c r="AW32" s="239">
        <f t="shared" si="22"/>
        <v>4.4356175085546387E-3</v>
      </c>
      <c r="AX32" s="291">
        <f t="shared" si="23"/>
        <v>3.3267131314159787E-4</v>
      </c>
    </row>
    <row r="33" spans="1:50" ht="15.45" customHeight="1" thickTop="1" x14ac:dyDescent="0.25">
      <c r="A33" s="808"/>
      <c r="B33" s="105"/>
      <c r="C33" s="112"/>
      <c r="D33" s="112"/>
      <c r="E33" s="104"/>
      <c r="F33" s="105"/>
      <c r="G33" s="104"/>
      <c r="H33" s="105"/>
      <c r="I33" s="104"/>
      <c r="K33" s="113"/>
      <c r="L33" s="114"/>
      <c r="M33" s="114"/>
      <c r="N33" s="115" t="s">
        <v>224</v>
      </c>
      <c r="O33" s="688">
        <f>+'INFORME-1'!F25</f>
        <v>0</v>
      </c>
      <c r="P33" s="116" t="s">
        <v>162</v>
      </c>
      <c r="R33" s="88"/>
      <c r="U33" s="218">
        <f>+DATOS!A48</f>
        <v>0.1</v>
      </c>
      <c r="V33" s="219">
        <f>+DATOS!G48</f>
        <v>0.78855422374304684</v>
      </c>
      <c r="W33" s="239">
        <f t="shared" si="0"/>
        <v>1.0000000000000002E-2</v>
      </c>
      <c r="X33" s="239">
        <f t="shared" si="1"/>
        <v>1.0000000000000002E-3</v>
      </c>
      <c r="Y33" s="239">
        <f t="shared" si="2"/>
        <v>1.0000000000000005E-4</v>
      </c>
      <c r="Z33" s="239">
        <f t="shared" si="3"/>
        <v>1.0000000000000006E-5</v>
      </c>
      <c r="AA33" s="239">
        <f t="shared" si="4"/>
        <v>1.0000000000000006E-6</v>
      </c>
      <c r="AB33" s="239">
        <f t="shared" si="5"/>
        <v>7.8855422374304693E-2</v>
      </c>
      <c r="AC33" s="239">
        <f t="shared" si="6"/>
        <v>7.88554223743047E-3</v>
      </c>
      <c r="AD33" s="291">
        <f t="shared" si="7"/>
        <v>7.88554223743047E-4</v>
      </c>
      <c r="AE33" s="218">
        <f>+DATOS!A48</f>
        <v>0.1</v>
      </c>
      <c r="AF33" s="219">
        <f>+DATOS!K48</f>
        <v>0.78855422374304684</v>
      </c>
      <c r="AG33" s="239">
        <f t="shared" si="8"/>
        <v>1.0000000000000002E-2</v>
      </c>
      <c r="AH33" s="239">
        <f t="shared" si="9"/>
        <v>1.0000000000000002E-3</v>
      </c>
      <c r="AI33" s="239">
        <f t="shared" si="10"/>
        <v>1.0000000000000005E-4</v>
      </c>
      <c r="AJ33" s="239">
        <f t="shared" si="11"/>
        <v>1.0000000000000006E-5</v>
      </c>
      <c r="AK33" s="239">
        <f t="shared" si="12"/>
        <v>1.0000000000000006E-6</v>
      </c>
      <c r="AL33" s="239">
        <f t="shared" si="13"/>
        <v>7.8855422374304693E-2</v>
      </c>
      <c r="AM33" s="239">
        <f t="shared" si="14"/>
        <v>7.88554223743047E-3</v>
      </c>
      <c r="AN33" s="291">
        <f t="shared" si="15"/>
        <v>7.88554223743047E-4</v>
      </c>
      <c r="AO33" s="218">
        <f>+DATOS!A48</f>
        <v>0.1</v>
      </c>
      <c r="AP33" s="219">
        <f>+DATOS!O48</f>
        <v>0.78855422374304684</v>
      </c>
      <c r="AQ33" s="239">
        <f t="shared" si="16"/>
        <v>1.0000000000000002E-2</v>
      </c>
      <c r="AR33" s="239">
        <f t="shared" si="17"/>
        <v>1.0000000000000002E-3</v>
      </c>
      <c r="AS33" s="239">
        <f t="shared" si="18"/>
        <v>1.0000000000000005E-4</v>
      </c>
      <c r="AT33" s="239">
        <f t="shared" si="19"/>
        <v>1.0000000000000006E-5</v>
      </c>
      <c r="AU33" s="239">
        <f t="shared" si="20"/>
        <v>1.0000000000000006E-6</v>
      </c>
      <c r="AV33" s="239">
        <f t="shared" si="21"/>
        <v>7.8855422374304693E-2</v>
      </c>
      <c r="AW33" s="239">
        <f t="shared" si="22"/>
        <v>7.88554223743047E-3</v>
      </c>
      <c r="AX33" s="291">
        <f t="shared" si="23"/>
        <v>7.88554223743047E-4</v>
      </c>
    </row>
    <row r="34" spans="1:50" ht="15.45" customHeight="1" thickBot="1" x14ac:dyDescent="0.3">
      <c r="A34" s="808"/>
      <c r="B34" s="105"/>
      <c r="C34" s="112"/>
      <c r="D34" s="112"/>
      <c r="E34" s="104"/>
      <c r="F34" s="105"/>
      <c r="G34" s="104"/>
      <c r="H34" s="105"/>
      <c r="I34" s="104"/>
      <c r="K34" s="117"/>
      <c r="L34" s="118"/>
      <c r="M34" s="118"/>
      <c r="N34" s="119" t="s">
        <v>225</v>
      </c>
      <c r="O34" s="689">
        <f>+O33*0.95</f>
        <v>0</v>
      </c>
      <c r="P34" s="474" t="s">
        <v>162</v>
      </c>
      <c r="R34" s="88"/>
      <c r="U34" s="218">
        <f>+DATOS!A49</f>
        <v>0.125</v>
      </c>
      <c r="V34" s="219">
        <f>+DATOS!G49</f>
        <v>0.78855422374304684</v>
      </c>
      <c r="W34" s="239">
        <f t="shared" si="0"/>
        <v>1.5625E-2</v>
      </c>
      <c r="X34" s="239">
        <f t="shared" si="1"/>
        <v>1.953125E-3</v>
      </c>
      <c r="Y34" s="239">
        <f t="shared" si="2"/>
        <v>2.44140625E-4</v>
      </c>
      <c r="Z34" s="239">
        <f t="shared" si="3"/>
        <v>3.0517578125E-5</v>
      </c>
      <c r="AA34" s="239">
        <f t="shared" si="4"/>
        <v>3.814697265625E-6</v>
      </c>
      <c r="AB34" s="239">
        <f t="shared" si="5"/>
        <v>9.8569277967880856E-2</v>
      </c>
      <c r="AC34" s="239">
        <f t="shared" si="6"/>
        <v>1.2321159745985107E-2</v>
      </c>
      <c r="AD34" s="291">
        <f t="shared" si="7"/>
        <v>1.5401449682481384E-3</v>
      </c>
      <c r="AE34" s="218">
        <f>+DATOS!A49</f>
        <v>0.125</v>
      </c>
      <c r="AF34" s="219">
        <f>+DATOS!K49</f>
        <v>0.78855422374304684</v>
      </c>
      <c r="AG34" s="239">
        <f t="shared" si="8"/>
        <v>1.5625E-2</v>
      </c>
      <c r="AH34" s="239">
        <f t="shared" si="9"/>
        <v>1.953125E-3</v>
      </c>
      <c r="AI34" s="239">
        <f t="shared" si="10"/>
        <v>2.44140625E-4</v>
      </c>
      <c r="AJ34" s="239">
        <f t="shared" si="11"/>
        <v>3.0517578125E-5</v>
      </c>
      <c r="AK34" s="239">
        <f t="shared" si="12"/>
        <v>3.814697265625E-6</v>
      </c>
      <c r="AL34" s="239">
        <f t="shared" si="13"/>
        <v>9.8569277967880856E-2</v>
      </c>
      <c r="AM34" s="239">
        <f t="shared" si="14"/>
        <v>1.2321159745985107E-2</v>
      </c>
      <c r="AN34" s="291">
        <f t="shared" si="15"/>
        <v>1.5401449682481384E-3</v>
      </c>
      <c r="AO34" s="218">
        <f>+DATOS!A49</f>
        <v>0.125</v>
      </c>
      <c r="AP34" s="219">
        <f>+DATOS!O49</f>
        <v>0.78855422374304684</v>
      </c>
      <c r="AQ34" s="239">
        <f t="shared" si="16"/>
        <v>1.5625E-2</v>
      </c>
      <c r="AR34" s="239">
        <f t="shared" si="17"/>
        <v>1.953125E-3</v>
      </c>
      <c r="AS34" s="239">
        <f t="shared" si="18"/>
        <v>2.44140625E-4</v>
      </c>
      <c r="AT34" s="239">
        <f t="shared" si="19"/>
        <v>3.0517578125E-5</v>
      </c>
      <c r="AU34" s="239">
        <f t="shared" si="20"/>
        <v>3.814697265625E-6</v>
      </c>
      <c r="AV34" s="239">
        <f t="shared" si="21"/>
        <v>9.8569277967880856E-2</v>
      </c>
      <c r="AW34" s="239">
        <f t="shared" si="22"/>
        <v>1.2321159745985107E-2</v>
      </c>
      <c r="AX34" s="291">
        <f t="shared" si="23"/>
        <v>1.5401449682481384E-3</v>
      </c>
    </row>
    <row r="35" spans="1:50" ht="15.45" customHeight="1" thickTop="1" x14ac:dyDescent="0.25">
      <c r="A35" s="808"/>
      <c r="B35" s="105"/>
      <c r="C35" s="112"/>
      <c r="D35" s="112"/>
      <c r="E35" s="104"/>
      <c r="F35" s="105"/>
      <c r="G35" s="104"/>
      <c r="H35" s="105"/>
      <c r="I35" s="104"/>
      <c r="K35" s="121"/>
      <c r="L35" s="114"/>
      <c r="M35" s="114"/>
      <c r="N35" s="115" t="s">
        <v>226</v>
      </c>
      <c r="O35" s="142" t="e">
        <f>ROUND(IF(E30&lt;O33,E28,(O33-E30)*(L28-E28)/(L30-E30)+E28),2)</f>
        <v>#N/A</v>
      </c>
      <c r="P35" s="122" t="s">
        <v>19</v>
      </c>
      <c r="R35" s="88"/>
      <c r="U35" s="218">
        <f>+DATOS!A50</f>
        <v>0.15</v>
      </c>
      <c r="V35" s="219">
        <f>+DATOS!G50</f>
        <v>0.78855422374304684</v>
      </c>
      <c r="W35" s="239">
        <f t="shared" si="0"/>
        <v>2.2499999999999999E-2</v>
      </c>
      <c r="X35" s="239">
        <f t="shared" si="1"/>
        <v>3.375E-3</v>
      </c>
      <c r="Y35" s="239">
        <f t="shared" si="2"/>
        <v>5.0624999999999997E-4</v>
      </c>
      <c r="Z35" s="239">
        <f t="shared" si="3"/>
        <v>7.5937499999999996E-5</v>
      </c>
      <c r="AA35" s="239">
        <f t="shared" si="4"/>
        <v>1.1390624999999999E-5</v>
      </c>
      <c r="AB35" s="239">
        <f t="shared" si="5"/>
        <v>0.11828313356145702</v>
      </c>
      <c r="AC35" s="239">
        <f t="shared" si="6"/>
        <v>1.7742470034218555E-2</v>
      </c>
      <c r="AD35" s="291">
        <f t="shared" si="7"/>
        <v>2.661370505132783E-3</v>
      </c>
      <c r="AE35" s="218">
        <f>+DATOS!A50</f>
        <v>0.15</v>
      </c>
      <c r="AF35" s="219">
        <f>+DATOS!K50</f>
        <v>0.78855422374304684</v>
      </c>
      <c r="AG35" s="239">
        <f t="shared" si="8"/>
        <v>2.2499999999999999E-2</v>
      </c>
      <c r="AH35" s="239">
        <f t="shared" si="9"/>
        <v>3.375E-3</v>
      </c>
      <c r="AI35" s="239">
        <f t="shared" si="10"/>
        <v>5.0624999999999997E-4</v>
      </c>
      <c r="AJ35" s="239">
        <f t="shared" si="11"/>
        <v>7.5937499999999996E-5</v>
      </c>
      <c r="AK35" s="239">
        <f t="shared" si="12"/>
        <v>1.1390624999999999E-5</v>
      </c>
      <c r="AL35" s="239">
        <f t="shared" si="13"/>
        <v>0.11828313356145702</v>
      </c>
      <c r="AM35" s="239">
        <f t="shared" si="14"/>
        <v>1.7742470034218555E-2</v>
      </c>
      <c r="AN35" s="291">
        <f t="shared" si="15"/>
        <v>2.661370505132783E-3</v>
      </c>
      <c r="AO35" s="218">
        <f>+DATOS!A50</f>
        <v>0.15</v>
      </c>
      <c r="AP35" s="219">
        <f>+DATOS!O50</f>
        <v>0.78855422374304684</v>
      </c>
      <c r="AQ35" s="239">
        <f t="shared" si="16"/>
        <v>2.2499999999999999E-2</v>
      </c>
      <c r="AR35" s="239">
        <f t="shared" si="17"/>
        <v>3.375E-3</v>
      </c>
      <c r="AS35" s="239">
        <f t="shared" si="18"/>
        <v>5.0624999999999997E-4</v>
      </c>
      <c r="AT35" s="239">
        <f t="shared" si="19"/>
        <v>7.5937499999999996E-5</v>
      </c>
      <c r="AU35" s="239">
        <f t="shared" si="20"/>
        <v>1.1390624999999999E-5</v>
      </c>
      <c r="AV35" s="239">
        <f t="shared" si="21"/>
        <v>0.11828313356145702</v>
      </c>
      <c r="AW35" s="239">
        <f t="shared" si="22"/>
        <v>1.7742470034218555E-2</v>
      </c>
      <c r="AX35" s="291">
        <f t="shared" si="23"/>
        <v>2.661370505132783E-3</v>
      </c>
    </row>
    <row r="36" spans="1:50" ht="15.45" customHeight="1" thickBot="1" x14ac:dyDescent="0.3">
      <c r="A36" s="808"/>
      <c r="B36" s="105"/>
      <c r="C36" s="112"/>
      <c r="D36" s="112"/>
      <c r="E36" s="104"/>
      <c r="F36" s="105"/>
      <c r="G36" s="104"/>
      <c r="H36" s="105"/>
      <c r="I36" s="104"/>
      <c r="K36" s="123"/>
      <c r="N36" s="124" t="s">
        <v>227</v>
      </c>
      <c r="O36" s="143" t="e">
        <f>ROUND(IF(Q30&gt;O34,Q28,(O34-L30)*(Q28-L28)/(Q30-L30)+L28),2)</f>
        <v>#N/A</v>
      </c>
      <c r="P36" s="125" t="s">
        <v>19</v>
      </c>
      <c r="R36" s="88"/>
      <c r="U36" s="218">
        <f>+DATOS!A51</f>
        <v>0.17499999999999999</v>
      </c>
      <c r="V36" s="219">
        <f>+DATOS!G51</f>
        <v>0.78855422374304684</v>
      </c>
      <c r="W36" s="239">
        <f t="shared" si="0"/>
        <v>3.0624999999999996E-2</v>
      </c>
      <c r="X36" s="239">
        <f t="shared" si="1"/>
        <v>5.3593749999999987E-3</v>
      </c>
      <c r="Y36" s="239">
        <f t="shared" si="2"/>
        <v>9.3789062499999971E-4</v>
      </c>
      <c r="Z36" s="239">
        <f t="shared" si="3"/>
        <v>1.6413085937499994E-4</v>
      </c>
      <c r="AA36" s="239">
        <f t="shared" si="4"/>
        <v>2.8722900390624987E-5</v>
      </c>
      <c r="AB36" s="239">
        <f t="shared" si="5"/>
        <v>0.1379969891550332</v>
      </c>
      <c r="AC36" s="239">
        <f t="shared" si="6"/>
        <v>2.4149473102130805E-2</v>
      </c>
      <c r="AD36" s="291">
        <f t="shared" si="7"/>
        <v>4.226157792872891E-3</v>
      </c>
      <c r="AE36" s="218">
        <f>+DATOS!A51</f>
        <v>0.17499999999999999</v>
      </c>
      <c r="AF36" s="219">
        <f>+DATOS!K51</f>
        <v>0.78855422374304684</v>
      </c>
      <c r="AG36" s="239">
        <f t="shared" si="8"/>
        <v>3.0624999999999996E-2</v>
      </c>
      <c r="AH36" s="239">
        <f t="shared" si="9"/>
        <v>5.3593749999999987E-3</v>
      </c>
      <c r="AI36" s="239">
        <f t="shared" si="10"/>
        <v>9.3789062499999971E-4</v>
      </c>
      <c r="AJ36" s="239">
        <f t="shared" si="11"/>
        <v>1.6413085937499994E-4</v>
      </c>
      <c r="AK36" s="239">
        <f t="shared" si="12"/>
        <v>2.8722900390624987E-5</v>
      </c>
      <c r="AL36" s="239">
        <f t="shared" si="13"/>
        <v>0.1379969891550332</v>
      </c>
      <c r="AM36" s="239">
        <f t="shared" si="14"/>
        <v>2.4149473102130805E-2</v>
      </c>
      <c r="AN36" s="291">
        <f t="shared" si="15"/>
        <v>4.226157792872891E-3</v>
      </c>
      <c r="AO36" s="218">
        <f>+DATOS!A51</f>
        <v>0.17499999999999999</v>
      </c>
      <c r="AP36" s="219">
        <f>+DATOS!O51</f>
        <v>0.78855422374304684</v>
      </c>
      <c r="AQ36" s="239">
        <f t="shared" si="16"/>
        <v>3.0624999999999996E-2</v>
      </c>
      <c r="AR36" s="239">
        <f t="shared" si="17"/>
        <v>5.3593749999999987E-3</v>
      </c>
      <c r="AS36" s="239">
        <f t="shared" si="18"/>
        <v>9.3789062499999971E-4</v>
      </c>
      <c r="AT36" s="239">
        <f t="shared" si="19"/>
        <v>1.6413085937499994E-4</v>
      </c>
      <c r="AU36" s="239">
        <f t="shared" si="20"/>
        <v>2.8722900390624987E-5</v>
      </c>
      <c r="AV36" s="239">
        <f t="shared" si="21"/>
        <v>0.1379969891550332</v>
      </c>
      <c r="AW36" s="239">
        <f t="shared" si="22"/>
        <v>2.4149473102130805E-2</v>
      </c>
      <c r="AX36" s="291">
        <f t="shared" si="23"/>
        <v>4.226157792872891E-3</v>
      </c>
    </row>
    <row r="37" spans="1:50" ht="15.45" customHeight="1" thickTop="1" x14ac:dyDescent="0.25">
      <c r="A37" s="808"/>
      <c r="B37" s="105"/>
      <c r="C37" s="112"/>
      <c r="D37" s="112"/>
      <c r="E37" s="104"/>
      <c r="F37" s="105"/>
      <c r="G37" s="104"/>
      <c r="H37" s="105"/>
      <c r="I37" s="104"/>
      <c r="K37" s="121"/>
      <c r="L37" s="114"/>
      <c r="M37" s="114"/>
      <c r="N37" s="115" t="s">
        <v>228</v>
      </c>
      <c r="O37" s="142" t="e">
        <f>ROUND(IF(E30&lt;O33,E29,(O33-E30)*(L29-E29)/(L30-E30)+E29),2)</f>
        <v>#N/A</v>
      </c>
      <c r="P37" s="122" t="s">
        <v>19</v>
      </c>
      <c r="Q37" s="126"/>
      <c r="R37" s="88"/>
      <c r="U37" s="218">
        <f>+DATOS!A52</f>
        <v>0.2</v>
      </c>
      <c r="V37" s="219">
        <f>+DATOS!G52</f>
        <v>0.78855422374304684</v>
      </c>
      <c r="W37" s="239">
        <f t="shared" si="0"/>
        <v>4.0000000000000008E-2</v>
      </c>
      <c r="X37" s="239">
        <f t="shared" si="1"/>
        <v>8.0000000000000019E-3</v>
      </c>
      <c r="Y37" s="239">
        <f t="shared" si="2"/>
        <v>1.6000000000000007E-3</v>
      </c>
      <c r="Z37" s="239">
        <f t="shared" si="3"/>
        <v>3.2000000000000019E-4</v>
      </c>
      <c r="AA37" s="239">
        <f t="shared" si="4"/>
        <v>6.4000000000000038E-5</v>
      </c>
      <c r="AB37" s="239">
        <f t="shared" si="5"/>
        <v>0.15771084474860939</v>
      </c>
      <c r="AC37" s="239">
        <f t="shared" si="6"/>
        <v>3.154216894972188E-2</v>
      </c>
      <c r="AD37" s="291">
        <f t="shared" si="7"/>
        <v>6.308433789944376E-3</v>
      </c>
      <c r="AE37" s="218">
        <f>+DATOS!A52</f>
        <v>0.2</v>
      </c>
      <c r="AF37" s="219">
        <f>+DATOS!K52</f>
        <v>0.78855422374304684</v>
      </c>
      <c r="AG37" s="239">
        <f t="shared" si="8"/>
        <v>4.0000000000000008E-2</v>
      </c>
      <c r="AH37" s="239">
        <f t="shared" si="9"/>
        <v>8.0000000000000019E-3</v>
      </c>
      <c r="AI37" s="239">
        <f t="shared" si="10"/>
        <v>1.6000000000000007E-3</v>
      </c>
      <c r="AJ37" s="239">
        <f t="shared" si="11"/>
        <v>3.2000000000000019E-4</v>
      </c>
      <c r="AK37" s="239">
        <f t="shared" si="12"/>
        <v>6.4000000000000038E-5</v>
      </c>
      <c r="AL37" s="239">
        <f t="shared" si="13"/>
        <v>0.15771084474860939</v>
      </c>
      <c r="AM37" s="239">
        <f t="shared" si="14"/>
        <v>3.154216894972188E-2</v>
      </c>
      <c r="AN37" s="291">
        <f t="shared" si="15"/>
        <v>6.308433789944376E-3</v>
      </c>
      <c r="AO37" s="218">
        <f>+DATOS!A52</f>
        <v>0.2</v>
      </c>
      <c r="AP37" s="219">
        <f>+DATOS!O52</f>
        <v>0.78855422374304684</v>
      </c>
      <c r="AQ37" s="239">
        <f t="shared" si="16"/>
        <v>4.0000000000000008E-2</v>
      </c>
      <c r="AR37" s="239">
        <f t="shared" si="17"/>
        <v>8.0000000000000019E-3</v>
      </c>
      <c r="AS37" s="239">
        <f t="shared" si="18"/>
        <v>1.6000000000000007E-3</v>
      </c>
      <c r="AT37" s="239">
        <f t="shared" si="19"/>
        <v>3.2000000000000019E-4</v>
      </c>
      <c r="AU37" s="239">
        <f t="shared" si="20"/>
        <v>6.4000000000000038E-5</v>
      </c>
      <c r="AV37" s="239">
        <f t="shared" si="21"/>
        <v>0.15771084474860939</v>
      </c>
      <c r="AW37" s="239">
        <f t="shared" si="22"/>
        <v>3.154216894972188E-2</v>
      </c>
      <c r="AX37" s="291">
        <f t="shared" si="23"/>
        <v>6.308433789944376E-3</v>
      </c>
    </row>
    <row r="38" spans="1:50" ht="15.45" customHeight="1" thickBot="1" x14ac:dyDescent="0.3">
      <c r="A38" s="808"/>
      <c r="B38" s="105"/>
      <c r="C38" s="112"/>
      <c r="D38" s="112"/>
      <c r="E38" s="104"/>
      <c r="F38" s="105"/>
      <c r="G38" s="104"/>
      <c r="H38" s="105"/>
      <c r="I38" s="104"/>
      <c r="K38" s="127"/>
      <c r="L38" s="118"/>
      <c r="M38" s="118"/>
      <c r="N38" s="119" t="s">
        <v>229</v>
      </c>
      <c r="O38" s="144" t="e">
        <f>ROUND(IF(L30&lt;O34,L29,(O34-L30)*(Q29-L29)/(Q30-L30)+L29),2)</f>
        <v>#N/A</v>
      </c>
      <c r="P38" s="120" t="s">
        <v>19</v>
      </c>
      <c r="Q38" s="126"/>
      <c r="R38" s="88"/>
      <c r="U38" s="218">
        <f>+DATOS!A53</f>
        <v>0.3</v>
      </c>
      <c r="V38" s="219">
        <f>+DATOS!G53</f>
        <v>0.78855422374304684</v>
      </c>
      <c r="W38" s="239">
        <f t="shared" si="0"/>
        <v>0.09</v>
      </c>
      <c r="X38" s="239">
        <f t="shared" si="1"/>
        <v>2.7E-2</v>
      </c>
      <c r="Y38" s="239">
        <f t="shared" si="2"/>
        <v>8.0999999999999996E-3</v>
      </c>
      <c r="Z38" s="239">
        <f t="shared" si="3"/>
        <v>2.4299999999999999E-3</v>
      </c>
      <c r="AA38" s="239">
        <f t="shared" si="4"/>
        <v>7.2899999999999994E-4</v>
      </c>
      <c r="AB38" s="239">
        <f t="shared" si="5"/>
        <v>0.23656626712291404</v>
      </c>
      <c r="AC38" s="239">
        <f t="shared" si="6"/>
        <v>7.0969880136874219E-2</v>
      </c>
      <c r="AD38" s="291">
        <f t="shared" si="7"/>
        <v>2.1290964041062264E-2</v>
      </c>
      <c r="AE38" s="218">
        <f>+DATOS!A53</f>
        <v>0.3</v>
      </c>
      <c r="AF38" s="219">
        <f>+DATOS!K53</f>
        <v>0.78855422374304684</v>
      </c>
      <c r="AG38" s="239">
        <f t="shared" si="8"/>
        <v>0.09</v>
      </c>
      <c r="AH38" s="239">
        <f t="shared" si="9"/>
        <v>2.7E-2</v>
      </c>
      <c r="AI38" s="239">
        <f t="shared" si="10"/>
        <v>8.0999999999999996E-3</v>
      </c>
      <c r="AJ38" s="239">
        <f t="shared" si="11"/>
        <v>2.4299999999999999E-3</v>
      </c>
      <c r="AK38" s="239">
        <f t="shared" si="12"/>
        <v>7.2899999999999994E-4</v>
      </c>
      <c r="AL38" s="239">
        <f t="shared" si="13"/>
        <v>0.23656626712291404</v>
      </c>
      <c r="AM38" s="239">
        <f t="shared" si="14"/>
        <v>7.0969880136874219E-2</v>
      </c>
      <c r="AN38" s="291">
        <f t="shared" si="15"/>
        <v>2.1290964041062264E-2</v>
      </c>
      <c r="AO38" s="218">
        <f>+DATOS!A53</f>
        <v>0.3</v>
      </c>
      <c r="AP38" s="219">
        <f>+DATOS!O53</f>
        <v>0.78855422374304684</v>
      </c>
      <c r="AQ38" s="239">
        <f t="shared" si="16"/>
        <v>0.09</v>
      </c>
      <c r="AR38" s="239">
        <f t="shared" si="17"/>
        <v>2.7E-2</v>
      </c>
      <c r="AS38" s="239">
        <f t="shared" si="18"/>
        <v>8.0999999999999996E-3</v>
      </c>
      <c r="AT38" s="239">
        <f t="shared" si="19"/>
        <v>2.4299999999999999E-3</v>
      </c>
      <c r="AU38" s="239">
        <f t="shared" si="20"/>
        <v>7.2899999999999994E-4</v>
      </c>
      <c r="AV38" s="239">
        <f t="shared" si="21"/>
        <v>0.23656626712291404</v>
      </c>
      <c r="AW38" s="239">
        <f t="shared" si="22"/>
        <v>7.0969880136874219E-2</v>
      </c>
      <c r="AX38" s="291">
        <f t="shared" si="23"/>
        <v>2.1290964041062264E-2</v>
      </c>
    </row>
    <row r="39" spans="1:50" ht="15.45" customHeight="1" thickTop="1" x14ac:dyDescent="0.25">
      <c r="A39" s="128"/>
      <c r="K39" s="129"/>
      <c r="L39" s="126"/>
      <c r="M39" s="126"/>
      <c r="N39" s="129"/>
      <c r="O39" s="130"/>
      <c r="P39" s="126"/>
      <c r="Q39" s="131"/>
      <c r="R39" s="88"/>
      <c r="U39" s="218">
        <f>+DATOS!A54</f>
        <v>0.4</v>
      </c>
      <c r="V39" s="219">
        <f>+DATOS!G54</f>
        <v>0.78855422374304684</v>
      </c>
      <c r="W39" s="239">
        <f t="shared" si="0"/>
        <v>0.16000000000000003</v>
      </c>
      <c r="X39" s="239">
        <f t="shared" si="1"/>
        <v>6.4000000000000015E-2</v>
      </c>
      <c r="Y39" s="239">
        <f t="shared" si="2"/>
        <v>2.5600000000000012E-2</v>
      </c>
      <c r="Z39" s="239">
        <f t="shared" si="3"/>
        <v>1.0240000000000006E-2</v>
      </c>
      <c r="AA39" s="239">
        <f t="shared" si="4"/>
        <v>4.0960000000000024E-3</v>
      </c>
      <c r="AB39" s="239">
        <f t="shared" si="5"/>
        <v>0.31542168949721877</v>
      </c>
      <c r="AC39" s="239">
        <f t="shared" si="6"/>
        <v>0.12616867579888752</v>
      </c>
      <c r="AD39" s="291">
        <f t="shared" si="7"/>
        <v>5.0467470319555008E-2</v>
      </c>
      <c r="AE39" s="218">
        <f>+DATOS!A54</f>
        <v>0.4</v>
      </c>
      <c r="AF39" s="219">
        <f>+DATOS!K54</f>
        <v>0.78855422374304684</v>
      </c>
      <c r="AG39" s="239">
        <f t="shared" si="8"/>
        <v>0.16000000000000003</v>
      </c>
      <c r="AH39" s="239">
        <f t="shared" si="9"/>
        <v>6.4000000000000015E-2</v>
      </c>
      <c r="AI39" s="239">
        <f t="shared" si="10"/>
        <v>2.5600000000000012E-2</v>
      </c>
      <c r="AJ39" s="239">
        <f t="shared" si="11"/>
        <v>1.0240000000000006E-2</v>
      </c>
      <c r="AK39" s="239">
        <f t="shared" si="12"/>
        <v>4.0960000000000024E-3</v>
      </c>
      <c r="AL39" s="239">
        <f t="shared" si="13"/>
        <v>0.31542168949721877</v>
      </c>
      <c r="AM39" s="239">
        <f t="shared" si="14"/>
        <v>0.12616867579888752</v>
      </c>
      <c r="AN39" s="291">
        <f t="shared" si="15"/>
        <v>5.0467470319555008E-2</v>
      </c>
      <c r="AO39" s="218">
        <f>+DATOS!A54</f>
        <v>0.4</v>
      </c>
      <c r="AP39" s="219">
        <f>+DATOS!O54</f>
        <v>0.78855422374304684</v>
      </c>
      <c r="AQ39" s="239">
        <f t="shared" si="16"/>
        <v>0.16000000000000003</v>
      </c>
      <c r="AR39" s="239">
        <f t="shared" si="17"/>
        <v>6.4000000000000015E-2</v>
      </c>
      <c r="AS39" s="239">
        <f t="shared" si="18"/>
        <v>2.5600000000000012E-2</v>
      </c>
      <c r="AT39" s="239">
        <f t="shared" si="19"/>
        <v>1.0240000000000006E-2</v>
      </c>
      <c r="AU39" s="239">
        <f t="shared" si="20"/>
        <v>4.0960000000000024E-3</v>
      </c>
      <c r="AV39" s="239">
        <f t="shared" si="21"/>
        <v>0.31542168949721877</v>
      </c>
      <c r="AW39" s="239">
        <f t="shared" si="22"/>
        <v>0.12616867579888752</v>
      </c>
      <c r="AX39" s="291">
        <f t="shared" si="23"/>
        <v>5.0467470319555008E-2</v>
      </c>
    </row>
    <row r="40" spans="1:50" ht="15.45" customHeight="1" x14ac:dyDescent="0.25">
      <c r="A40" s="128"/>
      <c r="R40" s="88"/>
      <c r="U40" s="292">
        <f t="shared" ref="U40:AX40" si="24">SUM(U29:U39)</f>
        <v>1.6</v>
      </c>
      <c r="V40" s="239">
        <f t="shared" si="24"/>
        <v>7.8855422374304682</v>
      </c>
      <c r="W40" s="239">
        <f t="shared" si="24"/>
        <v>0.37750000000000006</v>
      </c>
      <c r="X40" s="239">
        <f t="shared" si="24"/>
        <v>0.11125000000000002</v>
      </c>
      <c r="Y40" s="239">
        <f t="shared" si="24"/>
        <v>3.7126562500000015E-2</v>
      </c>
      <c r="Z40" s="239">
        <f t="shared" si="24"/>
        <v>1.3273281250000006E-2</v>
      </c>
      <c r="AA40" s="239">
        <f t="shared" si="24"/>
        <v>4.9341220703125023E-3</v>
      </c>
      <c r="AB40" s="239">
        <f t="shared" si="24"/>
        <v>1.2616867579888751</v>
      </c>
      <c r="AC40" s="239">
        <f t="shared" si="24"/>
        <v>0.29767921946300024</v>
      </c>
      <c r="AD40" s="291">
        <f t="shared" si="24"/>
        <v>8.772665739141397E-2</v>
      </c>
      <c r="AE40" s="292">
        <f t="shared" si="24"/>
        <v>1.6</v>
      </c>
      <c r="AF40" s="239">
        <f t="shared" si="24"/>
        <v>7.8855422374304682</v>
      </c>
      <c r="AG40" s="239">
        <f t="shared" si="24"/>
        <v>0.37750000000000006</v>
      </c>
      <c r="AH40" s="239">
        <f t="shared" si="24"/>
        <v>0.11125000000000002</v>
      </c>
      <c r="AI40" s="239">
        <f t="shared" si="24"/>
        <v>3.7126562500000015E-2</v>
      </c>
      <c r="AJ40" s="239">
        <f t="shared" si="24"/>
        <v>1.3273281250000006E-2</v>
      </c>
      <c r="AK40" s="239">
        <f t="shared" si="24"/>
        <v>4.9341220703125023E-3</v>
      </c>
      <c r="AL40" s="239">
        <f t="shared" si="24"/>
        <v>1.2616867579888751</v>
      </c>
      <c r="AM40" s="239">
        <f t="shared" si="24"/>
        <v>0.29767921946300024</v>
      </c>
      <c r="AN40" s="291">
        <f t="shared" si="24"/>
        <v>8.772665739141397E-2</v>
      </c>
      <c r="AO40" s="292">
        <f t="shared" si="24"/>
        <v>1.6</v>
      </c>
      <c r="AP40" s="239">
        <f t="shared" si="24"/>
        <v>7.8855422374304682</v>
      </c>
      <c r="AQ40" s="239">
        <f t="shared" si="24"/>
        <v>0.37750000000000006</v>
      </c>
      <c r="AR40" s="239">
        <f t="shared" si="24"/>
        <v>0.11125000000000002</v>
      </c>
      <c r="AS40" s="239">
        <f t="shared" si="24"/>
        <v>3.7126562500000015E-2</v>
      </c>
      <c r="AT40" s="239">
        <f t="shared" si="24"/>
        <v>1.3273281250000006E-2</v>
      </c>
      <c r="AU40" s="239">
        <f t="shared" si="24"/>
        <v>4.9341220703125023E-3</v>
      </c>
      <c r="AV40" s="239">
        <f t="shared" si="24"/>
        <v>1.2616867579888751</v>
      </c>
      <c r="AW40" s="239">
        <f t="shared" si="24"/>
        <v>0.29767921946300024</v>
      </c>
      <c r="AX40" s="291">
        <f t="shared" si="24"/>
        <v>8.772665739141397E-2</v>
      </c>
    </row>
    <row r="41" spans="1:50" ht="15.45" customHeight="1" x14ac:dyDescent="0.25">
      <c r="A41" s="128"/>
      <c r="R41" s="88"/>
      <c r="U41" s="293"/>
      <c r="AD41" s="77"/>
      <c r="AE41" s="293"/>
      <c r="AN41" s="77"/>
      <c r="AO41" s="293"/>
      <c r="AX41" s="77"/>
    </row>
    <row r="42" spans="1:50" ht="15.45" customHeight="1" x14ac:dyDescent="0.25">
      <c r="A42" s="128"/>
      <c r="R42" s="88"/>
      <c r="U42" s="294">
        <f>COUNT(U29:U39)</f>
        <v>11</v>
      </c>
      <c r="V42" s="252">
        <f>+U40</f>
        <v>1.6</v>
      </c>
      <c r="W42" s="252">
        <f>+W40</f>
        <v>0.37750000000000006</v>
      </c>
      <c r="X42" s="252">
        <f>+X40</f>
        <v>0.11125000000000002</v>
      </c>
      <c r="Y42" s="252">
        <f>+V40</f>
        <v>7.8855422374304682</v>
      </c>
      <c r="AA42" s="237" t="s">
        <v>200</v>
      </c>
      <c r="AB42" s="252">
        <f t="array" ref="AB42:AB45">MMULT(U47:X50,Y47:Y50)</f>
        <v>0.27517333231365804</v>
      </c>
      <c r="AC42" s="240"/>
      <c r="AD42" s="77"/>
      <c r="AE42" s="294">
        <f>COUNT(AE29:AE39)</f>
        <v>11</v>
      </c>
      <c r="AF42" s="252">
        <f>+AE40</f>
        <v>1.6</v>
      </c>
      <c r="AG42" s="252">
        <f>+AG40</f>
        <v>0.37750000000000006</v>
      </c>
      <c r="AH42" s="252">
        <f>+AH40</f>
        <v>0.11125000000000002</v>
      </c>
      <c r="AI42" s="252">
        <f>+AF40</f>
        <v>7.8855422374304682</v>
      </c>
      <c r="AK42" s="237" t="s">
        <v>200</v>
      </c>
      <c r="AL42" s="252">
        <f t="array" ref="AL42:AL45">MMULT(AE47:AH50,AI47:AI50)</f>
        <v>0.27517333231365804</v>
      </c>
      <c r="AM42" s="240"/>
      <c r="AN42" s="77"/>
      <c r="AO42" s="294">
        <f>COUNT(AO29:AO39)</f>
        <v>11</v>
      </c>
      <c r="AP42" s="252">
        <f>+AO40</f>
        <v>1.6</v>
      </c>
      <c r="AQ42" s="252">
        <f>+AQ40</f>
        <v>0.37750000000000006</v>
      </c>
      <c r="AR42" s="252">
        <f>+AR40</f>
        <v>0.11125000000000002</v>
      </c>
      <c r="AS42" s="252">
        <f>+AP40</f>
        <v>7.8855422374304682</v>
      </c>
      <c r="AU42" s="237" t="s">
        <v>200</v>
      </c>
      <c r="AV42" s="252">
        <f t="array" ref="AV42:AV45">MMULT(AO47:AR50,AS47:AS50)</f>
        <v>0.27517333231365804</v>
      </c>
      <c r="AW42" s="240"/>
      <c r="AX42" s="77"/>
    </row>
    <row r="43" spans="1:50" ht="15.45" customHeight="1" x14ac:dyDescent="0.25">
      <c r="A43" s="128"/>
      <c r="R43" s="88"/>
      <c r="U43" s="294">
        <f>+U40</f>
        <v>1.6</v>
      </c>
      <c r="V43" s="252">
        <f>+W40</f>
        <v>0.37750000000000006</v>
      </c>
      <c r="W43" s="252">
        <f>+X40</f>
        <v>0.11125000000000002</v>
      </c>
      <c r="X43" s="252">
        <f>+Y40</f>
        <v>3.7126562500000015E-2</v>
      </c>
      <c r="Y43" s="252">
        <f>+AB40</f>
        <v>1.2616867579888751</v>
      </c>
      <c r="AA43" s="237" t="s">
        <v>187</v>
      </c>
      <c r="AB43" s="252">
        <v>9.9706039718627153</v>
      </c>
      <c r="AC43" s="240">
        <f>+AB43</f>
        <v>9.9706039718627153</v>
      </c>
      <c r="AD43" s="77"/>
      <c r="AE43" s="294">
        <f>+AE40</f>
        <v>1.6</v>
      </c>
      <c r="AF43" s="252">
        <f>+AG40</f>
        <v>0.37750000000000006</v>
      </c>
      <c r="AG43" s="252">
        <f>+AH40</f>
        <v>0.11125000000000002</v>
      </c>
      <c r="AH43" s="252">
        <f>+AI40</f>
        <v>3.7126562500000015E-2</v>
      </c>
      <c r="AI43" s="252">
        <f>+AL40</f>
        <v>1.2616867579888751</v>
      </c>
      <c r="AK43" s="237" t="s">
        <v>187</v>
      </c>
      <c r="AL43" s="252">
        <v>9.9706039718627153</v>
      </c>
      <c r="AM43" s="240">
        <f>+AL43</f>
        <v>9.9706039718627153</v>
      </c>
      <c r="AN43" s="77"/>
      <c r="AO43" s="294">
        <f>+AO40</f>
        <v>1.6</v>
      </c>
      <c r="AP43" s="252">
        <f>+AQ40</f>
        <v>0.37750000000000006</v>
      </c>
      <c r="AQ43" s="252">
        <f>+AR40</f>
        <v>0.11125000000000002</v>
      </c>
      <c r="AR43" s="252">
        <f>+AS40</f>
        <v>3.7126562500000015E-2</v>
      </c>
      <c r="AS43" s="252">
        <f>+AV40</f>
        <v>1.2616867579888751</v>
      </c>
      <c r="AU43" s="237" t="s">
        <v>187</v>
      </c>
      <c r="AV43" s="252">
        <v>9.9706039718627153</v>
      </c>
      <c r="AW43" s="240">
        <f>+AV43</f>
        <v>9.9706039718627153</v>
      </c>
      <c r="AX43" s="77"/>
    </row>
    <row r="44" spans="1:50" ht="20.25" customHeight="1" x14ac:dyDescent="0.25">
      <c r="A44" s="253"/>
      <c r="R44" s="88"/>
      <c r="U44" s="294">
        <f>+W40</f>
        <v>0.37750000000000006</v>
      </c>
      <c r="V44" s="252">
        <f>+X40</f>
        <v>0.11125000000000002</v>
      </c>
      <c r="W44" s="252">
        <f>+Y40</f>
        <v>3.7126562500000015E-2</v>
      </c>
      <c r="X44" s="252">
        <f>+Z40</f>
        <v>1.3273281250000006E-2</v>
      </c>
      <c r="Y44" s="252">
        <f>+AC40</f>
        <v>0.29767921946300024</v>
      </c>
      <c r="AA44" s="237" t="s">
        <v>190</v>
      </c>
      <c r="AB44" s="252">
        <v>-51.590400340557608</v>
      </c>
      <c r="AC44" s="240">
        <f>2*AB44</f>
        <v>-103.18080068111522</v>
      </c>
      <c r="AD44" s="77"/>
      <c r="AE44" s="294">
        <f>+AG40</f>
        <v>0.37750000000000006</v>
      </c>
      <c r="AF44" s="252">
        <f>+AH40</f>
        <v>0.11125000000000002</v>
      </c>
      <c r="AG44" s="252">
        <f>+AI40</f>
        <v>3.7126562500000015E-2</v>
      </c>
      <c r="AH44" s="252">
        <f>+AJ40</f>
        <v>1.3273281250000006E-2</v>
      </c>
      <c r="AI44" s="252">
        <f>+AM40</f>
        <v>0.29767921946300024</v>
      </c>
      <c r="AK44" s="237" t="s">
        <v>190</v>
      </c>
      <c r="AL44" s="252">
        <v>-51.590400340557608</v>
      </c>
      <c r="AM44" s="240">
        <f>2*AL44</f>
        <v>-103.18080068111522</v>
      </c>
      <c r="AN44" s="77"/>
      <c r="AO44" s="294">
        <f>+AQ40</f>
        <v>0.37750000000000006</v>
      </c>
      <c r="AP44" s="252">
        <f>+AR40</f>
        <v>0.11125000000000002</v>
      </c>
      <c r="AQ44" s="252">
        <f>+AS40</f>
        <v>3.7126562500000015E-2</v>
      </c>
      <c r="AR44" s="252">
        <f>+AT40</f>
        <v>1.3273281250000006E-2</v>
      </c>
      <c r="AS44" s="252">
        <f>+AW40</f>
        <v>0.29767921946300024</v>
      </c>
      <c r="AU44" s="237" t="s">
        <v>190</v>
      </c>
      <c r="AV44" s="252">
        <v>-51.590400340557608</v>
      </c>
      <c r="AW44" s="240">
        <f>2*AV44</f>
        <v>-103.18080068111522</v>
      </c>
      <c r="AX44" s="77"/>
    </row>
    <row r="45" spans="1:50" ht="15.45" customHeight="1" x14ac:dyDescent="0.25">
      <c r="A45" s="13" t="s">
        <v>230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U45" s="294">
        <f>+X40</f>
        <v>0.11125000000000002</v>
      </c>
      <c r="V45" s="252">
        <f>+Y40</f>
        <v>3.7126562500000015E-2</v>
      </c>
      <c r="W45" s="252">
        <f>+Z40</f>
        <v>1.3273281250000006E-2</v>
      </c>
      <c r="X45" s="252">
        <f>+AA40</f>
        <v>4.9341220703125023E-3</v>
      </c>
      <c r="Y45" s="252">
        <f>+AD40</f>
        <v>8.772665739141397E-2</v>
      </c>
      <c r="AA45" s="237" t="s">
        <v>231</v>
      </c>
      <c r="AB45" s="252">
        <v>75.335239151102542</v>
      </c>
      <c r="AC45" s="240">
        <f>3*AB45</f>
        <v>226.00571745330762</v>
      </c>
      <c r="AD45" s="77"/>
      <c r="AE45" s="294">
        <f>+AH40</f>
        <v>0.11125000000000002</v>
      </c>
      <c r="AF45" s="252">
        <f>+AI40</f>
        <v>3.7126562500000015E-2</v>
      </c>
      <c r="AG45" s="252">
        <f>+AJ40</f>
        <v>1.3273281250000006E-2</v>
      </c>
      <c r="AH45" s="252">
        <f>+AK40</f>
        <v>4.9341220703125023E-3</v>
      </c>
      <c r="AI45" s="252">
        <f>+AN40</f>
        <v>8.772665739141397E-2</v>
      </c>
      <c r="AK45" s="237" t="s">
        <v>231</v>
      </c>
      <c r="AL45" s="252">
        <v>75.335239151102542</v>
      </c>
      <c r="AM45" s="240">
        <f>3*AL45</f>
        <v>226.00571745330762</v>
      </c>
      <c r="AN45" s="77"/>
      <c r="AO45" s="294">
        <f>+AR40</f>
        <v>0.11125000000000002</v>
      </c>
      <c r="AP45" s="252">
        <f>+AS40</f>
        <v>3.7126562500000015E-2</v>
      </c>
      <c r="AQ45" s="252">
        <f>+AT40</f>
        <v>1.3273281250000006E-2</v>
      </c>
      <c r="AR45" s="252">
        <f>+AU40</f>
        <v>4.9341220703125023E-3</v>
      </c>
      <c r="AS45" s="252">
        <f>+AX40</f>
        <v>8.772665739141397E-2</v>
      </c>
      <c r="AU45" s="237" t="s">
        <v>231</v>
      </c>
      <c r="AV45" s="252">
        <v>75.335239151102542</v>
      </c>
      <c r="AW45" s="240">
        <f>3*AV45</f>
        <v>226.00571745330762</v>
      </c>
      <c r="AX45" s="77"/>
    </row>
    <row r="46" spans="1:50" ht="13.2" customHeight="1" x14ac:dyDescent="0.25">
      <c r="A46" s="15" t="s">
        <v>232</v>
      </c>
      <c r="U46" s="295"/>
      <c r="V46" s="238"/>
      <c r="W46" s="238"/>
      <c r="X46" s="238"/>
      <c r="Y46" s="238"/>
      <c r="AD46" s="77"/>
      <c r="AE46" s="299"/>
      <c r="AF46" s="300"/>
      <c r="AG46" s="300"/>
      <c r="AH46" s="300"/>
      <c r="AI46" s="300"/>
      <c r="AN46" s="77"/>
      <c r="AO46" s="299"/>
      <c r="AP46" s="300"/>
      <c r="AQ46" s="300"/>
      <c r="AR46" s="300"/>
      <c r="AS46" s="300"/>
      <c r="AX46" s="77"/>
    </row>
    <row r="47" spans="1:50" ht="27" customHeight="1" x14ac:dyDescent="0.25">
      <c r="A47" s="898" t="s">
        <v>233</v>
      </c>
      <c r="B47" s="895"/>
      <c r="C47" s="895"/>
      <c r="D47" s="895"/>
      <c r="E47" s="895"/>
      <c r="F47" s="895"/>
      <c r="G47" s="895"/>
      <c r="H47" s="895"/>
      <c r="I47" s="895"/>
      <c r="J47" s="895"/>
      <c r="K47" s="895"/>
      <c r="L47" s="895"/>
      <c r="M47" s="895"/>
      <c r="N47" s="895"/>
      <c r="O47" s="895"/>
      <c r="P47" s="895"/>
      <c r="Q47" s="895"/>
      <c r="R47" s="895"/>
      <c r="U47" s="294">
        <f t="array" ref="U47:X50">MINVERSE(U42:X45)</f>
        <v>0.65104069697639744</v>
      </c>
      <c r="V47" s="252">
        <v>-12.644157715033192</v>
      </c>
      <c r="W47" s="252">
        <v>65.424036530643249</v>
      </c>
      <c r="X47" s="252">
        <v>-95.535902139371998</v>
      </c>
      <c r="Y47" s="252">
        <f>+Y42</f>
        <v>7.8855422374304682</v>
      </c>
      <c r="AD47" s="77"/>
      <c r="AE47" s="294">
        <f t="array" ref="AE47:AH50">MINVERSE(AE42:AH45)</f>
        <v>0.65104069697639744</v>
      </c>
      <c r="AF47" s="252">
        <v>-12.644157715033192</v>
      </c>
      <c r="AG47" s="252">
        <v>65.424036530643249</v>
      </c>
      <c r="AH47" s="252">
        <v>-95.535902139371998</v>
      </c>
      <c r="AI47" s="252">
        <f>+AI42</f>
        <v>7.8855422374304682</v>
      </c>
      <c r="AN47" s="77"/>
      <c r="AO47" s="294">
        <f t="array" ref="AO47:AR50">MINVERSE(AO42:AR45)</f>
        <v>0.65104069697639744</v>
      </c>
      <c r="AP47" s="252">
        <v>-12.644157715033192</v>
      </c>
      <c r="AQ47" s="252">
        <v>65.424036530643249</v>
      </c>
      <c r="AR47" s="252">
        <v>-95.535902139371998</v>
      </c>
      <c r="AS47" s="252">
        <f>+AS42</f>
        <v>7.8855422374304682</v>
      </c>
      <c r="AX47" s="77"/>
    </row>
    <row r="48" spans="1:50" ht="16.95" customHeight="1" x14ac:dyDescent="0.25">
      <c r="A48" s="15" t="s">
        <v>234</v>
      </c>
      <c r="R48" s="15"/>
      <c r="U48" s="294">
        <v>-12.644157715033192</v>
      </c>
      <c r="V48" s="252">
        <v>388.09010904124148</v>
      </c>
      <c r="W48" s="252">
        <v>-2412.3085015043234</v>
      </c>
      <c r="X48" s="252">
        <v>3854.2743345371782</v>
      </c>
      <c r="Y48" s="252">
        <f>+Y43</f>
        <v>1.2616867579888751</v>
      </c>
      <c r="AD48" s="77"/>
      <c r="AE48" s="294">
        <v>-12.644157715033192</v>
      </c>
      <c r="AF48" s="252">
        <v>388.09010904124148</v>
      </c>
      <c r="AG48" s="252">
        <v>-2412.3085015043234</v>
      </c>
      <c r="AH48" s="252">
        <v>3854.2743345371782</v>
      </c>
      <c r="AI48" s="252">
        <f>+AI43</f>
        <v>1.2616867579888751</v>
      </c>
      <c r="AN48" s="77"/>
      <c r="AO48" s="294">
        <v>-12.644157715033192</v>
      </c>
      <c r="AP48" s="252">
        <v>388.09010904124148</v>
      </c>
      <c r="AQ48" s="252">
        <v>-2412.3085015043234</v>
      </c>
      <c r="AR48" s="252">
        <v>3854.2743345371782</v>
      </c>
      <c r="AS48" s="252">
        <f>+AS43</f>
        <v>1.2616867579888751</v>
      </c>
      <c r="AX48" s="77"/>
    </row>
    <row r="49" spans="1:50" ht="24" customHeight="1" x14ac:dyDescent="0.25">
      <c r="A49" s="898" t="s">
        <v>235</v>
      </c>
      <c r="B49" s="895"/>
      <c r="C49" s="895"/>
      <c r="D49" s="895"/>
      <c r="E49" s="895"/>
      <c r="F49" s="895"/>
      <c r="G49" s="895"/>
      <c r="H49" s="895"/>
      <c r="I49" s="895"/>
      <c r="J49" s="895"/>
      <c r="K49" s="895"/>
      <c r="L49" s="895"/>
      <c r="M49" s="895"/>
      <c r="N49" s="895"/>
      <c r="O49" s="895"/>
      <c r="P49" s="895"/>
      <c r="Q49" s="895"/>
      <c r="R49" s="895"/>
      <c r="U49" s="294">
        <v>65.424036530643448</v>
      </c>
      <c r="V49" s="252">
        <v>-2412.3085015043243</v>
      </c>
      <c r="W49" s="252">
        <v>16424.18165233107</v>
      </c>
      <c r="X49" s="252">
        <v>-27506.511219641685</v>
      </c>
      <c r="Y49" s="252">
        <f>+Y44</f>
        <v>0.29767921946300024</v>
      </c>
      <c r="AD49" s="77"/>
      <c r="AE49" s="294">
        <v>65.424036530643448</v>
      </c>
      <c r="AF49" s="252">
        <v>-2412.3085015043243</v>
      </c>
      <c r="AG49" s="252">
        <v>16424.18165233107</v>
      </c>
      <c r="AH49" s="252">
        <v>-27506.511219641685</v>
      </c>
      <c r="AI49" s="252">
        <f>+AI44</f>
        <v>0.29767921946300024</v>
      </c>
      <c r="AN49" s="77"/>
      <c r="AO49" s="294">
        <v>65.424036530643448</v>
      </c>
      <c r="AP49" s="252">
        <v>-2412.3085015043243</v>
      </c>
      <c r="AQ49" s="252">
        <v>16424.18165233107</v>
      </c>
      <c r="AR49" s="252">
        <v>-27506.511219641685</v>
      </c>
      <c r="AS49" s="252">
        <f>+AS44</f>
        <v>0.29767921946300024</v>
      </c>
      <c r="AX49" s="77"/>
    </row>
    <row r="50" spans="1:50" ht="24" customHeight="1" x14ac:dyDescent="0.25">
      <c r="A50" s="898" t="s">
        <v>236</v>
      </c>
      <c r="B50" s="895"/>
      <c r="C50" s="895"/>
      <c r="D50" s="895"/>
      <c r="E50" s="895"/>
      <c r="F50" s="895"/>
      <c r="G50" s="895"/>
      <c r="H50" s="895"/>
      <c r="I50" s="895"/>
      <c r="J50" s="895"/>
      <c r="K50" s="895"/>
      <c r="L50" s="895"/>
      <c r="M50" s="895"/>
      <c r="N50" s="895"/>
      <c r="O50" s="895"/>
      <c r="P50" s="895"/>
      <c r="Q50" s="895"/>
      <c r="R50" s="895"/>
      <c r="U50" s="294">
        <v>-95.535902139372268</v>
      </c>
      <c r="V50" s="252">
        <v>3854.2743345371791</v>
      </c>
      <c r="W50" s="252">
        <v>-27506.511219641685</v>
      </c>
      <c r="X50" s="252">
        <v>47350.687403940159</v>
      </c>
      <c r="Y50" s="252">
        <f>+Y45</f>
        <v>8.772665739141397E-2</v>
      </c>
      <c r="AD50" s="77"/>
      <c r="AE50" s="294">
        <v>-95.535902139372268</v>
      </c>
      <c r="AF50" s="252">
        <v>3854.2743345371791</v>
      </c>
      <c r="AG50" s="252">
        <v>-27506.511219641685</v>
      </c>
      <c r="AH50" s="252">
        <v>47350.687403940159</v>
      </c>
      <c r="AI50" s="252">
        <f>+AI45</f>
        <v>8.772665739141397E-2</v>
      </c>
      <c r="AN50" s="77"/>
      <c r="AO50" s="294">
        <v>-95.535902139372268</v>
      </c>
      <c r="AP50" s="252">
        <v>3854.2743345371791</v>
      </c>
      <c r="AQ50" s="252">
        <v>-27506.511219641685</v>
      </c>
      <c r="AR50" s="252">
        <v>47350.687403940159</v>
      </c>
      <c r="AS50" s="252">
        <f>+AS45</f>
        <v>8.772665739141397E-2</v>
      </c>
      <c r="AX50" s="77"/>
    </row>
    <row r="51" spans="1:50" ht="6.75" customHeight="1" thickBot="1" x14ac:dyDescent="0.3">
      <c r="B51" s="16"/>
      <c r="C51" s="16"/>
      <c r="D51" s="16"/>
      <c r="E51" s="139"/>
      <c r="F51" s="139"/>
      <c r="G51" s="139"/>
      <c r="H51" s="139"/>
      <c r="I51" s="139"/>
      <c r="J51" s="139"/>
      <c r="K51" s="139"/>
      <c r="L51" s="72"/>
      <c r="U51" s="296"/>
      <c r="V51" s="297"/>
      <c r="W51" s="297"/>
      <c r="X51" s="297"/>
      <c r="Y51" s="297"/>
      <c r="Z51" s="297"/>
      <c r="AA51" s="297"/>
      <c r="AB51" s="297"/>
      <c r="AC51" s="297"/>
      <c r="AD51" s="298"/>
      <c r="AE51" s="296"/>
      <c r="AF51" s="297"/>
      <c r="AG51" s="297"/>
      <c r="AH51" s="297"/>
      <c r="AI51" s="297"/>
      <c r="AJ51" s="297"/>
      <c r="AK51" s="297"/>
      <c r="AL51" s="297"/>
      <c r="AM51" s="297"/>
      <c r="AN51" s="298"/>
      <c r="AO51" s="296"/>
      <c r="AP51" s="297"/>
      <c r="AQ51" s="297"/>
      <c r="AR51" s="297"/>
      <c r="AS51" s="297"/>
      <c r="AT51" s="297"/>
      <c r="AU51" s="297"/>
      <c r="AV51" s="297"/>
      <c r="AW51" s="297"/>
      <c r="AX51" s="298"/>
    </row>
    <row r="52" spans="1:50" ht="7.5" customHeight="1" thickBot="1" x14ac:dyDescent="0.3">
      <c r="A52" s="16"/>
      <c r="B52" s="16"/>
      <c r="C52" s="16"/>
      <c r="D52" s="16"/>
      <c r="E52" s="139"/>
      <c r="F52" s="139"/>
      <c r="G52" s="139"/>
      <c r="H52" s="139"/>
      <c r="I52" s="139"/>
      <c r="J52" s="139"/>
      <c r="K52" s="139"/>
      <c r="L52" s="72"/>
    </row>
    <row r="53" spans="1:50" ht="13.95" customHeight="1" x14ac:dyDescent="0.25">
      <c r="A53" s="16"/>
      <c r="B53" s="16"/>
      <c r="C53" s="16"/>
      <c r="D53" s="16"/>
      <c r="E53" s="139"/>
      <c r="F53" s="139"/>
      <c r="G53" s="139"/>
      <c r="H53" s="139"/>
      <c r="I53" s="139"/>
      <c r="J53" s="139"/>
      <c r="K53" s="139"/>
      <c r="L53" s="72"/>
      <c r="U53" s="132" t="s">
        <v>237</v>
      </c>
      <c r="V53" s="133"/>
      <c r="W53" s="134"/>
      <c r="X53" s="132" t="s">
        <v>238</v>
      </c>
      <c r="Y53" s="133"/>
      <c r="Z53" s="133"/>
      <c r="AA53" s="132" t="s">
        <v>239</v>
      </c>
      <c r="AB53" s="133"/>
      <c r="AC53" s="135"/>
    </row>
    <row r="54" spans="1:50" ht="12" customHeight="1" x14ac:dyDescent="0.25">
      <c r="E54" s="72"/>
      <c r="L54" s="72"/>
      <c r="U54" s="811" t="s">
        <v>240</v>
      </c>
      <c r="V54" s="220" t="s">
        <v>241</v>
      </c>
      <c r="W54" s="160" t="s">
        <v>19</v>
      </c>
      <c r="X54" s="811" t="s">
        <v>240</v>
      </c>
      <c r="Y54" s="220" t="s">
        <v>241</v>
      </c>
      <c r="Z54" s="160" t="s">
        <v>19</v>
      </c>
      <c r="AA54" s="811" t="s">
        <v>240</v>
      </c>
      <c r="AB54" s="220" t="s">
        <v>241</v>
      </c>
      <c r="AC54" s="160" t="s">
        <v>19</v>
      </c>
    </row>
    <row r="55" spans="1:50" ht="12" customHeight="1" x14ac:dyDescent="0.25">
      <c r="E55" s="72"/>
      <c r="L55" s="72"/>
      <c r="U55" s="811" t="s">
        <v>242</v>
      </c>
      <c r="V55" s="251">
        <f>+Z24</f>
        <v>0.83166496524545597</v>
      </c>
      <c r="W55" s="136">
        <f>V55/1000*100</f>
        <v>8.3166496524545608E-2</v>
      </c>
      <c r="X55" s="811" t="s">
        <v>242</v>
      </c>
      <c r="Y55" s="251">
        <f>+AJ24</f>
        <v>0.83166496524545597</v>
      </c>
      <c r="Z55" s="136">
        <f>Y55/1000*100</f>
        <v>8.3166496524545608E-2</v>
      </c>
      <c r="AA55" s="811" t="s">
        <v>242</v>
      </c>
      <c r="AB55" s="251">
        <f>+AT24</f>
        <v>0.83166496524545597</v>
      </c>
      <c r="AC55" s="136">
        <f>AB55/1000*100</f>
        <v>8.3166496524545608E-2</v>
      </c>
    </row>
    <row r="56" spans="1:50" ht="12" customHeight="1" thickBot="1" x14ac:dyDescent="0.3">
      <c r="E56" s="72"/>
      <c r="L56" s="72"/>
      <c r="U56" s="137" t="s">
        <v>243</v>
      </c>
      <c r="V56" s="63">
        <f>+Z25</f>
        <v>0.80836002627271708</v>
      </c>
      <c r="W56" s="64">
        <f>V56/1500*100</f>
        <v>5.3890668418181138E-2</v>
      </c>
      <c r="X56" s="137" t="s">
        <v>243</v>
      </c>
      <c r="Y56" s="63">
        <f>+AJ25</f>
        <v>0.80836002627271708</v>
      </c>
      <c r="Z56" s="64">
        <f>Y56/1500*100</f>
        <v>5.3890668418181138E-2</v>
      </c>
      <c r="AA56" s="137" t="s">
        <v>243</v>
      </c>
      <c r="AB56" s="63">
        <f>+AT25</f>
        <v>0.80836002627271708</v>
      </c>
      <c r="AC56" s="64">
        <f>AB56/1500*100</f>
        <v>5.3890668418181138E-2</v>
      </c>
    </row>
    <row r="57" spans="1:50" ht="7.95" customHeight="1" thickBot="1" x14ac:dyDescent="0.3">
      <c r="E57" s="72"/>
      <c r="L57" s="72"/>
    </row>
    <row r="58" spans="1:50" ht="10.95" customHeight="1" x14ac:dyDescent="0.25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U58" s="234" t="s">
        <v>244</v>
      </c>
      <c r="V58" s="235" t="s">
        <v>245</v>
      </c>
      <c r="W58" s="235" t="s">
        <v>246</v>
      </c>
      <c r="X58" s="235" t="s">
        <v>247</v>
      </c>
      <c r="Y58" s="236"/>
    </row>
    <row r="59" spans="1:50" ht="13.95" customHeight="1" x14ac:dyDescent="0.25">
      <c r="A59" s="4" t="s">
        <v>248</v>
      </c>
      <c r="E59" s="72"/>
      <c r="L59" s="72"/>
      <c r="U59" s="221" t="s">
        <v>249</v>
      </c>
      <c r="V59" s="222">
        <f>+W55</f>
        <v>8.3166496524545608E-2</v>
      </c>
      <c r="W59" s="222">
        <f>+Z55</f>
        <v>8.3166496524545608E-2</v>
      </c>
      <c r="X59" s="223">
        <f>+AC55</f>
        <v>8.3166496524545608E-2</v>
      </c>
      <c r="Y59" s="224" t="s">
        <v>250</v>
      </c>
    </row>
    <row r="60" spans="1:50" ht="16.95" customHeight="1" x14ac:dyDescent="0.25">
      <c r="A60" s="10" t="s">
        <v>173</v>
      </c>
      <c r="R60" s="17" t="s">
        <v>174</v>
      </c>
      <c r="U60" s="221" t="s">
        <v>187</v>
      </c>
      <c r="V60" s="222" t="e">
        <f>+E30</f>
        <v>#N/A</v>
      </c>
      <c r="W60" s="222" t="e">
        <f>+L30</f>
        <v>#N/A</v>
      </c>
      <c r="X60" s="223" t="e">
        <f>+Q30</f>
        <v>#N/A</v>
      </c>
      <c r="Y60" s="224" t="s">
        <v>251</v>
      </c>
    </row>
    <row r="61" spans="1:50" ht="15.75" customHeight="1" x14ac:dyDescent="0.25">
      <c r="U61" s="225" t="s">
        <v>252</v>
      </c>
      <c r="V61" s="231"/>
      <c r="W61" s="231"/>
      <c r="X61" s="231"/>
      <c r="Y61" s="232"/>
    </row>
    <row r="62" spans="1:50" ht="15.75" customHeight="1" x14ac:dyDescent="0.25">
      <c r="A62" s="140"/>
      <c r="J62" s="140"/>
      <c r="U62" s="225" t="s">
        <v>188</v>
      </c>
      <c r="V62" s="222">
        <f>+W56</f>
        <v>5.3890668418181138E-2</v>
      </c>
      <c r="W62" s="223">
        <f>+Z56</f>
        <v>5.3890668418181138E-2</v>
      </c>
      <c r="X62" s="226">
        <f>+AC56</f>
        <v>5.3890668418181138E-2</v>
      </c>
      <c r="Y62" s="224" t="s">
        <v>253</v>
      </c>
    </row>
    <row r="63" spans="1:50" ht="15.75" customHeight="1" thickBot="1" x14ac:dyDescent="0.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U63" s="227" t="s">
        <v>187</v>
      </c>
      <c r="V63" s="250" t="e">
        <f>+V60</f>
        <v>#N/A</v>
      </c>
      <c r="W63" s="250" t="e">
        <f>+W60</f>
        <v>#N/A</v>
      </c>
      <c r="X63" s="250" t="e">
        <f>+X60</f>
        <v>#N/A</v>
      </c>
      <c r="Y63" s="228" t="s">
        <v>254</v>
      </c>
    </row>
    <row r="64" spans="1:50" ht="15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</row>
    <row r="72" spans="16:17" ht="15" customHeight="1" x14ac:dyDescent="0.25">
      <c r="P72" s="171"/>
      <c r="Q72" s="171"/>
    </row>
    <row r="73" spans="16:17" ht="15" customHeight="1" x14ac:dyDescent="0.25">
      <c r="P73" s="172"/>
      <c r="Q73" s="172"/>
    </row>
    <row r="85" spans="26:31" ht="15" customHeight="1" x14ac:dyDescent="0.25">
      <c r="AE85" s="238"/>
    </row>
    <row r="86" spans="26:31" ht="15" customHeight="1" x14ac:dyDescent="0.25">
      <c r="Z86" s="238"/>
      <c r="AA86" s="238"/>
      <c r="AB86" s="238"/>
      <c r="AC86" s="238"/>
      <c r="AD86" s="238"/>
    </row>
    <row r="87" spans="26:31" ht="15" customHeight="1" x14ac:dyDescent="0.25">
      <c r="Z87" s="238"/>
      <c r="AA87" s="238"/>
      <c r="AB87" s="238"/>
      <c r="AC87" s="238"/>
      <c r="AD87" s="238"/>
    </row>
    <row r="88" spans="26:31" ht="15" customHeight="1" x14ac:dyDescent="0.25">
      <c r="Z88" s="238"/>
      <c r="AD88" s="238"/>
    </row>
    <row r="89" spans="26:31" ht="15" customHeight="1" x14ac:dyDescent="0.25">
      <c r="Z89" s="238"/>
      <c r="AD89" s="238"/>
    </row>
    <row r="90" spans="26:31" ht="15" customHeight="1" x14ac:dyDescent="0.25">
      <c r="Z90" s="238"/>
      <c r="AD90" s="238"/>
    </row>
    <row r="91" spans="26:31" ht="15" customHeight="1" x14ac:dyDescent="0.25">
      <c r="Z91" s="238"/>
      <c r="AD91" s="238"/>
    </row>
    <row r="92" spans="26:31" ht="15" customHeight="1" x14ac:dyDescent="0.25">
      <c r="Z92" s="238"/>
      <c r="AA92" s="238"/>
      <c r="AB92" s="238"/>
      <c r="AC92" s="238"/>
      <c r="AD92" s="238"/>
    </row>
  </sheetData>
  <sheetProtection algorithmName="SHA-512" hashValue="BMoqYqj8N6iHSL9PTSW0yNvSp8I+XXTm3BmETABO0YZonc6Be+dUgmJ4pliNQL2QgJCWvW1k8wOLEyY7Nq6U/Q==" saltValue="a9kmzddIiA27SP0uqv3ohA==" spinCount="100000" sheet="1" selectLockedCells="1" selectUnlockedCells="1"/>
  <mergeCells count="25">
    <mergeCell ref="AO9:AX9"/>
    <mergeCell ref="A12:R12"/>
    <mergeCell ref="AO11:AR11"/>
    <mergeCell ref="AP27:AP28"/>
    <mergeCell ref="D7:M7"/>
    <mergeCell ref="A32:J32"/>
    <mergeCell ref="U27:U28"/>
    <mergeCell ref="D4:M4"/>
    <mergeCell ref="AE9:AN9"/>
    <mergeCell ref="A1:R1"/>
    <mergeCell ref="AO27:AO28"/>
    <mergeCell ref="A50:R50"/>
    <mergeCell ref="AE11:AH11"/>
    <mergeCell ref="D5:M5"/>
    <mergeCell ref="V27:V28"/>
    <mergeCell ref="A2:R2"/>
    <mergeCell ref="A47:R47"/>
    <mergeCell ref="U9:AD9"/>
    <mergeCell ref="A10:R10"/>
    <mergeCell ref="D6:M6"/>
    <mergeCell ref="U11:X11"/>
    <mergeCell ref="A9:R9"/>
    <mergeCell ref="AE27:AE28"/>
    <mergeCell ref="A49:R49"/>
    <mergeCell ref="AF27:AF28"/>
  </mergeCells>
  <conditionalFormatting sqref="O35:O38">
    <cfRule type="expression" dxfId="0" priority="9" stopIfTrue="1">
      <formula>$V$45&gt;=100</formula>
    </cfRule>
  </conditionalFormatting>
  <dataValidations count="1">
    <dataValidation type="list" showInputMessage="1" showErrorMessage="1" sqref="Y11 AI11 AS11" xr:uid="{00000000-0002-0000-0300-000000000000}">
      <formula1>"SI, NO"</formula1>
    </dataValidation>
  </dataValidations>
  <printOptions horizontalCentered="1"/>
  <pageMargins left="0.39370078740157483" right="0.39370078740157483" top="1.5748031496062993" bottom="0" header="0" footer="0"/>
  <pageSetup paperSize="274" scale="74" orientation="portrait" r:id="rId1"/>
  <headerFooter scaleWithDoc="0">
    <oddHeader>&amp;C&amp;G</oddHeader>
  </headerFooter>
  <rowBreaks count="1" manualBreakCount="1">
    <brk id="63" max="16383" man="1"/>
  </rowBreaks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B74"/>
  <sheetViews>
    <sheetView showGridLines="0" showWhiteSpace="0" topLeftCell="A7" zoomScale="85" zoomScaleNormal="85" zoomScaleSheetLayoutView="100" workbookViewId="0">
      <selection activeCell="L17" sqref="L17:O17"/>
    </sheetView>
  </sheetViews>
  <sheetFormatPr baseColWidth="10" defaultColWidth="11.44140625" defaultRowHeight="15" customHeight="1" x14ac:dyDescent="0.25"/>
  <cols>
    <col min="1" max="1" width="14" style="66" customWidth="1"/>
    <col min="2" max="2" width="17.88671875" style="66" customWidth="1"/>
    <col min="3" max="3" width="9.5546875" style="66" customWidth="1"/>
    <col min="4" max="9" width="8.6640625" style="66" customWidth="1"/>
    <col min="10" max="10" width="10.44140625" style="66" customWidth="1"/>
    <col min="11" max="12" width="8.6640625" style="66" customWidth="1"/>
    <col min="13" max="13" width="9.6640625" style="66" customWidth="1"/>
    <col min="14" max="14" width="10.33203125" style="66" customWidth="1"/>
    <col min="15" max="16" width="11.33203125" style="66" customWidth="1"/>
    <col min="17" max="17" width="9" style="66" customWidth="1"/>
    <col min="18" max="18" width="8.33203125" style="66" customWidth="1"/>
    <col min="19" max="19" width="9.6640625" style="66" customWidth="1"/>
    <col min="20" max="20" width="10.5546875" style="66" customWidth="1"/>
    <col min="21" max="21" width="15.109375" style="66" customWidth="1"/>
    <col min="22" max="22" width="7.88671875" style="66" customWidth="1"/>
    <col min="23" max="25" width="8.88671875" style="66" customWidth="1"/>
    <col min="26" max="26" width="3" style="66" customWidth="1"/>
    <col min="27" max="29" width="11.44140625" style="66" customWidth="1"/>
    <col min="30" max="16384" width="11.44140625" style="66"/>
  </cols>
  <sheetData>
    <row r="1" spans="1:28" ht="8.25" customHeight="1" x14ac:dyDescent="0.25"/>
    <row r="2" spans="1:28" ht="15" customHeight="1" x14ac:dyDescent="0.25">
      <c r="A2" s="946" t="s">
        <v>255</v>
      </c>
      <c r="B2" s="866"/>
      <c r="C2" s="867"/>
      <c r="D2" s="928" t="s">
        <v>143</v>
      </c>
      <c r="E2" s="867"/>
      <c r="F2" s="5">
        <f>+FORMATO!K9</f>
        <v>0</v>
      </c>
      <c r="G2" s="471" t="s">
        <v>133</v>
      </c>
      <c r="H2" s="472"/>
      <c r="I2" s="175"/>
      <c r="J2" s="470"/>
      <c r="K2" s="773">
        <v>0.02</v>
      </c>
      <c r="L2" s="915" t="s">
        <v>256</v>
      </c>
      <c r="M2" s="866"/>
      <c r="N2" s="867"/>
      <c r="O2" s="571" t="s">
        <v>257</v>
      </c>
      <c r="Q2" s="945" t="s">
        <v>258</v>
      </c>
      <c r="R2" s="866"/>
      <c r="S2" s="866"/>
      <c r="T2" s="866"/>
      <c r="U2" s="867"/>
      <c r="W2" s="941" t="s">
        <v>259</v>
      </c>
      <c r="X2" s="824"/>
      <c r="Y2" s="818"/>
      <c r="AA2" s="556" t="s">
        <v>260</v>
      </c>
      <c r="AB2" s="448"/>
    </row>
    <row r="3" spans="1:28" ht="15" customHeight="1" x14ac:dyDescent="0.25">
      <c r="A3" s="173" t="s">
        <v>261</v>
      </c>
      <c r="B3" s="174"/>
      <c r="C3" s="175"/>
      <c r="D3" s="914" t="s">
        <v>143</v>
      </c>
      <c r="E3" s="867"/>
      <c r="F3" s="65"/>
      <c r="G3" s="471" t="s">
        <v>135</v>
      </c>
      <c r="H3" s="174"/>
      <c r="I3" s="175"/>
      <c r="J3" s="470"/>
      <c r="K3" s="773"/>
      <c r="L3" s="809" t="s">
        <v>262</v>
      </c>
      <c r="M3" s="573" t="s">
        <v>263</v>
      </c>
      <c r="N3" s="574"/>
      <c r="O3" s="571" t="s">
        <v>264</v>
      </c>
      <c r="Q3" s="812" t="s">
        <v>262</v>
      </c>
      <c r="R3" s="812" t="s">
        <v>265</v>
      </c>
      <c r="S3" s="813" t="s">
        <v>266</v>
      </c>
      <c r="T3" s="813" t="s">
        <v>267</v>
      </c>
      <c r="U3" s="813" t="s">
        <v>268</v>
      </c>
      <c r="W3" s="182">
        <f>+D17</f>
        <v>0</v>
      </c>
      <c r="X3" s="182">
        <f>+H17</f>
        <v>0</v>
      </c>
      <c r="Y3" s="182">
        <f>+L17</f>
        <v>0</v>
      </c>
      <c r="AA3" s="444" t="s">
        <v>269</v>
      </c>
      <c r="AB3" s="792" t="s">
        <v>270</v>
      </c>
    </row>
    <row r="4" spans="1:28" ht="15" customHeight="1" x14ac:dyDescent="0.25">
      <c r="A4" s="173" t="s">
        <v>271</v>
      </c>
      <c r="B4" s="174"/>
      <c r="C4" s="175"/>
      <c r="D4" s="932" t="s">
        <v>143</v>
      </c>
      <c r="E4" s="933"/>
      <c r="F4" s="5"/>
      <c r="G4" s="471" t="s">
        <v>137</v>
      </c>
      <c r="H4" s="174"/>
      <c r="I4" s="175"/>
      <c r="J4" s="751"/>
      <c r="K4" s="774">
        <v>0.1</v>
      </c>
      <c r="L4" s="812">
        <v>1</v>
      </c>
      <c r="M4" s="812" t="str">
        <f>+Balanza!C11</f>
        <v>EQP-0054</v>
      </c>
      <c r="N4" s="812">
        <f>+Balanza!C7</f>
        <v>-1.4899999999999999E-6</v>
      </c>
      <c r="O4" s="572">
        <f>+Balanza!D12</f>
        <v>46160</v>
      </c>
      <c r="Q4" s="599" t="s">
        <v>272</v>
      </c>
      <c r="R4" s="771">
        <v>8178</v>
      </c>
      <c r="S4" s="776">
        <v>2122.1999999999998</v>
      </c>
      <c r="T4" s="777">
        <v>116.5</v>
      </c>
      <c r="U4" s="777">
        <v>152.29499999999999</v>
      </c>
      <c r="V4" s="804" t="s">
        <v>75</v>
      </c>
      <c r="W4" s="810" t="e">
        <f>VLOOKUP(D17,Q4:T21,4,FALSE)</f>
        <v>#N/A</v>
      </c>
      <c r="X4" s="810" t="e">
        <f>VLOOKUP(H17,Q4:T21,4,FALSE)</f>
        <v>#N/A</v>
      </c>
      <c r="Y4" s="810" t="e">
        <f>VLOOKUP(L17,Q4:T21,4,FALSE)</f>
        <v>#N/A</v>
      </c>
      <c r="AA4" s="794">
        <v>1</v>
      </c>
      <c r="AB4" s="445">
        <v>49.6</v>
      </c>
    </row>
    <row r="5" spans="1:28" ht="15" customHeight="1" x14ac:dyDescent="0.25">
      <c r="A5" s="173" t="s">
        <v>273</v>
      </c>
      <c r="B5" s="174"/>
      <c r="C5" s="174"/>
      <c r="D5" s="928" t="s">
        <v>143</v>
      </c>
      <c r="E5" s="867"/>
      <c r="F5" s="65"/>
      <c r="G5" s="65"/>
      <c r="L5" s="812">
        <v>2</v>
      </c>
      <c r="M5" s="812" t="str">
        <f>+Balanza!M11</f>
        <v>EQP-0046</v>
      </c>
      <c r="N5" s="469">
        <f>+Balanza!M7</f>
        <v>-3.2899999999999998E-6</v>
      </c>
      <c r="O5" s="572">
        <f>+Balanza!O12</f>
        <v>46132</v>
      </c>
      <c r="Q5" s="599" t="s">
        <v>274</v>
      </c>
      <c r="R5" s="771">
        <v>7715</v>
      </c>
      <c r="S5" s="776">
        <v>2119.4</v>
      </c>
      <c r="T5" s="778">
        <v>116.35</v>
      </c>
      <c r="U5" s="777">
        <v>152.29499999999999</v>
      </c>
      <c r="V5" s="804" t="s">
        <v>78</v>
      </c>
      <c r="AA5" s="794">
        <v>2</v>
      </c>
      <c r="AB5" s="445">
        <v>49.61</v>
      </c>
    </row>
    <row r="6" spans="1:28" ht="15" customHeight="1" x14ac:dyDescent="0.25">
      <c r="A6" s="173" t="s">
        <v>157</v>
      </c>
      <c r="B6" s="174"/>
      <c r="C6" s="175"/>
      <c r="D6" s="928" t="s">
        <v>143</v>
      </c>
      <c r="E6" s="867"/>
      <c r="F6" s="65"/>
      <c r="G6" s="65"/>
      <c r="Q6" s="599" t="s">
        <v>275</v>
      </c>
      <c r="R6" s="771">
        <v>8378</v>
      </c>
      <c r="S6" s="776">
        <v>2121.3000000000002</v>
      </c>
      <c r="T6" s="778">
        <v>116.62</v>
      </c>
      <c r="U6" s="777">
        <v>152.185</v>
      </c>
      <c r="V6" s="804" t="s">
        <v>81</v>
      </c>
      <c r="AA6" s="794">
        <v>3</v>
      </c>
      <c r="AB6" s="445">
        <v>49.6</v>
      </c>
    </row>
    <row r="7" spans="1:28" ht="15" customHeight="1" x14ac:dyDescent="0.25">
      <c r="L7" s="956" t="s">
        <v>276</v>
      </c>
      <c r="M7" s="873"/>
      <c r="N7" s="475">
        <v>1</v>
      </c>
      <c r="Q7" s="599" t="s">
        <v>277</v>
      </c>
      <c r="R7" s="771">
        <v>8105</v>
      </c>
      <c r="S7" s="776">
        <v>2125</v>
      </c>
      <c r="T7" s="778">
        <v>116.59</v>
      </c>
      <c r="U7" s="777">
        <v>152.33500000000001</v>
      </c>
      <c r="V7" s="779" t="s">
        <v>84</v>
      </c>
      <c r="AA7" s="794">
        <v>4</v>
      </c>
      <c r="AB7" s="445">
        <v>49.6</v>
      </c>
    </row>
    <row r="8" spans="1:28" ht="15" customHeight="1" x14ac:dyDescent="0.25">
      <c r="A8" s="173" t="s">
        <v>278</v>
      </c>
      <c r="B8" s="176"/>
      <c r="C8" s="812" t="s">
        <v>279</v>
      </c>
      <c r="D8" s="918">
        <f>+AB9+INCERT!D80</f>
        <v>49.603844559999999</v>
      </c>
      <c r="E8" s="867"/>
      <c r="F8" s="804" t="s">
        <v>280</v>
      </c>
      <c r="G8" s="804"/>
      <c r="P8" s="213"/>
      <c r="Q8" s="599" t="s">
        <v>281</v>
      </c>
      <c r="R8" s="771">
        <v>7581</v>
      </c>
      <c r="S8" s="776">
        <v>2126.1</v>
      </c>
      <c r="T8" s="778">
        <v>116.69</v>
      </c>
      <c r="U8" s="777">
        <v>152.315</v>
      </c>
      <c r="V8" s="779" t="s">
        <v>87</v>
      </c>
      <c r="AA8" s="794">
        <v>5</v>
      </c>
      <c r="AB8" s="445">
        <v>49.61</v>
      </c>
    </row>
    <row r="9" spans="1:28" ht="15" customHeight="1" x14ac:dyDescent="0.25">
      <c r="A9" s="173" t="s">
        <v>282</v>
      </c>
      <c r="B9" s="175"/>
      <c r="C9" s="812" t="s">
        <v>283</v>
      </c>
      <c r="D9" s="913">
        <f>((D8^2)*PI()/4)/100</f>
        <v>19.325046927005715</v>
      </c>
      <c r="E9" s="867"/>
      <c r="P9" s="213"/>
      <c r="Q9" s="599" t="s">
        <v>284</v>
      </c>
      <c r="R9" s="771">
        <v>8172</v>
      </c>
      <c r="S9" s="776">
        <v>2124.6</v>
      </c>
      <c r="T9" s="778">
        <v>116.67</v>
      </c>
      <c r="U9" s="777">
        <v>152.27000000000001</v>
      </c>
      <c r="V9" s="779" t="s">
        <v>90</v>
      </c>
      <c r="AA9" s="362" t="s">
        <v>285</v>
      </c>
      <c r="AB9" s="567">
        <f>+AVERAGE(AB4:AB8)</f>
        <v>49.603999999999999</v>
      </c>
    </row>
    <row r="10" spans="1:28" ht="15" customHeight="1" x14ac:dyDescent="0.25">
      <c r="A10" s="173" t="s">
        <v>286</v>
      </c>
      <c r="B10" s="178"/>
      <c r="C10" s="161" t="s">
        <v>287</v>
      </c>
      <c r="D10" s="948">
        <f>+FORMATO!D25</f>
        <v>0</v>
      </c>
      <c r="E10" s="867"/>
      <c r="F10" s="752" t="str">
        <f>+IF(AND(D10&gt;18,D10&lt;24),"conforme","Temperatura Fuera del rango")</f>
        <v>Temperatura Fuera del rango</v>
      </c>
      <c r="M10" s="179"/>
      <c r="O10" s="1"/>
      <c r="P10" s="213"/>
      <c r="Q10" s="599" t="s">
        <v>288</v>
      </c>
      <c r="R10" s="771">
        <v>7844</v>
      </c>
      <c r="S10" s="776">
        <v>2126.1</v>
      </c>
      <c r="T10" s="778">
        <v>116.7</v>
      </c>
      <c r="U10" s="777">
        <v>152.30500000000001</v>
      </c>
      <c r="V10" s="779" t="s">
        <v>92</v>
      </c>
    </row>
    <row r="11" spans="1:28" ht="15" customHeight="1" x14ac:dyDescent="0.25">
      <c r="A11" s="173" t="s">
        <v>289</v>
      </c>
      <c r="B11" s="178"/>
      <c r="C11" s="161" t="s">
        <v>287</v>
      </c>
      <c r="D11" s="948">
        <f>+FORMATO!D26</f>
        <v>0</v>
      </c>
      <c r="E11" s="867"/>
      <c r="F11" s="752" t="str">
        <f>+IF(AND(D11&gt;18,D11&lt;24),"conforme","Temperatura Fuera del rango")</f>
        <v>Temperatura Fuera del rango</v>
      </c>
      <c r="P11" s="213"/>
      <c r="Q11" s="599" t="s">
        <v>290</v>
      </c>
      <c r="R11" s="771">
        <v>7874</v>
      </c>
      <c r="S11" s="776">
        <v>2127.8000000000002</v>
      </c>
      <c r="T11" s="778">
        <v>116.69</v>
      </c>
      <c r="U11" s="777">
        <v>152.375</v>
      </c>
      <c r="V11" s="779" t="s">
        <v>96</v>
      </c>
    </row>
    <row r="12" spans="1:28" ht="15" customHeight="1" x14ac:dyDescent="0.25">
      <c r="P12" s="213"/>
      <c r="Q12" s="599" t="s">
        <v>291</v>
      </c>
      <c r="R12" s="771">
        <v>8010</v>
      </c>
      <c r="S12" s="776">
        <v>2125.8000000000002</v>
      </c>
      <c r="T12" s="778">
        <v>116.69</v>
      </c>
      <c r="U12" s="777">
        <v>152.30000000000001</v>
      </c>
      <c r="V12" s="779" t="s">
        <v>99</v>
      </c>
    </row>
    <row r="13" spans="1:28" ht="15" customHeight="1" thickBot="1" x14ac:dyDescent="0.3">
      <c r="Q13" s="746"/>
      <c r="R13" s="780"/>
      <c r="S13" s="781"/>
      <c r="T13" s="746"/>
      <c r="U13" s="782"/>
      <c r="V13" s="709"/>
    </row>
    <row r="14" spans="1:28" ht="18" customHeight="1" thickBot="1" x14ac:dyDescent="0.3">
      <c r="A14" s="952" t="s">
        <v>292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950"/>
      <c r="O14" s="953"/>
      <c r="Q14" s="746"/>
      <c r="R14" s="780"/>
      <c r="S14" s="781"/>
      <c r="T14" s="746"/>
      <c r="U14" s="782"/>
      <c r="V14" s="709"/>
      <c r="W14" s="180"/>
      <c r="X14" s="180"/>
      <c r="Y14" s="180"/>
    </row>
    <row r="15" spans="1:28" ht="18" customHeight="1" x14ac:dyDescent="0.25">
      <c r="A15" s="935" t="s">
        <v>156</v>
      </c>
      <c r="B15" s="920"/>
      <c r="C15" s="936"/>
      <c r="D15" s="919">
        <v>56</v>
      </c>
      <c r="E15" s="920"/>
      <c r="F15" s="920"/>
      <c r="G15" s="921"/>
      <c r="H15" s="919">
        <v>25</v>
      </c>
      <c r="I15" s="920"/>
      <c r="J15" s="920"/>
      <c r="K15" s="921"/>
      <c r="L15" s="919">
        <v>10</v>
      </c>
      <c r="M15" s="920"/>
      <c r="N15" s="920"/>
      <c r="O15" s="921"/>
      <c r="Q15" s="746"/>
      <c r="R15" s="780"/>
      <c r="S15" s="781"/>
      <c r="T15" s="746"/>
      <c r="U15" s="782"/>
      <c r="V15" s="709"/>
      <c r="W15" s="180"/>
      <c r="X15" s="180"/>
    </row>
    <row r="16" spans="1:28" s="1" customFormat="1" ht="18" customHeight="1" x14ac:dyDescent="0.25">
      <c r="A16" s="56" t="s">
        <v>293</v>
      </c>
      <c r="B16" s="40"/>
      <c r="C16" s="57"/>
      <c r="D16" s="943" t="s">
        <v>39</v>
      </c>
      <c r="E16" s="818"/>
      <c r="F16" s="870" t="s">
        <v>40</v>
      </c>
      <c r="G16" s="818"/>
      <c r="H16" s="943" t="s">
        <v>39</v>
      </c>
      <c r="I16" s="818"/>
      <c r="J16" s="870" t="s">
        <v>40</v>
      </c>
      <c r="K16" s="818"/>
      <c r="L16" s="943" t="s">
        <v>39</v>
      </c>
      <c r="M16" s="818"/>
      <c r="N16" s="870" t="s">
        <v>40</v>
      </c>
      <c r="O16" s="818"/>
      <c r="P16" s="66"/>
      <c r="Q16" s="746"/>
      <c r="R16" s="783"/>
      <c r="S16" s="784"/>
      <c r="T16" s="785"/>
      <c r="U16" s="786"/>
      <c r="V16" s="709"/>
      <c r="W16" s="180"/>
      <c r="X16" s="180"/>
    </row>
    <row r="17" spans="1:25" s="1" customFormat="1" ht="28.8" customHeight="1" x14ac:dyDescent="0.25">
      <c r="A17" s="56" t="s">
        <v>294</v>
      </c>
      <c r="B17" s="40"/>
      <c r="C17" s="57"/>
      <c r="D17" s="922">
        <f>+FORMATO!D24</f>
        <v>0</v>
      </c>
      <c r="E17" s="866"/>
      <c r="F17" s="866"/>
      <c r="G17" s="923"/>
      <c r="H17" s="922">
        <f>+FORMATO!H24</f>
        <v>0</v>
      </c>
      <c r="I17" s="866"/>
      <c r="J17" s="866"/>
      <c r="K17" s="923"/>
      <c r="L17" s="954">
        <f>+FORMATO!L24</f>
        <v>0</v>
      </c>
      <c r="M17" s="866"/>
      <c r="N17" s="866"/>
      <c r="O17" s="923"/>
      <c r="P17" s="772"/>
      <c r="Q17" s="746"/>
      <c r="R17" s="783"/>
      <c r="S17" s="784"/>
      <c r="T17" s="785"/>
      <c r="U17" s="786"/>
      <c r="V17" s="709"/>
      <c r="W17" s="180"/>
      <c r="X17" s="180"/>
    </row>
    <row r="18" spans="1:25" s="1" customFormat="1" ht="18" customHeight="1" x14ac:dyDescent="0.25">
      <c r="A18" s="916" t="s">
        <v>295</v>
      </c>
      <c r="B18" s="818"/>
      <c r="C18" s="160" t="s">
        <v>22</v>
      </c>
      <c r="D18" s="601">
        <f>+FORMATO!D27</f>
        <v>0</v>
      </c>
      <c r="E18" s="41">
        <f>+D18+$N$4*D18</f>
        <v>0</v>
      </c>
      <c r="F18" s="601">
        <f>+FORMATO!F27</f>
        <v>0</v>
      </c>
      <c r="G18" s="44">
        <f>+F18+$N$4*F18</f>
        <v>0</v>
      </c>
      <c r="H18" s="601">
        <f>+FORMATO!H27</f>
        <v>0</v>
      </c>
      <c r="I18" s="41">
        <f>+H18+$N$4*H18</f>
        <v>0</v>
      </c>
      <c r="J18" s="601">
        <f>+FORMATO!J27</f>
        <v>0</v>
      </c>
      <c r="K18" s="44">
        <f>+J18+$N$4*J18</f>
        <v>0</v>
      </c>
      <c r="L18" s="601">
        <f>+FORMATO!L27</f>
        <v>0</v>
      </c>
      <c r="M18" s="41">
        <f>+L18+$N$4*L18</f>
        <v>0</v>
      </c>
      <c r="N18" s="601">
        <f>+FORMATO!O27</f>
        <v>0</v>
      </c>
      <c r="O18" s="44">
        <f>+N18+$N$4*N18</f>
        <v>0</v>
      </c>
      <c r="P18" s="66"/>
      <c r="Q18" s="746"/>
      <c r="R18" s="783"/>
      <c r="S18" s="784"/>
      <c r="T18" s="785"/>
      <c r="U18" s="786"/>
      <c r="V18" s="709"/>
      <c r="W18" s="180"/>
      <c r="X18" s="180"/>
      <c r="Y18" s="180"/>
    </row>
    <row r="19" spans="1:25" s="1" customFormat="1" ht="18" customHeight="1" x14ac:dyDescent="0.25">
      <c r="A19" s="916" t="s">
        <v>296</v>
      </c>
      <c r="B19" s="818"/>
      <c r="C19" s="160" t="s">
        <v>22</v>
      </c>
      <c r="D19" s="49"/>
      <c r="E19" s="41" t="e">
        <f>VLOOKUP($D$17,$Q$4:$S$21,2,FALSE)</f>
        <v>#N/A</v>
      </c>
      <c r="G19" s="41" t="e">
        <f>VLOOKUP($D$17,$Q$4:$S$21,2,FALSE)</f>
        <v>#N/A</v>
      </c>
      <c r="H19" s="51"/>
      <c r="I19" s="41" t="e">
        <f>VLOOKUP($H$17,$Q$4:$S$21,2,FALSE)</f>
        <v>#N/A</v>
      </c>
      <c r="J19" s="39"/>
      <c r="K19" s="41" t="e">
        <f>VLOOKUP($H$17,$Q$4:$S$21,2,FALSE)</f>
        <v>#N/A</v>
      </c>
      <c r="L19" s="51"/>
      <c r="M19" s="41" t="e">
        <f>VLOOKUP($L$17,$Q$4:$S$21,2,FALSE)</f>
        <v>#N/A</v>
      </c>
      <c r="N19" s="39"/>
      <c r="O19" s="44" t="e">
        <f>VLOOKUP($L$17,$Q$4:$S$21,2,FALSE)</f>
        <v>#N/A</v>
      </c>
      <c r="P19" s="66"/>
      <c r="Q19" s="746"/>
      <c r="R19" s="783"/>
      <c r="S19" s="784"/>
      <c r="T19" s="785"/>
      <c r="U19" s="786"/>
      <c r="V19" s="709"/>
      <c r="W19" s="180"/>
      <c r="X19" s="180"/>
      <c r="Y19" s="180"/>
    </row>
    <row r="20" spans="1:25" s="1" customFormat="1" ht="18" customHeight="1" x14ac:dyDescent="0.25">
      <c r="A20" s="916" t="s">
        <v>297</v>
      </c>
      <c r="B20" s="818"/>
      <c r="C20" s="160" t="s">
        <v>19</v>
      </c>
      <c r="D20" s="50"/>
      <c r="E20" s="41" t="e">
        <f>+E32</f>
        <v>#DIV/0!</v>
      </c>
      <c r="F20" s="797"/>
      <c r="G20" s="44" t="e">
        <f>+G32</f>
        <v>#DIV/0!</v>
      </c>
      <c r="H20" s="50"/>
      <c r="I20" s="41" t="e">
        <f>+I32</f>
        <v>#DIV/0!</v>
      </c>
      <c r="J20" s="797"/>
      <c r="K20" s="44" t="e">
        <f>+K32</f>
        <v>#DIV/0!</v>
      </c>
      <c r="L20" s="50"/>
      <c r="M20" s="41" t="e">
        <f>+M32</f>
        <v>#DIV/0!</v>
      </c>
      <c r="N20" s="797"/>
      <c r="O20" s="44" t="e">
        <f>+O32</f>
        <v>#DIV/0!</v>
      </c>
      <c r="P20" s="66"/>
      <c r="Q20" s="746"/>
      <c r="R20" s="783"/>
      <c r="S20" s="784"/>
      <c r="T20" s="785"/>
      <c r="U20" s="786"/>
      <c r="V20" s="709"/>
      <c r="W20" s="180"/>
      <c r="X20" s="180"/>
      <c r="Y20" s="181"/>
    </row>
    <row r="21" spans="1:25" s="1" customFormat="1" ht="18" customHeight="1" x14ac:dyDescent="0.25">
      <c r="A21" s="944" t="s">
        <v>298</v>
      </c>
      <c r="B21" s="818"/>
      <c r="C21" s="160" t="s">
        <v>22</v>
      </c>
      <c r="D21" s="45"/>
      <c r="E21" s="41" t="e">
        <f>(E18-E19)/(1+(E20/100))</f>
        <v>#N/A</v>
      </c>
      <c r="F21" s="42"/>
      <c r="G21" s="44" t="e">
        <f>(G18-G19)/(1+(G20/100))</f>
        <v>#N/A</v>
      </c>
      <c r="H21" s="45"/>
      <c r="I21" s="41" t="e">
        <f>(I18-I19)/(1+(I20/100))</f>
        <v>#N/A</v>
      </c>
      <c r="J21" s="42"/>
      <c r="K21" s="44" t="e">
        <f>(K18-K19)/(1+(K20/100))</f>
        <v>#N/A</v>
      </c>
      <c r="L21" s="45"/>
      <c r="M21" s="41" t="e">
        <f>(M18-M19)/(1+(M20/100))</f>
        <v>#N/A</v>
      </c>
      <c r="N21" s="42"/>
      <c r="O21" s="44" t="e">
        <f>(O18-O19)/(1+(O20/100))</f>
        <v>#N/A</v>
      </c>
      <c r="P21" s="66"/>
      <c r="Q21" s="746"/>
      <c r="R21" s="783"/>
      <c r="S21" s="784"/>
      <c r="T21" s="785"/>
      <c r="U21" s="786"/>
      <c r="V21" s="709"/>
      <c r="W21" s="180"/>
      <c r="X21" s="180"/>
      <c r="Y21" s="181"/>
    </row>
    <row r="22" spans="1:25" s="1" customFormat="1" ht="18" customHeight="1" x14ac:dyDescent="0.25">
      <c r="A22" s="916" t="s">
        <v>299</v>
      </c>
      <c r="B22" s="818"/>
      <c r="C22" s="160" t="s">
        <v>300</v>
      </c>
      <c r="D22" s="51"/>
      <c r="E22" s="41" t="e">
        <f>VLOOKUP($D$17,$Q$4:$S$21,3,FALSE)</f>
        <v>#N/A</v>
      </c>
      <c r="F22" s="39"/>
      <c r="G22" s="41" t="e">
        <f>VLOOKUP($D$17,$Q$4:$S$21,3,FALSE)</f>
        <v>#N/A</v>
      </c>
      <c r="H22" s="51"/>
      <c r="I22" s="41" t="e">
        <f>VLOOKUP($H$17,$Q$4:$S$21,3,FALSE)</f>
        <v>#N/A</v>
      </c>
      <c r="J22" s="39"/>
      <c r="K22" s="41" t="e">
        <f>VLOOKUP($H$17,$Q$4:$S$21,3,FALSE)</f>
        <v>#N/A</v>
      </c>
      <c r="L22" s="51"/>
      <c r="M22" s="41" t="e">
        <f>VLOOKUP($L$17,$Q$4:$S$21,3,FALSE)</f>
        <v>#N/A</v>
      </c>
      <c r="N22" s="39"/>
      <c r="O22" s="44" t="e">
        <f>VLOOKUP($L$17,$Q$4:$S$21,3,FALSE)</f>
        <v>#N/A</v>
      </c>
      <c r="P22" s="66"/>
      <c r="W22" s="180"/>
      <c r="X22" s="180"/>
    </row>
    <row r="23" spans="1:25" s="1" customFormat="1" ht="18" customHeight="1" x14ac:dyDescent="0.25">
      <c r="A23" s="934" t="s">
        <v>301</v>
      </c>
      <c r="B23" s="818"/>
      <c r="C23" s="477" t="s">
        <v>159</v>
      </c>
      <c r="D23" s="51"/>
      <c r="E23" s="478" t="e">
        <f>+E21/E22</f>
        <v>#N/A</v>
      </c>
      <c r="F23" s="478"/>
      <c r="G23" s="479" t="e">
        <f>+G21/G22</f>
        <v>#N/A</v>
      </c>
      <c r="H23" s="480"/>
      <c r="I23" s="478" t="e">
        <f>+I21/I22</f>
        <v>#N/A</v>
      </c>
      <c r="J23" s="478"/>
      <c r="K23" s="479" t="e">
        <f>+K21/K22</f>
        <v>#N/A</v>
      </c>
      <c r="L23" s="480"/>
      <c r="M23" s="478" t="e">
        <f>+M21/M22</f>
        <v>#N/A</v>
      </c>
      <c r="N23" s="478"/>
      <c r="O23" s="479" t="e">
        <f>+O21/O22</f>
        <v>#N/A</v>
      </c>
      <c r="P23" s="66"/>
      <c r="W23" s="180"/>
      <c r="X23" s="180"/>
      <c r="Y23" s="180"/>
    </row>
    <row r="24" spans="1:25" s="1" customFormat="1" ht="18" customHeight="1" thickBot="1" x14ac:dyDescent="0.3">
      <c r="A24" s="955" t="s">
        <v>302</v>
      </c>
      <c r="B24" s="931"/>
      <c r="C24" s="58" t="s">
        <v>162</v>
      </c>
      <c r="D24" s="52"/>
      <c r="E24" s="53" t="e">
        <f>MROUND(9.8066*E23,0.02)</f>
        <v>#N/A</v>
      </c>
      <c r="F24" s="63"/>
      <c r="G24" s="53" t="e">
        <f>MROUND(9.8066*G23,0.02)</f>
        <v>#N/A</v>
      </c>
      <c r="H24" s="55"/>
      <c r="I24" s="53" t="e">
        <f>MROUND(9.8066*I23,0.02)</f>
        <v>#N/A</v>
      </c>
      <c r="J24" s="53"/>
      <c r="K24" s="53" t="e">
        <f>MROUND(9.8066*K23,0.02)</f>
        <v>#N/A</v>
      </c>
      <c r="L24" s="55"/>
      <c r="M24" s="53" t="e">
        <f>MROUND(9.8066*M23,0.02)</f>
        <v>#N/A</v>
      </c>
      <c r="N24" s="53"/>
      <c r="O24" s="54" t="e">
        <f>MROUND(9.8066*O23,0.02)</f>
        <v>#N/A</v>
      </c>
      <c r="P24" s="66"/>
      <c r="W24" s="180"/>
      <c r="X24" s="180"/>
      <c r="Y24" s="180"/>
    </row>
    <row r="25" spans="1:25" s="1" customFormat="1" ht="18" customHeight="1" thickBot="1" x14ac:dyDescent="0.3">
      <c r="A25" s="949" t="s">
        <v>303</v>
      </c>
      <c r="B25" s="950"/>
      <c r="C25" s="950"/>
      <c r="D25" s="950"/>
      <c r="E25" s="950"/>
      <c r="F25" s="950"/>
      <c r="G25" s="950"/>
      <c r="H25" s="950"/>
      <c r="I25" s="950"/>
      <c r="J25" s="950"/>
      <c r="K25" s="950"/>
      <c r="L25" s="950"/>
      <c r="M25" s="950"/>
      <c r="N25" s="950"/>
      <c r="O25" s="951"/>
      <c r="P25" s="66"/>
      <c r="Q25" s="39">
        <f>+J3-0.5</f>
        <v>-0.5</v>
      </c>
      <c r="R25" s="39">
        <f>+J3+0.5</f>
        <v>0.5</v>
      </c>
      <c r="W25" s="180"/>
      <c r="X25" s="180"/>
      <c r="Y25" s="181"/>
    </row>
    <row r="26" spans="1:25" s="1" customFormat="1" ht="18" customHeight="1" x14ac:dyDescent="0.25">
      <c r="A26" s="942" t="s">
        <v>47</v>
      </c>
      <c r="B26" s="936"/>
      <c r="C26" s="59" t="s">
        <v>143</v>
      </c>
      <c r="D26" s="939">
        <f>+FORMATO!D29</f>
        <v>0</v>
      </c>
      <c r="E26" s="940"/>
      <c r="F26" s="939">
        <f>+FORMATO!F29</f>
        <v>0</v>
      </c>
      <c r="G26" s="940"/>
      <c r="H26" s="939">
        <f>+FORMATO!H29</f>
        <v>0</v>
      </c>
      <c r="I26" s="940"/>
      <c r="J26" s="939">
        <f>+FORMATO!J29</f>
        <v>0</v>
      </c>
      <c r="K26" s="940"/>
      <c r="L26" s="939">
        <f>+FORMATO!L29</f>
        <v>0</v>
      </c>
      <c r="M26" s="940"/>
      <c r="N26" s="939">
        <f>+FORMATO!O29</f>
        <v>0</v>
      </c>
      <c r="O26" s="940"/>
      <c r="P26" s="66"/>
      <c r="T26" s="5"/>
      <c r="U26" s="5"/>
      <c r="W26" s="180"/>
      <c r="X26" s="180"/>
      <c r="Y26" s="181"/>
    </row>
    <row r="27" spans="1:25" s="1" customFormat="1" ht="18" customHeight="1" x14ac:dyDescent="0.25">
      <c r="A27" s="163" t="s">
        <v>304</v>
      </c>
      <c r="B27" s="164"/>
      <c r="C27" s="160" t="s">
        <v>22</v>
      </c>
      <c r="D27" s="601">
        <f>+FORMATO!D30</f>
        <v>0</v>
      </c>
      <c r="E27" s="43">
        <f>+D27+$N$5*D27</f>
        <v>0</v>
      </c>
      <c r="F27" s="476">
        <f>+FORMATO!F30</f>
        <v>0</v>
      </c>
      <c r="G27" s="43">
        <f>+F27+$N$5*F27</f>
        <v>0</v>
      </c>
      <c r="H27" s="476">
        <f>+FORMATO!H30</f>
        <v>0</v>
      </c>
      <c r="I27" s="43">
        <f>+H27+$N$5*H27</f>
        <v>0</v>
      </c>
      <c r="J27" s="476">
        <f>+FORMATO!J30</f>
        <v>0</v>
      </c>
      <c r="K27" s="43">
        <f>+J27+$N$5*J27</f>
        <v>0</v>
      </c>
      <c r="L27" s="476">
        <f>+FORMATO!L30</f>
        <v>0</v>
      </c>
      <c r="M27" s="43">
        <f>+L27+$N$5*L27</f>
        <v>0</v>
      </c>
      <c r="N27" s="476">
        <f>+FORMATO!O30</f>
        <v>0</v>
      </c>
      <c r="O27" s="43">
        <f>+N27+$N$5*N27</f>
        <v>0</v>
      </c>
      <c r="P27" s="66"/>
      <c r="Q27" s="39" t="s">
        <v>305</v>
      </c>
      <c r="R27" s="39"/>
      <c r="S27" s="161">
        <v>2500</v>
      </c>
      <c r="T27" s="5"/>
      <c r="U27" s="5"/>
      <c r="W27" s="180"/>
      <c r="X27" s="180"/>
      <c r="Y27" s="181"/>
    </row>
    <row r="28" spans="1:25" s="1" customFormat="1" ht="18" customHeight="1" x14ac:dyDescent="0.25">
      <c r="A28" s="229" t="s">
        <v>306</v>
      </c>
      <c r="B28" s="230"/>
      <c r="C28" s="60" t="s">
        <v>22</v>
      </c>
      <c r="D28" s="476">
        <f>+FORMATO!D31</f>
        <v>0</v>
      </c>
      <c r="E28" s="43">
        <f>+D28+$N$5*D28</f>
        <v>0</v>
      </c>
      <c r="F28" s="476">
        <f>+FORMATO!F31</f>
        <v>0</v>
      </c>
      <c r="G28" s="43">
        <f>+F28+$N$5*F28</f>
        <v>0</v>
      </c>
      <c r="H28" s="476">
        <f>+FORMATO!H31</f>
        <v>0</v>
      </c>
      <c r="I28" s="43">
        <f>+H28+$N$5*H28</f>
        <v>0</v>
      </c>
      <c r="J28" s="476">
        <f>+FORMATO!J31</f>
        <v>0</v>
      </c>
      <c r="K28" s="43">
        <f>+J28+$N$5*J28</f>
        <v>0</v>
      </c>
      <c r="L28" s="476">
        <f>+FORMATO!L31</f>
        <v>0</v>
      </c>
      <c r="M28" s="43">
        <f>+L28+$N$5*L28</f>
        <v>0</v>
      </c>
      <c r="N28" s="476">
        <f>+FORMATO!O31</f>
        <v>0</v>
      </c>
      <c r="O28" s="43">
        <f>+N28+$N$5*N28</f>
        <v>0</v>
      </c>
      <c r="P28" s="66"/>
      <c r="Q28" s="538">
        <f>+D26</f>
        <v>0</v>
      </c>
      <c r="R28" s="107">
        <f>+D28-D27</f>
        <v>0</v>
      </c>
      <c r="S28" s="555" t="str">
        <f>+IF(R28&gt;$S$27,"cumple","no cumple")</f>
        <v>no cumple</v>
      </c>
      <c r="W28" s="180"/>
      <c r="X28" s="180"/>
      <c r="Y28" s="181"/>
    </row>
    <row r="29" spans="1:25" s="1" customFormat="1" ht="18" customHeight="1" x14ac:dyDescent="0.25">
      <c r="A29" s="163" t="s">
        <v>307</v>
      </c>
      <c r="B29" s="164"/>
      <c r="C29" s="160" t="s">
        <v>22</v>
      </c>
      <c r="D29" s="476">
        <f>+FORMATO!D33</f>
        <v>0</v>
      </c>
      <c r="E29" s="44">
        <f>+D29+$N$5*D29</f>
        <v>0</v>
      </c>
      <c r="F29" s="476">
        <f>+FORMATO!F33</f>
        <v>0</v>
      </c>
      <c r="G29" s="44">
        <f>+F29+$N$5*F29</f>
        <v>0</v>
      </c>
      <c r="H29" s="476">
        <f>+FORMATO!H33</f>
        <v>0</v>
      </c>
      <c r="I29" s="44">
        <f>+H29+$N$5*H29</f>
        <v>0</v>
      </c>
      <c r="J29" s="476">
        <f>+FORMATO!J33</f>
        <v>0</v>
      </c>
      <c r="K29" s="44">
        <f>+J29+$N$5*J29</f>
        <v>0</v>
      </c>
      <c r="L29" s="476">
        <f>+FORMATO!L33</f>
        <v>0</v>
      </c>
      <c r="M29" s="44">
        <f>+L29+$N$5*L29</f>
        <v>0</v>
      </c>
      <c r="N29" s="476">
        <f>+FORMATO!O33</f>
        <v>0</v>
      </c>
      <c r="O29" s="44">
        <f>+N29+$N$5*N29</f>
        <v>0</v>
      </c>
      <c r="P29" s="66"/>
      <c r="Q29" s="538">
        <f>+H26</f>
        <v>0</v>
      </c>
      <c r="R29" s="107">
        <f>+H28-H27</f>
        <v>0</v>
      </c>
      <c r="S29" s="555" t="str">
        <f>+IF(R29&gt;$S$27,"cumple","no cumple")</f>
        <v>no cumple</v>
      </c>
      <c r="W29" s="180"/>
      <c r="X29" s="180"/>
      <c r="Y29" s="180"/>
    </row>
    <row r="30" spans="1:25" s="1" customFormat="1" ht="18" customHeight="1" x14ac:dyDescent="0.25">
      <c r="A30" s="163" t="s">
        <v>308</v>
      </c>
      <c r="B30" s="164"/>
      <c r="C30" s="160" t="s">
        <v>22</v>
      </c>
      <c r="D30" s="476">
        <f>+FORMATO!D34</f>
        <v>0</v>
      </c>
      <c r="E30" s="44">
        <f>+D30+$N$5*D30</f>
        <v>0</v>
      </c>
      <c r="F30" s="476">
        <f>+FORMATO!F34</f>
        <v>0</v>
      </c>
      <c r="G30" s="44">
        <f>+F30+$N$5*F30</f>
        <v>0</v>
      </c>
      <c r="H30" s="476">
        <f>+FORMATO!H34</f>
        <v>0</v>
      </c>
      <c r="I30" s="44">
        <f>+H30+$N$5*H30</f>
        <v>0</v>
      </c>
      <c r="J30" s="476">
        <f>+FORMATO!J34</f>
        <v>0</v>
      </c>
      <c r="K30" s="44">
        <f>+J30+$N$5*J30</f>
        <v>0</v>
      </c>
      <c r="L30" s="476">
        <f>+FORMATO!L34</f>
        <v>0</v>
      </c>
      <c r="M30" s="44">
        <f>+L30+$N$5*L30</f>
        <v>0</v>
      </c>
      <c r="N30" s="476">
        <f>+FORMATO!O34</f>
        <v>0</v>
      </c>
      <c r="O30" s="44">
        <f>+N30+$N$5*N30</f>
        <v>0</v>
      </c>
      <c r="P30" s="66"/>
      <c r="Q30" s="538">
        <f>+L26</f>
        <v>0</v>
      </c>
      <c r="R30" s="107">
        <f>+L28-L27</f>
        <v>0</v>
      </c>
      <c r="S30" s="555" t="str">
        <f>+IF(R30&gt;$S$27,"cumple","no cumple")</f>
        <v>no cumple</v>
      </c>
      <c r="W30" s="180"/>
      <c r="X30" s="180"/>
      <c r="Y30" s="180"/>
    </row>
    <row r="31" spans="1:25" s="1" customFormat="1" ht="18" customHeight="1" x14ac:dyDescent="0.25">
      <c r="A31" s="163" t="s">
        <v>309</v>
      </c>
      <c r="B31" s="164"/>
      <c r="C31" s="160" t="s">
        <v>22</v>
      </c>
      <c r="D31" s="214"/>
      <c r="E31" s="44">
        <f>+E28-E30</f>
        <v>0</v>
      </c>
      <c r="F31" s="214"/>
      <c r="G31" s="44">
        <f>+G28-G30</f>
        <v>0</v>
      </c>
      <c r="H31" s="214"/>
      <c r="I31" s="44">
        <f>+I28-I30</f>
        <v>0</v>
      </c>
      <c r="J31" s="214"/>
      <c r="K31" s="44">
        <f>+K28-K30</f>
        <v>0</v>
      </c>
      <c r="L31" s="214"/>
      <c r="M31" s="44">
        <f>+M28-M30</f>
        <v>0</v>
      </c>
      <c r="N31" s="214"/>
      <c r="O31" s="44">
        <f>+O28-O30</f>
        <v>0</v>
      </c>
      <c r="P31" s="66"/>
      <c r="Q31" s="66"/>
      <c r="R31" s="554"/>
      <c r="W31" s="180"/>
      <c r="X31" s="180"/>
    </row>
    <row r="32" spans="1:25" s="1" customFormat="1" ht="18" customHeight="1" thickBot="1" x14ac:dyDescent="0.3">
      <c r="A32" s="930" t="s">
        <v>297</v>
      </c>
      <c r="B32" s="931"/>
      <c r="C32" s="58" t="s">
        <v>19</v>
      </c>
      <c r="D32" s="46"/>
      <c r="E32" s="47" t="e">
        <f>+(E31/(E30-E27))*100</f>
        <v>#DIV/0!</v>
      </c>
      <c r="F32" s="48"/>
      <c r="G32" s="47" t="e">
        <f>+(G31/(G30-G27))*100</f>
        <v>#DIV/0!</v>
      </c>
      <c r="H32" s="48"/>
      <c r="I32" s="47" t="e">
        <f>+(I31/(I30-I27))*100</f>
        <v>#DIV/0!</v>
      </c>
      <c r="J32" s="48"/>
      <c r="K32" s="47" t="e">
        <f>+(K31/(K30-K27))*100</f>
        <v>#DIV/0!</v>
      </c>
      <c r="L32" s="48"/>
      <c r="M32" s="47" t="e">
        <f>+(M31/(M30-M27))*100</f>
        <v>#DIV/0!</v>
      </c>
      <c r="N32" s="48"/>
      <c r="O32" s="47" t="e">
        <f>+(O31/(O30-O27))*100</f>
        <v>#DIV/0!</v>
      </c>
      <c r="P32" s="66"/>
      <c r="Q32" s="66"/>
      <c r="R32" s="66"/>
      <c r="W32" s="180"/>
      <c r="X32" s="180"/>
      <c r="Y32" s="180"/>
    </row>
    <row r="33" spans="1:25" s="1" customFormat="1" ht="18" customHeight="1" thickBot="1" x14ac:dyDescent="0.3">
      <c r="A33" s="949" t="s">
        <v>61</v>
      </c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1"/>
      <c r="P33" s="66"/>
      <c r="Q33" s="66"/>
      <c r="V33" s="180"/>
      <c r="W33" s="180"/>
      <c r="X33" s="180"/>
      <c r="Y33" s="180"/>
    </row>
    <row r="34" spans="1:25" s="1" customFormat="1" ht="18" customHeight="1" x14ac:dyDescent="0.25">
      <c r="A34" s="924" t="s">
        <v>310</v>
      </c>
      <c r="B34" s="937" t="s">
        <v>311</v>
      </c>
      <c r="C34" s="155" t="s">
        <v>312</v>
      </c>
      <c r="D34" s="937" t="s">
        <v>313</v>
      </c>
      <c r="E34" s="938"/>
      <c r="F34" s="937" t="s">
        <v>314</v>
      </c>
      <c r="G34" s="947"/>
      <c r="H34" s="937" t="s">
        <v>313</v>
      </c>
      <c r="I34" s="938"/>
      <c r="J34" s="937" t="s">
        <v>314</v>
      </c>
      <c r="K34" s="947"/>
      <c r="L34" s="937" t="s">
        <v>313</v>
      </c>
      <c r="M34" s="938"/>
      <c r="N34" s="926" t="s">
        <v>314</v>
      </c>
      <c r="O34" s="927"/>
      <c r="P34" s="66"/>
      <c r="Q34" s="66"/>
      <c r="V34" s="66"/>
      <c r="W34" s="66"/>
    </row>
    <row r="35" spans="1:25" s="1" customFormat="1" ht="18" customHeight="1" x14ac:dyDescent="0.25">
      <c r="A35" s="925"/>
      <c r="B35" s="864"/>
      <c r="C35" s="61" t="s">
        <v>315</v>
      </c>
      <c r="D35" s="847"/>
      <c r="E35" s="849"/>
      <c r="F35" s="61" t="s">
        <v>279</v>
      </c>
      <c r="G35" s="61" t="s">
        <v>19</v>
      </c>
      <c r="H35" s="847"/>
      <c r="I35" s="849"/>
      <c r="J35" s="61" t="s">
        <v>279</v>
      </c>
      <c r="K35" s="61" t="s">
        <v>19</v>
      </c>
      <c r="L35" s="847"/>
      <c r="M35" s="849"/>
      <c r="N35" s="61" t="s">
        <v>279</v>
      </c>
      <c r="O35" s="62" t="s">
        <v>19</v>
      </c>
      <c r="P35" s="66"/>
      <c r="Q35" s="66"/>
      <c r="R35" s="66"/>
      <c r="S35" s="66"/>
      <c r="T35" s="66"/>
      <c r="U35" s="66"/>
      <c r="V35" s="66"/>
      <c r="W35" s="66"/>
    </row>
    <row r="36" spans="1:25" s="1" customFormat="1" ht="18" customHeight="1" x14ac:dyDescent="0.25">
      <c r="A36" s="145">
        <v>0</v>
      </c>
      <c r="B36" s="146" t="str">
        <f>IF(A36="","","11:00:00")</f>
        <v>11:00:00</v>
      </c>
      <c r="C36" s="31">
        <v>0</v>
      </c>
      <c r="D36" s="917">
        <f>+FORMATO!O40</f>
        <v>0</v>
      </c>
      <c r="E36" s="867"/>
      <c r="F36" s="147">
        <f>IF(D36="","",(D36-$D$36)*0.001*2.54*10)</f>
        <v>0</v>
      </c>
      <c r="G36" s="148" t="e">
        <f>IF(F36="","",F36/$W$4*100)</f>
        <v>#N/A</v>
      </c>
      <c r="H36" s="917">
        <f>+FORMATO!P40</f>
        <v>0</v>
      </c>
      <c r="I36" s="867"/>
      <c r="J36" s="147">
        <f>IF(H36="","",(H36-$H$36)*0.001*2.54*10)</f>
        <v>0</v>
      </c>
      <c r="K36" s="148" t="e">
        <f>IF(J36="","",J36/$W$4*100)</f>
        <v>#N/A</v>
      </c>
      <c r="L36" s="917">
        <f>+FORMATO!Q40</f>
        <v>0</v>
      </c>
      <c r="M36" s="867"/>
      <c r="N36" s="147">
        <f>IF(L36="","",(L36-$L$36)*0.001*2.54*10)</f>
        <v>0</v>
      </c>
      <c r="O36" s="149" t="e">
        <f>IF(N36="","",N36/$W$4*100)</f>
        <v>#N/A</v>
      </c>
      <c r="P36" s="66"/>
      <c r="Q36" s="66"/>
      <c r="R36" s="66"/>
      <c r="S36" s="66"/>
      <c r="T36" s="66"/>
      <c r="U36" s="66"/>
      <c r="V36" s="66"/>
      <c r="W36" s="66"/>
    </row>
    <row r="37" spans="1:25" s="1" customFormat="1" ht="18" customHeight="1" x14ac:dyDescent="0.25">
      <c r="A37" s="145">
        <f>IF(A36="","",1+A36)</f>
        <v>1</v>
      </c>
      <c r="B37" s="146" t="str">
        <f>B36</f>
        <v>11:00:00</v>
      </c>
      <c r="C37" s="159">
        <v>24</v>
      </c>
      <c r="D37" s="917">
        <f>+FORMATO!O41</f>
        <v>0</v>
      </c>
      <c r="E37" s="867"/>
      <c r="F37" s="147">
        <f>IF(D37="","",(D37-$D$36)*0.001*2.54*10)</f>
        <v>0</v>
      </c>
      <c r="G37" s="148" t="e">
        <f>IF(F37="","",F37/$W$4*100)</f>
        <v>#N/A</v>
      </c>
      <c r="H37" s="917">
        <f>+FORMATO!P41</f>
        <v>0</v>
      </c>
      <c r="I37" s="867"/>
      <c r="J37" s="147">
        <f>IF(H37="","",(H37-$H$36)*0.001*2.54*10)</f>
        <v>0</v>
      </c>
      <c r="K37" s="148" t="e">
        <f>IF(J37="","",J37/$W$4*100)</f>
        <v>#N/A</v>
      </c>
      <c r="L37" s="917">
        <f>+FORMATO!Q41</f>
        <v>0</v>
      </c>
      <c r="M37" s="867"/>
      <c r="N37" s="147">
        <f>IF(L37="","",(L37-$L$36)*0.001*2.54*10)</f>
        <v>0</v>
      </c>
      <c r="O37" s="149" t="e">
        <f>IF(N37="","",N37/$W$4*100)</f>
        <v>#N/A</v>
      </c>
      <c r="P37" s="66"/>
      <c r="Q37" s="66"/>
      <c r="R37" s="183"/>
      <c r="S37" s="66"/>
      <c r="T37" s="68"/>
      <c r="U37" s="68"/>
      <c r="V37" s="66"/>
      <c r="W37" s="66"/>
    </row>
    <row r="38" spans="1:25" s="1" customFormat="1" ht="18" customHeight="1" x14ac:dyDescent="0.25">
      <c r="A38" s="145">
        <f>IF(A37="","",1+A37)</f>
        <v>2</v>
      </c>
      <c r="B38" s="146" t="str">
        <f>B37</f>
        <v>11:00:00</v>
      </c>
      <c r="C38" s="31">
        <v>48</v>
      </c>
      <c r="D38" s="917">
        <f>+FORMATO!O42</f>
        <v>0</v>
      </c>
      <c r="E38" s="867"/>
      <c r="F38" s="147">
        <f>IF(D38="","",(D38-$D$36)*0.001*2.54*10)</f>
        <v>0</v>
      </c>
      <c r="G38" s="148" t="e">
        <f>IF(F38="","",F38/$W$4*100)</f>
        <v>#N/A</v>
      </c>
      <c r="H38" s="917">
        <f>+FORMATO!P42</f>
        <v>0</v>
      </c>
      <c r="I38" s="867"/>
      <c r="J38" s="147">
        <f>IF(H38="","",(H38-$H$36)*0.001*2.54*10)</f>
        <v>0</v>
      </c>
      <c r="K38" s="148" t="e">
        <f>IF(J38="","",J38/$W$4*100)</f>
        <v>#N/A</v>
      </c>
      <c r="L38" s="917">
        <f>+FORMATO!Q42</f>
        <v>0</v>
      </c>
      <c r="M38" s="867"/>
      <c r="N38" s="147">
        <f>IF(L38="","",(L38-$L$36)*0.001*2.54*10)</f>
        <v>0</v>
      </c>
      <c r="O38" s="149" t="e">
        <f>IF(N38="","",N38/$W$4*100)</f>
        <v>#N/A</v>
      </c>
      <c r="P38" s="66"/>
      <c r="Q38" s="66"/>
      <c r="R38" s="66"/>
      <c r="S38" s="66"/>
      <c r="T38" s="66"/>
      <c r="U38" s="66"/>
      <c r="V38" s="66"/>
      <c r="W38" s="66"/>
    </row>
    <row r="39" spans="1:25" s="1" customFormat="1" ht="18" customHeight="1" x14ac:dyDescent="0.25">
      <c r="A39" s="145">
        <f>IF(A38="","",1+A38)</f>
        <v>3</v>
      </c>
      <c r="B39" s="146" t="str">
        <f>B38</f>
        <v>11:00:00</v>
      </c>
      <c r="C39" s="31">
        <v>72</v>
      </c>
      <c r="D39" s="917">
        <f>+FORMATO!O43</f>
        <v>0</v>
      </c>
      <c r="E39" s="867"/>
      <c r="F39" s="147">
        <f>IF(D39="","",(D39-$D$36)*0.001*2.54*10)</f>
        <v>0</v>
      </c>
      <c r="G39" s="148" t="e">
        <f>IF(F39="","",F39/$W$4*100)</f>
        <v>#N/A</v>
      </c>
      <c r="H39" s="917">
        <f>+FORMATO!P43</f>
        <v>0</v>
      </c>
      <c r="I39" s="867"/>
      <c r="J39" s="147">
        <f>IF(H39="","",(H39-$H$36)*0.001*2.54*10)</f>
        <v>0</v>
      </c>
      <c r="K39" s="148" t="e">
        <f>IF(J39="","",J39/$W$4*100)</f>
        <v>#N/A</v>
      </c>
      <c r="L39" s="917">
        <f>+FORMATO!Q43</f>
        <v>0</v>
      </c>
      <c r="M39" s="867"/>
      <c r="N39" s="147">
        <f>IF(L39="","",(L39-$L$36)*0.001*2.54*10)</f>
        <v>0</v>
      </c>
      <c r="O39" s="149" t="e">
        <f>IF(N39="","",N39/$W$4*100)</f>
        <v>#N/A</v>
      </c>
      <c r="P39" s="66"/>
      <c r="Q39" s="66"/>
      <c r="R39" s="66"/>
      <c r="S39" s="66"/>
      <c r="T39" s="66"/>
      <c r="U39" s="66"/>
      <c r="V39" s="66"/>
      <c r="W39" s="66"/>
    </row>
    <row r="40" spans="1:25" s="1" customFormat="1" ht="18" customHeight="1" thickBot="1" x14ac:dyDescent="0.3">
      <c r="A40" s="150">
        <f>IF(A39="","",1+A39)</f>
        <v>4</v>
      </c>
      <c r="B40" s="151" t="str">
        <f>B39</f>
        <v>11:00:00</v>
      </c>
      <c r="C40" s="152">
        <v>96</v>
      </c>
      <c r="D40" s="917">
        <f>+FORMATO!O44</f>
        <v>0</v>
      </c>
      <c r="E40" s="867"/>
      <c r="F40" s="147">
        <f>IF(D40="","",(D40-$D$36)*0.001*2.54*10)</f>
        <v>0</v>
      </c>
      <c r="G40" s="153" t="e">
        <f>IF(F40="","",F40/$W$4*100)</f>
        <v>#N/A</v>
      </c>
      <c r="H40" s="917">
        <f>+FORMATO!P44</f>
        <v>0</v>
      </c>
      <c r="I40" s="867"/>
      <c r="J40" s="147">
        <f>IF(H40="","",(H40-$H$36)*0.001*2.54*10)</f>
        <v>0</v>
      </c>
      <c r="K40" s="153" t="e">
        <f>IF(J40="","",J40/$W$4*100)</f>
        <v>#N/A</v>
      </c>
      <c r="L40" s="917">
        <f>+FORMATO!Q44</f>
        <v>0</v>
      </c>
      <c r="M40" s="867"/>
      <c r="N40" s="147">
        <f>IF(L40="","",(L40-$L$36)*0.001*2.54*10)</f>
        <v>0</v>
      </c>
      <c r="O40" s="154" t="e">
        <f>IF(N40="","",N40/$W$4*100)</f>
        <v>#N/A</v>
      </c>
      <c r="P40" s="66"/>
      <c r="Q40" s="66"/>
      <c r="R40" s="66"/>
      <c r="S40" s="66"/>
      <c r="T40" s="66"/>
      <c r="U40" s="66"/>
      <c r="V40" s="66"/>
      <c r="W40" s="66"/>
    </row>
    <row r="41" spans="1:25" s="1" customFormat="1" ht="18" customHeight="1" thickBot="1" x14ac:dyDescent="0.3">
      <c r="A41" s="949" t="s">
        <v>316</v>
      </c>
      <c r="B41" s="950"/>
      <c r="C41" s="950"/>
      <c r="D41" s="950"/>
      <c r="E41" s="950"/>
      <c r="F41" s="950"/>
      <c r="G41" s="950"/>
      <c r="H41" s="950"/>
      <c r="I41" s="950"/>
      <c r="J41" s="950"/>
      <c r="K41" s="950"/>
      <c r="L41" s="950"/>
      <c r="M41" s="950"/>
      <c r="N41" s="950"/>
      <c r="O41" s="951"/>
      <c r="P41" s="66"/>
      <c r="Q41" s="66"/>
      <c r="R41" s="66"/>
      <c r="S41" s="66"/>
      <c r="T41" s="66"/>
      <c r="U41" s="66"/>
      <c r="V41" s="66"/>
      <c r="W41" s="66"/>
    </row>
    <row r="42" spans="1:25" s="1" customFormat="1" ht="20.25" customHeight="1" x14ac:dyDescent="0.25">
      <c r="A42" s="896" t="s">
        <v>58</v>
      </c>
      <c r="B42" s="929"/>
      <c r="C42" s="184" t="s">
        <v>317</v>
      </c>
      <c r="D42" s="910">
        <f>+D15</f>
        <v>56</v>
      </c>
      <c r="E42" s="911"/>
      <c r="F42" s="911"/>
      <c r="G42" s="912"/>
      <c r="H42" s="910">
        <f>+H15</f>
        <v>25</v>
      </c>
      <c r="I42" s="911"/>
      <c r="J42" s="911"/>
      <c r="K42" s="912"/>
      <c r="L42" s="910">
        <f>+L15</f>
        <v>10</v>
      </c>
      <c r="M42" s="911"/>
      <c r="N42" s="911"/>
      <c r="O42" s="912"/>
      <c r="P42" s="66"/>
      <c r="V42" s="66"/>
      <c r="W42" s="66"/>
    </row>
    <row r="43" spans="1:25" s="1" customFormat="1" ht="34.5" customHeight="1" x14ac:dyDescent="0.25">
      <c r="A43" s="185" t="s">
        <v>169</v>
      </c>
      <c r="B43" s="161" t="s">
        <v>318</v>
      </c>
      <c r="C43" s="162" t="s">
        <v>73</v>
      </c>
      <c r="D43" s="186" t="s">
        <v>65</v>
      </c>
      <c r="E43" s="177" t="s">
        <v>319</v>
      </c>
      <c r="F43" s="177" t="s">
        <v>320</v>
      </c>
      <c r="G43" s="187" t="s">
        <v>171</v>
      </c>
      <c r="H43" s="166" t="s">
        <v>65</v>
      </c>
      <c r="I43" s="177" t="s">
        <v>319</v>
      </c>
      <c r="J43" s="177" t="s">
        <v>320</v>
      </c>
      <c r="K43" s="165" t="s">
        <v>171</v>
      </c>
      <c r="L43" s="186" t="s">
        <v>65</v>
      </c>
      <c r="M43" s="177" t="s">
        <v>319</v>
      </c>
      <c r="N43" s="177" t="s">
        <v>320</v>
      </c>
      <c r="O43" s="187" t="s">
        <v>171</v>
      </c>
      <c r="P43" s="66"/>
      <c r="V43" s="66"/>
      <c r="W43" s="66"/>
    </row>
    <row r="44" spans="1:25" s="1" customFormat="1" ht="18" customHeight="1" x14ac:dyDescent="0.25">
      <c r="A44" s="106">
        <v>0</v>
      </c>
      <c r="B44" s="188">
        <v>0</v>
      </c>
      <c r="D44" s="602">
        <f>+FORMATO!E40</f>
        <v>0</v>
      </c>
      <c r="E44" s="539">
        <f>+D44</f>
        <v>0</v>
      </c>
      <c r="F44" s="107">
        <v>0</v>
      </c>
      <c r="G44" s="189">
        <v>0</v>
      </c>
      <c r="H44" s="483">
        <f>+FORMATO!G40</f>
        <v>0</v>
      </c>
      <c r="I44" s="539">
        <f>+H44</f>
        <v>0</v>
      </c>
      <c r="J44" s="107">
        <v>0</v>
      </c>
      <c r="K44" s="190">
        <v>0</v>
      </c>
      <c r="L44" s="482">
        <f>+FORMATO!I40</f>
        <v>0</v>
      </c>
      <c r="M44" s="539">
        <f>+L44</f>
        <v>0</v>
      </c>
      <c r="N44" s="107">
        <v>0</v>
      </c>
      <c r="O44" s="189">
        <v>0</v>
      </c>
      <c r="P44" s="66"/>
      <c r="Q44" s="537" t="s">
        <v>277</v>
      </c>
      <c r="R44" s="538">
        <v>1.0713969999999999</v>
      </c>
      <c r="T44" s="66"/>
      <c r="U44" s="66"/>
      <c r="V44" s="249"/>
      <c r="W44" s="66"/>
    </row>
    <row r="45" spans="1:25" s="1" customFormat="1" ht="18" customHeight="1" x14ac:dyDescent="0.25">
      <c r="A45" s="106">
        <v>2.5000000000000001E-2</v>
      </c>
      <c r="B45" s="188">
        <v>0.64</v>
      </c>
      <c r="C45" s="191"/>
      <c r="D45" s="602">
        <f>+FORMATO!E41</f>
        <v>0</v>
      </c>
      <c r="E45" s="539">
        <f t="shared" ref="E45:E55" si="0">+$R$44+D45*$R$45+D45*$R$46+D45*$R$47</f>
        <v>1.0713969999999999</v>
      </c>
      <c r="F45" s="107">
        <f t="shared" ref="F45:F55" si="1">IF(D45="","",E45/$D$9)</f>
        <v>5.5440848555083203E-2</v>
      </c>
      <c r="G45" s="189">
        <f t="shared" ref="G45:G55" si="2">IF(D45="","",F45*14.223343334285)</f>
        <v>0.78855422374304684</v>
      </c>
      <c r="H45" s="483">
        <f>+FORMATO!G41</f>
        <v>0</v>
      </c>
      <c r="I45" s="539">
        <f t="shared" ref="I45:I55" si="3">+$R$44+H45*$R$45+H45*$R$46+H45*$R$47</f>
        <v>1.0713969999999999</v>
      </c>
      <c r="J45" s="107">
        <f t="shared" ref="J45:J55" si="4">IF(H45="","",I45/$D$9)</f>
        <v>5.5440848555083203E-2</v>
      </c>
      <c r="K45" s="190">
        <f t="shared" ref="K45:K55" si="5">IF(H45="","",J45*14.223343334285)</f>
        <v>0.78855422374304684</v>
      </c>
      <c r="L45" s="482">
        <f>+FORMATO!I41</f>
        <v>0</v>
      </c>
      <c r="M45" s="539">
        <f t="shared" ref="M45:M55" si="6">+$R$44+L45*$R$45+L45*$R$46+L45*$R$47</f>
        <v>1.0713969999999999</v>
      </c>
      <c r="N45" s="107">
        <f t="shared" ref="N45:N55" si="7">IF(L45="","",M45/$D$9)</f>
        <v>5.5440848555083203E-2</v>
      </c>
      <c r="O45" s="189">
        <f t="shared" ref="O45:O55" si="8">IF(L45="","",N45*14.223343334285)</f>
        <v>0.78855422374304684</v>
      </c>
      <c r="P45" s="66"/>
      <c r="Q45" s="537" t="s">
        <v>281</v>
      </c>
      <c r="R45" s="538">
        <v>0.98255239999999999</v>
      </c>
      <c r="T45" s="66"/>
      <c r="U45" s="66"/>
      <c r="V45" s="249"/>
      <c r="W45" s="66"/>
    </row>
    <row r="46" spans="1:25" ht="18" customHeight="1" x14ac:dyDescent="0.25">
      <c r="A46" s="106">
        <v>0.05</v>
      </c>
      <c r="B46" s="188">
        <v>1.3</v>
      </c>
      <c r="C46" s="191"/>
      <c r="D46" s="602">
        <f>+FORMATO!E42</f>
        <v>0</v>
      </c>
      <c r="E46" s="539">
        <f t="shared" si="0"/>
        <v>1.0713969999999999</v>
      </c>
      <c r="F46" s="107">
        <f t="shared" si="1"/>
        <v>5.5440848555083203E-2</v>
      </c>
      <c r="G46" s="189">
        <f t="shared" si="2"/>
        <v>0.78855422374304684</v>
      </c>
      <c r="H46" s="483">
        <f>+FORMATO!G42</f>
        <v>0</v>
      </c>
      <c r="I46" s="539">
        <f t="shared" si="3"/>
        <v>1.0713969999999999</v>
      </c>
      <c r="J46" s="107">
        <f t="shared" si="4"/>
        <v>5.5440848555083203E-2</v>
      </c>
      <c r="K46" s="190">
        <f t="shared" si="5"/>
        <v>0.78855422374304684</v>
      </c>
      <c r="L46" s="482">
        <f>+FORMATO!I42</f>
        <v>0</v>
      </c>
      <c r="M46" s="539">
        <f t="shared" si="6"/>
        <v>1.0713969999999999</v>
      </c>
      <c r="N46" s="107">
        <f t="shared" si="7"/>
        <v>5.5440848555083203E-2</v>
      </c>
      <c r="O46" s="189">
        <f t="shared" si="8"/>
        <v>0.78855422374304684</v>
      </c>
      <c r="Q46" s="537" t="s">
        <v>284</v>
      </c>
      <c r="R46" s="538">
        <v>4.0755250000000003E-6</v>
      </c>
      <c r="S46" s="1"/>
      <c r="V46" s="249"/>
    </row>
    <row r="47" spans="1:25" ht="18" customHeight="1" x14ac:dyDescent="0.25">
      <c r="A47" s="106">
        <v>7.4999999999999997E-2</v>
      </c>
      <c r="B47" s="188">
        <v>1.9</v>
      </c>
      <c r="C47" s="191"/>
      <c r="D47" s="602">
        <f>+FORMATO!E43</f>
        <v>0</v>
      </c>
      <c r="E47" s="539">
        <f t="shared" si="0"/>
        <v>1.0713969999999999</v>
      </c>
      <c r="F47" s="107">
        <f t="shared" si="1"/>
        <v>5.5440848555083203E-2</v>
      </c>
      <c r="G47" s="189">
        <f t="shared" si="2"/>
        <v>0.78855422374304684</v>
      </c>
      <c r="H47" s="483">
        <f>+FORMATO!G43</f>
        <v>0</v>
      </c>
      <c r="I47" s="539">
        <f t="shared" si="3"/>
        <v>1.0713969999999999</v>
      </c>
      <c r="J47" s="107">
        <f t="shared" si="4"/>
        <v>5.5440848555083203E-2</v>
      </c>
      <c r="K47" s="190">
        <f t="shared" si="5"/>
        <v>0.78855422374304684</v>
      </c>
      <c r="L47" s="482">
        <f>+FORMATO!I43</f>
        <v>0</v>
      </c>
      <c r="M47" s="539">
        <f t="shared" si="6"/>
        <v>1.0713969999999999</v>
      </c>
      <c r="N47" s="107">
        <f t="shared" si="7"/>
        <v>5.5440848555083203E-2</v>
      </c>
      <c r="O47" s="189">
        <f t="shared" si="8"/>
        <v>0.78855422374304684</v>
      </c>
      <c r="Q47" s="537" t="s">
        <v>272</v>
      </c>
      <c r="R47" s="538">
        <v>-4.3049859999999998E-10</v>
      </c>
      <c r="S47" s="1"/>
      <c r="V47" s="249"/>
    </row>
    <row r="48" spans="1:25" ht="18" customHeight="1" x14ac:dyDescent="0.25">
      <c r="A48" s="192">
        <v>0.1</v>
      </c>
      <c r="B48" s="193">
        <v>2.5</v>
      </c>
      <c r="C48" s="194">
        <v>1000</v>
      </c>
      <c r="D48" s="602">
        <f>+FORMATO!E44</f>
        <v>0</v>
      </c>
      <c r="E48" s="195">
        <f t="shared" si="0"/>
        <v>1.0713969999999999</v>
      </c>
      <c r="F48" s="195">
        <f t="shared" si="1"/>
        <v>5.5440848555083203E-2</v>
      </c>
      <c r="G48" s="196">
        <f t="shared" si="2"/>
        <v>0.78855422374304684</v>
      </c>
      <c r="H48" s="483">
        <f>+FORMATO!G44</f>
        <v>0</v>
      </c>
      <c r="I48" s="553">
        <f t="shared" si="3"/>
        <v>1.0713969999999999</v>
      </c>
      <c r="J48" s="195">
        <f t="shared" si="4"/>
        <v>5.5440848555083203E-2</v>
      </c>
      <c r="K48" s="197">
        <f t="shared" si="5"/>
        <v>0.78855422374304684</v>
      </c>
      <c r="L48" s="482">
        <f>+FORMATO!I44</f>
        <v>0</v>
      </c>
      <c r="M48" s="195">
        <f t="shared" si="6"/>
        <v>1.0713969999999999</v>
      </c>
      <c r="N48" s="195">
        <f t="shared" si="7"/>
        <v>5.5440848555083203E-2</v>
      </c>
      <c r="O48" s="196">
        <f t="shared" si="8"/>
        <v>0.78855422374304684</v>
      </c>
      <c r="Q48" s="249"/>
      <c r="S48" s="1"/>
      <c r="V48" s="249"/>
    </row>
    <row r="49" spans="1:22" ht="18" customHeight="1" x14ac:dyDescent="0.25">
      <c r="A49" s="106">
        <v>0.125</v>
      </c>
      <c r="B49" s="188">
        <v>3.18</v>
      </c>
      <c r="C49" s="191"/>
      <c r="D49" s="602">
        <f>+FORMATO!E45</f>
        <v>0</v>
      </c>
      <c r="E49" s="539">
        <f t="shared" si="0"/>
        <v>1.0713969999999999</v>
      </c>
      <c r="F49" s="107">
        <f t="shared" si="1"/>
        <v>5.5440848555083203E-2</v>
      </c>
      <c r="G49" s="189">
        <f t="shared" si="2"/>
        <v>0.78855422374304684</v>
      </c>
      <c r="H49" s="483">
        <f>+FORMATO!G45</f>
        <v>0</v>
      </c>
      <c r="I49" s="539">
        <f t="shared" si="3"/>
        <v>1.0713969999999999</v>
      </c>
      <c r="J49" s="107">
        <f t="shared" si="4"/>
        <v>5.5440848555083203E-2</v>
      </c>
      <c r="K49" s="190">
        <f t="shared" si="5"/>
        <v>0.78855422374304684</v>
      </c>
      <c r="L49" s="482">
        <f>+FORMATO!I45</f>
        <v>0</v>
      </c>
      <c r="M49" s="539">
        <f t="shared" si="6"/>
        <v>1.0713969999999999</v>
      </c>
      <c r="N49" s="107">
        <f t="shared" si="7"/>
        <v>5.5440848555083203E-2</v>
      </c>
      <c r="O49" s="189">
        <f t="shared" si="8"/>
        <v>0.78855422374304684</v>
      </c>
      <c r="Q49" s="249"/>
      <c r="S49" s="1"/>
      <c r="V49" s="249"/>
    </row>
    <row r="50" spans="1:22" ht="18" customHeight="1" x14ac:dyDescent="0.25">
      <c r="A50" s="106">
        <v>0.15</v>
      </c>
      <c r="B50" s="188">
        <v>3.8</v>
      </c>
      <c r="C50" s="191"/>
      <c r="D50" s="602">
        <f>+FORMATO!E46</f>
        <v>0</v>
      </c>
      <c r="E50" s="539">
        <f t="shared" si="0"/>
        <v>1.0713969999999999</v>
      </c>
      <c r="F50" s="107">
        <f t="shared" si="1"/>
        <v>5.5440848555083203E-2</v>
      </c>
      <c r="G50" s="189">
        <f t="shared" si="2"/>
        <v>0.78855422374304684</v>
      </c>
      <c r="H50" s="483">
        <f>+FORMATO!G46</f>
        <v>0</v>
      </c>
      <c r="I50" s="539">
        <f t="shared" si="3"/>
        <v>1.0713969999999999</v>
      </c>
      <c r="J50" s="107">
        <f t="shared" si="4"/>
        <v>5.5440848555083203E-2</v>
      </c>
      <c r="K50" s="190">
        <f t="shared" si="5"/>
        <v>0.78855422374304684</v>
      </c>
      <c r="L50" s="482">
        <f>+FORMATO!I46</f>
        <v>0</v>
      </c>
      <c r="M50" s="539">
        <f t="shared" si="6"/>
        <v>1.0713969999999999</v>
      </c>
      <c r="N50" s="107">
        <f t="shared" si="7"/>
        <v>5.5440848555083203E-2</v>
      </c>
      <c r="O50" s="189">
        <f t="shared" si="8"/>
        <v>0.78855422374304684</v>
      </c>
      <c r="Q50" s="249"/>
      <c r="S50" s="1"/>
      <c r="V50" s="249"/>
    </row>
    <row r="51" spans="1:22" ht="18" customHeight="1" x14ac:dyDescent="0.25">
      <c r="A51" s="106">
        <v>0.17499999999999999</v>
      </c>
      <c r="B51" s="188">
        <v>4.45</v>
      </c>
      <c r="C51" s="191"/>
      <c r="D51" s="602">
        <f>+FORMATO!E47</f>
        <v>0</v>
      </c>
      <c r="E51" s="539">
        <f t="shared" si="0"/>
        <v>1.0713969999999999</v>
      </c>
      <c r="F51" s="107">
        <f t="shared" si="1"/>
        <v>5.5440848555083203E-2</v>
      </c>
      <c r="G51" s="189">
        <f t="shared" si="2"/>
        <v>0.78855422374304684</v>
      </c>
      <c r="H51" s="483">
        <f>+FORMATO!G47</f>
        <v>0</v>
      </c>
      <c r="I51" s="539">
        <f t="shared" si="3"/>
        <v>1.0713969999999999</v>
      </c>
      <c r="J51" s="107">
        <f t="shared" si="4"/>
        <v>5.5440848555083203E-2</v>
      </c>
      <c r="K51" s="190">
        <f t="shared" si="5"/>
        <v>0.78855422374304684</v>
      </c>
      <c r="L51" s="482">
        <f>+FORMATO!I47</f>
        <v>0</v>
      </c>
      <c r="M51" s="539">
        <f t="shared" si="6"/>
        <v>1.0713969999999999</v>
      </c>
      <c r="N51" s="107">
        <f t="shared" si="7"/>
        <v>5.5440848555083203E-2</v>
      </c>
      <c r="O51" s="189">
        <f t="shared" si="8"/>
        <v>0.78855422374304684</v>
      </c>
      <c r="Q51" s="249"/>
      <c r="S51" s="1"/>
      <c r="V51" s="249"/>
    </row>
    <row r="52" spans="1:22" ht="18" customHeight="1" x14ac:dyDescent="0.25">
      <c r="A52" s="192">
        <v>0.2</v>
      </c>
      <c r="B52" s="193">
        <v>5.0999999999999996</v>
      </c>
      <c r="C52" s="194">
        <v>1500</v>
      </c>
      <c r="D52" s="602">
        <f>+FORMATO!E48</f>
        <v>0</v>
      </c>
      <c r="E52" s="195">
        <f t="shared" si="0"/>
        <v>1.0713969999999999</v>
      </c>
      <c r="F52" s="195">
        <f t="shared" si="1"/>
        <v>5.5440848555083203E-2</v>
      </c>
      <c r="G52" s="196">
        <f t="shared" si="2"/>
        <v>0.78855422374304684</v>
      </c>
      <c r="H52" s="483">
        <f>+FORMATO!G48</f>
        <v>0</v>
      </c>
      <c r="I52" s="553">
        <f t="shared" si="3"/>
        <v>1.0713969999999999</v>
      </c>
      <c r="J52" s="195">
        <f t="shared" si="4"/>
        <v>5.5440848555083203E-2</v>
      </c>
      <c r="K52" s="197">
        <f t="shared" si="5"/>
        <v>0.78855422374304684</v>
      </c>
      <c r="L52" s="482">
        <f>+FORMATO!I48</f>
        <v>0</v>
      </c>
      <c r="M52" s="195">
        <f t="shared" si="6"/>
        <v>1.0713969999999999</v>
      </c>
      <c r="N52" s="195">
        <f t="shared" si="7"/>
        <v>5.5440848555083203E-2</v>
      </c>
      <c r="O52" s="196">
        <f t="shared" si="8"/>
        <v>0.78855422374304684</v>
      </c>
      <c r="Q52" s="249"/>
      <c r="S52" s="1"/>
      <c r="V52" s="249"/>
    </row>
    <row r="53" spans="1:22" ht="18" customHeight="1" x14ac:dyDescent="0.25">
      <c r="A53" s="106">
        <v>0.3</v>
      </c>
      <c r="B53" s="188">
        <v>7.6</v>
      </c>
      <c r="C53" s="191"/>
      <c r="D53" s="602">
        <f>+FORMATO!E49</f>
        <v>0</v>
      </c>
      <c r="E53" s="539">
        <f t="shared" si="0"/>
        <v>1.0713969999999999</v>
      </c>
      <c r="F53" s="107">
        <f t="shared" si="1"/>
        <v>5.5440848555083203E-2</v>
      </c>
      <c r="G53" s="189">
        <f t="shared" si="2"/>
        <v>0.78855422374304684</v>
      </c>
      <c r="H53" s="483">
        <f>+FORMATO!G49</f>
        <v>0</v>
      </c>
      <c r="I53" s="539">
        <f t="shared" si="3"/>
        <v>1.0713969999999999</v>
      </c>
      <c r="J53" s="107">
        <f t="shared" si="4"/>
        <v>5.5440848555083203E-2</v>
      </c>
      <c r="K53" s="190">
        <f t="shared" si="5"/>
        <v>0.78855422374304684</v>
      </c>
      <c r="L53" s="482">
        <f>+FORMATO!I49</f>
        <v>0</v>
      </c>
      <c r="M53" s="539">
        <f t="shared" si="6"/>
        <v>1.0713969999999999</v>
      </c>
      <c r="N53" s="107">
        <f t="shared" si="7"/>
        <v>5.5440848555083203E-2</v>
      </c>
      <c r="O53" s="189">
        <f t="shared" si="8"/>
        <v>0.78855422374304684</v>
      </c>
      <c r="Q53" s="249"/>
      <c r="S53" s="1"/>
      <c r="V53" s="249"/>
    </row>
    <row r="54" spans="1:22" ht="18" customHeight="1" x14ac:dyDescent="0.25">
      <c r="A54" s="106">
        <v>0.4</v>
      </c>
      <c r="B54" s="188">
        <v>10</v>
      </c>
      <c r="C54" s="191"/>
      <c r="D54" s="602">
        <f>+FORMATO!E50</f>
        <v>0</v>
      </c>
      <c r="E54" s="539">
        <f t="shared" si="0"/>
        <v>1.0713969999999999</v>
      </c>
      <c r="F54" s="107">
        <f t="shared" si="1"/>
        <v>5.5440848555083203E-2</v>
      </c>
      <c r="G54" s="189">
        <f t="shared" si="2"/>
        <v>0.78855422374304684</v>
      </c>
      <c r="H54" s="483">
        <f>+FORMATO!G50</f>
        <v>0</v>
      </c>
      <c r="I54" s="539">
        <f t="shared" si="3"/>
        <v>1.0713969999999999</v>
      </c>
      <c r="J54" s="107">
        <f t="shared" si="4"/>
        <v>5.5440848555083203E-2</v>
      </c>
      <c r="K54" s="190">
        <f t="shared" si="5"/>
        <v>0.78855422374304684</v>
      </c>
      <c r="L54" s="482">
        <f>+FORMATO!I50</f>
        <v>0</v>
      </c>
      <c r="M54" s="539">
        <f t="shared" si="6"/>
        <v>1.0713969999999999</v>
      </c>
      <c r="N54" s="107">
        <f t="shared" si="7"/>
        <v>5.5440848555083203E-2</v>
      </c>
      <c r="O54" s="189">
        <f t="shared" si="8"/>
        <v>0.78855422374304684</v>
      </c>
      <c r="Q54" s="249"/>
      <c r="S54" s="1"/>
      <c r="V54" s="249"/>
    </row>
    <row r="55" spans="1:22" ht="18" customHeight="1" thickBot="1" x14ac:dyDescent="0.3">
      <c r="A55" s="198">
        <v>0.5</v>
      </c>
      <c r="B55" s="199">
        <v>13</v>
      </c>
      <c r="C55" s="200"/>
      <c r="D55" s="602">
        <f>+FORMATO!E51</f>
        <v>0</v>
      </c>
      <c r="E55" s="539">
        <f t="shared" si="0"/>
        <v>1.0713969999999999</v>
      </c>
      <c r="F55" s="201">
        <f t="shared" si="1"/>
        <v>5.5440848555083203E-2</v>
      </c>
      <c r="G55" s="202">
        <f t="shared" si="2"/>
        <v>0.78855422374304684</v>
      </c>
      <c r="H55" s="483">
        <f>+FORMATO!G51</f>
        <v>0</v>
      </c>
      <c r="I55" s="539">
        <f t="shared" si="3"/>
        <v>1.0713969999999999</v>
      </c>
      <c r="J55" s="201">
        <f t="shared" si="4"/>
        <v>5.5440848555083203E-2</v>
      </c>
      <c r="K55" s="203">
        <f t="shared" si="5"/>
        <v>0.78855422374304684</v>
      </c>
      <c r="L55" s="482">
        <f>+FORMATO!I51</f>
        <v>0</v>
      </c>
      <c r="M55" s="539">
        <f t="shared" si="6"/>
        <v>1.0713969999999999</v>
      </c>
      <c r="N55" s="201">
        <f t="shared" si="7"/>
        <v>5.5440848555083203E-2</v>
      </c>
      <c r="O55" s="202">
        <f t="shared" si="8"/>
        <v>0.78855422374304684</v>
      </c>
      <c r="Q55" s="249"/>
      <c r="S55" s="1"/>
      <c r="V55" s="249"/>
    </row>
    <row r="56" spans="1:22" ht="10.5" customHeight="1" x14ac:dyDescent="0.25">
      <c r="F56" s="3"/>
      <c r="G56" s="3"/>
      <c r="H56" s="3"/>
      <c r="K56" s="1"/>
      <c r="Q56" s="1"/>
      <c r="R56" s="1"/>
      <c r="S56" s="1"/>
    </row>
    <row r="57" spans="1:22" ht="15.75" customHeight="1" x14ac:dyDescent="0.25">
      <c r="C57" s="804"/>
      <c r="D57" s="694" t="s">
        <v>321</v>
      </c>
      <c r="E57" s="804"/>
      <c r="F57" s="775"/>
      <c r="G57" s="775"/>
      <c r="H57" s="694" t="s">
        <v>321</v>
      </c>
      <c r="I57" s="804"/>
      <c r="J57" s="804"/>
      <c r="K57" s="709"/>
      <c r="L57" s="694" t="s">
        <v>321</v>
      </c>
      <c r="M57" s="804"/>
    </row>
    <row r="58" spans="1:22" ht="15.75" customHeight="1" x14ac:dyDescent="0.25">
      <c r="C58" s="204"/>
      <c r="D58" s="206"/>
      <c r="E58" s="204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2"/>
      <c r="Q58" s="22"/>
    </row>
    <row r="59" spans="1:22" ht="15.75" customHeight="1" x14ac:dyDescent="0.25">
      <c r="C59" s="204"/>
      <c r="D59" s="207"/>
      <c r="E59" s="204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2"/>
      <c r="Q59" s="22"/>
    </row>
    <row r="60" spans="1:22" ht="15.75" customHeight="1" x14ac:dyDescent="0.25">
      <c r="C60" s="204"/>
      <c r="D60" s="208"/>
      <c r="E60" s="204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2"/>
      <c r="Q60" s="22"/>
    </row>
    <row r="61" spans="1:22" ht="15.75" customHeight="1" x14ac:dyDescent="0.25">
      <c r="A61" s="209"/>
      <c r="B61" s="209"/>
      <c r="C61" s="204"/>
      <c r="D61" s="208"/>
      <c r="E61" s="204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2"/>
      <c r="Q61" s="22"/>
    </row>
    <row r="62" spans="1:22" ht="15.6" customHeight="1" x14ac:dyDescent="0.25">
      <c r="C62" s="204"/>
      <c r="D62" s="208"/>
      <c r="E62" s="204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2"/>
      <c r="Q62" s="22"/>
    </row>
    <row r="63" spans="1:22" ht="19.2" customHeight="1" x14ac:dyDescent="0.25">
      <c r="C63" s="204"/>
      <c r="D63" s="208"/>
      <c r="E63" s="204"/>
      <c r="F63" s="208"/>
      <c r="G63" s="204"/>
      <c r="H63" s="208"/>
      <c r="J63" s="22"/>
      <c r="K63" s="22"/>
      <c r="M63" s="22"/>
      <c r="N63" s="22"/>
      <c r="P63" s="22"/>
      <c r="Q63" s="22"/>
    </row>
    <row r="64" spans="1:22" ht="19.2" customHeight="1" x14ac:dyDescent="0.25">
      <c r="C64" s="204"/>
      <c r="D64" s="208"/>
      <c r="E64" s="204"/>
      <c r="F64" s="208"/>
      <c r="G64" s="204"/>
      <c r="H64" s="208"/>
      <c r="J64" s="21"/>
      <c r="K64" s="22"/>
      <c r="L64" s="23"/>
      <c r="M64" s="21"/>
      <c r="N64" s="22"/>
      <c r="O64" s="23"/>
      <c r="P64" s="21"/>
      <c r="Q64" s="22"/>
    </row>
    <row r="65" spans="3:17" ht="19.2" customHeight="1" x14ac:dyDescent="0.25">
      <c r="C65" s="210"/>
      <c r="D65" s="205"/>
      <c r="E65" s="210"/>
      <c r="F65" s="205"/>
      <c r="G65" s="210"/>
      <c r="H65" s="205"/>
      <c r="Q65" s="22"/>
    </row>
    <row r="66" spans="3:17" ht="19.2" customHeight="1" x14ac:dyDescent="0.25">
      <c r="C66" s="210"/>
      <c r="D66" s="205"/>
      <c r="E66" s="210"/>
      <c r="F66" s="205"/>
      <c r="G66" s="210"/>
      <c r="H66" s="205"/>
      <c r="Q66" s="22"/>
    </row>
    <row r="67" spans="3:17" ht="19.2" customHeight="1" x14ac:dyDescent="0.25">
      <c r="C67" s="210"/>
      <c r="D67" s="205"/>
      <c r="E67" s="210"/>
      <c r="F67" s="205"/>
      <c r="G67" s="210"/>
      <c r="H67" s="205"/>
    </row>
    <row r="68" spans="3:17" ht="15.6" customHeight="1" x14ac:dyDescent="0.25">
      <c r="C68" s="204"/>
      <c r="D68" s="208"/>
      <c r="E68" s="204"/>
      <c r="F68" s="208"/>
      <c r="G68" s="204"/>
      <c r="H68" s="208"/>
    </row>
    <row r="69" spans="3:17" ht="15.6" customHeight="1" x14ac:dyDescent="0.25">
      <c r="C69" s="204"/>
      <c r="D69" s="208"/>
      <c r="E69" s="204"/>
      <c r="F69" s="208"/>
      <c r="G69" s="204"/>
      <c r="H69" s="208"/>
    </row>
    <row r="70" spans="3:17" ht="15.6" customHeight="1" x14ac:dyDescent="0.25">
      <c r="C70" s="204"/>
      <c r="D70" s="208"/>
      <c r="E70" s="204"/>
      <c r="F70" s="208"/>
      <c r="G70" s="204"/>
      <c r="H70" s="208"/>
    </row>
    <row r="71" spans="3:17" ht="15.6" customHeight="1" x14ac:dyDescent="0.25">
      <c r="C71" s="211"/>
      <c r="E71" s="212"/>
    </row>
    <row r="72" spans="3:17" ht="15.6" customHeight="1" x14ac:dyDescent="0.25">
      <c r="C72" s="211"/>
      <c r="D72" s="211"/>
    </row>
    <row r="73" spans="3:17" ht="15.6" customHeight="1" x14ac:dyDescent="0.25"/>
    <row r="74" spans="3:17" ht="15.6" customHeight="1" x14ac:dyDescent="0.25"/>
  </sheetData>
  <sheetProtection sheet="1" objects="1" scenarios="1"/>
  <mergeCells count="73">
    <mergeCell ref="H38:I38"/>
    <mergeCell ref="D10:E10"/>
    <mergeCell ref="F16:G16"/>
    <mergeCell ref="L16:M16"/>
    <mergeCell ref="L39:M39"/>
    <mergeCell ref="A41:O41"/>
    <mergeCell ref="N16:O16"/>
    <mergeCell ref="F34:G34"/>
    <mergeCell ref="D15:G15"/>
    <mergeCell ref="L37:M37"/>
    <mergeCell ref="D40:E40"/>
    <mergeCell ref="D36:E36"/>
    <mergeCell ref="L34:M35"/>
    <mergeCell ref="L17:O17"/>
    <mergeCell ref="F26:G26"/>
    <mergeCell ref="J26:K26"/>
    <mergeCell ref="D34:E35"/>
    <mergeCell ref="L38:M38"/>
    <mergeCell ref="L36:M36"/>
    <mergeCell ref="N26:O26"/>
    <mergeCell ref="A33:O33"/>
    <mergeCell ref="A14:O14"/>
    <mergeCell ref="H36:I36"/>
    <mergeCell ref="B34:B35"/>
    <mergeCell ref="A18:B18"/>
    <mergeCell ref="A24:B24"/>
    <mergeCell ref="A25:O25"/>
    <mergeCell ref="W2:Y2"/>
    <mergeCell ref="L26:M26"/>
    <mergeCell ref="A26:B26"/>
    <mergeCell ref="D16:E16"/>
    <mergeCell ref="A21:B21"/>
    <mergeCell ref="H16:I16"/>
    <mergeCell ref="J16:K16"/>
    <mergeCell ref="Q2:U2"/>
    <mergeCell ref="H15:K15"/>
    <mergeCell ref="A2:C2"/>
    <mergeCell ref="D6:E6"/>
    <mergeCell ref="D2:E2"/>
    <mergeCell ref="D11:E11"/>
    <mergeCell ref="L7:M7"/>
    <mergeCell ref="A42:B42"/>
    <mergeCell ref="D37:E37"/>
    <mergeCell ref="A32:B32"/>
    <mergeCell ref="H37:I37"/>
    <mergeCell ref="D4:E4"/>
    <mergeCell ref="A23:B23"/>
    <mergeCell ref="A15:C15"/>
    <mergeCell ref="D38:E38"/>
    <mergeCell ref="H34:I35"/>
    <mergeCell ref="D26:E26"/>
    <mergeCell ref="H26:I26"/>
    <mergeCell ref="D42:G42"/>
    <mergeCell ref="H40:I40"/>
    <mergeCell ref="H42:K42"/>
    <mergeCell ref="H39:I39"/>
    <mergeCell ref="J34:K34"/>
    <mergeCell ref="L42:O42"/>
    <mergeCell ref="D9:E9"/>
    <mergeCell ref="D3:E3"/>
    <mergeCell ref="L2:N2"/>
    <mergeCell ref="A22:B22"/>
    <mergeCell ref="L40:M40"/>
    <mergeCell ref="D39:E39"/>
    <mergeCell ref="D8:E8"/>
    <mergeCell ref="L15:O15"/>
    <mergeCell ref="A20:B20"/>
    <mergeCell ref="D17:G17"/>
    <mergeCell ref="A34:A35"/>
    <mergeCell ref="N34:O34"/>
    <mergeCell ref="H17:K17"/>
    <mergeCell ref="A19:B19"/>
    <mergeCell ref="D5:E5"/>
  </mergeCells>
  <dataValidations disablePrompts="1" count="5">
    <dataValidation type="list" showInputMessage="1" showErrorMessage="1" sqref="D6:E6" xr:uid="{00000000-0002-0000-0400-000000000000}">
      <formula1>"-, Saturado, Sin saturar"</formula1>
    </dataValidation>
    <dataValidation type="list" showInputMessage="1" showErrorMessage="1" sqref="D4:E4" xr:uid="{00000000-0002-0000-0400-000001000000}">
      <formula1>"-, ASTM D1557, ASTM D698"</formula1>
    </dataValidation>
    <dataValidation type="list" showInputMessage="1" showErrorMessage="1" sqref="D5:E5" xr:uid="{00000000-0002-0000-0400-000002000000}">
      <formula1>"-, A, B, C"</formula1>
    </dataValidation>
    <dataValidation type="list" showInputMessage="1" showErrorMessage="1" sqref="D2:E2" xr:uid="{00000000-0002-0000-0400-000003000000}">
      <formula1>"-, I.CH.A., D.I.Z."</formula1>
    </dataValidation>
    <dataValidation type="list" showInputMessage="1" showErrorMessage="1" sqref="D3:E3" xr:uid="{00000000-0002-0000-0400-000004000000}">
      <formula1>"-,SI,NO"</formula1>
    </dataValidation>
  </dataValidations>
  <printOptions horizontalCentered="1"/>
  <pageMargins left="0" right="0" top="0.78740157480314965" bottom="0" header="0" footer="0"/>
  <pageSetup paperSize="9" scale="50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025"/>
  <sheetViews>
    <sheetView topLeftCell="A144" zoomScale="90" zoomScaleNormal="90" workbookViewId="0">
      <selection activeCell="H156" sqref="H156:I156"/>
    </sheetView>
  </sheetViews>
  <sheetFormatPr baseColWidth="10" defaultColWidth="12.5546875" defaultRowHeight="13.2" x14ac:dyDescent="0.25"/>
  <cols>
    <col min="1" max="1" width="3.6640625" style="418" customWidth="1"/>
    <col min="2" max="2" width="22.33203125" style="418" customWidth="1"/>
    <col min="3" max="4" width="10" style="418" customWidth="1"/>
    <col min="5" max="5" width="13.5546875" style="418" customWidth="1"/>
    <col min="6" max="6" width="11.5546875" style="418" customWidth="1"/>
    <col min="7" max="7" width="13.5546875" style="418" customWidth="1"/>
    <col min="8" max="8" width="13.6640625" style="418" customWidth="1"/>
    <col min="9" max="9" width="11.5546875" style="418" customWidth="1"/>
    <col min="10" max="10" width="10" style="418" customWidth="1"/>
    <col min="11" max="11" width="28.33203125" customWidth="1"/>
    <col min="12" max="12" width="15.88671875" customWidth="1"/>
    <col min="13" max="13" width="11.109375" customWidth="1"/>
    <col min="14" max="14" width="14.88671875" customWidth="1"/>
    <col min="15" max="15" width="13" customWidth="1"/>
    <col min="16" max="16" width="13.6640625" customWidth="1"/>
    <col min="17" max="17" width="14.44140625" customWidth="1"/>
    <col min="18" max="18" width="13.33203125" customWidth="1"/>
    <col min="19" max="19" width="11.44140625" customWidth="1"/>
    <col min="20" max="20" width="12" customWidth="1"/>
    <col min="21" max="21" width="34.33203125" customWidth="1"/>
    <col min="22" max="22" width="8.5546875" customWidth="1"/>
    <col min="23" max="23" width="12.33203125" customWidth="1"/>
    <col min="24" max="24" width="13.6640625" customWidth="1"/>
    <col min="25" max="25" width="14.88671875" customWidth="1"/>
    <col min="26" max="26" width="14.5546875" customWidth="1"/>
    <col min="27" max="27" width="14.33203125" customWidth="1"/>
    <col min="28" max="28" width="14.88671875" customWidth="1"/>
    <col min="29" max="29" width="16" customWidth="1"/>
    <col min="30" max="30" width="12.88671875" customWidth="1"/>
    <col min="31" max="31" width="16.5546875" customWidth="1"/>
    <col min="32" max="32" width="11.6640625" customWidth="1"/>
    <col min="33" max="33" width="15.33203125" customWidth="1"/>
    <col min="34" max="34" width="12.44140625" customWidth="1"/>
    <col min="35" max="35" width="16.44140625" customWidth="1"/>
    <col min="36" max="36" width="12.88671875" customWidth="1"/>
    <col min="37" max="37" width="12.44140625" customWidth="1"/>
    <col min="38" max="38" width="12" customWidth="1"/>
  </cols>
  <sheetData>
    <row r="1" spans="1:38" s="814" customFormat="1" ht="12.75" customHeight="1" x14ac:dyDescent="0.25">
      <c r="A1" s="418"/>
      <c r="B1" s="531"/>
      <c r="C1" s="532"/>
      <c r="D1" s="959" t="s">
        <v>322</v>
      </c>
      <c r="E1" s="960"/>
      <c r="F1" s="960"/>
      <c r="G1" s="960"/>
      <c r="H1" s="960"/>
      <c r="I1" s="960"/>
      <c r="J1" s="961"/>
      <c r="K1" s="254" t="s">
        <v>323</v>
      </c>
      <c r="L1" s="674" t="s">
        <v>324</v>
      </c>
      <c r="V1" s="528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</row>
    <row r="2" spans="1:38" s="814" customFormat="1" ht="12.75" customHeight="1" x14ac:dyDescent="0.25">
      <c r="A2" s="418"/>
      <c r="B2" s="533"/>
      <c r="C2" s="534"/>
      <c r="D2" s="962"/>
      <c r="E2" s="960"/>
      <c r="F2" s="960"/>
      <c r="G2" s="960"/>
      <c r="H2" s="960"/>
      <c r="I2" s="960"/>
      <c r="J2" s="961"/>
      <c r="K2" s="254" t="s">
        <v>325</v>
      </c>
      <c r="L2" s="675">
        <v>3</v>
      </c>
      <c r="V2" s="529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</row>
    <row r="3" spans="1:38" s="814" customFormat="1" ht="12.75" customHeight="1" x14ac:dyDescent="0.25">
      <c r="A3" s="418"/>
      <c r="B3" s="533"/>
      <c r="C3" s="534"/>
      <c r="D3" s="962"/>
      <c r="E3" s="960"/>
      <c r="F3" s="960"/>
      <c r="G3" s="960"/>
      <c r="H3" s="960"/>
      <c r="I3" s="960"/>
      <c r="J3" s="961"/>
      <c r="K3" s="254" t="s">
        <v>326</v>
      </c>
      <c r="L3" s="676">
        <v>46146</v>
      </c>
      <c r="V3" s="530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</row>
    <row r="4" spans="1:38" s="814" customFormat="1" ht="12.75" customHeight="1" x14ac:dyDescent="0.25">
      <c r="A4" s="418"/>
      <c r="B4" s="535"/>
      <c r="C4" s="536"/>
      <c r="D4" s="963"/>
      <c r="E4" s="964"/>
      <c r="F4" s="964"/>
      <c r="G4" s="964"/>
      <c r="H4" s="964"/>
      <c r="I4" s="964"/>
      <c r="J4" s="965"/>
      <c r="K4" s="254" t="s">
        <v>327</v>
      </c>
      <c r="L4" s="674" t="s">
        <v>328</v>
      </c>
      <c r="V4" s="528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</row>
    <row r="5" spans="1:38" s="814" customFormat="1" ht="3.6" customHeight="1" x14ac:dyDescent="0.25">
      <c r="A5" s="418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</row>
    <row r="6" spans="1:38" s="814" customFormat="1" ht="28.5" customHeight="1" x14ac:dyDescent="0.25">
      <c r="A6" s="418"/>
      <c r="B6" s="256" t="s">
        <v>329</v>
      </c>
      <c r="C6" s="582" t="s">
        <v>121</v>
      </c>
      <c r="D6" s="583"/>
      <c r="E6" s="584"/>
      <c r="F6" s="584"/>
      <c r="G6" s="584"/>
      <c r="H6" s="584"/>
      <c r="I6" s="584"/>
      <c r="J6" s="584"/>
      <c r="K6" s="584"/>
      <c r="L6" s="585"/>
      <c r="V6" s="266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</row>
    <row r="7" spans="1:38" s="814" customFormat="1" ht="18" customHeight="1" x14ac:dyDescent="0.25">
      <c r="A7" s="418"/>
      <c r="B7" s="256" t="s">
        <v>330</v>
      </c>
      <c r="C7" s="586" t="s">
        <v>122</v>
      </c>
      <c r="D7" s="418"/>
      <c r="E7" s="587"/>
      <c r="F7" s="587"/>
      <c r="G7" s="587"/>
      <c r="H7" s="255"/>
      <c r="I7" s="255"/>
      <c r="J7" s="255"/>
      <c r="K7" s="255"/>
      <c r="L7" s="588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</row>
    <row r="8" spans="1:38" s="814" customFormat="1" ht="18" customHeight="1" x14ac:dyDescent="0.25">
      <c r="A8" s="418"/>
      <c r="B8" s="256" t="s">
        <v>331</v>
      </c>
      <c r="C8" s="582" t="s">
        <v>332</v>
      </c>
      <c r="D8" s="583"/>
      <c r="E8" s="589"/>
      <c r="F8" s="589"/>
      <c r="G8" s="589"/>
      <c r="H8" s="590"/>
      <c r="I8" s="590"/>
      <c r="J8" s="590"/>
      <c r="K8" s="590"/>
      <c r="L8" s="591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</row>
    <row r="9" spans="1:38" s="814" customFormat="1" ht="18" customHeight="1" x14ac:dyDescent="0.25">
      <c r="A9" s="418"/>
      <c r="B9" s="257" t="s">
        <v>333</v>
      </c>
      <c r="C9" s="582" t="s">
        <v>334</v>
      </c>
      <c r="D9" s="583"/>
      <c r="E9" s="589"/>
      <c r="F9" s="589"/>
      <c r="G9" s="589"/>
      <c r="H9" s="590"/>
      <c r="I9" s="590"/>
      <c r="J9" s="590"/>
      <c r="K9" s="590"/>
      <c r="L9" s="591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</row>
    <row r="10" spans="1:38" s="814" customFormat="1" ht="12.75" customHeight="1" x14ac:dyDescent="0.25">
      <c r="A10" s="418"/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</row>
    <row r="11" spans="1:38" s="814" customFormat="1" ht="15" customHeight="1" x14ac:dyDescent="0.25">
      <c r="A11" s="418"/>
      <c r="B11" s="258" t="s">
        <v>335</v>
      </c>
      <c r="C11" s="258"/>
      <c r="D11" s="259"/>
      <c r="E11" s="259"/>
      <c r="F11" s="259"/>
      <c r="G11" s="259"/>
      <c r="H11" s="259"/>
      <c r="I11" s="259"/>
      <c r="J11" s="259"/>
      <c r="K11" s="255"/>
      <c r="L11" s="258" t="s">
        <v>335</v>
      </c>
      <c r="M11" s="258"/>
      <c r="N11" s="259"/>
      <c r="O11" s="259"/>
      <c r="P11" s="259"/>
      <c r="Q11" s="259"/>
      <c r="R11" s="259"/>
      <c r="S11" s="259"/>
      <c r="T11" s="259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</row>
    <row r="12" spans="1:38" s="814" customFormat="1" ht="7.5" customHeight="1" x14ac:dyDescent="0.25">
      <c r="A12" s="418"/>
      <c r="B12" s="258"/>
      <c r="C12" s="258"/>
      <c r="D12" s="259"/>
      <c r="E12" s="259"/>
      <c r="F12" s="259"/>
      <c r="G12" s="259"/>
      <c r="H12" s="259"/>
      <c r="I12" s="259"/>
      <c r="J12" s="259"/>
      <c r="K12" s="255"/>
      <c r="L12" s="258"/>
      <c r="M12" s="258"/>
      <c r="N12" s="259"/>
      <c r="O12" s="259"/>
      <c r="P12" s="259"/>
      <c r="Q12" s="259"/>
      <c r="R12" s="259"/>
      <c r="S12" s="259"/>
      <c r="T12" s="259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</row>
    <row r="13" spans="1:38" s="814" customFormat="1" ht="15" customHeight="1" x14ac:dyDescent="0.25">
      <c r="A13" s="418"/>
      <c r="B13" s="260" t="s">
        <v>336</v>
      </c>
      <c r="C13" s="260"/>
      <c r="D13" s="259"/>
      <c r="E13" s="260" t="s">
        <v>337</v>
      </c>
      <c r="H13" s="258" t="s">
        <v>338</v>
      </c>
      <c r="J13" s="259"/>
      <c r="K13" s="255"/>
      <c r="L13" s="260" t="s">
        <v>336</v>
      </c>
      <c r="M13" s="260"/>
      <c r="N13" s="259"/>
      <c r="O13" s="259"/>
      <c r="Q13" s="260" t="s">
        <v>337</v>
      </c>
      <c r="S13" s="258" t="s">
        <v>338</v>
      </c>
      <c r="T13" s="259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</row>
    <row r="14" spans="1:38" s="814" customFormat="1" ht="15.6" customHeight="1" x14ac:dyDescent="0.25">
      <c r="A14" s="418"/>
      <c r="B14" s="261" t="s">
        <v>339</v>
      </c>
      <c r="C14" s="261"/>
      <c r="D14" s="259"/>
      <c r="E14" s="259"/>
      <c r="F14" s="259"/>
      <c r="G14" s="259"/>
      <c r="H14" s="259"/>
      <c r="I14" s="259"/>
      <c r="J14" s="259"/>
      <c r="K14" s="255"/>
      <c r="L14" s="261" t="s">
        <v>340</v>
      </c>
      <c r="M14" s="261"/>
      <c r="N14" s="259"/>
      <c r="O14" s="259"/>
      <c r="P14" s="259"/>
      <c r="Q14" s="259"/>
      <c r="R14" s="259"/>
      <c r="S14" s="259"/>
      <c r="T14" s="259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</row>
    <row r="15" spans="1:38" s="814" customFormat="1" ht="15" customHeight="1" x14ac:dyDescent="0.25">
      <c r="A15" s="418"/>
      <c r="B15" s="261" t="s">
        <v>341</v>
      </c>
      <c r="C15" s="261"/>
      <c r="D15" s="259"/>
      <c r="E15" s="259"/>
      <c r="F15" s="259"/>
      <c r="G15" s="259"/>
      <c r="H15" s="259"/>
      <c r="I15" s="259"/>
      <c r="J15" s="259"/>
      <c r="K15" s="255"/>
      <c r="L15" s="261" t="s">
        <v>342</v>
      </c>
      <c r="M15" s="261"/>
      <c r="N15" s="259"/>
      <c r="O15" s="259"/>
      <c r="P15" s="259"/>
      <c r="Q15" s="259"/>
      <c r="R15" s="259"/>
      <c r="S15" s="259"/>
      <c r="T15" s="259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</row>
    <row r="16" spans="1:38" s="814" customFormat="1" ht="15" customHeight="1" x14ac:dyDescent="0.25">
      <c r="A16" s="418"/>
      <c r="B16" s="261"/>
      <c r="C16" s="261"/>
      <c r="D16" s="259"/>
      <c r="F16" s="259"/>
      <c r="H16" s="259"/>
      <c r="I16" s="259"/>
      <c r="J16" s="259"/>
      <c r="K16" s="255"/>
      <c r="L16" s="261" t="s">
        <v>343</v>
      </c>
      <c r="M16" s="261"/>
      <c r="N16" s="259"/>
      <c r="P16" s="259"/>
      <c r="R16" s="259"/>
      <c r="S16" s="259"/>
      <c r="T16" s="259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</row>
    <row r="17" spans="1:38" s="814" customFormat="1" ht="15" customHeight="1" x14ac:dyDescent="0.25">
      <c r="A17" s="418"/>
      <c r="B17" s="260" t="s">
        <v>344</v>
      </c>
      <c r="C17" s="261"/>
      <c r="D17" s="255"/>
      <c r="F17" s="259"/>
      <c r="G17" s="259"/>
      <c r="H17" s="259"/>
      <c r="I17" s="259"/>
      <c r="J17" s="259"/>
      <c r="K17" s="255"/>
      <c r="L17" s="261" t="s">
        <v>345</v>
      </c>
      <c r="M17" s="261"/>
      <c r="N17" s="255"/>
      <c r="P17" s="259"/>
      <c r="Q17" s="259"/>
      <c r="R17" s="259"/>
      <c r="S17" s="259"/>
      <c r="T17" s="259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</row>
    <row r="18" spans="1:38" s="814" customFormat="1" ht="15" customHeight="1" x14ac:dyDescent="0.25">
      <c r="A18" s="418"/>
      <c r="B18" s="259"/>
      <c r="C18" s="259"/>
      <c r="D18" s="259"/>
      <c r="E18" s="259"/>
      <c r="F18" s="259"/>
      <c r="G18" s="259"/>
      <c r="H18" s="259"/>
      <c r="I18" s="259"/>
      <c r="J18" s="259"/>
      <c r="K18" s="255"/>
      <c r="L18" s="259" t="s">
        <v>346</v>
      </c>
      <c r="M18" s="259"/>
      <c r="N18" s="259"/>
      <c r="O18" s="259"/>
      <c r="P18" s="259"/>
      <c r="Q18" s="259"/>
      <c r="R18" s="259"/>
      <c r="S18" s="259"/>
      <c r="T18" s="259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</row>
    <row r="19" spans="1:38" s="814" customFormat="1" ht="15" customHeight="1" x14ac:dyDescent="0.25">
      <c r="A19" s="418"/>
      <c r="B19" s="261" t="s">
        <v>347</v>
      </c>
      <c r="C19" s="259"/>
      <c r="D19" s="259"/>
      <c r="E19" s="259"/>
      <c r="F19" s="259"/>
      <c r="H19" s="259"/>
      <c r="I19" s="259"/>
      <c r="J19" s="259"/>
      <c r="K19" s="255"/>
      <c r="L19" s="259" t="s">
        <v>348</v>
      </c>
      <c r="M19" s="259"/>
      <c r="N19" s="259"/>
      <c r="O19" s="259"/>
      <c r="P19" s="259"/>
      <c r="R19" s="259"/>
      <c r="S19" s="259"/>
      <c r="T19" s="259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</row>
    <row r="20" spans="1:38" s="814" customFormat="1" ht="7.2" customHeight="1" x14ac:dyDescent="0.25">
      <c r="A20" s="418"/>
      <c r="B20" s="259"/>
      <c r="C20" s="259"/>
      <c r="D20" s="259"/>
      <c r="E20" s="259"/>
      <c r="F20" s="259"/>
      <c r="G20" s="259"/>
      <c r="H20" s="259"/>
      <c r="I20" s="259"/>
      <c r="J20" s="259"/>
      <c r="K20" s="255"/>
      <c r="L20" s="259"/>
      <c r="M20" s="259"/>
      <c r="N20" s="259"/>
      <c r="O20" s="259"/>
      <c r="P20" s="259"/>
      <c r="Q20" s="259"/>
      <c r="R20" s="259"/>
      <c r="S20" s="259"/>
      <c r="T20" s="259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</row>
    <row r="21" spans="1:38" s="814" customFormat="1" ht="15" customHeight="1" x14ac:dyDescent="0.25">
      <c r="A21" s="418"/>
      <c r="C21" s="260"/>
      <c r="D21" s="259"/>
      <c r="E21" s="259"/>
      <c r="F21" s="259"/>
      <c r="G21" s="259"/>
      <c r="H21" s="259"/>
      <c r="I21" s="259"/>
      <c r="J21" s="259"/>
      <c r="K21" s="255"/>
      <c r="L21" s="260" t="s">
        <v>344</v>
      </c>
      <c r="M21" s="260"/>
      <c r="N21" s="259"/>
      <c r="O21" s="259"/>
      <c r="P21" s="259"/>
      <c r="Q21" s="259"/>
      <c r="R21" s="259"/>
      <c r="S21" s="259"/>
      <c r="T21" s="259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</row>
    <row r="22" spans="1:38" s="814" customFormat="1" ht="8.4" customHeight="1" x14ac:dyDescent="0.25">
      <c r="A22" s="418"/>
      <c r="C22" s="259"/>
      <c r="D22" s="259"/>
      <c r="E22" s="259"/>
      <c r="F22" s="259"/>
      <c r="G22" s="259"/>
      <c r="H22" s="259"/>
      <c r="I22" s="259"/>
      <c r="J22" s="259"/>
      <c r="K22" s="255"/>
      <c r="L22" s="259"/>
      <c r="M22" s="259"/>
      <c r="N22" s="259"/>
      <c r="O22" s="259"/>
      <c r="P22" s="259"/>
      <c r="Q22" s="259"/>
      <c r="R22" s="259"/>
      <c r="S22" s="259"/>
      <c r="T22" s="259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</row>
    <row r="23" spans="1:38" s="814" customFormat="1" ht="15" customHeight="1" x14ac:dyDescent="0.25">
      <c r="A23" s="418"/>
      <c r="C23" s="261"/>
      <c r="D23" s="259"/>
      <c r="E23" s="259"/>
      <c r="F23" s="259"/>
      <c r="G23" s="259"/>
      <c r="H23" s="259"/>
      <c r="I23" s="259"/>
      <c r="J23" s="259"/>
      <c r="K23" s="255"/>
      <c r="L23" s="261" t="s">
        <v>349</v>
      </c>
      <c r="M23" s="261"/>
      <c r="N23" s="259"/>
      <c r="O23" s="259"/>
      <c r="P23" s="259"/>
      <c r="Q23" s="259"/>
      <c r="R23" s="259"/>
      <c r="S23" s="259"/>
      <c r="T23" s="259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</row>
    <row r="24" spans="1:38" ht="3.6" customHeight="1" x14ac:dyDescent="0.25">
      <c r="K24" s="259"/>
      <c r="L24" s="259"/>
      <c r="M24" s="259"/>
      <c r="N24" s="259"/>
      <c r="O24" s="259"/>
      <c r="P24" s="259"/>
      <c r="Q24" s="259"/>
      <c r="R24" s="259"/>
      <c r="S24" s="259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</row>
    <row r="25" spans="1:38" ht="21" customHeight="1" x14ac:dyDescent="0.25">
      <c r="B25" s="262" t="s">
        <v>350</v>
      </c>
      <c r="K25" s="262" t="s">
        <v>350</v>
      </c>
      <c r="L25" s="262"/>
      <c r="M25" s="263"/>
      <c r="N25" s="263"/>
      <c r="O25" s="264"/>
      <c r="P25" s="263"/>
      <c r="Q25" s="263"/>
      <c r="R25" s="263"/>
      <c r="S25" s="263"/>
      <c r="T25" s="265"/>
      <c r="U25" s="265"/>
      <c r="V25" s="26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</row>
    <row r="26" spans="1:38" ht="6.6" customHeight="1" x14ac:dyDescent="0.25"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814"/>
      <c r="V26" s="814"/>
      <c r="W26" s="814"/>
      <c r="X26" s="814"/>
      <c r="Y26" s="814"/>
      <c r="Z26" s="814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</row>
    <row r="27" spans="1:38" ht="27.6" customHeight="1" x14ac:dyDescent="0.25">
      <c r="B27" s="502" t="s">
        <v>351</v>
      </c>
      <c r="C27" s="503" t="s">
        <v>352</v>
      </c>
      <c r="D27" s="502" t="s">
        <v>353</v>
      </c>
      <c r="E27" s="503" t="s">
        <v>354</v>
      </c>
      <c r="F27" s="503" t="s">
        <v>355</v>
      </c>
      <c r="G27" s="503" t="s">
        <v>356</v>
      </c>
      <c r="H27" s="503" t="s">
        <v>357</v>
      </c>
      <c r="I27" s="503" t="s">
        <v>358</v>
      </c>
      <c r="K27" s="408" t="s">
        <v>351</v>
      </c>
      <c r="L27" s="409" t="s">
        <v>352</v>
      </c>
      <c r="M27" s="408" t="s">
        <v>353</v>
      </c>
      <c r="N27" s="409" t="s">
        <v>354</v>
      </c>
      <c r="O27" s="409" t="s">
        <v>355</v>
      </c>
      <c r="P27" s="409" t="s">
        <v>356</v>
      </c>
      <c r="Q27" s="409" t="s">
        <v>357</v>
      </c>
      <c r="R27" s="409" t="s">
        <v>358</v>
      </c>
      <c r="T27" s="266"/>
      <c r="U27" s="814"/>
      <c r="V27" s="814"/>
      <c r="W27" s="814"/>
      <c r="X27" s="814"/>
      <c r="Y27" s="814"/>
      <c r="Z27" s="814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</row>
    <row r="28" spans="1:38" ht="18.600000000000001" customHeight="1" x14ac:dyDescent="0.25">
      <c r="B28" s="510" t="s">
        <v>359</v>
      </c>
      <c r="C28" s="501" t="s">
        <v>19</v>
      </c>
      <c r="D28" s="800">
        <f>+D29/D32*14.223343334285*100/1000</f>
        <v>8.3166518663380498E-2</v>
      </c>
      <c r="E28" s="793"/>
      <c r="F28" s="789"/>
      <c r="G28" s="789"/>
      <c r="H28" s="789"/>
      <c r="I28" s="789"/>
      <c r="K28" s="514" t="s">
        <v>226</v>
      </c>
      <c r="L28" s="368" t="s">
        <v>19</v>
      </c>
      <c r="M28" s="552" t="e">
        <f>+(M33-M30)*(M31-M29)/(M32-M30)+M29</f>
        <v>#N/A</v>
      </c>
      <c r="N28" s="526"/>
      <c r="O28" s="526"/>
      <c r="P28" s="526"/>
      <c r="Q28" s="526"/>
      <c r="R28" s="526"/>
      <c r="T28" s="266"/>
      <c r="U28" s="814"/>
      <c r="V28" s="814"/>
      <c r="W28" s="814"/>
      <c r="X28" s="814"/>
      <c r="Y28" s="814"/>
      <c r="Z28" s="814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</row>
    <row r="29" spans="1:38" ht="18.600000000000001" customHeight="1" x14ac:dyDescent="0.25">
      <c r="B29" s="511" t="s">
        <v>360</v>
      </c>
      <c r="C29" s="409" t="s">
        <v>361</v>
      </c>
      <c r="D29" s="414">
        <f>+'INFORME-2'!$V$55*D32*0.393701^2*0.453592</f>
        <v>1.129971229796175</v>
      </c>
      <c r="E29" s="457"/>
      <c r="F29" s="459"/>
      <c r="G29" s="499">
        <f>SQRT((G30*G30+G31*G31))</f>
        <v>4.9418355248927561</v>
      </c>
      <c r="H29" s="467">
        <f>1/D32*14.223343334285*100/1000</f>
        <v>7.3600562979273504E-2</v>
      </c>
      <c r="I29" s="500">
        <f>+H29*G29</f>
        <v>0.36372187678308043</v>
      </c>
      <c r="J29" s="397" t="s">
        <v>277</v>
      </c>
      <c r="K29" s="515" t="s">
        <v>359</v>
      </c>
      <c r="L29" s="409" t="s">
        <v>19</v>
      </c>
      <c r="M29" s="414">
        <f>+M50</f>
        <v>8.3166518663380498E-2</v>
      </c>
      <c r="N29" s="414"/>
      <c r="O29" s="459"/>
      <c r="P29" s="460">
        <f>+R55</f>
        <v>0.36372187726446403</v>
      </c>
      <c r="Q29" s="467" t="e">
        <f>+(M30-M33)/(M32-M30)+1</f>
        <v>#N/A</v>
      </c>
      <c r="R29" s="467" t="e">
        <f t="shared" ref="R29:R34" si="0">+P29*Q29</f>
        <v>#N/A</v>
      </c>
      <c r="T29" s="266"/>
      <c r="U29" s="814"/>
      <c r="V29" s="814"/>
      <c r="W29" s="814"/>
      <c r="X29" s="814"/>
      <c r="Y29" s="814"/>
      <c r="Z29" s="814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</row>
    <row r="30" spans="1:38" ht="18.600000000000001" customHeight="1" x14ac:dyDescent="0.25">
      <c r="B30" s="512" t="s">
        <v>362</v>
      </c>
      <c r="C30" s="368" t="s">
        <v>361</v>
      </c>
      <c r="D30" s="793"/>
      <c r="E30" s="488">
        <f>+$D$58</f>
        <v>-9.8835024200449766</v>
      </c>
      <c r="F30" s="329" t="s">
        <v>363</v>
      </c>
      <c r="G30" s="513">
        <f>+E30/2</f>
        <v>-4.9417512100224883</v>
      </c>
      <c r="H30" s="789"/>
      <c r="I30" s="789"/>
      <c r="J30" s="397" t="s">
        <v>281</v>
      </c>
      <c r="K30" s="515" t="s">
        <v>364</v>
      </c>
      <c r="L30" s="458" t="s">
        <v>162</v>
      </c>
      <c r="M30" s="460" t="e">
        <f>+M70</f>
        <v>#N/A</v>
      </c>
      <c r="N30" s="457"/>
      <c r="O30" s="459"/>
      <c r="P30" s="461" t="e">
        <f>+R78</f>
        <v>#DIV/0!</v>
      </c>
      <c r="Q30" s="467" t="e">
        <f>(+(M31-M29)*(M33-M32)/(M32-M30)^2)*(-1)</f>
        <v>#N/A</v>
      </c>
      <c r="R30" s="467" t="e">
        <f t="shared" si="0"/>
        <v>#DIV/0!</v>
      </c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</row>
    <row r="31" spans="1:38" ht="18.600000000000001" customHeight="1" x14ac:dyDescent="0.25">
      <c r="B31" s="484" t="s">
        <v>365</v>
      </c>
      <c r="C31" s="368" t="s">
        <v>361</v>
      </c>
      <c r="D31" s="793"/>
      <c r="E31" s="485">
        <v>0.1</v>
      </c>
      <c r="F31" s="429" t="s">
        <v>366</v>
      </c>
      <c r="G31" s="426">
        <f>+E31/SQRT(3)/2</f>
        <v>2.8867513459481291E-2</v>
      </c>
      <c r="H31" s="789"/>
      <c r="I31" s="789"/>
      <c r="J31" s="397" t="s">
        <v>284</v>
      </c>
      <c r="K31" s="515" t="s">
        <v>208</v>
      </c>
      <c r="L31" s="409" t="s">
        <v>19</v>
      </c>
      <c r="M31" s="414">
        <f>+W50</f>
        <v>8.3166518663380498E-2</v>
      </c>
      <c r="N31" s="414"/>
      <c r="O31" s="459"/>
      <c r="P31" s="460">
        <f>+AB55</f>
        <v>2.1337173854584436E-3</v>
      </c>
      <c r="Q31" s="467" t="e">
        <f>+(M33-M30)/(M32-M30)*(-1)</f>
        <v>#N/A</v>
      </c>
      <c r="R31" s="467" t="e">
        <f t="shared" si="0"/>
        <v>#N/A</v>
      </c>
      <c r="T31" s="266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</row>
    <row r="32" spans="1:38" ht="18.600000000000001" customHeight="1" x14ac:dyDescent="0.25">
      <c r="B32" s="511" t="s">
        <v>367</v>
      </c>
      <c r="C32" s="409" t="s">
        <v>368</v>
      </c>
      <c r="D32" s="414">
        <f>+DATOS!$D$9</f>
        <v>19.325046927005715</v>
      </c>
      <c r="E32" s="457"/>
      <c r="F32" s="459"/>
      <c r="G32" s="467">
        <f>I54*0.01</f>
        <v>4.3482789308154739E-3</v>
      </c>
      <c r="H32" s="467">
        <f>14.223343334285*100/1000*D29/(D32^2)</f>
        <v>4.3035610199300359E-3</v>
      </c>
      <c r="I32" s="500">
        <f>+H32*G32</f>
        <v>1.8713083710440528E-5</v>
      </c>
      <c r="J32" s="397" t="s">
        <v>272</v>
      </c>
      <c r="K32" s="515" t="s">
        <v>369</v>
      </c>
      <c r="L32" s="458" t="s">
        <v>162</v>
      </c>
      <c r="M32" s="460" t="e">
        <f>+W70</f>
        <v>#N/A</v>
      </c>
      <c r="N32" s="457"/>
      <c r="O32" s="459"/>
      <c r="P32" s="461" t="e">
        <f>+AB72</f>
        <v>#DIV/0!</v>
      </c>
      <c r="Q32" s="467" t="e">
        <f>((M31-M29)*(M30-M33)/(M32-M30)^2)</f>
        <v>#N/A</v>
      </c>
      <c r="R32" s="467" t="e">
        <f t="shared" si="0"/>
        <v>#DIV/0!</v>
      </c>
      <c r="T32" s="266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</row>
    <row r="33" spans="1:38" ht="18.600000000000001" customHeight="1" x14ac:dyDescent="0.25">
      <c r="B33" s="518" t="s">
        <v>370</v>
      </c>
      <c r="C33" s="334" t="s">
        <v>19</v>
      </c>
      <c r="D33" s="519">
        <f>+PRECISION!$C$6</f>
        <v>2.0257508895880241</v>
      </c>
      <c r="E33" s="318"/>
      <c r="F33" s="520" t="s">
        <v>371</v>
      </c>
      <c r="G33" s="521">
        <f>D33/SQRT(1)</f>
        <v>2.0257508895880241</v>
      </c>
      <c r="H33" s="522">
        <v>1</v>
      </c>
      <c r="I33" s="523">
        <f>+G33*H33</f>
        <v>2.0257508895880241</v>
      </c>
      <c r="J33" s="397" t="s">
        <v>288</v>
      </c>
      <c r="K33" s="516" t="s">
        <v>372</v>
      </c>
      <c r="L33" s="458" t="s">
        <v>162</v>
      </c>
      <c r="M33" s="460">
        <f>+DATOS!J2</f>
        <v>0</v>
      </c>
      <c r="N33" s="457"/>
      <c r="O33" s="459"/>
      <c r="P33" s="517">
        <v>0.02</v>
      </c>
      <c r="Q33" s="467" t="e">
        <f>+(M31-M29)/(M32-M30)</f>
        <v>#N/A</v>
      </c>
      <c r="R33" s="467" t="e">
        <f t="shared" si="0"/>
        <v>#N/A</v>
      </c>
      <c r="T33" s="266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</row>
    <row r="34" spans="1:38" ht="18.600000000000001" customHeight="1" x14ac:dyDescent="0.25">
      <c r="A34" s="397"/>
      <c r="B34" s="410" t="s">
        <v>373</v>
      </c>
      <c r="C34" s="410"/>
      <c r="D34" s="410"/>
      <c r="E34" s="411"/>
      <c r="F34" s="410"/>
      <c r="G34" s="411"/>
      <c r="H34" s="507" t="s">
        <v>19</v>
      </c>
      <c r="I34" s="507">
        <f>+SQRT(I29^2+I32^2+I33^2)</f>
        <v>2.0581448614389264</v>
      </c>
      <c r="J34" s="397"/>
      <c r="K34" s="518" t="s">
        <v>370</v>
      </c>
      <c r="L34" s="334" t="s">
        <v>19</v>
      </c>
      <c r="M34" s="519">
        <f>+PRECISION!$C$6</f>
        <v>2.0257508895880241</v>
      </c>
      <c r="N34" s="318"/>
      <c r="O34" s="520" t="s">
        <v>371</v>
      </c>
      <c r="P34" s="521">
        <f>M34/SQRT(1)</f>
        <v>2.0257508895880241</v>
      </c>
      <c r="Q34" s="522">
        <v>1</v>
      </c>
      <c r="R34" s="523">
        <f t="shared" si="0"/>
        <v>2.0257508895880241</v>
      </c>
      <c r="T34" s="266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</row>
    <row r="35" spans="1:38" ht="18.600000000000001" customHeight="1" x14ac:dyDescent="0.25">
      <c r="B35" s="410" t="s">
        <v>374</v>
      </c>
      <c r="C35" s="410"/>
      <c r="D35" s="508"/>
      <c r="E35" s="411"/>
      <c r="F35" s="508"/>
      <c r="G35" s="411"/>
      <c r="H35" s="507" t="s">
        <v>19</v>
      </c>
      <c r="I35" s="509">
        <f>I34*2</f>
        <v>4.1162897228778528</v>
      </c>
      <c r="K35" s="524" t="s">
        <v>373</v>
      </c>
      <c r="L35" s="524"/>
      <c r="M35" s="524"/>
      <c r="N35" s="524"/>
      <c r="O35" s="524"/>
      <c r="P35" s="411"/>
      <c r="Q35" s="450" t="s">
        <v>19</v>
      </c>
      <c r="R35" s="450" t="e">
        <f>+SQRT(R29^2+R32^2+R31^2+R30^2+R33^2+R34^2)</f>
        <v>#N/A</v>
      </c>
      <c r="T35" s="266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</row>
    <row r="36" spans="1:38" ht="29.4" customHeight="1" x14ac:dyDescent="0.25">
      <c r="K36" s="524" t="s">
        <v>374</v>
      </c>
      <c r="L36" s="524"/>
      <c r="M36" s="329"/>
      <c r="N36" s="329"/>
      <c r="O36" s="329"/>
      <c r="P36" s="411"/>
      <c r="Q36" s="450" t="s">
        <v>19</v>
      </c>
      <c r="R36" s="525" t="e">
        <f>R35*2</f>
        <v>#N/A</v>
      </c>
      <c r="T36" s="266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</row>
    <row r="37" spans="1:38" ht="18.600000000000001" customHeight="1" x14ac:dyDescent="0.25">
      <c r="K37" s="494"/>
      <c r="L37" s="494"/>
      <c r="M37" s="495"/>
      <c r="N37" s="495"/>
      <c r="O37" s="495"/>
      <c r="P37" s="496"/>
      <c r="Q37" s="497"/>
      <c r="R37" s="498"/>
      <c r="T37" s="266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</row>
    <row r="38" spans="1:38" ht="25.95" customHeight="1" x14ac:dyDescent="0.25">
      <c r="B38" s="502" t="s">
        <v>351</v>
      </c>
      <c r="C38" s="503" t="s">
        <v>352</v>
      </c>
      <c r="D38" s="502" t="s">
        <v>353</v>
      </c>
      <c r="E38" s="503" t="s">
        <v>354</v>
      </c>
      <c r="F38" s="503" t="s">
        <v>355</v>
      </c>
      <c r="G38" s="503" t="s">
        <v>356</v>
      </c>
      <c r="H38" s="503" t="s">
        <v>357</v>
      </c>
      <c r="I38" s="503" t="s">
        <v>358</v>
      </c>
      <c r="K38" s="408" t="s">
        <v>351</v>
      </c>
      <c r="L38" s="409" t="s">
        <v>352</v>
      </c>
      <c r="M38" s="408" t="s">
        <v>353</v>
      </c>
      <c r="N38" s="409" t="s">
        <v>354</v>
      </c>
      <c r="O38" s="409" t="s">
        <v>355</v>
      </c>
      <c r="P38" s="409" t="s">
        <v>356</v>
      </c>
      <c r="Q38" s="409" t="s">
        <v>357</v>
      </c>
      <c r="R38" s="409" t="s">
        <v>358</v>
      </c>
      <c r="T38" s="266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</row>
    <row r="39" spans="1:38" ht="18.600000000000001" customHeight="1" x14ac:dyDescent="0.25">
      <c r="B39" s="510" t="s">
        <v>375</v>
      </c>
      <c r="C39" s="501" t="s">
        <v>19</v>
      </c>
      <c r="D39" s="800">
        <f>+D40/D43*14.223343334285*100/1500</f>
        <v>5.389068276382105E-2</v>
      </c>
      <c r="E39" s="793"/>
      <c r="F39" s="789"/>
      <c r="G39" s="789"/>
      <c r="H39" s="789"/>
      <c r="I39" s="789"/>
      <c r="K39" s="514" t="s">
        <v>228</v>
      </c>
      <c r="L39" s="368" t="s">
        <v>19</v>
      </c>
      <c r="M39" s="552" t="e">
        <f>+(M44-M41)*(M42-M40)/(M43-M41)+M40</f>
        <v>#N/A</v>
      </c>
      <c r="N39" s="368"/>
      <c r="O39" s="368"/>
      <c r="P39" s="368"/>
      <c r="Q39" s="368"/>
      <c r="R39" s="368"/>
      <c r="T39" s="266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</row>
    <row r="40" spans="1:38" ht="18.600000000000001" customHeight="1" x14ac:dyDescent="0.25">
      <c r="B40" s="511" t="s">
        <v>360</v>
      </c>
      <c r="C40" s="409" t="s">
        <v>361</v>
      </c>
      <c r="D40" s="414">
        <f>+'INFORME-2'!$V$56*D43*0.393701^2*0.453592</f>
        <v>1.0983071443148558</v>
      </c>
      <c r="E40" s="457"/>
      <c r="F40" s="459"/>
      <c r="G40" s="499">
        <f>SQRT((G41*G41+G42*G42))</f>
        <v>0.49754323270208189</v>
      </c>
      <c r="H40" s="467">
        <f>1/D43*14.223343334285*100/1000</f>
        <v>7.3600562979273504E-2</v>
      </c>
      <c r="I40" s="500">
        <f>+H40*G40</f>
        <v>3.6619462033400912E-2</v>
      </c>
      <c r="K40" s="515" t="s">
        <v>219</v>
      </c>
      <c r="L40" s="409" t="s">
        <v>19</v>
      </c>
      <c r="M40" s="414">
        <f>+M59</f>
        <v>5.389068276382105E-2</v>
      </c>
      <c r="N40" s="457"/>
      <c r="O40" s="459"/>
      <c r="P40" s="460">
        <f>+R64</f>
        <v>3.6619466550520452E-2</v>
      </c>
      <c r="Q40" s="467" t="e">
        <f>+(M41-M44)/(M43-M41)+1</f>
        <v>#N/A</v>
      </c>
      <c r="R40" s="467" t="e">
        <f t="shared" ref="R40:R45" si="1">+P40*Q40</f>
        <v>#N/A</v>
      </c>
      <c r="T40" s="266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</row>
    <row r="41" spans="1:38" ht="18.600000000000001" customHeight="1" x14ac:dyDescent="0.25">
      <c r="B41" s="512" t="s">
        <v>362</v>
      </c>
      <c r="C41" s="368" t="s">
        <v>361</v>
      </c>
      <c r="D41" s="793"/>
      <c r="E41" s="488">
        <f>+$D$59</f>
        <v>-0.99341015713411085</v>
      </c>
      <c r="F41" s="329" t="s">
        <v>363</v>
      </c>
      <c r="G41" s="513">
        <f>+E41/2</f>
        <v>-0.49670507856705542</v>
      </c>
      <c r="H41" s="789"/>
      <c r="I41" s="789"/>
      <c r="K41" s="515" t="s">
        <v>364</v>
      </c>
      <c r="L41" s="458" t="s">
        <v>162</v>
      </c>
      <c r="M41" s="460" t="e">
        <f>+M70</f>
        <v>#N/A</v>
      </c>
      <c r="N41" s="457"/>
      <c r="O41" s="459"/>
      <c r="P41" s="461" t="e">
        <f>+R72</f>
        <v>#DIV/0!</v>
      </c>
      <c r="Q41" s="467" t="e">
        <f>(+(M42-M40)*(M44-M43)/(M43-M41)^2)*(-1)</f>
        <v>#N/A</v>
      </c>
      <c r="R41" s="467" t="e">
        <f t="shared" si="1"/>
        <v>#DIV/0!</v>
      </c>
      <c r="T41" s="266"/>
      <c r="AA41" s="255"/>
      <c r="AB41" s="255"/>
      <c r="AC41" s="255"/>
      <c r="AD41" s="255"/>
      <c r="AE41" s="255"/>
      <c r="AF41" s="255"/>
      <c r="AG41" s="255"/>
      <c r="AH41" s="255"/>
      <c r="AI41" s="255"/>
      <c r="AJ41" s="255"/>
      <c r="AK41" s="255"/>
      <c r="AL41" s="255"/>
    </row>
    <row r="42" spans="1:38" ht="18.600000000000001" customHeight="1" x14ac:dyDescent="0.25">
      <c r="B42" s="484" t="s">
        <v>365</v>
      </c>
      <c r="C42" s="368" t="s">
        <v>361</v>
      </c>
      <c r="D42" s="793"/>
      <c r="E42" s="485">
        <v>0.1</v>
      </c>
      <c r="F42" s="429" t="s">
        <v>366</v>
      </c>
      <c r="G42" s="426">
        <f>+E42/SQRT(3)/2</f>
        <v>2.8867513459481291E-2</v>
      </c>
      <c r="H42" s="789"/>
      <c r="I42" s="789"/>
      <c r="K42" s="515" t="s">
        <v>220</v>
      </c>
      <c r="L42" s="409" t="s">
        <v>19</v>
      </c>
      <c r="M42" s="460">
        <f>+W59</f>
        <v>5.389068276382105E-2</v>
      </c>
      <c r="N42" s="457"/>
      <c r="O42" s="459"/>
      <c r="P42" s="460" t="e">
        <f>+AB64</f>
        <v>#DIV/0!</v>
      </c>
      <c r="Q42" s="467" t="e">
        <f>+(M44-M41)/(M43-M41)*(-1)</f>
        <v>#N/A</v>
      </c>
      <c r="R42" s="467" t="e">
        <f t="shared" si="1"/>
        <v>#DIV/0!</v>
      </c>
      <c r="T42" s="266"/>
      <c r="AA42" s="255"/>
      <c r="AB42" s="255"/>
      <c r="AC42" s="255"/>
      <c r="AD42" s="255"/>
      <c r="AE42" s="255"/>
      <c r="AF42" s="255"/>
      <c r="AG42" s="255"/>
      <c r="AH42" s="255"/>
      <c r="AI42" s="255"/>
      <c r="AJ42" s="255"/>
      <c r="AK42" s="255"/>
      <c r="AL42" s="255"/>
    </row>
    <row r="43" spans="1:38" ht="18.600000000000001" customHeight="1" x14ac:dyDescent="0.25">
      <c r="B43" s="511" t="s">
        <v>367</v>
      </c>
      <c r="C43" s="409" t="s">
        <v>368</v>
      </c>
      <c r="D43" s="414">
        <f>+DATOS!$D$9</f>
        <v>19.325046927005715</v>
      </c>
      <c r="E43" s="457"/>
      <c r="F43" s="459"/>
      <c r="G43" s="467">
        <f>I54*0.01</f>
        <v>4.3482789308154739E-3</v>
      </c>
      <c r="H43" s="467">
        <f>14.223343334285*100/1000*D40/(D43^2)</f>
        <v>4.1829665123745488E-3</v>
      </c>
      <c r="I43" s="500">
        <f>+H43*G43</f>
        <v>1.8188705154064933E-5</v>
      </c>
      <c r="K43" s="515" t="s">
        <v>369</v>
      </c>
      <c r="L43" s="458" t="s">
        <v>162</v>
      </c>
      <c r="M43" s="460" t="e">
        <f>+W70</f>
        <v>#N/A</v>
      </c>
      <c r="N43" s="457"/>
      <c r="O43" s="459"/>
      <c r="P43" s="461" t="e">
        <f>+AB72</f>
        <v>#DIV/0!</v>
      </c>
      <c r="Q43" s="467" t="e">
        <f>((M42-M40)*(M41-M44)/(M43-M41)^2)</f>
        <v>#N/A</v>
      </c>
      <c r="R43" s="467" t="e">
        <f t="shared" si="1"/>
        <v>#DIV/0!</v>
      </c>
      <c r="T43" s="266"/>
      <c r="AA43" s="255"/>
      <c r="AB43" s="255"/>
      <c r="AC43" s="255"/>
      <c r="AD43" s="255"/>
      <c r="AE43" s="255"/>
      <c r="AF43" s="255"/>
      <c r="AG43" s="255"/>
      <c r="AH43" s="255"/>
      <c r="AI43" s="255"/>
      <c r="AJ43" s="255"/>
      <c r="AK43" s="255"/>
      <c r="AL43" s="255"/>
    </row>
    <row r="44" spans="1:38" ht="18.600000000000001" customHeight="1" x14ac:dyDescent="0.25">
      <c r="B44" s="518" t="s">
        <v>370</v>
      </c>
      <c r="C44" s="334" t="s">
        <v>19</v>
      </c>
      <c r="D44" s="519">
        <f>+PRECISION!$C$6</f>
        <v>2.0257508895880241</v>
      </c>
      <c r="E44" s="318"/>
      <c r="F44" s="520" t="s">
        <v>371</v>
      </c>
      <c r="G44" s="521">
        <f>D44/SQRT(1)</f>
        <v>2.0257508895880241</v>
      </c>
      <c r="H44" s="522">
        <v>1</v>
      </c>
      <c r="I44" s="523">
        <f>+G44*H44</f>
        <v>2.0257508895880241</v>
      </c>
      <c r="K44" s="516" t="s">
        <v>372</v>
      </c>
      <c r="L44" s="458" t="s">
        <v>162</v>
      </c>
      <c r="M44" s="460">
        <f>+DATOS!J2</f>
        <v>0</v>
      </c>
      <c r="N44" s="457"/>
      <c r="O44" s="459"/>
      <c r="P44" s="517">
        <v>0.02</v>
      </c>
      <c r="Q44" s="467" t="e">
        <f>+(M42-M40)/(M43-M41)</f>
        <v>#N/A</v>
      </c>
      <c r="R44" s="467" t="e">
        <f t="shared" si="1"/>
        <v>#N/A</v>
      </c>
      <c r="T44" s="266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</row>
    <row r="45" spans="1:38" ht="18.600000000000001" customHeight="1" x14ac:dyDescent="0.25">
      <c r="B45" s="410" t="s">
        <v>373</v>
      </c>
      <c r="C45" s="410"/>
      <c r="D45" s="410"/>
      <c r="E45" s="411"/>
      <c r="F45" s="410"/>
      <c r="G45" s="411"/>
      <c r="H45" s="507" t="s">
        <v>19</v>
      </c>
      <c r="I45" s="507">
        <f>+SQRT(I40^2+I43^2+I44^2)</f>
        <v>2.0260818473095097</v>
      </c>
      <c r="K45" s="518" t="s">
        <v>370</v>
      </c>
      <c r="L45" s="334" t="s">
        <v>19</v>
      </c>
      <c r="M45" s="519">
        <f>+PRECISION!$C$6</f>
        <v>2.0257508895880241</v>
      </c>
      <c r="N45" s="318"/>
      <c r="O45" s="520" t="s">
        <v>371</v>
      </c>
      <c r="P45" s="521">
        <f>M45/SQRT(1)</f>
        <v>2.0257508895880241</v>
      </c>
      <c r="Q45" s="522">
        <v>1</v>
      </c>
      <c r="R45" s="523">
        <f t="shared" si="1"/>
        <v>2.0257508895880241</v>
      </c>
      <c r="T45" s="266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</row>
    <row r="46" spans="1:38" ht="18.600000000000001" customHeight="1" x14ac:dyDescent="0.25">
      <c r="B46" s="410" t="s">
        <v>374</v>
      </c>
      <c r="C46" s="410"/>
      <c r="D46" s="508"/>
      <c r="E46" s="411"/>
      <c r="F46" s="508"/>
      <c r="G46" s="411"/>
      <c r="H46" s="507" t="s">
        <v>19</v>
      </c>
      <c r="I46" s="509">
        <f>I45*2</f>
        <v>4.0521636946190194</v>
      </c>
      <c r="K46" s="524" t="s">
        <v>373</v>
      </c>
      <c r="L46" s="524"/>
      <c r="M46" s="524"/>
      <c r="N46" s="524"/>
      <c r="O46" s="524"/>
      <c r="P46" s="411"/>
      <c r="Q46" s="450" t="s">
        <v>19</v>
      </c>
      <c r="R46" s="450" t="e">
        <f>+SQRT(R40^2+R43^2+R42^2+R41^2+R44^2+R45^2)</f>
        <v>#N/A</v>
      </c>
      <c r="T46" s="266"/>
      <c r="AA46" s="255"/>
      <c r="AB46" s="255"/>
      <c r="AC46" s="255"/>
      <c r="AD46" s="255"/>
      <c r="AE46" s="255"/>
      <c r="AF46" s="255"/>
      <c r="AG46" s="255"/>
      <c r="AH46" s="255"/>
      <c r="AI46" s="255"/>
      <c r="AJ46" s="255"/>
      <c r="AK46" s="255"/>
      <c r="AL46" s="255"/>
    </row>
    <row r="47" spans="1:38" ht="18.600000000000001" customHeight="1" x14ac:dyDescent="0.25">
      <c r="K47" s="524" t="s">
        <v>374</v>
      </c>
      <c r="L47" s="524"/>
      <c r="M47" s="329"/>
      <c r="N47" s="329"/>
      <c r="O47" s="329"/>
      <c r="P47" s="411"/>
      <c r="Q47" s="450" t="s">
        <v>19</v>
      </c>
      <c r="R47" s="525" t="e">
        <f>R46*2</f>
        <v>#N/A</v>
      </c>
      <c r="T47" s="266"/>
      <c r="AA47" s="255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</row>
    <row r="48" spans="1:38" ht="21.75" customHeight="1" x14ac:dyDescent="0.25">
      <c r="B48" s="502" t="s">
        <v>351</v>
      </c>
      <c r="C48" s="503" t="s">
        <v>352</v>
      </c>
      <c r="D48" s="502" t="s">
        <v>353</v>
      </c>
      <c r="E48" s="503" t="s">
        <v>354</v>
      </c>
      <c r="F48" s="503" t="s">
        <v>355</v>
      </c>
      <c r="G48" s="503" t="s">
        <v>356</v>
      </c>
      <c r="H48" s="503" t="s">
        <v>357</v>
      </c>
      <c r="I48" s="503" t="s">
        <v>358</v>
      </c>
      <c r="K48" s="266"/>
      <c r="L48" s="266"/>
      <c r="M48" s="266"/>
      <c r="N48" s="266"/>
      <c r="O48" s="266"/>
      <c r="P48" s="266"/>
      <c r="Q48" s="266"/>
      <c r="R48" s="266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</row>
    <row r="49" spans="2:38" ht="25.95" customHeight="1" x14ac:dyDescent="0.25">
      <c r="B49" s="504" t="s">
        <v>376</v>
      </c>
      <c r="C49" s="789" t="s">
        <v>377</v>
      </c>
      <c r="D49" s="505">
        <f>3.14159*D50*D50/4</f>
        <v>1932.5030603836888</v>
      </c>
      <c r="E49" s="350"/>
      <c r="F49" s="350"/>
      <c r="G49" s="350"/>
      <c r="H49" s="350"/>
      <c r="I49" s="350"/>
      <c r="K49" s="502" t="s">
        <v>351</v>
      </c>
      <c r="L49" s="503" t="s">
        <v>352</v>
      </c>
      <c r="M49" s="502" t="s">
        <v>353</v>
      </c>
      <c r="N49" s="503" t="s">
        <v>354</v>
      </c>
      <c r="O49" s="503" t="s">
        <v>355</v>
      </c>
      <c r="P49" s="503" t="s">
        <v>356</v>
      </c>
      <c r="Q49" s="503" t="s">
        <v>357</v>
      </c>
      <c r="R49" s="503" t="s">
        <v>358</v>
      </c>
      <c r="U49" s="502" t="s">
        <v>351</v>
      </c>
      <c r="V49" s="503" t="s">
        <v>352</v>
      </c>
      <c r="W49" s="502" t="s">
        <v>353</v>
      </c>
      <c r="X49" s="503" t="s">
        <v>354</v>
      </c>
      <c r="Y49" s="503" t="s">
        <v>355</v>
      </c>
      <c r="Z49" s="503" t="s">
        <v>356</v>
      </c>
      <c r="AA49" s="503" t="s">
        <v>357</v>
      </c>
      <c r="AB49" s="503" t="s">
        <v>358</v>
      </c>
      <c r="AC49" s="255"/>
      <c r="AH49" s="255"/>
      <c r="AI49" s="255"/>
      <c r="AJ49" s="255"/>
      <c r="AK49" s="255"/>
      <c r="AL49" s="255"/>
    </row>
    <row r="50" spans="2:38" ht="21.75" customHeight="1" x14ac:dyDescent="0.25">
      <c r="B50" s="506" t="s">
        <v>378</v>
      </c>
      <c r="C50" s="430" t="s">
        <v>279</v>
      </c>
      <c r="D50" s="316">
        <f>+DATOS!$D$8</f>
        <v>49.603844559999999</v>
      </c>
      <c r="E50" s="354"/>
      <c r="F50" s="354"/>
      <c r="G50" s="320">
        <f>SQRT((G51*G51)+(G52*G52)+(G53*G53))</f>
        <v>5.5806212318460519E-3</v>
      </c>
      <c r="H50" s="492">
        <f>3.14159*D50/2</f>
        <v>77.917471015625196</v>
      </c>
      <c r="I50" s="493">
        <f>+G50*H50</f>
        <v>0.43482789308154735</v>
      </c>
      <c r="K50" s="510" t="s">
        <v>359</v>
      </c>
      <c r="L50" s="501" t="s">
        <v>19</v>
      </c>
      <c r="M50" s="793">
        <f>+M51/M54*14.223343334285*100/1000</f>
        <v>8.3166518663380498E-2</v>
      </c>
      <c r="N50" s="793"/>
      <c r="O50" s="789"/>
      <c r="P50" s="789"/>
      <c r="Q50" s="789"/>
      <c r="R50" s="789"/>
      <c r="U50" s="510" t="s">
        <v>208</v>
      </c>
      <c r="V50" s="501" t="s">
        <v>19</v>
      </c>
      <c r="W50" s="793">
        <f>+W51/W54*14.223343334285*100/1000</f>
        <v>8.3166518663380498E-2</v>
      </c>
      <c r="X50" s="793"/>
      <c r="Y50" s="789"/>
      <c r="Z50" s="789"/>
      <c r="AA50" s="446"/>
      <c r="AB50" s="446"/>
      <c r="AC50" s="255"/>
      <c r="AH50" s="255"/>
      <c r="AI50" s="255"/>
      <c r="AJ50" s="255"/>
      <c r="AK50" s="255"/>
      <c r="AL50" s="255"/>
    </row>
    <row r="51" spans="2:38" ht="21.75" customHeight="1" x14ac:dyDescent="0.25">
      <c r="B51" s="484" t="s">
        <v>379</v>
      </c>
      <c r="C51" s="156" t="s">
        <v>279</v>
      </c>
      <c r="D51" s="286"/>
      <c r="E51" s="423">
        <f>+C77</f>
        <v>2.4494897427826908E-3</v>
      </c>
      <c r="F51" s="325" t="s">
        <v>380</v>
      </c>
      <c r="G51" s="326">
        <f>+E51</f>
        <v>2.4494897427826908E-3</v>
      </c>
      <c r="H51" s="350"/>
      <c r="I51" s="350"/>
      <c r="K51" s="511" t="s">
        <v>360</v>
      </c>
      <c r="L51" s="409" t="s">
        <v>361</v>
      </c>
      <c r="M51" s="414">
        <f>+'INFORME-2'!$V$55*M54*0.393701^2*0.453592</f>
        <v>1.129971229796175</v>
      </c>
      <c r="N51" s="457"/>
      <c r="O51" s="459"/>
      <c r="P51" s="499">
        <f>SQRT((P52*P52+P53*P53))</f>
        <v>4.9418355248927561</v>
      </c>
      <c r="Q51" s="467">
        <f>1/M54*14.223343334285*100/1000</f>
        <v>7.3600562979273504E-2</v>
      </c>
      <c r="R51" s="500">
        <f>+Q51*P51</f>
        <v>0.36372187678308043</v>
      </c>
      <c r="U51" s="511" t="s">
        <v>360</v>
      </c>
      <c r="V51" s="409" t="s">
        <v>361</v>
      </c>
      <c r="W51" s="414">
        <f>+'INFORME-2'!Y55*W54*0.393701^2*0.453592</f>
        <v>1.129971229796175</v>
      </c>
      <c r="X51" s="457"/>
      <c r="Y51" s="459"/>
      <c r="Z51" s="499">
        <f>SQRT((Z52*Z52+Z53*Z53))</f>
        <v>2.8989388653631629E-2</v>
      </c>
      <c r="AA51" s="467">
        <f>1/W54*14.223343334285*100/1000</f>
        <v>7.3600562979273504E-2</v>
      </c>
      <c r="AB51" s="500">
        <f>+AA51*Z51</f>
        <v>2.1336353253322516E-3</v>
      </c>
      <c r="AC51" s="255"/>
      <c r="AH51" s="266"/>
      <c r="AI51" s="255"/>
      <c r="AJ51" s="255"/>
      <c r="AK51" s="255"/>
      <c r="AL51" s="255"/>
    </row>
    <row r="52" spans="2:38" ht="21.75" customHeight="1" x14ac:dyDescent="0.25">
      <c r="B52" s="484" t="s">
        <v>362</v>
      </c>
      <c r="C52" s="156" t="s">
        <v>279</v>
      </c>
      <c r="D52" s="424"/>
      <c r="E52" s="423">
        <v>8.2000000000000007E-3</v>
      </c>
      <c r="F52" s="425" t="s">
        <v>381</v>
      </c>
      <c r="G52" s="426">
        <f>+E52/2</f>
        <v>4.1000000000000003E-3</v>
      </c>
      <c r="H52" s="350"/>
      <c r="I52" s="350"/>
      <c r="K52" s="512" t="s">
        <v>362</v>
      </c>
      <c r="L52" s="368" t="s">
        <v>361</v>
      </c>
      <c r="M52" s="793"/>
      <c r="N52" s="488">
        <f>+$D$58</f>
        <v>-9.8835024200449766</v>
      </c>
      <c r="O52" s="329" t="s">
        <v>363</v>
      </c>
      <c r="P52" s="513">
        <f>+N52/2</f>
        <v>-4.9417512100224883</v>
      </c>
      <c r="Q52" s="789"/>
      <c r="R52" s="789"/>
      <c r="U52" s="512" t="s">
        <v>362</v>
      </c>
      <c r="V52" s="368" t="s">
        <v>361</v>
      </c>
      <c r="W52" s="793"/>
      <c r="X52" s="488">
        <f>+E58</f>
        <v>5.3108647800420225E-3</v>
      </c>
      <c r="Y52" s="329" t="s">
        <v>363</v>
      </c>
      <c r="Z52" s="513">
        <f>+X52/2</f>
        <v>2.6554323900210113E-3</v>
      </c>
      <c r="AA52" s="789"/>
      <c r="AB52" s="789"/>
      <c r="AC52" s="255"/>
      <c r="AH52" s="266"/>
      <c r="AI52" s="255"/>
      <c r="AJ52" s="255"/>
      <c r="AK52" s="255"/>
      <c r="AL52" s="255"/>
    </row>
    <row r="53" spans="2:38" ht="21.75" customHeight="1" x14ac:dyDescent="0.25">
      <c r="B53" s="484" t="s">
        <v>365</v>
      </c>
      <c r="C53" s="156" t="s">
        <v>279</v>
      </c>
      <c r="D53" s="424"/>
      <c r="E53" s="485">
        <v>0.01</v>
      </c>
      <c r="F53" s="429" t="s">
        <v>366</v>
      </c>
      <c r="G53" s="426">
        <f>+E53/SQRT(3)/2</f>
        <v>2.886751345948129E-3</v>
      </c>
      <c r="H53" s="350"/>
      <c r="I53" s="350"/>
      <c r="K53" s="484" t="s">
        <v>365</v>
      </c>
      <c r="L53" s="368" t="s">
        <v>361</v>
      </c>
      <c r="M53" s="793"/>
      <c r="N53" s="485">
        <v>0.1</v>
      </c>
      <c r="O53" s="429" t="s">
        <v>366</v>
      </c>
      <c r="P53" s="426">
        <f>+N53/SQRT(3)/2</f>
        <v>2.8867513459481291E-2</v>
      </c>
      <c r="Q53" s="789"/>
      <c r="R53" s="789"/>
      <c r="U53" s="484" t="s">
        <v>365</v>
      </c>
      <c r="V53" s="368" t="s">
        <v>361</v>
      </c>
      <c r="W53" s="793"/>
      <c r="X53" s="485">
        <v>0.1</v>
      </c>
      <c r="Y53" s="429" t="s">
        <v>366</v>
      </c>
      <c r="Z53" s="426">
        <f>+X53/SQRT(3)/2</f>
        <v>2.8867513459481291E-2</v>
      </c>
      <c r="AA53" s="789"/>
      <c r="AB53" s="789"/>
      <c r="AC53" s="255"/>
      <c r="AH53" s="266"/>
      <c r="AI53" s="255"/>
      <c r="AJ53" s="255"/>
      <c r="AK53" s="255"/>
      <c r="AL53" s="255"/>
    </row>
    <row r="54" spans="2:38" ht="21.75" customHeight="1" x14ac:dyDescent="0.25">
      <c r="B54" s="410" t="s">
        <v>373</v>
      </c>
      <c r="C54" s="410"/>
      <c r="D54" s="410"/>
      <c r="E54" s="411"/>
      <c r="F54" s="410"/>
      <c r="G54" s="411"/>
      <c r="H54" s="507" t="s">
        <v>377</v>
      </c>
      <c r="I54" s="507">
        <f>+SQRT(I50^2)</f>
        <v>0.43482789308154735</v>
      </c>
      <c r="K54" s="511" t="s">
        <v>367</v>
      </c>
      <c r="L54" s="409" t="s">
        <v>368</v>
      </c>
      <c r="M54" s="414">
        <f>+DATOS!$D$9</f>
        <v>19.325046927005715</v>
      </c>
      <c r="N54" s="457"/>
      <c r="O54" s="459"/>
      <c r="P54" s="467">
        <f>$R$117*0.01</f>
        <v>4.3482789308154739E-3</v>
      </c>
      <c r="Q54" s="467">
        <f>14.223343334285*100/1000*M51/(M54^2)</f>
        <v>4.3035610199300359E-3</v>
      </c>
      <c r="R54" s="500">
        <f>+Q54*P54</f>
        <v>1.8713083710440528E-5</v>
      </c>
      <c r="U54" s="511" t="s">
        <v>367</v>
      </c>
      <c r="V54" s="409" t="s">
        <v>368</v>
      </c>
      <c r="W54" s="414">
        <f>+DATOS!$D$9</f>
        <v>19.325046927005715</v>
      </c>
      <c r="X54" s="457"/>
      <c r="Y54" s="459"/>
      <c r="Z54" s="467">
        <f>+R117*0.01</f>
        <v>4.3482789308154739E-3</v>
      </c>
      <c r="AA54" s="467">
        <f>14.223343334285*100/1000*W51/(W54^2)</f>
        <v>4.3035610199300359E-3</v>
      </c>
      <c r="AB54" s="500">
        <f>+AA54*Z54</f>
        <v>1.8713083710440528E-5</v>
      </c>
      <c r="AC54" s="255"/>
      <c r="AH54" s="266"/>
      <c r="AI54" s="255"/>
      <c r="AJ54" s="255"/>
      <c r="AK54" s="255"/>
      <c r="AL54" s="255"/>
    </row>
    <row r="55" spans="2:38" ht="21.75" customHeight="1" x14ac:dyDescent="0.25">
      <c r="B55" s="410" t="s">
        <v>374</v>
      </c>
      <c r="C55" s="410"/>
      <c r="D55" s="508"/>
      <c r="E55" s="411"/>
      <c r="F55" s="508"/>
      <c r="G55" s="411"/>
      <c r="H55" s="507" t="s">
        <v>377</v>
      </c>
      <c r="I55" s="509">
        <f>I54*2</f>
        <v>0.86965578616309469</v>
      </c>
      <c r="K55" s="410" t="s">
        <v>373</v>
      </c>
      <c r="L55" s="410"/>
      <c r="M55" s="410"/>
      <c r="N55" s="411"/>
      <c r="O55" s="410"/>
      <c r="P55" s="411"/>
      <c r="Q55" s="507" t="s">
        <v>19</v>
      </c>
      <c r="R55" s="507">
        <f>+SQRT(R51^2+R54^2)</f>
        <v>0.36372187726446403</v>
      </c>
      <c r="U55" s="410" t="s">
        <v>373</v>
      </c>
      <c r="V55" s="410"/>
      <c r="W55" s="410"/>
      <c r="X55" s="411"/>
      <c r="Y55" s="410"/>
      <c r="Z55" s="411"/>
      <c r="AA55" s="507" t="s">
        <v>19</v>
      </c>
      <c r="AB55" s="507">
        <f>+SQRT(AB51^2+AB54^2)</f>
        <v>2.1337173854584436E-3</v>
      </c>
      <c r="AC55" s="255"/>
      <c r="AH55" s="266"/>
      <c r="AI55" s="255"/>
      <c r="AJ55" s="255"/>
      <c r="AK55" s="255"/>
      <c r="AL55" s="255"/>
    </row>
    <row r="56" spans="2:38" ht="21.75" customHeight="1" x14ac:dyDescent="0.25">
      <c r="K56" s="410" t="s">
        <v>374</v>
      </c>
      <c r="L56" s="410"/>
      <c r="M56" s="508"/>
      <c r="N56" s="411"/>
      <c r="O56" s="508"/>
      <c r="P56" s="411"/>
      <c r="Q56" s="507" t="s">
        <v>19</v>
      </c>
      <c r="R56" s="509">
        <f>R55*2</f>
        <v>0.72744375452892807</v>
      </c>
      <c r="U56" s="410" t="s">
        <v>374</v>
      </c>
      <c r="V56" s="410"/>
      <c r="W56" s="508"/>
      <c r="X56" s="411"/>
      <c r="Y56" s="508"/>
      <c r="Z56" s="411"/>
      <c r="AA56" s="507" t="s">
        <v>19</v>
      </c>
      <c r="AB56" s="509">
        <f>AB55*2</f>
        <v>4.2674347709168873E-3</v>
      </c>
      <c r="AC56" s="255"/>
      <c r="AH56" s="266"/>
      <c r="AI56" s="255"/>
      <c r="AJ56" s="255"/>
      <c r="AK56" s="255"/>
      <c r="AL56" s="255"/>
    </row>
    <row r="57" spans="2:38" ht="21.75" customHeight="1" x14ac:dyDescent="0.25">
      <c r="K57" s="266"/>
      <c r="L57" s="266"/>
      <c r="M57" s="266"/>
      <c r="N57" s="266"/>
      <c r="O57" s="266"/>
      <c r="P57" s="266"/>
      <c r="Q57" s="266" t="s">
        <v>382</v>
      </c>
      <c r="R57" s="266"/>
      <c r="Z57" s="255"/>
      <c r="AA57" s="255"/>
      <c r="AB57" s="255"/>
      <c r="AC57" s="255"/>
      <c r="AH57" s="255"/>
      <c r="AI57" s="255"/>
      <c r="AJ57" s="255"/>
      <c r="AK57" s="255"/>
      <c r="AL57" s="255"/>
    </row>
    <row r="58" spans="2:38" ht="27.6" customHeight="1" x14ac:dyDescent="0.25">
      <c r="B58" s="486" t="s">
        <v>383</v>
      </c>
      <c r="C58" s="486" t="s">
        <v>384</v>
      </c>
      <c r="D58" s="487">
        <f>+FORECAST(M51,C60:C61,B60:B61)</f>
        <v>-9.8835024200449766</v>
      </c>
      <c r="E58" s="487">
        <f>+FORECAST(W51,C59:C60,B59:B60)</f>
        <v>5.3108647800420225E-3</v>
      </c>
      <c r="F58" s="451">
        <v>0.1</v>
      </c>
      <c r="K58" s="502" t="s">
        <v>351</v>
      </c>
      <c r="L58" s="503" t="s">
        <v>352</v>
      </c>
      <c r="M58" s="502" t="s">
        <v>353</v>
      </c>
      <c r="N58" s="503" t="s">
        <v>354</v>
      </c>
      <c r="O58" s="503" t="s">
        <v>355</v>
      </c>
      <c r="P58" s="503" t="s">
        <v>356</v>
      </c>
      <c r="Q58" s="503" t="s">
        <v>357</v>
      </c>
      <c r="R58" s="503" t="s">
        <v>358</v>
      </c>
      <c r="S58" s="266"/>
      <c r="T58" s="266"/>
      <c r="U58" s="502" t="s">
        <v>351</v>
      </c>
      <c r="V58" s="503" t="s">
        <v>352</v>
      </c>
      <c r="W58" s="502" t="s">
        <v>353</v>
      </c>
      <c r="X58" s="503" t="s">
        <v>354</v>
      </c>
      <c r="Y58" s="503" t="s">
        <v>355</v>
      </c>
      <c r="Z58" s="503" t="s">
        <v>356</v>
      </c>
      <c r="AA58" s="503" t="s">
        <v>357</v>
      </c>
      <c r="AB58" s="503" t="s">
        <v>358</v>
      </c>
      <c r="AC58" s="255"/>
      <c r="AH58" s="255"/>
      <c r="AI58" s="255"/>
      <c r="AJ58" s="255"/>
      <c r="AK58" s="255"/>
      <c r="AL58" s="255"/>
    </row>
    <row r="59" spans="2:38" ht="21.75" customHeight="1" x14ac:dyDescent="0.25">
      <c r="B59" s="486">
        <v>0</v>
      </c>
      <c r="C59" s="486">
        <v>0</v>
      </c>
      <c r="D59" s="487">
        <f>+FORECAST(M60,C62:C63,B62:B63)</f>
        <v>-0.99341015713411085</v>
      </c>
      <c r="E59" s="487">
        <f>+FORECAST(W60,C61:C62,B61:B62)</f>
        <v>14.99780338571137</v>
      </c>
      <c r="F59" s="451">
        <v>0.2</v>
      </c>
      <c r="K59" s="510" t="s">
        <v>375</v>
      </c>
      <c r="L59" s="501" t="s">
        <v>19</v>
      </c>
      <c r="M59" s="793">
        <f>+M60/M63*14.223343334285*100/1500</f>
        <v>5.389068276382105E-2</v>
      </c>
      <c r="N59" s="793"/>
      <c r="O59" s="789"/>
      <c r="P59" s="789"/>
      <c r="Q59" s="789"/>
      <c r="R59" s="789"/>
      <c r="S59" s="266"/>
      <c r="T59" s="266"/>
      <c r="U59" s="510" t="s">
        <v>220</v>
      </c>
      <c r="V59" s="501" t="s">
        <v>19</v>
      </c>
      <c r="W59" s="793">
        <f>+W60/W63*14.223343334285*100/1500</f>
        <v>5.389068276382105E-2</v>
      </c>
      <c r="X59" s="793"/>
      <c r="Y59" s="789"/>
      <c r="Z59" s="789"/>
      <c r="AA59" s="446"/>
      <c r="AB59" s="446"/>
      <c r="AC59" s="255"/>
      <c r="AH59" s="255"/>
      <c r="AI59" s="255"/>
      <c r="AJ59" s="255"/>
      <c r="AK59" s="255"/>
      <c r="AL59" s="255"/>
    </row>
    <row r="60" spans="2:38" ht="21.75" customHeight="1" x14ac:dyDescent="0.25">
      <c r="B60" s="486">
        <v>1000</v>
      </c>
      <c r="C60" s="486">
        <v>4.7</v>
      </c>
      <c r="D60" s="338"/>
      <c r="E60" s="266"/>
      <c r="K60" s="511" t="s">
        <v>360</v>
      </c>
      <c r="L60" s="409" t="s">
        <v>361</v>
      </c>
      <c r="M60" s="414">
        <f>+'INFORME-2'!$V$56*M63*0.393701^2*0.453592</f>
        <v>1.0983071443148558</v>
      </c>
      <c r="N60" s="457"/>
      <c r="O60" s="459"/>
      <c r="P60" s="499">
        <f>SQRT((P61*P61+P62*P62))</f>
        <v>0.49754323270208189</v>
      </c>
      <c r="Q60" s="467">
        <f>1/M63*14.223343334285*100/1000</f>
        <v>7.3600562979273504E-2</v>
      </c>
      <c r="R60" s="500">
        <f>+Q60*P60</f>
        <v>3.6619462033400912E-2</v>
      </c>
      <c r="S60" s="266"/>
      <c r="T60" s="266"/>
      <c r="U60" s="511" t="s">
        <v>360</v>
      </c>
      <c r="V60" s="409" t="s">
        <v>361</v>
      </c>
      <c r="W60" s="414">
        <f>+'INFORME-2'!Y56*W63*0.393701^2*0.453592</f>
        <v>1.0983071443148558</v>
      </c>
      <c r="X60" s="457"/>
      <c r="Y60" s="459"/>
      <c r="Z60" s="499">
        <f>SQRT((Z61*Z61+Z62*Z62))</f>
        <v>7.49895725634219</v>
      </c>
      <c r="AA60" s="467">
        <f>1/W63*14.223343334285*100/1000</f>
        <v>7.3600562979273504E-2</v>
      </c>
      <c r="AB60" s="500">
        <f>+AA60*Z60</f>
        <v>0.55192747582429336</v>
      </c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</row>
    <row r="61" spans="2:38" ht="21.75" customHeight="1" x14ac:dyDescent="0.25">
      <c r="B61" s="486">
        <v>1500</v>
      </c>
      <c r="C61" s="486">
        <v>12</v>
      </c>
      <c r="D61" s="338"/>
      <c r="E61" s="266"/>
      <c r="K61" s="512" t="s">
        <v>362</v>
      </c>
      <c r="L61" s="368" t="s">
        <v>361</v>
      </c>
      <c r="M61" s="793"/>
      <c r="N61" s="488">
        <f>+$D$59</f>
        <v>-0.99341015713411085</v>
      </c>
      <c r="O61" s="329" t="s">
        <v>363</v>
      </c>
      <c r="P61" s="513">
        <f>+N61/2</f>
        <v>-0.49670507856705542</v>
      </c>
      <c r="Q61" s="789"/>
      <c r="R61" s="789"/>
      <c r="S61" s="266"/>
      <c r="T61" s="266"/>
      <c r="U61" s="512" t="s">
        <v>362</v>
      </c>
      <c r="V61" s="368" t="s">
        <v>361</v>
      </c>
      <c r="W61" s="793"/>
      <c r="X61" s="488">
        <f>+E59</f>
        <v>14.99780338571137</v>
      </c>
      <c r="Y61" s="329" t="s">
        <v>363</v>
      </c>
      <c r="Z61" s="513">
        <f>+X61/2</f>
        <v>7.4989016928556849</v>
      </c>
      <c r="AA61" s="789"/>
      <c r="AB61" s="789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</row>
    <row r="62" spans="2:38" ht="21.75" customHeight="1" x14ac:dyDescent="0.25">
      <c r="B62" s="486">
        <v>2000</v>
      </c>
      <c r="C62" s="486">
        <v>11</v>
      </c>
      <c r="D62" s="338"/>
      <c r="E62" s="266"/>
      <c r="K62" s="484" t="s">
        <v>365</v>
      </c>
      <c r="L62" s="368" t="s">
        <v>361</v>
      </c>
      <c r="M62" s="793"/>
      <c r="N62" s="485">
        <v>0.1</v>
      </c>
      <c r="O62" s="429" t="s">
        <v>366</v>
      </c>
      <c r="P62" s="426">
        <f>+N62/SQRT(3)/2</f>
        <v>2.8867513459481291E-2</v>
      </c>
      <c r="Q62" s="789"/>
      <c r="R62" s="789"/>
      <c r="S62" s="266"/>
      <c r="T62" s="266"/>
      <c r="U62" s="484" t="s">
        <v>365</v>
      </c>
      <c r="V62" s="368" t="s">
        <v>361</v>
      </c>
      <c r="W62" s="793"/>
      <c r="X62" s="485">
        <v>0.1</v>
      </c>
      <c r="Y62" s="429" t="s">
        <v>366</v>
      </c>
      <c r="Z62" s="426">
        <f>+X62/SQRT(3)/2</f>
        <v>2.8867513459481291E-2</v>
      </c>
      <c r="AA62" s="789"/>
      <c r="AB62" s="789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</row>
    <row r="63" spans="2:38" ht="21.75" customHeight="1" x14ac:dyDescent="0.25">
      <c r="B63" s="486">
        <v>2500</v>
      </c>
      <c r="C63" s="486">
        <v>14</v>
      </c>
      <c r="D63" s="338"/>
      <c r="E63" s="266"/>
      <c r="K63" s="511" t="s">
        <v>367</v>
      </c>
      <c r="L63" s="409" t="s">
        <v>368</v>
      </c>
      <c r="M63" s="414">
        <f>+DATOS!$D$9</f>
        <v>19.325046927005715</v>
      </c>
      <c r="N63" s="457"/>
      <c r="O63" s="459"/>
      <c r="P63" s="467">
        <f>$R$117*0.01</f>
        <v>4.3482789308154739E-3</v>
      </c>
      <c r="Q63" s="467">
        <f>14.223343334285*100/1000*M60/(M63^2)</f>
        <v>4.1829665123745488E-3</v>
      </c>
      <c r="R63" s="489">
        <f>+Q63*P63</f>
        <v>1.8188705154064933E-5</v>
      </c>
      <c r="S63" s="266"/>
      <c r="T63" s="266"/>
      <c r="U63" s="511" t="s">
        <v>367</v>
      </c>
      <c r="V63" s="409" t="s">
        <v>368</v>
      </c>
      <c r="W63" s="414">
        <f>+DATOS!$D$9</f>
        <v>19.325046927005715</v>
      </c>
      <c r="X63" s="457"/>
      <c r="Y63" s="459"/>
      <c r="Z63" s="467" t="e">
        <f>+Q82*0.01</f>
        <v>#DIV/0!</v>
      </c>
      <c r="AA63" s="467">
        <f>14.223343334285*100/1000*W60/(W63^2)</f>
        <v>4.1829665123745488E-3</v>
      </c>
      <c r="AB63" s="500" t="e">
        <f>+AA63*Z63</f>
        <v>#DIV/0!</v>
      </c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</row>
    <row r="64" spans="2:38" ht="21.75" customHeight="1" x14ac:dyDescent="0.25">
      <c r="B64" s="486">
        <v>3000</v>
      </c>
      <c r="C64" s="486">
        <v>16</v>
      </c>
      <c r="D64" s="338"/>
      <c r="E64" s="266"/>
      <c r="K64" s="410" t="s">
        <v>373</v>
      </c>
      <c r="L64" s="410"/>
      <c r="M64" s="410"/>
      <c r="N64" s="411"/>
      <c r="O64" s="410"/>
      <c r="P64" s="411"/>
      <c r="Q64" s="507" t="s">
        <v>19</v>
      </c>
      <c r="R64" s="507">
        <f>+SQRT(R60^2+R63^2)</f>
        <v>3.6619466550520452E-2</v>
      </c>
      <c r="S64" s="266"/>
      <c r="T64" s="266"/>
      <c r="U64" s="410" t="s">
        <v>373</v>
      </c>
      <c r="V64" s="410"/>
      <c r="W64" s="410"/>
      <c r="X64" s="411"/>
      <c r="Y64" s="410"/>
      <c r="Z64" s="411"/>
      <c r="AA64" s="507" t="s">
        <v>19</v>
      </c>
      <c r="AB64" s="507" t="e">
        <f>+SQRT(AB60^2+AB63^2)</f>
        <v>#DIV/0!</v>
      </c>
      <c r="AC64" s="255"/>
      <c r="AD64" s="255"/>
      <c r="AE64" s="255"/>
      <c r="AF64" s="255"/>
      <c r="AG64" s="255"/>
      <c r="AH64" s="255"/>
      <c r="AI64" s="255"/>
      <c r="AJ64" s="255"/>
      <c r="AK64" s="255"/>
      <c r="AL64" s="255"/>
    </row>
    <row r="65" spans="1:38" ht="21.75" customHeight="1" x14ac:dyDescent="0.25">
      <c r="B65" s="486">
        <v>3500</v>
      </c>
      <c r="C65" s="486">
        <v>15</v>
      </c>
      <c r="D65" s="338"/>
      <c r="E65" s="266"/>
      <c r="K65" s="410" t="s">
        <v>374</v>
      </c>
      <c r="L65" s="410"/>
      <c r="M65" s="508"/>
      <c r="N65" s="411"/>
      <c r="O65" s="508"/>
      <c r="P65" s="411"/>
      <c r="Q65" s="507" t="s">
        <v>19</v>
      </c>
      <c r="R65" s="509">
        <f>R64*2</f>
        <v>7.3238933101040904E-2</v>
      </c>
      <c r="S65" s="266"/>
      <c r="T65" s="266"/>
      <c r="U65" s="410" t="s">
        <v>374</v>
      </c>
      <c r="V65" s="410"/>
      <c r="W65" s="508"/>
      <c r="X65" s="411"/>
      <c r="Y65" s="508"/>
      <c r="Z65" s="411"/>
      <c r="AA65" s="507" t="s">
        <v>19</v>
      </c>
      <c r="AB65" s="509" t="e">
        <f>AB64*2</f>
        <v>#DIV/0!</v>
      </c>
      <c r="AC65" s="255"/>
      <c r="AD65" s="255"/>
      <c r="AE65" s="255"/>
      <c r="AF65" s="255"/>
      <c r="AG65" s="255"/>
      <c r="AH65" s="255"/>
      <c r="AI65" s="255"/>
      <c r="AJ65" s="255"/>
      <c r="AK65" s="255"/>
      <c r="AL65" s="255"/>
    </row>
    <row r="66" spans="1:38" ht="21.75" customHeight="1" x14ac:dyDescent="0.25">
      <c r="B66" s="486">
        <v>4000</v>
      </c>
      <c r="C66" s="486">
        <v>17</v>
      </c>
      <c r="D66" s="338"/>
      <c r="E66" s="255"/>
      <c r="K66" s="266"/>
      <c r="L66" s="266"/>
      <c r="M66" s="266"/>
      <c r="N66" s="266"/>
      <c r="O66" s="266"/>
      <c r="P66" s="266"/>
      <c r="Q66" s="266"/>
      <c r="R66" s="266"/>
      <c r="S66" s="266"/>
      <c r="T66" s="266"/>
      <c r="U66" s="255"/>
      <c r="V66" s="255"/>
      <c r="W66" s="255"/>
      <c r="X66" s="255"/>
      <c r="Y66" s="255"/>
      <c r="Z66" s="255"/>
      <c r="AA66" s="255"/>
      <c r="AB66" s="255"/>
      <c r="AC66" s="255"/>
      <c r="AD66" s="255"/>
      <c r="AE66" s="255"/>
      <c r="AF66" s="255"/>
      <c r="AG66" s="255"/>
      <c r="AH66" s="255"/>
      <c r="AI66" s="255"/>
      <c r="AJ66" s="255"/>
      <c r="AK66" s="255"/>
      <c r="AL66" s="255"/>
    </row>
    <row r="67" spans="1:38" ht="21.75" customHeight="1" x14ac:dyDescent="0.25">
      <c r="B67" s="486">
        <v>4500</v>
      </c>
      <c r="C67" s="486">
        <v>21</v>
      </c>
      <c r="D67" s="338"/>
      <c r="E67" s="255"/>
      <c r="K67" s="957" t="s">
        <v>175</v>
      </c>
      <c r="L67" s="824"/>
      <c r="M67" s="824"/>
      <c r="N67" s="824"/>
      <c r="O67" s="824"/>
      <c r="P67" s="824"/>
      <c r="Q67" s="824"/>
      <c r="R67" s="818"/>
      <c r="S67" s="266"/>
      <c r="T67" s="266"/>
      <c r="U67" s="957" t="s">
        <v>176</v>
      </c>
      <c r="V67" s="824"/>
      <c r="W67" s="824"/>
      <c r="X67" s="824"/>
      <c r="Y67" s="824"/>
      <c r="Z67" s="824"/>
      <c r="AA67" s="824"/>
      <c r="AB67" s="818"/>
      <c r="AC67" s="255"/>
      <c r="AD67" s="255"/>
      <c r="AE67" s="255"/>
      <c r="AF67" s="255"/>
      <c r="AG67" s="255"/>
      <c r="AH67" s="255"/>
      <c r="AI67" s="255"/>
      <c r="AJ67" s="255"/>
      <c r="AK67" s="255"/>
      <c r="AL67" s="255"/>
    </row>
    <row r="68" spans="1:38" ht="12.75" customHeight="1" x14ac:dyDescent="0.25">
      <c r="B68" s="486">
        <v>4995</v>
      </c>
      <c r="C68" s="486">
        <v>21</v>
      </c>
      <c r="D68" s="338"/>
      <c r="E68" s="255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55"/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  <c r="AJ68" s="255"/>
      <c r="AK68" s="255"/>
      <c r="AL68" s="255"/>
    </row>
    <row r="69" spans="1:38" ht="27" customHeight="1" x14ac:dyDescent="0.25">
      <c r="K69" s="408" t="s">
        <v>351</v>
      </c>
      <c r="L69" s="409" t="s">
        <v>352</v>
      </c>
      <c r="M69" s="408" t="s">
        <v>353</v>
      </c>
      <c r="N69" s="409" t="s">
        <v>354</v>
      </c>
      <c r="O69" s="409" t="s">
        <v>355</v>
      </c>
      <c r="P69" s="409" t="s">
        <v>356</v>
      </c>
      <c r="Q69" s="409" t="s">
        <v>357</v>
      </c>
      <c r="R69" s="409" t="s">
        <v>358</v>
      </c>
      <c r="T69" s="266"/>
      <c r="U69" s="408" t="s">
        <v>351</v>
      </c>
      <c r="V69" s="409" t="s">
        <v>352</v>
      </c>
      <c r="W69" s="408" t="s">
        <v>353</v>
      </c>
      <c r="X69" s="409" t="s">
        <v>354</v>
      </c>
      <c r="Y69" s="409" t="s">
        <v>355</v>
      </c>
      <c r="Z69" s="409" t="s">
        <v>356</v>
      </c>
      <c r="AA69" s="409" t="s">
        <v>357</v>
      </c>
      <c r="AB69" s="409" t="s">
        <v>358</v>
      </c>
      <c r="AC69" s="255"/>
      <c r="AD69" s="255"/>
      <c r="AE69" s="255"/>
      <c r="AF69" s="255"/>
      <c r="AG69" s="255"/>
      <c r="AH69" s="255"/>
      <c r="AI69" s="255"/>
      <c r="AJ69" s="255"/>
      <c r="AK69" s="255"/>
      <c r="AL69" s="255"/>
    </row>
    <row r="70" spans="1:38" ht="21.6" customHeight="1" x14ac:dyDescent="0.25">
      <c r="B70" s="556" t="s">
        <v>260</v>
      </c>
      <c r="C70" s="448"/>
      <c r="K70" s="158" t="s">
        <v>302</v>
      </c>
      <c r="L70" s="790" t="s">
        <v>162</v>
      </c>
      <c r="M70" s="347" t="e">
        <f>+M71*9.806</f>
        <v>#N/A</v>
      </c>
      <c r="N70" s="411"/>
      <c r="O70" s="463"/>
      <c r="P70" s="789"/>
      <c r="Q70" s="789"/>
      <c r="R70" s="789"/>
      <c r="T70" s="266"/>
      <c r="U70" s="158" t="s">
        <v>302</v>
      </c>
      <c r="V70" s="790" t="s">
        <v>162</v>
      </c>
      <c r="W70" s="347" t="e">
        <f>+W71*9.806</f>
        <v>#N/A</v>
      </c>
      <c r="X70" s="411"/>
      <c r="Y70" s="463"/>
      <c r="Z70" s="789"/>
      <c r="AA70" s="789"/>
      <c r="AB70" s="789"/>
      <c r="AC70" s="255"/>
      <c r="AD70" s="255"/>
      <c r="AE70" s="255"/>
      <c r="AF70" s="255"/>
      <c r="AG70" s="255"/>
      <c r="AH70" s="255"/>
      <c r="AI70" s="255"/>
      <c r="AJ70" s="255"/>
      <c r="AK70" s="255"/>
      <c r="AL70" s="255"/>
    </row>
    <row r="71" spans="1:38" ht="21.6" customHeight="1" x14ac:dyDescent="0.25">
      <c r="B71" s="444" t="s">
        <v>269</v>
      </c>
      <c r="C71" s="792" t="s">
        <v>270</v>
      </c>
      <c r="K71" s="417" t="s">
        <v>301</v>
      </c>
      <c r="L71" s="458" t="s">
        <v>159</v>
      </c>
      <c r="M71" s="464" t="e">
        <f>+M75</f>
        <v>#N/A</v>
      </c>
      <c r="N71" s="457"/>
      <c r="O71" s="465"/>
      <c r="P71" s="461" t="e">
        <f>+R78</f>
        <v>#DIV/0!</v>
      </c>
      <c r="Q71" s="459">
        <v>1</v>
      </c>
      <c r="R71" s="461" t="e">
        <f>+P71*Q71</f>
        <v>#DIV/0!</v>
      </c>
      <c r="T71" s="266"/>
      <c r="U71" s="417" t="s">
        <v>301</v>
      </c>
      <c r="V71" s="458" t="s">
        <v>159</v>
      </c>
      <c r="W71" s="464" t="e">
        <f>+W75</f>
        <v>#N/A</v>
      </c>
      <c r="X71" s="457"/>
      <c r="Y71" s="465"/>
      <c r="Z71" s="461" t="e">
        <f>+AB78</f>
        <v>#DIV/0!</v>
      </c>
      <c r="AA71" s="459">
        <v>1</v>
      </c>
      <c r="AB71" s="461" t="e">
        <f>+Z71*AA71</f>
        <v>#DIV/0!</v>
      </c>
      <c r="AD71" s="255"/>
      <c r="AE71" s="255"/>
      <c r="AF71" s="255"/>
      <c r="AG71" s="255"/>
      <c r="AH71" s="255"/>
      <c r="AI71" s="255"/>
      <c r="AJ71" s="255"/>
      <c r="AK71" s="255"/>
      <c r="AL71" s="255"/>
    </row>
    <row r="72" spans="1:38" ht="21.6" customHeight="1" x14ac:dyDescent="0.25">
      <c r="B72" s="794">
        <v>1</v>
      </c>
      <c r="C72" s="445">
        <f>+DATOS!AB4</f>
        <v>49.6</v>
      </c>
      <c r="K72" s="410" t="s">
        <v>373</v>
      </c>
      <c r="L72" s="411"/>
      <c r="M72" s="410"/>
      <c r="N72" s="410"/>
      <c r="O72" s="410"/>
      <c r="P72" s="411"/>
      <c r="Q72" s="790" t="s">
        <v>162</v>
      </c>
      <c r="R72" s="468" t="e">
        <f>+SQRT(R71*R71)</f>
        <v>#DIV/0!</v>
      </c>
      <c r="T72" s="266"/>
      <c r="U72" s="410" t="s">
        <v>373</v>
      </c>
      <c r="V72" s="411"/>
      <c r="W72" s="410"/>
      <c r="X72" s="410"/>
      <c r="Y72" s="410"/>
      <c r="Z72" s="411"/>
      <c r="AA72" s="790" t="s">
        <v>385</v>
      </c>
      <c r="AB72" s="468" t="e">
        <f>+SQRT(AB71*AB71)</f>
        <v>#DIV/0!</v>
      </c>
      <c r="AD72" s="255"/>
      <c r="AE72" s="255"/>
      <c r="AF72" s="255"/>
      <c r="AG72" s="255"/>
      <c r="AH72" s="255"/>
      <c r="AI72" s="255"/>
      <c r="AJ72" s="255"/>
      <c r="AK72" s="255"/>
      <c r="AL72" s="255"/>
    </row>
    <row r="73" spans="1:38" s="814" customFormat="1" ht="12.75" customHeight="1" x14ac:dyDescent="0.25">
      <c r="A73" s="418"/>
      <c r="B73" s="794">
        <v>2</v>
      </c>
      <c r="C73" s="445">
        <f>+DATOS!AB5</f>
        <v>49.61</v>
      </c>
      <c r="D73" s="418"/>
      <c r="E73" s="418"/>
      <c r="F73" s="418"/>
      <c r="G73" s="418"/>
      <c r="H73" s="418"/>
      <c r="I73" s="418"/>
      <c r="J73" s="418"/>
      <c r="K73" s="418"/>
      <c r="L73" s="418"/>
      <c r="M73" s="418"/>
      <c r="N73" s="418"/>
      <c r="O73" s="418"/>
      <c r="P73" s="418"/>
      <c r="Q73" s="418"/>
      <c r="R73" s="418"/>
      <c r="S73" s="418"/>
      <c r="T73" s="418"/>
      <c r="U73" s="418"/>
      <c r="V73" s="418"/>
      <c r="W73" s="418"/>
      <c r="X73" s="418"/>
      <c r="Y73" s="418"/>
      <c r="Z73" s="418"/>
      <c r="AA73" s="418"/>
      <c r="AB73" s="418"/>
      <c r="AD73" s="255"/>
      <c r="AE73" s="255"/>
      <c r="AF73" s="255"/>
      <c r="AG73" s="255"/>
      <c r="AH73" s="255"/>
      <c r="AI73" s="255"/>
      <c r="AJ73" s="255"/>
      <c r="AK73" s="255"/>
      <c r="AL73" s="255"/>
    </row>
    <row r="74" spans="1:38" ht="27" customHeight="1" x14ac:dyDescent="0.25">
      <c r="B74" s="794">
        <v>3</v>
      </c>
      <c r="C74" s="445">
        <f>+DATOS!AB6</f>
        <v>49.6</v>
      </c>
      <c r="K74" s="408" t="s">
        <v>351</v>
      </c>
      <c r="L74" s="409" t="s">
        <v>352</v>
      </c>
      <c r="M74" s="408" t="s">
        <v>353</v>
      </c>
      <c r="N74" s="409" t="s">
        <v>354</v>
      </c>
      <c r="O74" s="409" t="s">
        <v>355</v>
      </c>
      <c r="P74" s="409" t="s">
        <v>356</v>
      </c>
      <c r="Q74" s="409" t="s">
        <v>357</v>
      </c>
      <c r="R74" s="409" t="s">
        <v>358</v>
      </c>
      <c r="T74" s="266"/>
      <c r="U74" s="408" t="s">
        <v>351</v>
      </c>
      <c r="V74" s="409" t="s">
        <v>352</v>
      </c>
      <c r="W74" s="408" t="s">
        <v>353</v>
      </c>
      <c r="X74" s="409" t="s">
        <v>354</v>
      </c>
      <c r="Y74" s="409" t="s">
        <v>355</v>
      </c>
      <c r="Z74" s="409" t="s">
        <v>356</v>
      </c>
      <c r="AA74" s="409" t="s">
        <v>357</v>
      </c>
      <c r="AB74" s="409" t="s">
        <v>358</v>
      </c>
      <c r="AD74" s="255"/>
      <c r="AE74" s="255"/>
      <c r="AF74" s="255"/>
      <c r="AG74" s="255"/>
      <c r="AH74" s="255"/>
      <c r="AI74" s="255"/>
      <c r="AJ74" s="255"/>
      <c r="AK74" s="255"/>
      <c r="AL74" s="255"/>
    </row>
    <row r="75" spans="1:38" ht="21.75" customHeight="1" x14ac:dyDescent="0.25">
      <c r="B75" s="794">
        <v>4</v>
      </c>
      <c r="C75" s="445">
        <f>+DATOS!AB7</f>
        <v>49.6</v>
      </c>
      <c r="K75" s="158" t="s">
        <v>301</v>
      </c>
      <c r="L75" s="790" t="s">
        <v>159</v>
      </c>
      <c r="M75" s="356" t="e">
        <f>+M76/M77</f>
        <v>#N/A</v>
      </c>
      <c r="N75" s="411"/>
      <c r="O75" s="789"/>
      <c r="P75" s="789"/>
      <c r="Q75" s="789"/>
      <c r="R75" s="789"/>
      <c r="T75" s="266"/>
      <c r="U75" s="158" t="s">
        <v>301</v>
      </c>
      <c r="V75" s="790" t="s">
        <v>159</v>
      </c>
      <c r="W75" s="356" t="e">
        <f>+W76/W77</f>
        <v>#N/A</v>
      </c>
      <c r="X75" s="411"/>
      <c r="Y75" s="789"/>
      <c r="Z75" s="789"/>
      <c r="AA75" s="789"/>
      <c r="AB75" s="789"/>
      <c r="AD75" s="255"/>
      <c r="AE75" s="255"/>
      <c r="AF75" s="255"/>
      <c r="AG75" s="255"/>
      <c r="AH75" s="255"/>
      <c r="AI75" s="255"/>
      <c r="AJ75" s="255"/>
      <c r="AK75" s="255"/>
      <c r="AL75" s="255"/>
    </row>
    <row r="76" spans="1:38" ht="21.75" customHeight="1" x14ac:dyDescent="0.25">
      <c r="B76" s="794">
        <v>5</v>
      </c>
      <c r="C76" s="445">
        <f>+DATOS!AB8</f>
        <v>49.61</v>
      </c>
      <c r="K76" s="417" t="s">
        <v>298</v>
      </c>
      <c r="L76" s="458" t="s">
        <v>386</v>
      </c>
      <c r="M76" s="456" t="e">
        <f>+M81</f>
        <v>#N/A</v>
      </c>
      <c r="N76" s="457"/>
      <c r="O76" s="459"/>
      <c r="P76" s="460" t="e">
        <f>+R91</f>
        <v>#DIV/0!</v>
      </c>
      <c r="Q76" s="467" t="e">
        <f>1/M77</f>
        <v>#N/A</v>
      </c>
      <c r="R76" s="461" t="e">
        <f>+P76*Q76</f>
        <v>#DIV/0!</v>
      </c>
      <c r="T76" s="266"/>
      <c r="U76" s="417" t="s">
        <v>298</v>
      </c>
      <c r="V76" s="458" t="s">
        <v>386</v>
      </c>
      <c r="W76" s="456" t="e">
        <f>+W81</f>
        <v>#N/A</v>
      </c>
      <c r="X76" s="457"/>
      <c r="Y76" s="459"/>
      <c r="Z76" s="460" t="e">
        <f>+AB91</f>
        <v>#DIV/0!</v>
      </c>
      <c r="AA76" s="467" t="e">
        <f>1/W77</f>
        <v>#N/A</v>
      </c>
      <c r="AB76" s="461" t="e">
        <f>+Z76*AA76</f>
        <v>#DIV/0!</v>
      </c>
      <c r="AD76" s="255"/>
      <c r="AE76" s="255"/>
      <c r="AF76" s="255"/>
      <c r="AG76" s="255"/>
      <c r="AH76" s="255"/>
      <c r="AI76" s="255"/>
      <c r="AJ76" s="255"/>
      <c r="AK76" s="255"/>
      <c r="AL76" s="255"/>
    </row>
    <row r="77" spans="1:38" ht="21.75" customHeight="1" x14ac:dyDescent="0.25">
      <c r="B77" s="789">
        <f>+COUNT(B72:B76)</f>
        <v>5</v>
      </c>
      <c r="C77" s="490">
        <f>+STDEV(C72:C76)/SQRT(B77)</f>
        <v>2.4494897427826908E-3</v>
      </c>
      <c r="K77" s="417" t="s">
        <v>299</v>
      </c>
      <c r="L77" s="458" t="s">
        <v>300</v>
      </c>
      <c r="M77" s="462" t="e">
        <f>+M122/1000</f>
        <v>#N/A</v>
      </c>
      <c r="N77" s="457"/>
      <c r="O77" s="459"/>
      <c r="P77" s="460" t="e">
        <f>+R131/1000</f>
        <v>#N/A</v>
      </c>
      <c r="Q77" s="461" t="e">
        <f>+M76/M77/M77</f>
        <v>#N/A</v>
      </c>
      <c r="R77" s="461" t="e">
        <f>+P77*Q77</f>
        <v>#N/A</v>
      </c>
      <c r="T77" s="266"/>
      <c r="U77" s="417" t="s">
        <v>299</v>
      </c>
      <c r="V77" s="458" t="s">
        <v>300</v>
      </c>
      <c r="W77" s="462" t="e">
        <f>+W122/1000</f>
        <v>#N/A</v>
      </c>
      <c r="X77" s="457"/>
      <c r="Y77" s="459"/>
      <c r="Z77" s="460" t="e">
        <f>+AB131/1000</f>
        <v>#N/A</v>
      </c>
      <c r="AA77" s="461" t="e">
        <f>+W76/W77/W77</f>
        <v>#N/A</v>
      </c>
      <c r="AB77" s="461" t="e">
        <f>+Z77*AA77</f>
        <v>#N/A</v>
      </c>
      <c r="AD77" s="255"/>
      <c r="AE77" s="255"/>
      <c r="AF77" s="255"/>
      <c r="AG77" s="255"/>
      <c r="AH77" s="255"/>
      <c r="AI77" s="255"/>
      <c r="AJ77" s="255"/>
      <c r="AK77" s="255"/>
      <c r="AL77" s="255"/>
    </row>
    <row r="78" spans="1:38" ht="21.75" customHeight="1" x14ac:dyDescent="0.25">
      <c r="B78" s="362" t="s">
        <v>285</v>
      </c>
      <c r="C78" s="567">
        <f>+AVERAGE(C72:C76)</f>
        <v>49.603999999999999</v>
      </c>
      <c r="K78" s="410" t="s">
        <v>373</v>
      </c>
      <c r="L78" s="410"/>
      <c r="M78" s="410"/>
      <c r="N78" s="410"/>
      <c r="O78" s="410"/>
      <c r="P78" s="411"/>
      <c r="Q78" s="790" t="s">
        <v>159</v>
      </c>
      <c r="R78" s="468" t="e">
        <f>+SQRT(+R76*R76+R77*R77)</f>
        <v>#DIV/0!</v>
      </c>
      <c r="T78" s="266"/>
      <c r="U78" s="410" t="s">
        <v>373</v>
      </c>
      <c r="V78" s="411"/>
      <c r="W78" s="410"/>
      <c r="X78" s="410"/>
      <c r="Y78" s="410"/>
      <c r="Z78" s="411"/>
      <c r="AA78" s="790" t="s">
        <v>159</v>
      </c>
      <c r="AB78" s="468" t="e">
        <f>+SQRT(+AB76*AB76+AB77*AB77)</f>
        <v>#DIV/0!</v>
      </c>
      <c r="AD78" s="255"/>
      <c r="AE78" s="255"/>
      <c r="AF78" s="255"/>
      <c r="AG78" s="255"/>
      <c r="AH78" s="255"/>
      <c r="AI78" s="255"/>
      <c r="AJ78" s="255"/>
      <c r="AK78" s="255"/>
      <c r="AL78" s="255"/>
    </row>
    <row r="79" spans="1:38" ht="21.75" customHeight="1" x14ac:dyDescent="0.25">
      <c r="P79" s="266"/>
      <c r="Q79" s="266"/>
      <c r="R79" s="266"/>
      <c r="S79" s="266"/>
      <c r="T79" s="266"/>
      <c r="Z79" s="266"/>
      <c r="AA79" s="266"/>
      <c r="AB79" s="266"/>
      <c r="AC79" s="266"/>
      <c r="AD79" s="255"/>
      <c r="AE79" s="255"/>
      <c r="AF79" s="255"/>
      <c r="AG79" s="255"/>
      <c r="AH79" s="255"/>
      <c r="AI79" s="255"/>
      <c r="AJ79" s="255"/>
      <c r="AK79" s="255"/>
      <c r="AL79" s="255"/>
    </row>
    <row r="80" spans="1:38" ht="29.25" customHeight="1" x14ac:dyDescent="0.25">
      <c r="B80" s="362" t="s">
        <v>387</v>
      </c>
      <c r="C80" s="362" t="s">
        <v>388</v>
      </c>
      <c r="D80" s="400">
        <f>+FORECAST(C78,C81:C82,B81:B82)</f>
        <v>-1.5544000000000061E-4</v>
      </c>
      <c r="K80" s="408" t="s">
        <v>351</v>
      </c>
      <c r="L80" s="409" t="s">
        <v>352</v>
      </c>
      <c r="M80" s="408" t="s">
        <v>353</v>
      </c>
      <c r="N80" s="409" t="s">
        <v>354</v>
      </c>
      <c r="O80" s="409" t="s">
        <v>355</v>
      </c>
      <c r="P80" s="409" t="s">
        <v>356</v>
      </c>
      <c r="Q80" s="409" t="s">
        <v>357</v>
      </c>
      <c r="R80" s="409" t="s">
        <v>358</v>
      </c>
      <c r="T80" s="266"/>
      <c r="U80" s="408" t="s">
        <v>351</v>
      </c>
      <c r="V80" s="409" t="s">
        <v>352</v>
      </c>
      <c r="W80" s="408" t="s">
        <v>353</v>
      </c>
      <c r="X80" s="409" t="s">
        <v>354</v>
      </c>
      <c r="Y80" s="409" t="s">
        <v>355</v>
      </c>
      <c r="Z80" s="409" t="s">
        <v>356</v>
      </c>
      <c r="AA80" s="409" t="s">
        <v>357</v>
      </c>
      <c r="AB80" s="409" t="s">
        <v>358</v>
      </c>
      <c r="AD80" s="255"/>
      <c r="AE80" s="255"/>
      <c r="AF80" s="255"/>
      <c r="AG80" s="255"/>
      <c r="AH80" s="255"/>
      <c r="AI80" s="255"/>
      <c r="AJ80" s="255"/>
      <c r="AK80" s="255"/>
      <c r="AL80" s="255"/>
    </row>
    <row r="81" spans="1:38" ht="21.75" customHeight="1" x14ac:dyDescent="0.25">
      <c r="B81" s="486">
        <v>15</v>
      </c>
      <c r="C81" s="568">
        <v>-5.0000000000000001E-3</v>
      </c>
      <c r="K81" s="366" t="s">
        <v>298</v>
      </c>
      <c r="L81" s="362" t="s">
        <v>22</v>
      </c>
      <c r="M81" s="416" t="e">
        <f>+(M82-M86)/(1+(M90/100))</f>
        <v>#N/A</v>
      </c>
      <c r="N81" s="286"/>
      <c r="O81" s="350"/>
      <c r="P81" s="350"/>
      <c r="Q81" s="350"/>
      <c r="R81" s="350"/>
      <c r="T81" s="814"/>
      <c r="U81" s="366" t="s">
        <v>298</v>
      </c>
      <c r="V81" s="362" t="s">
        <v>22</v>
      </c>
      <c r="W81" s="416" t="e">
        <f>+(W82-W86)/(1+(W90/100))</f>
        <v>#N/A</v>
      </c>
      <c r="X81" s="286"/>
      <c r="Y81" s="350"/>
      <c r="Z81" s="350"/>
      <c r="AA81" s="350"/>
      <c r="AB81" s="350"/>
      <c r="AD81" s="255"/>
      <c r="AE81" s="255"/>
      <c r="AF81" s="255"/>
      <c r="AG81" s="255"/>
      <c r="AH81" s="255"/>
      <c r="AI81" s="255"/>
      <c r="AJ81" s="255"/>
      <c r="AK81" s="255"/>
      <c r="AL81" s="255"/>
    </row>
    <row r="82" spans="1:38" ht="21.75" customHeight="1" x14ac:dyDescent="0.25">
      <c r="A82" s="397" t="s">
        <v>277</v>
      </c>
      <c r="B82" s="486">
        <v>50</v>
      </c>
      <c r="C82" s="486">
        <v>-1E-4</v>
      </c>
      <c r="D82" s="338"/>
      <c r="E82" s="397"/>
      <c r="F82" s="397"/>
      <c r="G82" s="397"/>
      <c r="H82" s="397"/>
      <c r="I82" s="397"/>
      <c r="J82" s="397"/>
      <c r="K82" s="367" t="s">
        <v>295</v>
      </c>
      <c r="L82" s="318" t="s">
        <v>22</v>
      </c>
      <c r="M82" s="415">
        <f>+DATOS!E18</f>
        <v>0</v>
      </c>
      <c r="N82" s="317" t="s">
        <v>389</v>
      </c>
      <c r="O82" s="319" t="s">
        <v>389</v>
      </c>
      <c r="P82" s="320">
        <f>SQRT((P83*P83)+(P84*P84)+(P85*P85))</f>
        <v>1.1060440015358037</v>
      </c>
      <c r="Q82" s="319" t="e">
        <f>1/(1+(M90/100))</f>
        <v>#DIV/0!</v>
      </c>
      <c r="R82" s="319" t="e">
        <f>+Q82*P82</f>
        <v>#DIV/0!</v>
      </c>
      <c r="T82" s="814"/>
      <c r="U82" s="367" t="s">
        <v>295</v>
      </c>
      <c r="V82" s="318" t="s">
        <v>22</v>
      </c>
      <c r="W82" s="415">
        <f>+DATOS!I18</f>
        <v>0</v>
      </c>
      <c r="X82" s="317" t="s">
        <v>389</v>
      </c>
      <c r="Y82" s="319" t="s">
        <v>389</v>
      </c>
      <c r="Z82" s="320">
        <f>SQRT((Z83*Z83)+(Z84*Z84)+(Z85*Z85))</f>
        <v>1.1060440015358037</v>
      </c>
      <c r="AA82" s="319" t="e">
        <f>1/(1+(W90/100))</f>
        <v>#DIV/0!</v>
      </c>
      <c r="AB82" s="319" t="e">
        <f>+AA82*Z82</f>
        <v>#DIV/0!</v>
      </c>
      <c r="AD82" s="255"/>
      <c r="AE82" s="255"/>
      <c r="AF82" s="255"/>
      <c r="AG82" s="255"/>
      <c r="AH82" s="255"/>
      <c r="AI82" s="255"/>
      <c r="AJ82" s="255"/>
      <c r="AK82" s="255"/>
      <c r="AL82" s="255"/>
    </row>
    <row r="83" spans="1:38" ht="21.75" customHeight="1" x14ac:dyDescent="0.25">
      <c r="K83" s="412" t="s">
        <v>390</v>
      </c>
      <c r="L83" s="31" t="s">
        <v>22</v>
      </c>
      <c r="M83" s="41"/>
      <c r="N83" s="330">
        <f>+Balanza!E24</f>
        <v>0</v>
      </c>
      <c r="O83" s="325" t="s">
        <v>380</v>
      </c>
      <c r="P83" s="326">
        <f>+N83</f>
        <v>0</v>
      </c>
      <c r="Q83" s="327" t="s">
        <v>389</v>
      </c>
      <c r="R83" s="327" t="s">
        <v>389</v>
      </c>
      <c r="T83" s="814"/>
      <c r="U83" s="412" t="s">
        <v>390</v>
      </c>
      <c r="V83" s="31" t="s">
        <v>22</v>
      </c>
      <c r="W83" s="41"/>
      <c r="X83" s="330">
        <f>+Balanza!E27</f>
        <v>0</v>
      </c>
      <c r="Y83" s="325" t="s">
        <v>380</v>
      </c>
      <c r="Z83" s="326">
        <f>+X83</f>
        <v>0</v>
      </c>
      <c r="AA83" s="327" t="s">
        <v>389</v>
      </c>
      <c r="AB83" s="327" t="s">
        <v>389</v>
      </c>
      <c r="AD83" s="255"/>
      <c r="AE83" s="255"/>
      <c r="AF83" s="255"/>
      <c r="AG83" s="255"/>
      <c r="AH83" s="255"/>
      <c r="AI83" s="255"/>
      <c r="AJ83" s="255"/>
      <c r="AK83" s="255"/>
      <c r="AL83" s="255"/>
    </row>
    <row r="84" spans="1:38" ht="21.75" customHeight="1" x14ac:dyDescent="0.25">
      <c r="K84" s="412" t="s">
        <v>362</v>
      </c>
      <c r="L84" s="31" t="s">
        <v>22</v>
      </c>
      <c r="M84" s="41"/>
      <c r="N84" s="413">
        <f>2*(SQRT(Balanza!$C$8+Balanza!$D$8*(POWER(M82,2))))</f>
        <v>2.1354156504062622</v>
      </c>
      <c r="O84" s="329" t="s">
        <v>391</v>
      </c>
      <c r="P84" s="326">
        <f>+N84/2</f>
        <v>1.0677078252031311</v>
      </c>
      <c r="Q84" s="327" t="s">
        <v>389</v>
      </c>
      <c r="R84" s="327" t="s">
        <v>389</v>
      </c>
      <c r="T84" s="814"/>
      <c r="U84" s="412" t="s">
        <v>362</v>
      </c>
      <c r="V84" s="31" t="s">
        <v>22</v>
      </c>
      <c r="W84" s="41"/>
      <c r="X84" s="413">
        <f>2*(SQRT(Balanza!$C$8+Balanza!$D$8*(POWER(W82,2))))</f>
        <v>2.1354156504062622</v>
      </c>
      <c r="Y84" s="329" t="s">
        <v>391</v>
      </c>
      <c r="Z84" s="326">
        <f>+X84/2</f>
        <v>1.0677078252031311</v>
      </c>
      <c r="AA84" s="327" t="s">
        <v>389</v>
      </c>
      <c r="AB84" s="327" t="s">
        <v>389</v>
      </c>
      <c r="AD84" s="255"/>
      <c r="AE84" s="255"/>
      <c r="AF84" s="255"/>
      <c r="AG84" s="255"/>
      <c r="AH84" s="255"/>
      <c r="AI84" s="255"/>
      <c r="AJ84" s="255"/>
      <c r="AK84" s="255"/>
      <c r="AL84" s="255"/>
    </row>
    <row r="85" spans="1:38" ht="21.75" customHeight="1" x14ac:dyDescent="0.25">
      <c r="K85" s="412" t="s">
        <v>365</v>
      </c>
      <c r="L85" s="31" t="s">
        <v>22</v>
      </c>
      <c r="M85" s="41"/>
      <c r="N85" s="330">
        <f>+Balanza!$C$10</f>
        <v>1</v>
      </c>
      <c r="O85" s="331" t="s">
        <v>366</v>
      </c>
      <c r="P85" s="332">
        <f>N85/SQRT(3)/2</f>
        <v>0.28867513459481292</v>
      </c>
      <c r="Q85" s="327" t="s">
        <v>389</v>
      </c>
      <c r="R85" s="327" t="s">
        <v>389</v>
      </c>
      <c r="T85" s="814"/>
      <c r="U85" s="412" t="s">
        <v>365</v>
      </c>
      <c r="V85" s="31" t="s">
        <v>22</v>
      </c>
      <c r="W85" s="41"/>
      <c r="X85" s="330">
        <f>+Balanza!$C$10</f>
        <v>1</v>
      </c>
      <c r="Y85" s="331" t="s">
        <v>366</v>
      </c>
      <c r="Z85" s="332">
        <f>X85/SQRT(3)/2</f>
        <v>0.28867513459481292</v>
      </c>
      <c r="AA85" s="327" t="s">
        <v>389</v>
      </c>
      <c r="AB85" s="327" t="s">
        <v>389</v>
      </c>
      <c r="AD85" s="255"/>
      <c r="AE85" s="255"/>
      <c r="AF85" s="255"/>
      <c r="AG85" s="255"/>
      <c r="AH85" s="255"/>
      <c r="AI85" s="255"/>
      <c r="AJ85" s="255"/>
      <c r="AK85" s="255"/>
      <c r="AL85" s="255"/>
    </row>
    <row r="86" spans="1:38" ht="21.75" customHeight="1" x14ac:dyDescent="0.25">
      <c r="A86" s="397" t="s">
        <v>281</v>
      </c>
      <c r="B86" s="397"/>
      <c r="C86" s="397"/>
      <c r="D86" s="397"/>
      <c r="E86" s="397"/>
      <c r="F86" s="397"/>
      <c r="G86" s="397"/>
      <c r="H86" s="397"/>
      <c r="I86" s="397"/>
      <c r="J86" s="397"/>
      <c r="K86" s="367" t="s">
        <v>296</v>
      </c>
      <c r="L86" s="318" t="s">
        <v>22</v>
      </c>
      <c r="M86" s="415" t="e">
        <f>+DATOS!E19</f>
        <v>#N/A</v>
      </c>
      <c r="N86" s="317" t="s">
        <v>389</v>
      </c>
      <c r="O86" s="319" t="s">
        <v>389</v>
      </c>
      <c r="P86" s="320" t="e">
        <f>SQRT((P87*P87)+(P88*P88)+(P89*P89))</f>
        <v>#N/A</v>
      </c>
      <c r="Q86" s="319" t="e">
        <f>1/(1+(M90/100))</f>
        <v>#DIV/0!</v>
      </c>
      <c r="R86" s="319" t="e">
        <f>+Q86*P86</f>
        <v>#DIV/0!</v>
      </c>
      <c r="T86" s="814"/>
      <c r="U86" s="367" t="s">
        <v>296</v>
      </c>
      <c r="V86" s="318" t="s">
        <v>22</v>
      </c>
      <c r="W86" s="415" t="e">
        <f>+DATOS!I19</f>
        <v>#N/A</v>
      </c>
      <c r="X86" s="317" t="s">
        <v>389</v>
      </c>
      <c r="Y86" s="319" t="s">
        <v>389</v>
      </c>
      <c r="Z86" s="320" t="e">
        <f>SQRT((Z87*Z87)+(Z88*Z88)+(Z89*Z89))</f>
        <v>#N/A</v>
      </c>
      <c r="AA86" s="319" t="e">
        <f>1/(1+(W90/100))</f>
        <v>#DIV/0!</v>
      </c>
      <c r="AB86" s="319" t="e">
        <f>+AA86*Z86</f>
        <v>#DIV/0!</v>
      </c>
      <c r="AD86" s="255"/>
      <c r="AE86" s="255"/>
      <c r="AF86" s="255"/>
      <c r="AG86" s="255"/>
      <c r="AH86" s="255"/>
      <c r="AI86" s="255"/>
      <c r="AJ86" s="255"/>
      <c r="AK86" s="255"/>
      <c r="AL86" s="255"/>
    </row>
    <row r="87" spans="1:38" ht="21.75" customHeight="1" x14ac:dyDescent="0.25">
      <c r="K87" s="412" t="s">
        <v>390</v>
      </c>
      <c r="L87" s="31" t="s">
        <v>22</v>
      </c>
      <c r="M87" s="286"/>
      <c r="N87" s="324" t="e">
        <f>+Balanza!E25</f>
        <v>#N/A</v>
      </c>
      <c r="O87" s="325" t="s">
        <v>380</v>
      </c>
      <c r="P87" s="326" t="e">
        <f>+N87</f>
        <v>#N/A</v>
      </c>
      <c r="Q87" s="327" t="s">
        <v>389</v>
      </c>
      <c r="R87" s="327" t="s">
        <v>389</v>
      </c>
      <c r="T87" s="814"/>
      <c r="U87" s="412" t="s">
        <v>390</v>
      </c>
      <c r="V87" s="31" t="s">
        <v>22</v>
      </c>
      <c r="W87" s="286"/>
      <c r="X87" s="324" t="e">
        <f>+Balanza!E28</f>
        <v>#N/A</v>
      </c>
      <c r="Y87" s="325" t="s">
        <v>380</v>
      </c>
      <c r="Z87" s="326" t="e">
        <f>+X87</f>
        <v>#N/A</v>
      </c>
      <c r="AA87" s="327" t="s">
        <v>389</v>
      </c>
      <c r="AB87" s="327" t="s">
        <v>389</v>
      </c>
      <c r="AD87" s="255"/>
      <c r="AE87" s="255"/>
      <c r="AF87" s="255"/>
      <c r="AG87" s="255"/>
      <c r="AH87" s="255"/>
      <c r="AI87" s="255"/>
      <c r="AJ87" s="255"/>
      <c r="AK87" s="255"/>
      <c r="AL87" s="255"/>
    </row>
    <row r="88" spans="1:38" ht="21.75" customHeight="1" x14ac:dyDescent="0.25">
      <c r="K88" s="412" t="s">
        <v>362</v>
      </c>
      <c r="L88" s="31" t="s">
        <v>22</v>
      </c>
      <c r="M88" s="286"/>
      <c r="N88" s="413" t="e">
        <f>2*(SQRT(Balanza!$C$8+Balanza!$D$8*(POWER(M86,2))))</f>
        <v>#N/A</v>
      </c>
      <c r="O88" s="329" t="s">
        <v>391</v>
      </c>
      <c r="P88" s="326" t="e">
        <f>+N88/2</f>
        <v>#N/A</v>
      </c>
      <c r="Q88" s="327" t="s">
        <v>389</v>
      </c>
      <c r="R88" s="327" t="s">
        <v>389</v>
      </c>
      <c r="T88" s="814"/>
      <c r="U88" s="412" t="s">
        <v>362</v>
      </c>
      <c r="V88" s="31" t="s">
        <v>22</v>
      </c>
      <c r="W88" s="286"/>
      <c r="X88" s="413" t="e">
        <f>2*(SQRT(Balanza!$C$8+Balanza!$D$8*(POWER(W86,2))))</f>
        <v>#N/A</v>
      </c>
      <c r="Y88" s="329" t="s">
        <v>391</v>
      </c>
      <c r="Z88" s="326" t="e">
        <f>+X88/2</f>
        <v>#N/A</v>
      </c>
      <c r="AA88" s="327" t="s">
        <v>389</v>
      </c>
      <c r="AB88" s="327" t="s">
        <v>389</v>
      </c>
      <c r="AD88" s="255"/>
      <c r="AE88" s="255"/>
      <c r="AF88" s="255"/>
      <c r="AG88" s="255"/>
      <c r="AH88" s="255"/>
      <c r="AI88" s="255"/>
      <c r="AJ88" s="255"/>
      <c r="AK88" s="255"/>
      <c r="AL88" s="255"/>
    </row>
    <row r="89" spans="1:38" ht="21.75" customHeight="1" x14ac:dyDescent="0.25">
      <c r="K89" s="412" t="s">
        <v>365</v>
      </c>
      <c r="L89" s="31" t="s">
        <v>22</v>
      </c>
      <c r="M89" s="286"/>
      <c r="N89" s="330">
        <f>+Balanza!$C$10</f>
        <v>1</v>
      </c>
      <c r="O89" s="331" t="s">
        <v>366</v>
      </c>
      <c r="P89" s="332">
        <f>N89/SQRT(3)/2</f>
        <v>0.28867513459481292</v>
      </c>
      <c r="Q89" s="327" t="s">
        <v>389</v>
      </c>
      <c r="R89" s="327" t="s">
        <v>389</v>
      </c>
      <c r="T89" s="814"/>
      <c r="U89" s="412" t="s">
        <v>365</v>
      </c>
      <c r="V89" s="31" t="s">
        <v>22</v>
      </c>
      <c r="W89" s="286"/>
      <c r="X89" s="330">
        <f>+Balanza!$C$10</f>
        <v>1</v>
      </c>
      <c r="Y89" s="331" t="s">
        <v>366</v>
      </c>
      <c r="Z89" s="332">
        <f>X89/SQRT(3)/2</f>
        <v>0.28867513459481292</v>
      </c>
      <c r="AA89" s="327" t="s">
        <v>389</v>
      </c>
      <c r="AB89" s="327" t="s">
        <v>389</v>
      </c>
      <c r="AD89" s="255"/>
      <c r="AE89" s="255"/>
      <c r="AF89" s="255"/>
      <c r="AG89" s="255"/>
      <c r="AH89" s="255"/>
      <c r="AI89" s="255"/>
      <c r="AJ89" s="255"/>
      <c r="AK89" s="255"/>
      <c r="AL89" s="255"/>
    </row>
    <row r="90" spans="1:38" ht="21.75" customHeight="1" x14ac:dyDescent="0.25">
      <c r="A90" s="397" t="s">
        <v>284</v>
      </c>
      <c r="B90" s="397"/>
      <c r="C90" s="397"/>
      <c r="D90" s="397"/>
      <c r="E90" s="397"/>
      <c r="F90" s="397"/>
      <c r="G90" s="397"/>
      <c r="H90" s="397"/>
      <c r="I90" s="397"/>
      <c r="J90" s="397"/>
      <c r="K90" s="352" t="s">
        <v>392</v>
      </c>
      <c r="L90" s="353" t="s">
        <v>19</v>
      </c>
      <c r="M90" s="414" t="e">
        <f>+M95</f>
        <v>#DIV/0!</v>
      </c>
      <c r="N90" s="351"/>
      <c r="O90" s="354"/>
      <c r="P90" s="320" t="e">
        <f>+R109</f>
        <v>#DIV/0!</v>
      </c>
      <c r="Q90" s="319" t="e">
        <f>((M82-M86)/100)/((1+(M90/100))^2)</f>
        <v>#N/A</v>
      </c>
      <c r="R90" s="319" t="e">
        <f>+Q90*P90</f>
        <v>#N/A</v>
      </c>
      <c r="T90" s="814"/>
      <c r="U90" s="352" t="s">
        <v>392</v>
      </c>
      <c r="V90" s="353" t="s">
        <v>19</v>
      </c>
      <c r="W90" s="414" t="e">
        <f>+W95</f>
        <v>#DIV/0!</v>
      </c>
      <c r="X90" s="351"/>
      <c r="Y90" s="354"/>
      <c r="Z90" s="320" t="e">
        <f>+AB109</f>
        <v>#DIV/0!</v>
      </c>
      <c r="AA90" s="319" t="e">
        <f>((W82-W86)/100)/((1+(W90/100))^2)</f>
        <v>#N/A</v>
      </c>
      <c r="AB90" s="319" t="e">
        <f>+AA90*Z90</f>
        <v>#N/A</v>
      </c>
      <c r="AD90" s="255"/>
      <c r="AE90" s="255"/>
      <c r="AF90" s="255"/>
      <c r="AG90" s="255"/>
      <c r="AH90" s="255"/>
      <c r="AI90" s="255"/>
      <c r="AJ90" s="255"/>
      <c r="AK90" s="255"/>
      <c r="AL90" s="255"/>
    </row>
    <row r="91" spans="1:38" ht="21.75" customHeight="1" x14ac:dyDescent="0.25">
      <c r="K91" s="348" t="s">
        <v>373</v>
      </c>
      <c r="L91" s="347" t="s">
        <v>22</v>
      </c>
      <c r="M91" s="348"/>
      <c r="N91" s="348"/>
      <c r="O91" s="348"/>
      <c r="P91" s="286"/>
      <c r="Q91" s="349"/>
      <c r="R91" s="356" t="e">
        <f>SQRT((R82*R82)+(R86*R86)+(R90*R90))</f>
        <v>#DIV/0!</v>
      </c>
      <c r="T91" s="266"/>
      <c r="U91" s="348" t="s">
        <v>373</v>
      </c>
      <c r="V91" s="347" t="s">
        <v>22</v>
      </c>
      <c r="W91" s="348"/>
      <c r="X91" s="348"/>
      <c r="Y91" s="348"/>
      <c r="Z91" s="286"/>
      <c r="AA91" s="349"/>
      <c r="AB91" s="356" t="e">
        <f>SQRT((AB82*AB82)+(AB86*AB86)+(AB90*AB90))</f>
        <v>#DIV/0!</v>
      </c>
      <c r="AD91" s="255"/>
      <c r="AE91" s="255"/>
      <c r="AF91" s="255"/>
      <c r="AG91" s="255"/>
      <c r="AH91" s="255"/>
      <c r="AI91" s="255"/>
      <c r="AJ91" s="255"/>
      <c r="AK91" s="255"/>
      <c r="AL91" s="255"/>
    </row>
    <row r="92" spans="1:38" ht="12" customHeight="1" x14ac:dyDescent="0.25">
      <c r="K92" s="814"/>
      <c r="L92" s="814"/>
      <c r="M92" s="814"/>
      <c r="N92" s="814"/>
      <c r="P92" s="266"/>
      <c r="Q92" s="266"/>
      <c r="R92" s="266"/>
      <c r="S92" s="266"/>
      <c r="T92" s="266"/>
      <c r="U92" s="255"/>
      <c r="V92" s="255"/>
      <c r="W92" s="255"/>
      <c r="X92" s="255"/>
      <c r="Y92" s="255"/>
      <c r="Z92" s="255"/>
      <c r="AA92" s="255"/>
      <c r="AB92" s="255"/>
      <c r="AC92" s="255"/>
      <c r="AD92" s="255"/>
      <c r="AE92" s="255"/>
      <c r="AF92" s="255"/>
      <c r="AG92" s="255"/>
      <c r="AH92" s="255"/>
      <c r="AI92" s="255"/>
      <c r="AJ92" s="255"/>
      <c r="AK92" s="255"/>
      <c r="AL92" s="255"/>
    </row>
    <row r="93" spans="1:38" ht="21.75" customHeight="1" thickBot="1" x14ac:dyDescent="0.3">
      <c r="K93" s="14" t="s">
        <v>393</v>
      </c>
      <c r="L93" s="14"/>
      <c r="M93" s="266"/>
      <c r="N93" s="266"/>
      <c r="O93" s="266"/>
      <c r="P93" s="266"/>
      <c r="Q93" s="266"/>
      <c r="R93" s="266"/>
      <c r="S93" s="266"/>
      <c r="T93" s="266"/>
      <c r="U93" s="14" t="s">
        <v>393</v>
      </c>
      <c r="V93" s="14"/>
      <c r="W93" s="266"/>
      <c r="X93" s="266"/>
      <c r="Y93" s="266"/>
      <c r="Z93" s="266"/>
      <c r="AA93" s="266"/>
      <c r="AB93" s="266"/>
      <c r="AC93" s="266"/>
      <c r="AD93" s="255"/>
      <c r="AE93" s="255"/>
      <c r="AF93" s="255"/>
      <c r="AG93" s="255"/>
      <c r="AH93" s="255"/>
      <c r="AI93" s="255"/>
      <c r="AJ93" s="255"/>
      <c r="AK93" s="255"/>
      <c r="AL93" s="255"/>
    </row>
    <row r="94" spans="1:38" ht="28.5" customHeight="1" thickBot="1" x14ac:dyDescent="0.3">
      <c r="K94" s="307" t="s">
        <v>351</v>
      </c>
      <c r="L94" s="309" t="s">
        <v>352</v>
      </c>
      <c r="M94" s="308" t="s">
        <v>353</v>
      </c>
      <c r="N94" s="309" t="s">
        <v>354</v>
      </c>
      <c r="O94" s="309" t="s">
        <v>355</v>
      </c>
      <c r="P94" s="309" t="s">
        <v>356</v>
      </c>
      <c r="Q94" s="309" t="s">
        <v>357</v>
      </c>
      <c r="R94" s="310" t="s">
        <v>358</v>
      </c>
      <c r="T94" s="266"/>
      <c r="U94" s="307" t="s">
        <v>351</v>
      </c>
      <c r="V94" s="309" t="s">
        <v>352</v>
      </c>
      <c r="W94" s="308" t="s">
        <v>353</v>
      </c>
      <c r="X94" s="309" t="s">
        <v>354</v>
      </c>
      <c r="Y94" s="309" t="s">
        <v>355</v>
      </c>
      <c r="Z94" s="309" t="s">
        <v>356</v>
      </c>
      <c r="AA94" s="309" t="s">
        <v>357</v>
      </c>
      <c r="AB94" s="310" t="s">
        <v>358</v>
      </c>
      <c r="AD94" s="255"/>
      <c r="AE94" s="255"/>
      <c r="AF94" s="255"/>
      <c r="AG94" s="255"/>
      <c r="AH94" s="255"/>
      <c r="AI94" s="255"/>
      <c r="AJ94" s="255"/>
      <c r="AK94" s="255"/>
      <c r="AL94" s="255"/>
    </row>
    <row r="95" spans="1:38" ht="21.75" customHeight="1" x14ac:dyDescent="0.25">
      <c r="K95" s="311" t="s">
        <v>394</v>
      </c>
      <c r="L95" s="313" t="s">
        <v>389</v>
      </c>
      <c r="M95" s="312" t="e">
        <f>+((M96-M100)/(M100-M104)*100)</f>
        <v>#DIV/0!</v>
      </c>
      <c r="N95" s="313" t="s">
        <v>389</v>
      </c>
      <c r="O95" s="313" t="s">
        <v>389</v>
      </c>
      <c r="P95" s="313" t="s">
        <v>389</v>
      </c>
      <c r="Q95" s="313" t="s">
        <v>389</v>
      </c>
      <c r="R95" s="314" t="s">
        <v>389</v>
      </c>
      <c r="T95" s="266"/>
      <c r="U95" s="311" t="s">
        <v>394</v>
      </c>
      <c r="V95" s="313" t="s">
        <v>389</v>
      </c>
      <c r="W95" s="312" t="e">
        <f>+((W96-W100)/(W100-W104)*100)</f>
        <v>#DIV/0!</v>
      </c>
      <c r="X95" s="313" t="s">
        <v>389</v>
      </c>
      <c r="Y95" s="313" t="s">
        <v>389</v>
      </c>
      <c r="Z95" s="313" t="s">
        <v>389</v>
      </c>
      <c r="AA95" s="313" t="s">
        <v>389</v>
      </c>
      <c r="AB95" s="314" t="s">
        <v>389</v>
      </c>
      <c r="AD95" s="255"/>
      <c r="AE95" s="255"/>
      <c r="AF95" s="255"/>
      <c r="AG95" s="255"/>
      <c r="AH95" s="255"/>
      <c r="AI95" s="255"/>
      <c r="AJ95" s="255"/>
      <c r="AK95" s="255"/>
      <c r="AL95" s="255"/>
    </row>
    <row r="96" spans="1:38" ht="21.75" customHeight="1" x14ac:dyDescent="0.25">
      <c r="K96" s="315" t="s">
        <v>395</v>
      </c>
      <c r="L96" s="318" t="s">
        <v>22</v>
      </c>
      <c r="M96" s="316">
        <f>+DATOS!E28</f>
        <v>0</v>
      </c>
      <c r="N96" s="317" t="s">
        <v>389</v>
      </c>
      <c r="O96" s="319" t="s">
        <v>389</v>
      </c>
      <c r="P96" s="320">
        <f>SQRT((P97*P97)+(P98*P98)+(P99*P99))</f>
        <v>7.0663521942607221E-2</v>
      </c>
      <c r="Q96" s="319" t="e">
        <f>100/(M100-M104)</f>
        <v>#DIV/0!</v>
      </c>
      <c r="R96" s="321" t="e">
        <f>+Q96*P96</f>
        <v>#DIV/0!</v>
      </c>
      <c r="T96" s="266"/>
      <c r="U96" s="315" t="s">
        <v>395</v>
      </c>
      <c r="V96" s="318" t="s">
        <v>22</v>
      </c>
      <c r="W96" s="406">
        <f>+DATOS!I28</f>
        <v>0</v>
      </c>
      <c r="X96" s="317" t="s">
        <v>389</v>
      </c>
      <c r="Y96" s="319" t="s">
        <v>389</v>
      </c>
      <c r="Z96" s="320">
        <f>SQRT((Z97*Z97)+(Z98*Z98)+(Z99*Z99))</f>
        <v>7.0663521942607221E-2</v>
      </c>
      <c r="AA96" s="319" t="e">
        <f>100/(W100-W104)</f>
        <v>#DIV/0!</v>
      </c>
      <c r="AB96" s="321" t="e">
        <f>+AA96*Z96</f>
        <v>#DIV/0!</v>
      </c>
      <c r="AD96" s="255"/>
      <c r="AE96" s="255"/>
      <c r="AF96" s="255"/>
      <c r="AG96" s="255"/>
      <c r="AH96" s="255"/>
      <c r="AI96" s="255"/>
      <c r="AJ96" s="255"/>
      <c r="AK96" s="255"/>
      <c r="AL96" s="255"/>
    </row>
    <row r="97" spans="11:38" ht="21.75" customHeight="1" x14ac:dyDescent="0.25">
      <c r="K97" s="322" t="s">
        <v>390</v>
      </c>
      <c r="L97" s="31" t="s">
        <v>22</v>
      </c>
      <c r="M97" s="323"/>
      <c r="N97" s="330">
        <f>+Balanza!P24</f>
        <v>0</v>
      </c>
      <c r="O97" s="325" t="s">
        <v>380</v>
      </c>
      <c r="P97" s="326">
        <f>+N97</f>
        <v>0</v>
      </c>
      <c r="Q97" s="327" t="s">
        <v>389</v>
      </c>
      <c r="R97" s="328" t="s">
        <v>389</v>
      </c>
      <c r="T97" s="266"/>
      <c r="U97" s="322" t="s">
        <v>390</v>
      </c>
      <c r="V97" s="31" t="s">
        <v>22</v>
      </c>
      <c r="W97" s="407"/>
      <c r="X97" s="330">
        <f>+Balanza!P28</f>
        <v>0</v>
      </c>
      <c r="Y97" s="325" t="s">
        <v>380</v>
      </c>
      <c r="Z97" s="326">
        <f>+X97</f>
        <v>0</v>
      </c>
      <c r="AA97" s="327" t="s">
        <v>389</v>
      </c>
      <c r="AB97" s="328" t="s">
        <v>389</v>
      </c>
      <c r="AD97" s="255"/>
      <c r="AE97" s="255"/>
      <c r="AF97" s="255"/>
      <c r="AG97" s="255"/>
      <c r="AH97" s="255"/>
      <c r="AI97" s="255"/>
      <c r="AJ97" s="255"/>
      <c r="AK97" s="255"/>
      <c r="AL97" s="255"/>
    </row>
    <row r="98" spans="11:38" ht="21.75" customHeight="1" x14ac:dyDescent="0.25">
      <c r="K98" s="322" t="s">
        <v>362</v>
      </c>
      <c r="L98" s="31" t="s">
        <v>22</v>
      </c>
      <c r="M98" s="323"/>
      <c r="N98" s="355">
        <f>2*(SQRT(Balanza!$M$8+Balanza!$N$8*(POWER(M96,2))))</f>
        <v>0.12899612397277679</v>
      </c>
      <c r="O98" s="329" t="s">
        <v>391</v>
      </c>
      <c r="P98" s="326">
        <f>+N98/2</f>
        <v>6.4498061986388397E-2</v>
      </c>
      <c r="Q98" s="327" t="s">
        <v>389</v>
      </c>
      <c r="R98" s="328" t="s">
        <v>389</v>
      </c>
      <c r="T98" s="266"/>
      <c r="U98" s="322" t="s">
        <v>362</v>
      </c>
      <c r="V98" s="31" t="s">
        <v>22</v>
      </c>
      <c r="W98" s="407"/>
      <c r="X98" s="355">
        <f>2*(SQRT(Balanza!$M$8+Balanza!$N$8*(POWER(W96,2))))</f>
        <v>0.12899612397277679</v>
      </c>
      <c r="Y98" s="329" t="s">
        <v>391</v>
      </c>
      <c r="Z98" s="326">
        <f>+X98/2</f>
        <v>6.4498061986388397E-2</v>
      </c>
      <c r="AA98" s="327" t="s">
        <v>389</v>
      </c>
      <c r="AB98" s="328" t="s">
        <v>389</v>
      </c>
      <c r="AD98" s="255"/>
      <c r="AE98" s="255"/>
      <c r="AF98" s="255"/>
      <c r="AG98" s="255"/>
      <c r="AH98" s="255"/>
      <c r="AI98" s="255"/>
      <c r="AJ98" s="255"/>
      <c r="AK98" s="255"/>
      <c r="AL98" s="255"/>
    </row>
    <row r="99" spans="11:38" ht="21.75" customHeight="1" x14ac:dyDescent="0.25">
      <c r="K99" s="322" t="s">
        <v>365</v>
      </c>
      <c r="L99" s="31" t="s">
        <v>22</v>
      </c>
      <c r="M99" s="323"/>
      <c r="N99" s="330">
        <f>+Balanza!$M$10</f>
        <v>0.1</v>
      </c>
      <c r="O99" s="331" t="s">
        <v>366</v>
      </c>
      <c r="P99" s="332">
        <f>N99/SQRT(3)/2</f>
        <v>2.8867513459481291E-2</v>
      </c>
      <c r="Q99" s="327" t="s">
        <v>389</v>
      </c>
      <c r="R99" s="328" t="s">
        <v>389</v>
      </c>
      <c r="T99" s="266"/>
      <c r="U99" s="322" t="s">
        <v>365</v>
      </c>
      <c r="V99" s="31" t="s">
        <v>22</v>
      </c>
      <c r="W99" s="407"/>
      <c r="X99" s="330">
        <f>+Balanza!$M$10</f>
        <v>0.1</v>
      </c>
      <c r="Y99" s="331" t="s">
        <v>366</v>
      </c>
      <c r="Z99" s="332">
        <f>X99/SQRT(3)/2</f>
        <v>2.8867513459481291E-2</v>
      </c>
      <c r="AA99" s="327" t="s">
        <v>389</v>
      </c>
      <c r="AB99" s="328" t="s">
        <v>389</v>
      </c>
      <c r="AD99" s="255"/>
      <c r="AE99" s="255"/>
      <c r="AF99" s="255"/>
      <c r="AG99" s="255"/>
      <c r="AH99" s="255"/>
      <c r="AI99" s="255"/>
      <c r="AJ99" s="255"/>
      <c r="AK99" s="255"/>
      <c r="AL99" s="255"/>
    </row>
    <row r="100" spans="11:38" ht="21.75" customHeight="1" x14ac:dyDescent="0.25">
      <c r="K100" s="315" t="s">
        <v>396</v>
      </c>
      <c r="L100" s="334" t="s">
        <v>22</v>
      </c>
      <c r="M100" s="316">
        <f>+DATOS!E29</f>
        <v>0</v>
      </c>
      <c r="N100" s="333"/>
      <c r="O100" s="317" t="s">
        <v>389</v>
      </c>
      <c r="P100" s="320">
        <f>SQRT((P101*P101)+(P102*P102)+(P103*P103))</f>
        <v>7.0663521942607221E-2</v>
      </c>
      <c r="Q100" s="318" t="e">
        <f>((M96-M104)*100)/(POWER((M100-M104),2))</f>
        <v>#DIV/0!</v>
      </c>
      <c r="R100" s="335" t="e">
        <f>+Q100*P100</f>
        <v>#DIV/0!</v>
      </c>
      <c r="T100" s="266"/>
      <c r="U100" s="315" t="s">
        <v>396</v>
      </c>
      <c r="V100" s="334" t="s">
        <v>22</v>
      </c>
      <c r="W100" s="406">
        <f>+DATOS!I30</f>
        <v>0</v>
      </c>
      <c r="X100" s="333"/>
      <c r="Y100" s="317" t="s">
        <v>389</v>
      </c>
      <c r="Z100" s="320">
        <f>SQRT((Z101*Z101)+(Z102*Z102)+(Z103*Z103))</f>
        <v>7.0663521942607221E-2</v>
      </c>
      <c r="AA100" s="318" t="e">
        <f>((W96-W104)*100)/(POWER((W100-W104),2))</f>
        <v>#DIV/0!</v>
      </c>
      <c r="AB100" s="335" t="e">
        <f>+AA100*Z100</f>
        <v>#DIV/0!</v>
      </c>
      <c r="AD100" s="255"/>
      <c r="AE100" s="255"/>
      <c r="AF100" s="255"/>
      <c r="AG100" s="255"/>
      <c r="AH100" s="255"/>
      <c r="AI100" s="255"/>
      <c r="AJ100" s="255"/>
      <c r="AK100" s="255"/>
      <c r="AL100" s="255"/>
    </row>
    <row r="101" spans="11:38" ht="21.75" customHeight="1" x14ac:dyDescent="0.25">
      <c r="K101" s="322" t="s">
        <v>390</v>
      </c>
      <c r="L101" s="31" t="s">
        <v>22</v>
      </c>
      <c r="M101" s="323"/>
      <c r="N101" s="324">
        <f>+Balanza!P25</f>
        <v>0</v>
      </c>
      <c r="O101" s="325" t="s">
        <v>380</v>
      </c>
      <c r="P101" s="326">
        <f>+N101</f>
        <v>0</v>
      </c>
      <c r="Q101" s="327" t="s">
        <v>389</v>
      </c>
      <c r="R101" s="328" t="s">
        <v>389</v>
      </c>
      <c r="T101" s="266"/>
      <c r="U101" s="322" t="s">
        <v>390</v>
      </c>
      <c r="V101" s="31" t="s">
        <v>22</v>
      </c>
      <c r="W101" s="407"/>
      <c r="X101" s="324">
        <f>+Balanza!P29</f>
        <v>0</v>
      </c>
      <c r="Y101" s="325" t="s">
        <v>380</v>
      </c>
      <c r="Z101" s="326">
        <f>+X101</f>
        <v>0</v>
      </c>
      <c r="AA101" s="327" t="s">
        <v>389</v>
      </c>
      <c r="AB101" s="328" t="s">
        <v>389</v>
      </c>
      <c r="AD101" s="255"/>
      <c r="AE101" s="255"/>
      <c r="AF101" s="255"/>
      <c r="AG101" s="255"/>
      <c r="AH101" s="255"/>
      <c r="AI101" s="255"/>
      <c r="AJ101" s="255"/>
      <c r="AK101" s="255"/>
      <c r="AL101" s="255"/>
    </row>
    <row r="102" spans="11:38" ht="21.75" customHeight="1" x14ac:dyDescent="0.25">
      <c r="K102" s="322" t="s">
        <v>362</v>
      </c>
      <c r="L102" s="31" t="s">
        <v>22</v>
      </c>
      <c r="M102" s="323"/>
      <c r="N102" s="355">
        <f>2*(SQRT(Balanza!$M$8+Balanza!$N$8*(POWER(M100,2))))</f>
        <v>0.12899612397277679</v>
      </c>
      <c r="O102" s="329" t="s">
        <v>391</v>
      </c>
      <c r="P102" s="326">
        <f>+N102/2</f>
        <v>6.4498061986388397E-2</v>
      </c>
      <c r="Q102" s="327" t="s">
        <v>389</v>
      </c>
      <c r="R102" s="328" t="s">
        <v>389</v>
      </c>
      <c r="T102" s="266"/>
      <c r="U102" s="322" t="s">
        <v>362</v>
      </c>
      <c r="V102" s="31" t="s">
        <v>22</v>
      </c>
      <c r="W102" s="407"/>
      <c r="X102" s="355">
        <f>2*(SQRT(Balanza!$M$8+Balanza!$N$8*(POWER(W100,2))))</f>
        <v>0.12899612397277679</v>
      </c>
      <c r="Y102" s="329" t="s">
        <v>391</v>
      </c>
      <c r="Z102" s="326">
        <f>+X102/2</f>
        <v>6.4498061986388397E-2</v>
      </c>
      <c r="AA102" s="327" t="s">
        <v>389</v>
      </c>
      <c r="AB102" s="328" t="s">
        <v>389</v>
      </c>
      <c r="AD102" s="255"/>
      <c r="AE102" s="255"/>
      <c r="AF102" s="255"/>
      <c r="AG102" s="255"/>
      <c r="AH102" s="255"/>
      <c r="AI102" s="255"/>
      <c r="AJ102" s="255"/>
      <c r="AK102" s="255"/>
      <c r="AL102" s="255"/>
    </row>
    <row r="103" spans="11:38" ht="21.75" customHeight="1" x14ac:dyDescent="0.25">
      <c r="K103" s="322" t="s">
        <v>365</v>
      </c>
      <c r="L103" s="31" t="s">
        <v>22</v>
      </c>
      <c r="M103" s="323"/>
      <c r="N103" s="330">
        <f>+Balanza!$M$10</f>
        <v>0.1</v>
      </c>
      <c r="O103" s="331" t="s">
        <v>366</v>
      </c>
      <c r="P103" s="332">
        <f>N103/SQRT(3)/2</f>
        <v>2.8867513459481291E-2</v>
      </c>
      <c r="Q103" s="327" t="s">
        <v>389</v>
      </c>
      <c r="R103" s="328" t="s">
        <v>389</v>
      </c>
      <c r="T103" s="266"/>
      <c r="U103" s="322" t="s">
        <v>365</v>
      </c>
      <c r="V103" s="31" t="s">
        <v>22</v>
      </c>
      <c r="W103" s="407"/>
      <c r="X103" s="330">
        <f>+Balanza!$M$10</f>
        <v>0.1</v>
      </c>
      <c r="Y103" s="331" t="s">
        <v>366</v>
      </c>
      <c r="Z103" s="332">
        <f>X103/SQRT(3)/2</f>
        <v>2.8867513459481291E-2</v>
      </c>
      <c r="AA103" s="327" t="s">
        <v>389</v>
      </c>
      <c r="AB103" s="328" t="s">
        <v>389</v>
      </c>
      <c r="AD103" s="255"/>
      <c r="AE103" s="255"/>
      <c r="AF103" s="255"/>
      <c r="AG103" s="255"/>
      <c r="AH103" s="255"/>
      <c r="AI103" s="255"/>
      <c r="AJ103" s="255"/>
      <c r="AK103" s="255"/>
      <c r="AL103" s="255"/>
    </row>
    <row r="104" spans="11:38" ht="21.75" customHeight="1" x14ac:dyDescent="0.25">
      <c r="K104" s="315" t="s">
        <v>397</v>
      </c>
      <c r="L104" s="334" t="s">
        <v>22</v>
      </c>
      <c r="M104" s="316">
        <f>+DATOS!E27</f>
        <v>0</v>
      </c>
      <c r="N104" s="333"/>
      <c r="O104" s="317" t="s">
        <v>389</v>
      </c>
      <c r="P104" s="320">
        <f>SQRT((P105*P105)+(P106*P106)+(P107*P107))</f>
        <v>7.0663521942607221E-2</v>
      </c>
      <c r="Q104" s="336" t="e">
        <f>((M96-M100)*100)/(POWER((M100-M104),2))</f>
        <v>#DIV/0!</v>
      </c>
      <c r="R104" s="337" t="e">
        <f>+Q104*P104</f>
        <v>#DIV/0!</v>
      </c>
      <c r="T104" s="266"/>
      <c r="U104" s="315" t="s">
        <v>397</v>
      </c>
      <c r="V104" s="334" t="s">
        <v>22</v>
      </c>
      <c r="W104" s="406">
        <f>+DATOS!I27</f>
        <v>0</v>
      </c>
      <c r="X104" s="333"/>
      <c r="Y104" s="317" t="s">
        <v>389</v>
      </c>
      <c r="Z104" s="320">
        <f>SQRT((Z105*Z105)+(Z106*Z106)+(Z107*Z107))</f>
        <v>7.0663521942607221E-2</v>
      </c>
      <c r="AA104" s="336" t="e">
        <f>((W96-W100)*100)/(POWER((W100-W104),2))</f>
        <v>#DIV/0!</v>
      </c>
      <c r="AB104" s="337" t="e">
        <f>+AA104*Z104</f>
        <v>#DIV/0!</v>
      </c>
      <c r="AD104" s="255"/>
      <c r="AE104" s="255"/>
      <c r="AF104" s="255"/>
      <c r="AG104" s="255"/>
      <c r="AH104" s="255"/>
      <c r="AI104" s="255"/>
      <c r="AJ104" s="255"/>
      <c r="AK104" s="255"/>
      <c r="AL104" s="255"/>
    </row>
    <row r="105" spans="11:38" ht="21.75" customHeight="1" x14ac:dyDescent="0.25">
      <c r="K105" s="322" t="s">
        <v>390</v>
      </c>
      <c r="L105" s="31" t="s">
        <v>22</v>
      </c>
      <c r="M105" s="323"/>
      <c r="N105" s="324">
        <f>+Balanza!P26</f>
        <v>0</v>
      </c>
      <c r="O105" s="325" t="s">
        <v>380</v>
      </c>
      <c r="P105" s="326">
        <f>+N105</f>
        <v>0</v>
      </c>
      <c r="Q105" s="327" t="s">
        <v>389</v>
      </c>
      <c r="R105" s="328" t="s">
        <v>389</v>
      </c>
      <c r="T105" s="266"/>
      <c r="U105" s="322" t="s">
        <v>390</v>
      </c>
      <c r="V105" s="31" t="s">
        <v>22</v>
      </c>
      <c r="W105" s="323"/>
      <c r="X105" s="324">
        <f>+Balanza!P30</f>
        <v>0</v>
      </c>
      <c r="Y105" s="325" t="s">
        <v>380</v>
      </c>
      <c r="Z105" s="326">
        <f>+X105</f>
        <v>0</v>
      </c>
      <c r="AA105" s="327" t="s">
        <v>389</v>
      </c>
      <c r="AB105" s="328" t="s">
        <v>389</v>
      </c>
      <c r="AD105" s="255"/>
      <c r="AE105" s="255"/>
      <c r="AF105" s="255"/>
      <c r="AG105" s="255"/>
      <c r="AH105" s="255"/>
      <c r="AI105" s="255"/>
      <c r="AJ105" s="255"/>
      <c r="AK105" s="255"/>
      <c r="AL105" s="255"/>
    </row>
    <row r="106" spans="11:38" ht="21.75" customHeight="1" x14ac:dyDescent="0.25">
      <c r="K106" s="322" t="s">
        <v>362</v>
      </c>
      <c r="L106" s="31" t="s">
        <v>22</v>
      </c>
      <c r="M106" s="323"/>
      <c r="N106" s="355">
        <f>2*(SQRT(Balanza!$M$8+Balanza!$N$8*(POWER(M104,2))))</f>
        <v>0.12899612397277679</v>
      </c>
      <c r="O106" s="329" t="s">
        <v>391</v>
      </c>
      <c r="P106" s="326">
        <f>+N106/2</f>
        <v>6.4498061986388397E-2</v>
      </c>
      <c r="Q106" s="327" t="s">
        <v>389</v>
      </c>
      <c r="R106" s="328" t="s">
        <v>389</v>
      </c>
      <c r="T106" s="266"/>
      <c r="U106" s="322" t="s">
        <v>362</v>
      </c>
      <c r="V106" s="31" t="s">
        <v>22</v>
      </c>
      <c r="W106" s="323"/>
      <c r="X106" s="355">
        <f>2*(SQRT(Balanza!$M$8+Balanza!$N$8*(POWER(W104,2))))</f>
        <v>0.12899612397277679</v>
      </c>
      <c r="Y106" s="329" t="s">
        <v>391</v>
      </c>
      <c r="Z106" s="326">
        <f>+X106/2</f>
        <v>6.4498061986388397E-2</v>
      </c>
      <c r="AA106" s="327" t="s">
        <v>389</v>
      </c>
      <c r="AB106" s="328" t="s">
        <v>389</v>
      </c>
      <c r="AD106" s="255"/>
      <c r="AE106" s="255"/>
      <c r="AF106" s="255"/>
      <c r="AG106" s="255"/>
      <c r="AH106" s="255"/>
      <c r="AI106" s="255"/>
      <c r="AJ106" s="255"/>
      <c r="AK106" s="255"/>
      <c r="AL106" s="255"/>
    </row>
    <row r="107" spans="11:38" ht="21.75" customHeight="1" x14ac:dyDescent="0.25">
      <c r="K107" s="322" t="s">
        <v>365</v>
      </c>
      <c r="L107" s="31" t="s">
        <v>22</v>
      </c>
      <c r="M107" s="323"/>
      <c r="N107" s="330">
        <f>+Balanza!$M$10</f>
        <v>0.1</v>
      </c>
      <c r="O107" s="331" t="s">
        <v>366</v>
      </c>
      <c r="P107" s="332">
        <f>N107/SQRT(3)/2</f>
        <v>2.8867513459481291E-2</v>
      </c>
      <c r="Q107" s="327" t="s">
        <v>389</v>
      </c>
      <c r="R107" s="328" t="s">
        <v>389</v>
      </c>
      <c r="T107" s="266"/>
      <c r="U107" s="322" t="s">
        <v>365</v>
      </c>
      <c r="V107" s="31" t="s">
        <v>22</v>
      </c>
      <c r="W107" s="323"/>
      <c r="X107" s="330">
        <f>+Balanza!$M$10</f>
        <v>0.1</v>
      </c>
      <c r="Y107" s="331" t="s">
        <v>366</v>
      </c>
      <c r="Z107" s="332">
        <f>X107/SQRT(3)/2</f>
        <v>2.8867513459481291E-2</v>
      </c>
      <c r="AA107" s="327" t="s">
        <v>389</v>
      </c>
      <c r="AB107" s="328" t="s">
        <v>389</v>
      </c>
      <c r="AD107" s="255"/>
      <c r="AE107" s="255"/>
      <c r="AF107" s="255"/>
      <c r="AG107" s="255"/>
      <c r="AH107" s="255"/>
      <c r="AI107" s="255"/>
      <c r="AJ107" s="255"/>
      <c r="AK107" s="255"/>
      <c r="AL107" s="255"/>
    </row>
    <row r="108" spans="11:38" ht="21.75" customHeight="1" x14ac:dyDescent="0.25">
      <c r="K108" s="339" t="s">
        <v>370</v>
      </c>
      <c r="L108" s="342" t="s">
        <v>19</v>
      </c>
      <c r="M108" s="340">
        <f>+PRECISION!$J$6</f>
        <v>0.1103026140518291</v>
      </c>
      <c r="N108" s="341"/>
      <c r="O108" s="343" t="s">
        <v>371</v>
      </c>
      <c r="P108" s="344">
        <f>M108/SQRT(1)</f>
        <v>0.1103026140518291</v>
      </c>
      <c r="Q108" s="345">
        <v>1</v>
      </c>
      <c r="R108" s="346">
        <f>+P108*Q108</f>
        <v>0.1103026140518291</v>
      </c>
      <c r="T108" s="266"/>
      <c r="U108" s="339" t="s">
        <v>370</v>
      </c>
      <c r="V108" s="342" t="s">
        <v>19</v>
      </c>
      <c r="W108" s="340">
        <f>+PRECISION!$J$6</f>
        <v>0.1103026140518291</v>
      </c>
      <c r="X108" s="341"/>
      <c r="Y108" s="343" t="s">
        <v>371</v>
      </c>
      <c r="Z108" s="344">
        <f>W108/SQRT(1)</f>
        <v>0.1103026140518291</v>
      </c>
      <c r="AA108" s="345">
        <v>1</v>
      </c>
      <c r="AB108" s="346">
        <f>+Z108*AA108</f>
        <v>0.1103026140518291</v>
      </c>
      <c r="AD108" s="255"/>
      <c r="AE108" s="255"/>
      <c r="AF108" s="255"/>
      <c r="AG108" s="255"/>
      <c r="AH108" s="255"/>
      <c r="AI108" s="255"/>
      <c r="AJ108" s="255"/>
      <c r="AK108" s="255"/>
      <c r="AL108" s="255"/>
    </row>
    <row r="109" spans="11:38" ht="21.75" customHeight="1" thickBot="1" x14ac:dyDescent="0.3">
      <c r="K109" s="527" t="s">
        <v>373</v>
      </c>
      <c r="L109" s="401" t="s">
        <v>19</v>
      </c>
      <c r="M109" s="402"/>
      <c r="N109" s="402"/>
      <c r="O109" s="402"/>
      <c r="P109" s="403"/>
      <c r="Q109" s="404"/>
      <c r="R109" s="405" t="e">
        <f>SQRT((R96*R96)+(R100*R100)+(R104*R104)+(R108*R108))</f>
        <v>#DIV/0!</v>
      </c>
      <c r="T109" s="266"/>
      <c r="U109" s="527" t="s">
        <v>373</v>
      </c>
      <c r="V109" s="401" t="s">
        <v>19</v>
      </c>
      <c r="W109" s="402"/>
      <c r="X109" s="402"/>
      <c r="Y109" s="402"/>
      <c r="Z109" s="403"/>
      <c r="AA109" s="404"/>
      <c r="AB109" s="405" t="e">
        <f>SQRT((AB96*AB96)+(AB100*AB100)+(AB104*AB104)+(AB108*AB108))</f>
        <v>#DIV/0!</v>
      </c>
      <c r="AD109" s="255"/>
      <c r="AE109" s="255"/>
      <c r="AF109" s="255"/>
      <c r="AG109" s="255"/>
      <c r="AH109" s="255"/>
      <c r="AI109" s="255"/>
      <c r="AJ109" s="255"/>
      <c r="AK109" s="255"/>
      <c r="AL109" s="255"/>
    </row>
    <row r="110" spans="11:38" ht="12.75" customHeight="1" x14ac:dyDescent="0.25"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55"/>
      <c r="AF110" s="255"/>
      <c r="AG110" s="255"/>
      <c r="AH110" s="255"/>
      <c r="AI110" s="255"/>
      <c r="AJ110" s="255"/>
      <c r="AK110" s="255"/>
      <c r="AL110" s="255"/>
    </row>
    <row r="111" spans="11:38" ht="30" customHeight="1" x14ac:dyDescent="0.25">
      <c r="K111" s="502" t="s">
        <v>351</v>
      </c>
      <c r="L111" s="503" t="s">
        <v>352</v>
      </c>
      <c r="M111" s="502" t="s">
        <v>353</v>
      </c>
      <c r="N111" s="503" t="s">
        <v>354</v>
      </c>
      <c r="O111" s="503" t="s">
        <v>355</v>
      </c>
      <c r="P111" s="503" t="s">
        <v>356</v>
      </c>
      <c r="Q111" s="503" t="s">
        <v>357</v>
      </c>
      <c r="R111" s="503" t="s">
        <v>358</v>
      </c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55"/>
      <c r="AF111" s="255"/>
      <c r="AG111" s="255"/>
      <c r="AH111" s="255"/>
      <c r="AI111" s="255"/>
      <c r="AJ111" s="255"/>
      <c r="AK111" s="255"/>
      <c r="AL111" s="255"/>
    </row>
    <row r="112" spans="11:38" ht="19.2" customHeight="1" x14ac:dyDescent="0.25">
      <c r="K112" s="504" t="s">
        <v>376</v>
      </c>
      <c r="L112" s="789" t="s">
        <v>377</v>
      </c>
      <c r="M112" s="505">
        <f>3.14159*M113*M113/4</f>
        <v>1932.5030603836888</v>
      </c>
      <c r="N112" s="350"/>
      <c r="O112" s="350"/>
      <c r="P112" s="350"/>
      <c r="Q112" s="350"/>
      <c r="R112" s="350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55"/>
      <c r="AF112" s="255"/>
      <c r="AG112" s="255"/>
      <c r="AH112" s="255"/>
      <c r="AI112" s="255"/>
      <c r="AJ112" s="255"/>
      <c r="AK112" s="255"/>
      <c r="AL112" s="255"/>
    </row>
    <row r="113" spans="11:38" ht="19.2" customHeight="1" x14ac:dyDescent="0.25">
      <c r="K113" s="506" t="s">
        <v>378</v>
      </c>
      <c r="L113" s="430" t="s">
        <v>279</v>
      </c>
      <c r="M113" s="316">
        <f>+DATOS!$D$8</f>
        <v>49.603844559999999</v>
      </c>
      <c r="N113" s="354"/>
      <c r="O113" s="354"/>
      <c r="P113" s="320">
        <f>SQRT((P114*P114)+(P115*P115)+(P116*P116))</f>
        <v>5.5806212318460519E-3</v>
      </c>
      <c r="Q113" s="492">
        <f>3.14159*M113/2</f>
        <v>77.917471015625196</v>
      </c>
      <c r="R113" s="493">
        <f>+P113*Q113</f>
        <v>0.43482789308154735</v>
      </c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  <c r="AI113" s="255"/>
      <c r="AJ113" s="255"/>
      <c r="AK113" s="255"/>
      <c r="AL113" s="255"/>
    </row>
    <row r="114" spans="11:38" ht="19.2" customHeight="1" x14ac:dyDescent="0.25">
      <c r="K114" s="484" t="s">
        <v>379</v>
      </c>
      <c r="L114" s="156" t="s">
        <v>279</v>
      </c>
      <c r="M114" s="286"/>
      <c r="N114" s="423">
        <f>+C77</f>
        <v>2.4494897427826908E-3</v>
      </c>
      <c r="O114" s="325" t="s">
        <v>380</v>
      </c>
      <c r="P114" s="326">
        <f>+N114</f>
        <v>2.4494897427826908E-3</v>
      </c>
      <c r="Q114" s="350"/>
      <c r="R114" s="350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55"/>
      <c r="AF114" s="255"/>
      <c r="AG114" s="255"/>
      <c r="AH114" s="255"/>
      <c r="AI114" s="255"/>
      <c r="AJ114" s="255"/>
      <c r="AK114" s="255"/>
      <c r="AL114" s="255"/>
    </row>
    <row r="115" spans="11:38" ht="19.2" customHeight="1" x14ac:dyDescent="0.25">
      <c r="K115" s="484" t="s">
        <v>362</v>
      </c>
      <c r="L115" s="156" t="s">
        <v>279</v>
      </c>
      <c r="M115" s="424"/>
      <c r="N115" s="423">
        <v>8.2000000000000007E-3</v>
      </c>
      <c r="O115" s="425" t="s">
        <v>381</v>
      </c>
      <c r="P115" s="426">
        <f>+N115/2</f>
        <v>4.1000000000000003E-3</v>
      </c>
      <c r="Q115" s="350"/>
      <c r="R115" s="350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55"/>
      <c r="AF115" s="255"/>
      <c r="AG115" s="255"/>
      <c r="AH115" s="255"/>
      <c r="AI115" s="255"/>
      <c r="AJ115" s="255"/>
      <c r="AK115" s="255"/>
      <c r="AL115" s="255"/>
    </row>
    <row r="116" spans="11:38" ht="19.2" customHeight="1" x14ac:dyDescent="0.25">
      <c r="K116" s="484" t="s">
        <v>365</v>
      </c>
      <c r="L116" s="156" t="s">
        <v>279</v>
      </c>
      <c r="M116" s="424"/>
      <c r="N116" s="485">
        <v>0.01</v>
      </c>
      <c r="O116" s="429" t="s">
        <v>366</v>
      </c>
      <c r="P116" s="426">
        <f>+N116/SQRT(3)/2</f>
        <v>2.886751345948129E-3</v>
      </c>
      <c r="Q116" s="350"/>
      <c r="R116" s="350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55"/>
      <c r="AF116" s="255"/>
      <c r="AG116" s="255"/>
      <c r="AH116" s="255"/>
      <c r="AI116" s="255"/>
      <c r="AJ116" s="255"/>
      <c r="AK116" s="255"/>
      <c r="AL116" s="255"/>
    </row>
    <row r="117" spans="11:38" ht="19.2" customHeight="1" x14ac:dyDescent="0.25">
      <c r="K117" s="410" t="s">
        <v>373</v>
      </c>
      <c r="L117" s="410"/>
      <c r="M117" s="410"/>
      <c r="N117" s="411"/>
      <c r="O117" s="410"/>
      <c r="P117" s="411"/>
      <c r="Q117" s="507" t="s">
        <v>377</v>
      </c>
      <c r="R117" s="507">
        <f>+SQRT(R113^2)</f>
        <v>0.43482789308154735</v>
      </c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  <c r="AI117" s="255"/>
      <c r="AJ117" s="255"/>
      <c r="AK117" s="255"/>
      <c r="AL117" s="255"/>
    </row>
    <row r="118" spans="11:38" ht="19.2" customHeight="1" x14ac:dyDescent="0.25">
      <c r="K118" s="410" t="s">
        <v>374</v>
      </c>
      <c r="L118" s="410"/>
      <c r="M118" s="508"/>
      <c r="N118" s="411"/>
      <c r="O118" s="508"/>
      <c r="P118" s="411"/>
      <c r="Q118" s="507" t="s">
        <v>377</v>
      </c>
      <c r="R118" s="509">
        <f>R117*2</f>
        <v>0.86965578616309469</v>
      </c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  <c r="AJ118" s="255"/>
      <c r="AK118" s="255"/>
      <c r="AL118" s="255"/>
    </row>
    <row r="119" spans="11:38" ht="12.75" customHeight="1" x14ac:dyDescent="0.25"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  <c r="AI119" s="255"/>
      <c r="AJ119" s="255"/>
      <c r="AK119" s="255"/>
      <c r="AL119" s="255"/>
    </row>
    <row r="120" spans="11:38" ht="12.75" customHeight="1" thickBot="1" x14ac:dyDescent="0.3">
      <c r="K120" s="357" t="s">
        <v>398</v>
      </c>
      <c r="L120" s="357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55"/>
    </row>
    <row r="121" spans="11:38" ht="36" customHeight="1" thickBot="1" x14ac:dyDescent="0.3">
      <c r="K121" s="358" t="s">
        <v>351</v>
      </c>
      <c r="L121" s="359" t="s">
        <v>352</v>
      </c>
      <c r="M121" s="358" t="s">
        <v>353</v>
      </c>
      <c r="N121" s="360" t="s">
        <v>354</v>
      </c>
      <c r="O121" s="360" t="s">
        <v>355</v>
      </c>
      <c r="P121" s="360" t="s">
        <v>356</v>
      </c>
      <c r="Q121" s="360" t="s">
        <v>357</v>
      </c>
      <c r="R121" s="361" t="s">
        <v>358</v>
      </c>
      <c r="T121" s="266"/>
      <c r="U121" s="358" t="s">
        <v>351</v>
      </c>
      <c r="V121" s="359" t="s">
        <v>352</v>
      </c>
      <c r="W121" s="358" t="s">
        <v>353</v>
      </c>
      <c r="X121" s="360" t="s">
        <v>354</v>
      </c>
      <c r="Y121" s="360" t="s">
        <v>355</v>
      </c>
      <c r="Z121" s="360" t="s">
        <v>356</v>
      </c>
      <c r="AA121" s="360" t="s">
        <v>357</v>
      </c>
      <c r="AB121" s="361" t="s">
        <v>358</v>
      </c>
      <c r="AD121" s="266"/>
      <c r="AE121" s="266"/>
      <c r="AF121" s="266"/>
      <c r="AG121" s="266"/>
      <c r="AH121" s="266"/>
      <c r="AI121" s="266"/>
      <c r="AJ121" s="266"/>
      <c r="AK121" s="266"/>
      <c r="AL121" s="255"/>
    </row>
    <row r="122" spans="11:38" ht="14.4" customHeight="1" x14ac:dyDescent="0.25">
      <c r="K122" s="439" t="s">
        <v>399</v>
      </c>
      <c r="L122" s="440" t="s">
        <v>400</v>
      </c>
      <c r="M122" s="441" t="e">
        <f>3.14159*M123*M123*M127/4</f>
        <v>#N/A</v>
      </c>
      <c r="N122" s="442" t="s">
        <v>389</v>
      </c>
      <c r="O122" s="442" t="s">
        <v>389</v>
      </c>
      <c r="P122" s="442" t="s">
        <v>389</v>
      </c>
      <c r="Q122" s="442" t="s">
        <v>389</v>
      </c>
      <c r="R122" s="443" t="s">
        <v>389</v>
      </c>
      <c r="T122" s="266"/>
      <c r="U122" s="439" t="s">
        <v>399</v>
      </c>
      <c r="V122" s="440" t="s">
        <v>400</v>
      </c>
      <c r="W122" s="441" t="e">
        <f>3.14159*W123*W123*W127/4</f>
        <v>#N/A</v>
      </c>
      <c r="X122" s="442" t="s">
        <v>389</v>
      </c>
      <c r="Y122" s="442" t="s">
        <v>389</v>
      </c>
      <c r="Z122" s="442" t="s">
        <v>389</v>
      </c>
      <c r="AA122" s="442" t="s">
        <v>389</v>
      </c>
      <c r="AB122" s="443" t="s">
        <v>389</v>
      </c>
      <c r="AD122" s="814"/>
      <c r="AE122" s="814"/>
      <c r="AF122" s="814"/>
      <c r="AG122" s="814"/>
      <c r="AH122" s="814"/>
      <c r="AI122" s="814"/>
      <c r="AJ122" s="814"/>
      <c r="AK122" s="814"/>
      <c r="AL122" s="255"/>
    </row>
    <row r="123" spans="11:38" ht="14.4" customHeight="1" x14ac:dyDescent="0.25">
      <c r="K123" s="437" t="s">
        <v>378</v>
      </c>
      <c r="L123" s="430" t="s">
        <v>279</v>
      </c>
      <c r="M123" s="316" t="e">
        <f>+LOOKUP(L134,K137:K148,L137:L148)</f>
        <v>#N/A</v>
      </c>
      <c r="N123" s="431"/>
      <c r="O123" s="432" t="s">
        <v>389</v>
      </c>
      <c r="P123" s="320">
        <f>SQRT((P124*P124)+(P125*P125)+(P126*P126))</f>
        <v>5.1791247651831419E-3</v>
      </c>
      <c r="Q123" s="433" t="e">
        <f>3.14159*M127*M123/2</f>
        <v>#N/A</v>
      </c>
      <c r="R123" s="438" t="e">
        <f>+Q123*P123</f>
        <v>#N/A</v>
      </c>
      <c r="T123" s="266"/>
      <c r="U123" s="437" t="s">
        <v>378</v>
      </c>
      <c r="V123" s="430" t="s">
        <v>279</v>
      </c>
      <c r="W123" s="316" t="e">
        <f>+LOOKUP(W134,K137:K148,L137:L148)</f>
        <v>#N/A</v>
      </c>
      <c r="X123" s="431"/>
      <c r="Y123" s="432" t="s">
        <v>389</v>
      </c>
      <c r="Z123" s="320">
        <f>SQRT((Z124*Z124)+(Z125*Z125)+(Z126*Z126))</f>
        <v>5.1791247651831419E-3</v>
      </c>
      <c r="AA123" s="433" t="e">
        <f>3.14159*W127*W123/2</f>
        <v>#N/A</v>
      </c>
      <c r="AB123" s="466" t="e">
        <f>+AA123*Z123</f>
        <v>#N/A</v>
      </c>
      <c r="AD123" s="814"/>
      <c r="AE123" s="814"/>
      <c r="AF123" s="814"/>
      <c r="AG123" s="814"/>
      <c r="AH123" s="814"/>
      <c r="AI123" s="814"/>
      <c r="AJ123" s="814"/>
      <c r="AK123" s="814"/>
      <c r="AL123" s="255"/>
    </row>
    <row r="124" spans="11:38" ht="14.4" customHeight="1" x14ac:dyDescent="0.25">
      <c r="K124" s="435" t="s">
        <v>379</v>
      </c>
      <c r="L124" s="156" t="s">
        <v>279</v>
      </c>
      <c r="M124" s="286"/>
      <c r="N124" s="423">
        <f>+Q146</f>
        <v>0</v>
      </c>
      <c r="O124" s="325" t="s">
        <v>380</v>
      </c>
      <c r="P124" s="326">
        <f>+N124</f>
        <v>0</v>
      </c>
      <c r="Q124" s="327" t="s">
        <v>389</v>
      </c>
      <c r="R124" s="328" t="s">
        <v>389</v>
      </c>
      <c r="T124" s="266"/>
      <c r="U124" s="435" t="s">
        <v>379</v>
      </c>
      <c r="V124" s="156" t="s">
        <v>279</v>
      </c>
      <c r="W124" s="286"/>
      <c r="X124" s="423">
        <f>+Q168</f>
        <v>0</v>
      </c>
      <c r="Y124" s="325" t="s">
        <v>380</v>
      </c>
      <c r="Z124" s="326">
        <f>+X124</f>
        <v>0</v>
      </c>
      <c r="AA124" s="327" t="s">
        <v>389</v>
      </c>
      <c r="AB124" s="328" t="s">
        <v>389</v>
      </c>
      <c r="AD124" s="814"/>
      <c r="AE124" s="814"/>
      <c r="AF124" s="814"/>
      <c r="AG124" s="814"/>
      <c r="AH124" s="814"/>
      <c r="AI124" s="814"/>
      <c r="AJ124" s="814"/>
      <c r="AK124" s="814"/>
      <c r="AL124" s="255"/>
    </row>
    <row r="125" spans="11:38" ht="14.4" customHeight="1" x14ac:dyDescent="0.25">
      <c r="K125" s="435" t="s">
        <v>362</v>
      </c>
      <c r="L125" s="156" t="s">
        <v>279</v>
      </c>
      <c r="M125" s="424"/>
      <c r="N125" s="423">
        <v>8.6E-3</v>
      </c>
      <c r="O125" s="425" t="s">
        <v>381</v>
      </c>
      <c r="P125" s="426">
        <f>+N125/2</f>
        <v>4.3E-3</v>
      </c>
      <c r="Q125" s="427" t="s">
        <v>389</v>
      </c>
      <c r="R125" s="436" t="s">
        <v>389</v>
      </c>
      <c r="T125" s="266"/>
      <c r="U125" s="435" t="s">
        <v>362</v>
      </c>
      <c r="V125" s="156" t="s">
        <v>279</v>
      </c>
      <c r="W125" s="424"/>
      <c r="X125" s="423">
        <v>8.6E-3</v>
      </c>
      <c r="Y125" s="425" t="s">
        <v>381</v>
      </c>
      <c r="Z125" s="426">
        <f>+X125/2</f>
        <v>4.3E-3</v>
      </c>
      <c r="AA125" s="427" t="s">
        <v>389</v>
      </c>
      <c r="AB125" s="436" t="s">
        <v>389</v>
      </c>
      <c r="AD125" s="814"/>
      <c r="AE125" s="814"/>
      <c r="AF125" s="814"/>
      <c r="AG125" s="814"/>
      <c r="AH125" s="814"/>
      <c r="AI125" s="814"/>
      <c r="AJ125" s="814"/>
      <c r="AK125" s="814"/>
      <c r="AL125" s="255"/>
    </row>
    <row r="126" spans="11:38" ht="14.4" customHeight="1" x14ac:dyDescent="0.25">
      <c r="K126" s="435" t="s">
        <v>365</v>
      </c>
      <c r="L126" s="156" t="s">
        <v>279</v>
      </c>
      <c r="M126" s="424"/>
      <c r="N126" s="428">
        <v>0.01</v>
      </c>
      <c r="O126" s="429" t="s">
        <v>366</v>
      </c>
      <c r="P126" s="426">
        <f>+N126/SQRT(3)/2</f>
        <v>2.886751345948129E-3</v>
      </c>
      <c r="Q126" s="427" t="s">
        <v>389</v>
      </c>
      <c r="R126" s="436" t="s">
        <v>389</v>
      </c>
      <c r="T126" s="266"/>
      <c r="U126" s="435" t="s">
        <v>365</v>
      </c>
      <c r="V126" s="156" t="s">
        <v>279</v>
      </c>
      <c r="W126" s="424"/>
      <c r="X126" s="428">
        <v>0.01</v>
      </c>
      <c r="Y126" s="429" t="s">
        <v>366</v>
      </c>
      <c r="Z126" s="426">
        <f>+X126/SQRT(3)/2</f>
        <v>2.886751345948129E-3</v>
      </c>
      <c r="AA126" s="427" t="s">
        <v>389</v>
      </c>
      <c r="AB126" s="436" t="s">
        <v>389</v>
      </c>
      <c r="AD126" s="814"/>
      <c r="AE126" s="814"/>
      <c r="AF126" s="814"/>
      <c r="AG126" s="814"/>
      <c r="AH126" s="814"/>
      <c r="AI126" s="814"/>
      <c r="AJ126" s="814"/>
      <c r="AK126" s="814"/>
      <c r="AL126" s="255"/>
    </row>
    <row r="127" spans="11:38" ht="14.4" customHeight="1" x14ac:dyDescent="0.25">
      <c r="K127" s="434" t="s">
        <v>401</v>
      </c>
      <c r="L127" s="430" t="s">
        <v>279</v>
      </c>
      <c r="M127" s="316" t="e">
        <f>+LOOKUP(L134,K137:K148,M137:M148)</f>
        <v>#N/A</v>
      </c>
      <c r="N127" s="317" t="s">
        <v>389</v>
      </c>
      <c r="O127" s="319" t="s">
        <v>389</v>
      </c>
      <c r="P127" s="320">
        <f>SQRT((P128*P128)+(P129*P129)+(P130*P130))</f>
        <v>5.3884908214947656E-3</v>
      </c>
      <c r="Q127" s="319" t="e">
        <f>3.14159*POWER(M123,2)/4</f>
        <v>#N/A</v>
      </c>
      <c r="R127" s="321" t="e">
        <f>+Q127*P127</f>
        <v>#N/A</v>
      </c>
      <c r="T127" s="266"/>
      <c r="U127" s="434" t="s">
        <v>401</v>
      </c>
      <c r="V127" s="430" t="s">
        <v>279</v>
      </c>
      <c r="W127" s="316" t="e">
        <f>+LOOKUP(W134,K137:K148,M137:M148)</f>
        <v>#N/A</v>
      </c>
      <c r="X127" s="317" t="s">
        <v>389</v>
      </c>
      <c r="Y127" s="319" t="s">
        <v>389</v>
      </c>
      <c r="Z127" s="320">
        <f>SQRT((Z128*Z128)+(Z129*Z129)+(Z130*Z130))</f>
        <v>5.3884908214947656E-3</v>
      </c>
      <c r="AA127" s="319" t="e">
        <f>3.14159*POWER(W123,2)/4</f>
        <v>#N/A</v>
      </c>
      <c r="AB127" s="321" t="e">
        <f>+AA127*Z127</f>
        <v>#N/A</v>
      </c>
      <c r="AD127" s="814"/>
      <c r="AE127" s="814"/>
      <c r="AF127" s="814"/>
      <c r="AG127" s="814"/>
      <c r="AH127" s="814"/>
      <c r="AI127" s="814"/>
      <c r="AJ127" s="814"/>
      <c r="AK127" s="814"/>
      <c r="AL127" s="255"/>
    </row>
    <row r="128" spans="11:38" ht="14.4" customHeight="1" x14ac:dyDescent="0.25">
      <c r="K128" s="435" t="s">
        <v>379</v>
      </c>
      <c r="L128" s="156" t="s">
        <v>279</v>
      </c>
      <c r="M128" s="286"/>
      <c r="N128" s="423">
        <f>+S146</f>
        <v>0</v>
      </c>
      <c r="O128" s="325" t="s">
        <v>380</v>
      </c>
      <c r="P128" s="326">
        <f>+N128</f>
        <v>0</v>
      </c>
      <c r="Q128" s="327" t="s">
        <v>389</v>
      </c>
      <c r="R128" s="328" t="s">
        <v>389</v>
      </c>
      <c r="T128" s="266"/>
      <c r="U128" s="435" t="s">
        <v>379</v>
      </c>
      <c r="V128" s="156" t="s">
        <v>279</v>
      </c>
      <c r="W128" s="286"/>
      <c r="X128" s="423">
        <f>+S168</f>
        <v>0</v>
      </c>
      <c r="Y128" s="325" t="s">
        <v>380</v>
      </c>
      <c r="Z128" s="326">
        <f>+X128</f>
        <v>0</v>
      </c>
      <c r="AA128" s="327" t="s">
        <v>389</v>
      </c>
      <c r="AB128" s="328" t="s">
        <v>389</v>
      </c>
      <c r="AD128" s="814"/>
      <c r="AE128" s="814"/>
      <c r="AF128" s="814"/>
      <c r="AG128" s="814"/>
      <c r="AH128" s="814"/>
      <c r="AI128" s="814"/>
      <c r="AJ128" s="814"/>
      <c r="AK128" s="814"/>
      <c r="AL128" s="255"/>
    </row>
    <row r="129" spans="1:38" ht="14.4" customHeight="1" x14ac:dyDescent="0.25">
      <c r="K129" s="435" t="s">
        <v>362</v>
      </c>
      <c r="L129" s="156" t="s">
        <v>279</v>
      </c>
      <c r="M129" s="424"/>
      <c r="N129" s="423">
        <v>9.1000000000000004E-3</v>
      </c>
      <c r="O129" s="425" t="s">
        <v>381</v>
      </c>
      <c r="P129" s="426">
        <f>+N129/2</f>
        <v>4.5500000000000002E-3</v>
      </c>
      <c r="Q129" s="427" t="s">
        <v>389</v>
      </c>
      <c r="R129" s="436" t="s">
        <v>389</v>
      </c>
      <c r="T129" s="266"/>
      <c r="U129" s="435" t="s">
        <v>362</v>
      </c>
      <c r="V129" s="156" t="s">
        <v>279</v>
      </c>
      <c r="W129" s="424"/>
      <c r="X129" s="423">
        <v>9.1000000000000004E-3</v>
      </c>
      <c r="Y129" s="425" t="s">
        <v>381</v>
      </c>
      <c r="Z129" s="426">
        <f>+X129/2</f>
        <v>4.5500000000000002E-3</v>
      </c>
      <c r="AA129" s="427" t="s">
        <v>389</v>
      </c>
      <c r="AB129" s="436" t="s">
        <v>389</v>
      </c>
      <c r="AD129" s="814"/>
      <c r="AE129" s="814"/>
      <c r="AF129" s="814"/>
      <c r="AG129" s="814"/>
      <c r="AH129" s="814"/>
      <c r="AI129" s="814"/>
      <c r="AJ129" s="814"/>
      <c r="AK129" s="814"/>
      <c r="AL129" s="255"/>
    </row>
    <row r="130" spans="1:38" ht="14.4" customHeight="1" x14ac:dyDescent="0.25">
      <c r="K130" s="435" t="s">
        <v>365</v>
      </c>
      <c r="L130" s="156" t="s">
        <v>279</v>
      </c>
      <c r="M130" s="424"/>
      <c r="N130" s="428">
        <v>0.01</v>
      </c>
      <c r="O130" s="429" t="s">
        <v>366</v>
      </c>
      <c r="P130" s="426">
        <f>+N130/SQRT(3)/2</f>
        <v>2.886751345948129E-3</v>
      </c>
      <c r="Q130" s="427" t="s">
        <v>389</v>
      </c>
      <c r="R130" s="436" t="s">
        <v>389</v>
      </c>
      <c r="T130" s="266"/>
      <c r="U130" s="435" t="s">
        <v>365</v>
      </c>
      <c r="V130" s="156" t="s">
        <v>279</v>
      </c>
      <c r="W130" s="424"/>
      <c r="X130" s="428">
        <v>0.01</v>
      </c>
      <c r="Y130" s="429" t="s">
        <v>366</v>
      </c>
      <c r="Z130" s="426">
        <f>+X130/SQRT(3)/2</f>
        <v>2.886751345948129E-3</v>
      </c>
      <c r="AA130" s="427" t="s">
        <v>389</v>
      </c>
      <c r="AB130" s="436" t="s">
        <v>389</v>
      </c>
      <c r="AD130" s="814"/>
      <c r="AE130" s="814"/>
      <c r="AF130" s="814"/>
      <c r="AG130" s="814"/>
      <c r="AH130" s="814"/>
      <c r="AI130" s="814"/>
      <c r="AJ130" s="814"/>
      <c r="AK130" s="814"/>
      <c r="AL130" s="255"/>
    </row>
    <row r="131" spans="1:38" ht="14.4" customHeight="1" x14ac:dyDescent="0.25">
      <c r="K131" s="420" t="s">
        <v>373</v>
      </c>
      <c r="L131" s="421"/>
      <c r="M131" s="421"/>
      <c r="N131" s="422"/>
      <c r="O131" s="421"/>
      <c r="P131" s="422"/>
      <c r="Q131" s="452" t="s">
        <v>400</v>
      </c>
      <c r="R131" s="454" t="e">
        <f>+SQRT(R123^2+R127^2)</f>
        <v>#N/A</v>
      </c>
      <c r="T131" s="255"/>
      <c r="U131" s="420" t="s">
        <v>373</v>
      </c>
      <c r="V131" s="421"/>
      <c r="W131" s="421"/>
      <c r="X131" s="422"/>
      <c r="Y131" s="421"/>
      <c r="Z131" s="422"/>
      <c r="AA131" s="452" t="s">
        <v>400</v>
      </c>
      <c r="AB131" s="454" t="e">
        <f>+SQRT(AB123^2+AB127^2)</f>
        <v>#N/A</v>
      </c>
      <c r="AD131" s="814"/>
      <c r="AE131" s="814"/>
      <c r="AF131" s="255"/>
      <c r="AG131" s="255"/>
      <c r="AH131" s="255"/>
      <c r="AI131" s="255"/>
      <c r="AJ131" s="255"/>
      <c r="AK131" s="255"/>
      <c r="AL131" s="255"/>
    </row>
    <row r="132" spans="1:38" ht="14.4" customHeight="1" thickBot="1" x14ac:dyDescent="0.3">
      <c r="K132" s="363" t="s">
        <v>374</v>
      </c>
      <c r="L132" s="364"/>
      <c r="M132" s="364"/>
      <c r="N132" s="365"/>
      <c r="O132" s="364"/>
      <c r="P132" s="365"/>
      <c r="Q132" s="453" t="s">
        <v>400</v>
      </c>
      <c r="R132" s="455" t="e">
        <f>R131*2</f>
        <v>#N/A</v>
      </c>
      <c r="T132" s="255"/>
      <c r="U132" s="363" t="s">
        <v>374</v>
      </c>
      <c r="V132" s="364"/>
      <c r="W132" s="364"/>
      <c r="X132" s="365"/>
      <c r="Y132" s="364"/>
      <c r="Z132" s="365"/>
      <c r="AA132" s="453" t="s">
        <v>400</v>
      </c>
      <c r="AB132" s="455" t="e">
        <f>AB131*2</f>
        <v>#N/A</v>
      </c>
      <c r="AD132" s="814"/>
      <c r="AE132" s="814"/>
      <c r="AF132" s="255"/>
      <c r="AG132" s="255"/>
      <c r="AH132" s="255"/>
      <c r="AI132" s="255"/>
      <c r="AJ132" s="255"/>
      <c r="AK132" s="255"/>
      <c r="AL132" s="255"/>
    </row>
    <row r="133" spans="1:38" ht="12.75" customHeight="1" x14ac:dyDescent="0.25"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814"/>
      <c r="Y133" s="814"/>
      <c r="Z133" s="814"/>
      <c r="AA133" s="814"/>
      <c r="AB133" s="814"/>
      <c r="AC133" s="814"/>
      <c r="AD133" s="814"/>
      <c r="AE133" s="814"/>
      <c r="AF133" s="255"/>
      <c r="AG133" s="255"/>
      <c r="AH133" s="255"/>
      <c r="AI133" s="255"/>
      <c r="AJ133" s="255"/>
      <c r="AK133" s="255"/>
      <c r="AL133" s="255"/>
    </row>
    <row r="134" spans="1:38" s="814" customFormat="1" ht="14.4" customHeight="1" x14ac:dyDescent="0.25">
      <c r="A134" s="418"/>
      <c r="B134" s="418"/>
      <c r="C134" s="418"/>
      <c r="D134" s="418"/>
      <c r="E134" s="418"/>
      <c r="F134" s="418"/>
      <c r="G134" s="418"/>
      <c r="H134" s="418"/>
      <c r="I134" s="418"/>
      <c r="J134" s="418"/>
      <c r="K134" s="447" t="s">
        <v>402</v>
      </c>
      <c r="L134" s="803">
        <f>+DATOS!D17</f>
        <v>0</v>
      </c>
      <c r="M134" s="255"/>
      <c r="O134" s="255"/>
      <c r="P134" s="255"/>
      <c r="Q134" s="255"/>
      <c r="R134" s="255"/>
      <c r="S134" s="255"/>
      <c r="T134" s="255"/>
      <c r="U134" s="447" t="s">
        <v>402</v>
      </c>
      <c r="V134" s="447"/>
      <c r="W134" s="803">
        <f>+DATOS!H17</f>
        <v>0</v>
      </c>
      <c r="AF134" s="255"/>
      <c r="AG134" s="255"/>
      <c r="AH134" s="255"/>
      <c r="AI134" s="255"/>
      <c r="AJ134" s="255"/>
      <c r="AK134" s="255"/>
      <c r="AL134" s="255"/>
    </row>
    <row r="135" spans="1:38" s="814" customFormat="1" ht="14.4" customHeight="1" x14ac:dyDescent="0.25">
      <c r="A135" s="418"/>
      <c r="B135" s="418"/>
      <c r="C135" s="418"/>
      <c r="D135" s="418"/>
      <c r="E135" s="418"/>
      <c r="F135" s="418"/>
      <c r="G135" s="418"/>
      <c r="H135" s="418"/>
      <c r="I135" s="418"/>
      <c r="J135" s="418"/>
      <c r="M135" s="255"/>
      <c r="O135" s="255"/>
      <c r="P135" s="255"/>
      <c r="Q135" s="255"/>
      <c r="R135" s="255"/>
      <c r="S135" s="255"/>
      <c r="T135" s="255"/>
      <c r="U135" s="255"/>
      <c r="V135" s="255"/>
      <c r="W135" s="255"/>
      <c r="AF135" s="255"/>
      <c r="AG135" s="255"/>
      <c r="AH135" s="255"/>
      <c r="AI135" s="255"/>
      <c r="AJ135" s="255"/>
      <c r="AK135" s="255"/>
      <c r="AL135" s="255"/>
    </row>
    <row r="136" spans="1:38" s="814" customFormat="1" ht="14.4" customHeight="1" x14ac:dyDescent="0.25">
      <c r="A136" s="418"/>
      <c r="B136" s="418"/>
      <c r="C136" s="418"/>
      <c r="D136" s="418"/>
      <c r="E136" s="418"/>
      <c r="F136" s="418"/>
      <c r="G136" s="418"/>
      <c r="H136" s="418"/>
      <c r="I136" s="418"/>
      <c r="J136" s="418"/>
      <c r="K136" s="447" t="s">
        <v>402</v>
      </c>
      <c r="L136" s="447" t="s">
        <v>403</v>
      </c>
      <c r="M136" s="447" t="s">
        <v>404</v>
      </c>
      <c r="P136" s="558"/>
      <c r="Q136" s="558"/>
      <c r="R136" s="559"/>
      <c r="S136" s="560"/>
      <c r="AF136" s="255"/>
      <c r="AG136" s="255"/>
      <c r="AH136" s="255"/>
      <c r="AI136" s="255"/>
      <c r="AJ136" s="255"/>
      <c r="AK136" s="255"/>
      <c r="AL136" s="255"/>
    </row>
    <row r="137" spans="1:38" s="814" customFormat="1" ht="14.4" customHeight="1" x14ac:dyDescent="0.25">
      <c r="A137" s="418"/>
      <c r="B137" s="418"/>
      <c r="C137" s="418"/>
      <c r="D137" s="418"/>
      <c r="E137" s="418"/>
      <c r="F137" s="418"/>
      <c r="G137" s="418"/>
      <c r="H137" s="418"/>
      <c r="I137" s="418"/>
      <c r="J137" s="418"/>
      <c r="K137" s="789" t="str">
        <f>+DATOS!Q4</f>
        <v>D</v>
      </c>
      <c r="L137" s="419">
        <f>+DATOS!U4</f>
        <v>152.29499999999999</v>
      </c>
      <c r="M137" s="419">
        <f>+DATOS!T4</f>
        <v>116.5</v>
      </c>
      <c r="P137" s="73"/>
      <c r="Q137" s="73"/>
      <c r="R137" s="73"/>
      <c r="S137" s="73"/>
      <c r="T137" s="73"/>
      <c r="AF137" s="255"/>
      <c r="AG137" s="255"/>
      <c r="AH137" s="255"/>
      <c r="AI137" s="255"/>
      <c r="AJ137" s="255"/>
      <c r="AK137" s="255"/>
      <c r="AL137" s="255"/>
    </row>
    <row r="138" spans="1:38" s="814" customFormat="1" ht="14.4" customHeight="1" x14ac:dyDescent="0.25">
      <c r="A138" s="418"/>
      <c r="B138" s="418"/>
      <c r="C138" s="418"/>
      <c r="D138" s="418"/>
      <c r="E138" s="418"/>
      <c r="F138" s="418"/>
      <c r="G138" s="418"/>
      <c r="H138" s="418"/>
      <c r="I138" s="418"/>
      <c r="J138" s="418"/>
      <c r="K138" s="789" t="str">
        <f>+DATOS!Q5</f>
        <v>J</v>
      </c>
      <c r="L138" s="419">
        <f>+DATOS!U5</f>
        <v>152.29499999999999</v>
      </c>
      <c r="M138" s="419">
        <f>+DATOS!T5</f>
        <v>116.35</v>
      </c>
      <c r="P138" s="561"/>
      <c r="Q138" s="562"/>
      <c r="R138" s="561"/>
      <c r="S138" s="561"/>
      <c r="T138" s="497"/>
      <c r="AA138" s="266"/>
      <c r="AB138" s="266"/>
      <c r="AC138" s="266"/>
      <c r="AD138" s="266"/>
      <c r="AE138" s="255"/>
      <c r="AF138" s="255"/>
      <c r="AG138" s="255"/>
      <c r="AH138" s="255"/>
      <c r="AI138" s="255"/>
      <c r="AJ138" s="255"/>
      <c r="AK138" s="255"/>
      <c r="AL138" s="255"/>
    </row>
    <row r="139" spans="1:38" s="814" customFormat="1" ht="14.4" customHeight="1" x14ac:dyDescent="0.25">
      <c r="A139" s="418"/>
      <c r="B139" s="418"/>
      <c r="C139" s="418"/>
      <c r="D139" s="418"/>
      <c r="E139" s="418"/>
      <c r="F139" s="418"/>
      <c r="G139" s="418"/>
      <c r="H139" s="418"/>
      <c r="I139" s="418"/>
      <c r="J139" s="418"/>
      <c r="K139" s="789" t="str">
        <f>+DATOS!Q6</f>
        <v>T</v>
      </c>
      <c r="L139" s="419">
        <f>+DATOS!U6</f>
        <v>152.185</v>
      </c>
      <c r="M139" s="419">
        <f>+DATOS!T6</f>
        <v>116.62</v>
      </c>
      <c r="P139" s="561"/>
      <c r="Q139" s="562"/>
      <c r="R139" s="561"/>
      <c r="S139" s="561"/>
      <c r="T139" s="497"/>
      <c r="AA139" s="266"/>
      <c r="AB139" s="266"/>
      <c r="AC139" s="266"/>
      <c r="AD139" s="266"/>
      <c r="AE139" s="255"/>
      <c r="AF139" s="255"/>
      <c r="AG139" s="255"/>
      <c r="AH139" s="255"/>
      <c r="AI139" s="255"/>
      <c r="AJ139" s="255"/>
      <c r="AK139" s="255"/>
      <c r="AL139" s="255"/>
    </row>
    <row r="140" spans="1:38" s="814" customFormat="1" ht="14.4" customHeight="1" x14ac:dyDescent="0.25">
      <c r="A140" s="418"/>
      <c r="B140" s="418"/>
      <c r="C140" s="418"/>
      <c r="D140" s="418"/>
      <c r="E140" s="418"/>
      <c r="F140" s="418"/>
      <c r="G140" s="418"/>
      <c r="H140" s="418"/>
      <c r="I140" s="418"/>
      <c r="J140" s="418"/>
      <c r="K140" s="789" t="str">
        <f>+DATOS!Q7</f>
        <v>A</v>
      </c>
      <c r="L140" s="419">
        <f>+DATOS!U7</f>
        <v>152.33500000000001</v>
      </c>
      <c r="M140" s="419">
        <f>+DATOS!T7</f>
        <v>116.59</v>
      </c>
      <c r="P140" s="561"/>
      <c r="Q140" s="562"/>
      <c r="R140" s="561"/>
      <c r="S140" s="563"/>
      <c r="T140" s="497"/>
      <c r="AA140" s="266"/>
      <c r="AB140" s="266"/>
      <c r="AC140" s="266"/>
      <c r="AD140" s="266"/>
      <c r="AE140" s="255"/>
      <c r="AF140" s="255"/>
      <c r="AG140" s="255"/>
      <c r="AH140" s="255"/>
      <c r="AI140" s="255"/>
      <c r="AJ140" s="255"/>
      <c r="AK140" s="255"/>
      <c r="AL140" s="255"/>
    </row>
    <row r="141" spans="1:38" s="814" customFormat="1" ht="14.4" customHeight="1" x14ac:dyDescent="0.25">
      <c r="A141" s="418"/>
      <c r="B141" s="418"/>
      <c r="C141" s="418"/>
      <c r="D141" s="418"/>
      <c r="E141" s="418"/>
      <c r="F141" s="418"/>
      <c r="G141" s="418"/>
      <c r="H141" s="418"/>
      <c r="I141" s="418"/>
      <c r="J141" s="418"/>
      <c r="K141" s="789" t="str">
        <f>+DATOS!Q8</f>
        <v>B</v>
      </c>
      <c r="L141" s="419">
        <f>+DATOS!U8</f>
        <v>152.315</v>
      </c>
      <c r="M141" s="419">
        <f>+DATOS!T8</f>
        <v>116.69</v>
      </c>
      <c r="P141" s="561"/>
      <c r="Q141" s="562"/>
      <c r="R141" s="561"/>
      <c r="S141" s="563"/>
      <c r="T141" s="497"/>
      <c r="AA141" s="255"/>
      <c r="AB141" s="255"/>
      <c r="AC141" s="255"/>
      <c r="AD141" s="255"/>
      <c r="AE141" s="255"/>
      <c r="AF141" s="255"/>
      <c r="AG141" s="255"/>
      <c r="AH141" s="255"/>
      <c r="AI141" s="255"/>
      <c r="AJ141" s="255"/>
      <c r="AK141" s="255"/>
      <c r="AL141" s="255"/>
    </row>
    <row r="142" spans="1:38" s="814" customFormat="1" ht="14.4" customHeight="1" x14ac:dyDescent="0.25">
      <c r="A142" s="418"/>
      <c r="B142" s="418"/>
      <c r="C142" s="418"/>
      <c r="D142" s="418"/>
      <c r="E142" s="418"/>
      <c r="F142" s="418"/>
      <c r="G142" s="418"/>
      <c r="H142" s="418"/>
      <c r="I142" s="418"/>
      <c r="J142" s="418"/>
      <c r="K142" s="789" t="str">
        <f>+DATOS!Q9</f>
        <v>C</v>
      </c>
      <c r="L142" s="419">
        <f>+DATOS!U9</f>
        <v>152.27000000000001</v>
      </c>
      <c r="M142" s="419">
        <f>+DATOS!T9</f>
        <v>116.67</v>
      </c>
      <c r="P142" s="561"/>
      <c r="Q142" s="562"/>
      <c r="R142" s="561"/>
      <c r="S142" s="563"/>
      <c r="T142" s="418"/>
      <c r="AA142" s="255"/>
      <c r="AB142" s="255"/>
      <c r="AC142" s="255"/>
      <c r="AD142" s="255"/>
      <c r="AE142" s="255"/>
      <c r="AF142" s="255"/>
      <c r="AG142" s="255"/>
      <c r="AH142" s="255"/>
      <c r="AI142" s="255"/>
      <c r="AJ142" s="255"/>
      <c r="AK142" s="255"/>
      <c r="AL142" s="255"/>
    </row>
    <row r="143" spans="1:38" s="814" customFormat="1" ht="14.4" customHeight="1" x14ac:dyDescent="0.25">
      <c r="A143" s="418"/>
      <c r="B143" s="418"/>
      <c r="C143" s="418"/>
      <c r="D143" s="418"/>
      <c r="E143" s="418"/>
      <c r="F143" s="418"/>
      <c r="G143" s="418"/>
      <c r="H143" s="418"/>
      <c r="I143" s="418"/>
      <c r="J143" s="418"/>
      <c r="K143" s="789" t="str">
        <f>+DATOS!Q10</f>
        <v>E</v>
      </c>
      <c r="L143" s="419">
        <f>+DATOS!U10</f>
        <v>152.30500000000001</v>
      </c>
      <c r="M143" s="419">
        <f>+DATOS!T10</f>
        <v>116.7</v>
      </c>
      <c r="P143" s="561"/>
      <c r="Q143" s="562"/>
      <c r="R143" s="561"/>
      <c r="S143" s="561"/>
      <c r="T143" s="418"/>
      <c r="AA143" s="255"/>
      <c r="AB143" s="255"/>
      <c r="AC143" s="255"/>
      <c r="AD143" s="255"/>
      <c r="AE143" s="255"/>
      <c r="AF143" s="255"/>
      <c r="AG143" s="255"/>
      <c r="AH143" s="255"/>
      <c r="AI143" s="255"/>
      <c r="AJ143" s="255"/>
      <c r="AK143" s="255"/>
      <c r="AL143" s="255"/>
    </row>
    <row r="144" spans="1:38" s="814" customFormat="1" ht="14.4" customHeight="1" x14ac:dyDescent="0.25">
      <c r="A144" s="418"/>
      <c r="B144" s="418"/>
      <c r="C144" s="418"/>
      <c r="D144" s="418"/>
      <c r="E144" s="418"/>
      <c r="F144" s="418"/>
      <c r="G144" s="418"/>
      <c r="H144" s="418"/>
      <c r="I144" s="418"/>
      <c r="J144" s="418"/>
      <c r="K144" s="789" t="str">
        <f>+DATOS!Q11</f>
        <v>H</v>
      </c>
      <c r="L144" s="419">
        <f>+DATOS!U11</f>
        <v>152.375</v>
      </c>
      <c r="M144" s="419">
        <f>+DATOS!T11</f>
        <v>116.69</v>
      </c>
      <c r="P144" s="561"/>
      <c r="Q144" s="562"/>
      <c r="R144" s="561"/>
      <c r="S144" s="805"/>
      <c r="T144" s="418"/>
      <c r="AA144" s="255"/>
      <c r="AB144" s="255"/>
      <c r="AC144" s="255"/>
      <c r="AD144" s="255"/>
      <c r="AE144" s="255"/>
      <c r="AF144" s="255"/>
      <c r="AG144" s="255"/>
      <c r="AH144" s="255"/>
      <c r="AI144" s="255"/>
      <c r="AJ144" s="255"/>
      <c r="AK144" s="255"/>
      <c r="AL144" s="255"/>
    </row>
    <row r="145" spans="1:38" s="814" customFormat="1" ht="14.4" customHeight="1" x14ac:dyDescent="0.25">
      <c r="A145" s="418"/>
      <c r="B145" s="418"/>
      <c r="C145" s="418"/>
      <c r="D145" s="418"/>
      <c r="E145" s="418"/>
      <c r="F145" s="418"/>
      <c r="G145" s="418"/>
      <c r="H145" s="418"/>
      <c r="I145" s="418"/>
      <c r="J145" s="418"/>
      <c r="K145" s="789" t="str">
        <f>+DATOS!Q12</f>
        <v>L</v>
      </c>
      <c r="L145" s="419">
        <f>+DATOS!U12</f>
        <v>152.30000000000001</v>
      </c>
      <c r="M145" s="419">
        <f>+DATOS!T12</f>
        <v>116.69</v>
      </c>
      <c r="P145" s="561"/>
      <c r="Q145" s="562"/>
      <c r="R145" s="561"/>
      <c r="S145" s="805"/>
      <c r="T145" s="418"/>
      <c r="AA145" s="255"/>
      <c r="AB145" s="255"/>
      <c r="AC145" s="255"/>
      <c r="AD145" s="255"/>
      <c r="AE145" s="255"/>
      <c r="AF145" s="255"/>
      <c r="AG145" s="255"/>
      <c r="AH145" s="255"/>
      <c r="AI145" s="255"/>
      <c r="AJ145" s="255"/>
      <c r="AK145" s="255"/>
      <c r="AL145" s="255"/>
    </row>
    <row r="146" spans="1:38" s="814" customFormat="1" ht="14.4" customHeight="1" x14ac:dyDescent="0.25">
      <c r="A146" s="418"/>
      <c r="B146" s="418"/>
      <c r="C146" s="418"/>
      <c r="D146" s="418"/>
      <c r="E146" s="418"/>
      <c r="F146" s="418"/>
      <c r="G146" s="418"/>
      <c r="H146" s="418"/>
      <c r="I146" s="418"/>
      <c r="J146" s="418"/>
      <c r="K146" s="369"/>
      <c r="L146" s="419"/>
      <c r="M146" s="419"/>
      <c r="P146" s="105"/>
      <c r="Q146" s="564"/>
      <c r="R146" s="105"/>
      <c r="S146" s="564"/>
      <c r="T146" s="418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55"/>
      <c r="AF146" s="255"/>
      <c r="AG146" s="255"/>
      <c r="AH146" s="255"/>
      <c r="AI146" s="255"/>
      <c r="AJ146" s="255"/>
      <c r="AK146" s="255"/>
      <c r="AL146" s="255"/>
    </row>
    <row r="147" spans="1:38" s="814" customFormat="1" ht="14.4" customHeight="1" x14ac:dyDescent="0.25">
      <c r="A147" s="418"/>
      <c r="B147" s="418"/>
      <c r="C147" s="418"/>
      <c r="D147" s="418"/>
      <c r="E147" s="418"/>
      <c r="F147" s="418"/>
      <c r="G147" s="418"/>
      <c r="H147" s="418"/>
      <c r="I147" s="418"/>
      <c r="J147" s="418"/>
      <c r="K147" s="557"/>
      <c r="L147" s="419"/>
      <c r="M147" s="419"/>
      <c r="P147" s="105"/>
      <c r="Q147" s="497"/>
      <c r="R147" s="105"/>
      <c r="S147" s="497"/>
      <c r="T147" s="497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  <c r="AI147" s="255"/>
      <c r="AJ147" s="255"/>
      <c r="AK147" s="255"/>
      <c r="AL147" s="255"/>
    </row>
    <row r="148" spans="1:38" s="814" customFormat="1" ht="14.4" customHeight="1" x14ac:dyDescent="0.25">
      <c r="A148" s="418"/>
      <c r="B148" s="418"/>
      <c r="C148" s="418"/>
      <c r="D148" s="418"/>
      <c r="E148" s="418"/>
      <c r="F148" s="418"/>
      <c r="G148" s="418"/>
      <c r="H148" s="418"/>
      <c r="I148" s="418"/>
      <c r="J148" s="418"/>
      <c r="K148" s="557"/>
      <c r="L148" s="419"/>
      <c r="M148" s="419"/>
      <c r="P148" s="565"/>
      <c r="Q148" s="565"/>
      <c r="R148" s="565"/>
      <c r="S148" s="56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55"/>
      <c r="AF148" s="255"/>
      <c r="AG148" s="255"/>
      <c r="AH148" s="255"/>
      <c r="AI148" s="255"/>
      <c r="AJ148" s="255"/>
      <c r="AK148" s="255"/>
      <c r="AL148" s="255"/>
    </row>
    <row r="149" spans="1:38" s="814" customFormat="1" ht="14.4" customHeight="1" x14ac:dyDescent="0.25">
      <c r="A149" s="418"/>
      <c r="B149" s="418"/>
      <c r="C149" s="418"/>
      <c r="D149" s="418"/>
      <c r="E149" s="418"/>
      <c r="F149" s="418"/>
      <c r="G149" s="418"/>
      <c r="H149" s="418"/>
      <c r="I149" s="418"/>
      <c r="J149" s="418"/>
      <c r="K149" s="447" t="s">
        <v>405</v>
      </c>
      <c r="L149" s="447" t="s">
        <v>406</v>
      </c>
      <c r="M149" s="447" t="s">
        <v>407</v>
      </c>
      <c r="P149" s="566"/>
      <c r="Q149" s="565"/>
      <c r="R149" s="565"/>
      <c r="S149" s="56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  <c r="AI149" s="255"/>
      <c r="AJ149" s="255"/>
      <c r="AK149" s="255"/>
      <c r="AL149" s="255"/>
    </row>
    <row r="150" spans="1:38" s="814" customFormat="1" ht="14.4" customHeight="1" x14ac:dyDescent="0.25">
      <c r="A150" s="418"/>
      <c r="B150" s="418"/>
      <c r="C150" s="418"/>
      <c r="D150" s="418"/>
      <c r="E150" s="418"/>
      <c r="F150" s="418"/>
      <c r="G150" s="418"/>
      <c r="H150" s="418"/>
      <c r="I150" s="418"/>
      <c r="J150" s="418"/>
      <c r="K150" s="789" t="s">
        <v>408</v>
      </c>
      <c r="L150" s="419">
        <v>150.80000000000001</v>
      </c>
      <c r="M150" s="794">
        <v>61.43</v>
      </c>
      <c r="P150" s="73"/>
      <c r="Q150" s="73"/>
      <c r="R150" s="73"/>
      <c r="S150" s="73"/>
      <c r="T150" s="255"/>
      <c r="U150" s="449"/>
      <c r="V150" s="449"/>
      <c r="W150" s="255"/>
      <c r="X150" s="255"/>
      <c r="Y150" s="255"/>
      <c r="Z150" s="255"/>
      <c r="AA150" s="255"/>
      <c r="AB150" s="255"/>
      <c r="AC150" s="255"/>
      <c r="AD150" s="255"/>
      <c r="AE150" s="255"/>
      <c r="AF150" s="255"/>
      <c r="AG150" s="255"/>
      <c r="AH150" s="255"/>
      <c r="AI150" s="255"/>
      <c r="AJ150" s="255"/>
      <c r="AK150" s="255"/>
      <c r="AL150" s="255"/>
    </row>
    <row r="151" spans="1:38" s="814" customFormat="1" ht="14.4" customHeight="1" x14ac:dyDescent="0.25">
      <c r="A151" s="418"/>
      <c r="B151" s="418"/>
      <c r="C151" s="418"/>
      <c r="D151" s="418"/>
      <c r="E151" s="418"/>
      <c r="F151" s="418"/>
      <c r="G151" s="418"/>
      <c r="H151" s="418"/>
      <c r="I151" s="418"/>
      <c r="J151" s="418"/>
      <c r="K151" s="255"/>
      <c r="L151" s="255"/>
      <c r="P151" s="561"/>
      <c r="Q151" s="563"/>
      <c r="R151" s="561"/>
      <c r="S151" s="563"/>
      <c r="T151" s="449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  <c r="AI151" s="255"/>
      <c r="AJ151" s="255"/>
      <c r="AK151" s="255"/>
      <c r="AL151" s="255"/>
    </row>
    <row r="152" spans="1:38" s="814" customFormat="1" ht="14.4" customHeight="1" x14ac:dyDescent="0.25">
      <c r="A152" s="418"/>
      <c r="B152" s="418"/>
      <c r="C152" s="418"/>
      <c r="D152" s="418"/>
      <c r="E152" s="418"/>
      <c r="F152" s="418"/>
      <c r="G152" s="418"/>
      <c r="H152" s="418"/>
      <c r="I152" s="418"/>
      <c r="J152" s="418"/>
      <c r="K152" s="255"/>
      <c r="L152" s="255"/>
      <c r="P152" s="561"/>
      <c r="Q152" s="563"/>
      <c r="R152" s="561"/>
      <c r="S152" s="563"/>
      <c r="T152" s="449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55"/>
      <c r="AF152" s="255"/>
      <c r="AG152" s="255"/>
      <c r="AH152" s="255"/>
      <c r="AI152" s="255"/>
      <c r="AJ152" s="255"/>
      <c r="AK152" s="255"/>
      <c r="AL152" s="255"/>
    </row>
    <row r="153" spans="1:38" s="814" customFormat="1" ht="14.4" customHeight="1" x14ac:dyDescent="0.25">
      <c r="A153" s="418"/>
      <c r="B153" s="418"/>
      <c r="C153" s="418"/>
      <c r="D153" s="418"/>
      <c r="E153" s="418"/>
      <c r="F153" s="418"/>
      <c r="G153" s="418"/>
      <c r="H153" s="418"/>
      <c r="I153" s="418"/>
      <c r="J153" s="418"/>
      <c r="K153" s="255"/>
      <c r="L153" s="255"/>
      <c r="P153" s="561"/>
      <c r="Q153" s="563"/>
      <c r="R153" s="561"/>
      <c r="S153" s="563"/>
      <c r="T153" s="449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55"/>
      <c r="AF153" s="255"/>
      <c r="AG153" s="255"/>
      <c r="AH153" s="255"/>
      <c r="AI153" s="255"/>
      <c r="AJ153" s="255"/>
      <c r="AK153" s="255"/>
      <c r="AL153" s="255"/>
    </row>
    <row r="154" spans="1:38" s="814" customFormat="1" ht="14.4" customHeight="1" x14ac:dyDescent="0.25">
      <c r="A154" s="418"/>
      <c r="B154" s="677" t="s">
        <v>409</v>
      </c>
      <c r="C154" s="958" t="s">
        <v>410</v>
      </c>
      <c r="D154" s="818"/>
      <c r="E154" s="418"/>
      <c r="F154" s="969" t="s">
        <v>411</v>
      </c>
      <c r="G154" s="960"/>
      <c r="H154" s="968" t="s">
        <v>412</v>
      </c>
      <c r="I154" s="818"/>
      <c r="J154" s="418"/>
      <c r="K154" s="255"/>
      <c r="L154" s="255"/>
      <c r="P154" s="561"/>
      <c r="Q154" s="563"/>
      <c r="R154" s="561"/>
      <c r="S154" s="563"/>
      <c r="T154" s="449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55"/>
      <c r="AF154" s="255"/>
      <c r="AG154" s="255"/>
      <c r="AH154" s="255"/>
      <c r="AI154" s="255"/>
      <c r="AJ154" s="255"/>
      <c r="AK154" s="255"/>
      <c r="AL154" s="255"/>
    </row>
    <row r="155" spans="1:38" s="814" customFormat="1" ht="14.4" customHeight="1" x14ac:dyDescent="0.25">
      <c r="A155" s="418"/>
      <c r="B155" s="382"/>
      <c r="C155" s="382"/>
      <c r="D155" s="382"/>
      <c r="E155" s="418"/>
      <c r="F155" s="382"/>
      <c r="G155" s="382"/>
      <c r="H155" s="382"/>
      <c r="I155" s="382"/>
      <c r="J155" s="418"/>
      <c r="K155" s="255"/>
      <c r="L155" s="255"/>
      <c r="P155" s="105"/>
      <c r="Q155" s="564"/>
      <c r="R155" s="105"/>
      <c r="S155" s="564"/>
      <c r="T155" s="449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55"/>
      <c r="AF155" s="255"/>
      <c r="AG155" s="255"/>
      <c r="AH155" s="255"/>
      <c r="AI155" s="255"/>
      <c r="AJ155" s="255"/>
      <c r="AK155" s="255"/>
      <c r="AL155" s="255"/>
    </row>
    <row r="156" spans="1:38" s="814" customFormat="1" ht="14.4" customHeight="1" x14ac:dyDescent="0.25">
      <c r="A156" s="418"/>
      <c r="B156" s="815" t="s">
        <v>413</v>
      </c>
      <c r="C156" s="966">
        <v>45604</v>
      </c>
      <c r="D156" s="818"/>
      <c r="E156" s="418"/>
      <c r="F156" s="967" t="s">
        <v>414</v>
      </c>
      <c r="G156" s="960"/>
      <c r="H156" s="966">
        <v>45605</v>
      </c>
      <c r="I156" s="818"/>
      <c r="J156" s="418"/>
      <c r="M156" s="255"/>
      <c r="N156" s="255"/>
      <c r="O156" s="255"/>
      <c r="P156" s="255"/>
      <c r="Q156" s="497"/>
      <c r="R156" s="255"/>
      <c r="S156" s="497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55"/>
      <c r="AF156" s="255"/>
      <c r="AG156" s="255"/>
      <c r="AH156" s="255"/>
      <c r="AI156" s="255"/>
      <c r="AJ156" s="255"/>
      <c r="AK156" s="255"/>
      <c r="AL156" s="255"/>
    </row>
    <row r="157" spans="1:38" s="814" customFormat="1" ht="14.4" customHeight="1" x14ac:dyDescent="0.25">
      <c r="A157" s="418"/>
      <c r="B157" s="418"/>
      <c r="C157" s="418"/>
      <c r="D157" s="418"/>
      <c r="E157" s="418"/>
      <c r="F157" s="418"/>
      <c r="G157" s="418"/>
      <c r="H157" s="418"/>
      <c r="I157" s="418"/>
      <c r="J157" s="418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55"/>
      <c r="AF157" s="255"/>
      <c r="AG157" s="255"/>
      <c r="AH157" s="255"/>
      <c r="AI157" s="255"/>
      <c r="AJ157" s="255"/>
      <c r="AK157" s="255"/>
      <c r="AL157" s="255"/>
    </row>
    <row r="158" spans="1:38" s="814" customFormat="1" ht="14.4" customHeight="1" x14ac:dyDescent="0.25">
      <c r="A158" s="418"/>
      <c r="B158" s="418"/>
      <c r="C158" s="418"/>
      <c r="D158" s="418"/>
      <c r="E158" s="418"/>
      <c r="F158" s="418"/>
      <c r="G158" s="418"/>
      <c r="H158" s="418"/>
      <c r="I158" s="418"/>
      <c r="J158" s="418"/>
      <c r="M158" s="255"/>
      <c r="N158" s="255"/>
      <c r="O158" s="255"/>
      <c r="P158" s="558"/>
      <c r="Q158" s="558"/>
      <c r="R158" s="559"/>
      <c r="S158" s="560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55"/>
      <c r="AF158" s="255"/>
      <c r="AG158" s="255"/>
      <c r="AH158" s="255"/>
      <c r="AI158" s="255"/>
      <c r="AJ158" s="255"/>
      <c r="AK158" s="255"/>
      <c r="AL158" s="255"/>
    </row>
    <row r="159" spans="1:38" s="814" customFormat="1" ht="14.4" customHeight="1" x14ac:dyDescent="0.25">
      <c r="A159" s="418"/>
      <c r="B159" s="418"/>
      <c r="C159" s="418"/>
      <c r="D159" s="418"/>
      <c r="E159" s="418"/>
      <c r="F159" s="418"/>
      <c r="G159" s="418"/>
      <c r="H159" s="418"/>
      <c r="I159" s="418"/>
      <c r="J159" s="418"/>
      <c r="M159" s="255"/>
      <c r="N159" s="255"/>
      <c r="O159" s="255"/>
      <c r="P159" s="73"/>
      <c r="Q159" s="73"/>
      <c r="R159" s="73"/>
      <c r="S159" s="73"/>
      <c r="T159" s="73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55"/>
      <c r="AF159" s="255"/>
      <c r="AG159" s="255"/>
      <c r="AH159" s="255"/>
      <c r="AI159" s="255"/>
      <c r="AJ159" s="255"/>
      <c r="AK159" s="255"/>
      <c r="AL159" s="255"/>
    </row>
    <row r="160" spans="1:38" s="814" customFormat="1" ht="14.4" customHeight="1" x14ac:dyDescent="0.25">
      <c r="A160" s="418"/>
      <c r="B160" s="418"/>
      <c r="C160" s="418"/>
      <c r="D160" s="418"/>
      <c r="E160" s="418"/>
      <c r="F160" s="418"/>
      <c r="G160" s="418"/>
      <c r="H160" s="418"/>
      <c r="I160" s="418"/>
      <c r="J160" s="418"/>
      <c r="M160" s="255"/>
      <c r="N160" s="255"/>
      <c r="O160" s="255"/>
      <c r="P160" s="561"/>
      <c r="Q160" s="562"/>
      <c r="R160" s="561"/>
      <c r="S160" s="561"/>
      <c r="T160" s="497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55"/>
      <c r="AF160" s="255"/>
      <c r="AG160" s="255"/>
      <c r="AH160" s="255"/>
      <c r="AI160" s="255"/>
      <c r="AJ160" s="255"/>
      <c r="AK160" s="255"/>
      <c r="AL160" s="255"/>
    </row>
    <row r="161" spans="1:38" s="814" customFormat="1" ht="14.4" customHeight="1" x14ac:dyDescent="0.25">
      <c r="A161" s="418"/>
      <c r="B161" s="418"/>
      <c r="C161" s="418"/>
      <c r="D161" s="418"/>
      <c r="E161" s="418"/>
      <c r="F161" s="418"/>
      <c r="G161" s="418"/>
      <c r="H161" s="418"/>
      <c r="I161" s="418"/>
      <c r="J161" s="418"/>
      <c r="M161" s="255"/>
      <c r="N161" s="255"/>
      <c r="O161" s="255"/>
      <c r="P161" s="561"/>
      <c r="Q161" s="562"/>
      <c r="R161" s="561"/>
      <c r="S161" s="563"/>
      <c r="T161" s="497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55"/>
      <c r="AF161" s="255"/>
      <c r="AG161" s="255"/>
      <c r="AH161" s="255"/>
      <c r="AI161" s="255"/>
      <c r="AJ161" s="255"/>
      <c r="AK161" s="255"/>
      <c r="AL161" s="255"/>
    </row>
    <row r="162" spans="1:38" s="814" customFormat="1" ht="14.4" customHeight="1" x14ac:dyDescent="0.25">
      <c r="A162" s="418"/>
      <c r="B162" s="418"/>
      <c r="C162" s="418"/>
      <c r="D162" s="418"/>
      <c r="E162" s="418"/>
      <c r="F162" s="418"/>
      <c r="G162" s="418"/>
      <c r="H162" s="418"/>
      <c r="I162" s="418"/>
      <c r="J162" s="418"/>
      <c r="M162" s="255"/>
      <c r="N162" s="255"/>
      <c r="O162" s="255"/>
      <c r="P162" s="561"/>
      <c r="Q162" s="562"/>
      <c r="R162" s="561"/>
      <c r="S162" s="563"/>
      <c r="T162" s="497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55"/>
      <c r="AF162" s="255"/>
      <c r="AG162" s="255"/>
      <c r="AH162" s="255"/>
      <c r="AI162" s="255"/>
      <c r="AJ162" s="255"/>
      <c r="AK162" s="255"/>
      <c r="AL162" s="255"/>
    </row>
    <row r="163" spans="1:38" s="814" customFormat="1" ht="14.4" customHeight="1" x14ac:dyDescent="0.25">
      <c r="A163" s="418"/>
      <c r="B163" s="418"/>
      <c r="C163" s="418"/>
      <c r="D163" s="418"/>
      <c r="E163" s="418"/>
      <c r="F163" s="418"/>
      <c r="G163" s="418"/>
      <c r="H163" s="418"/>
      <c r="I163" s="418"/>
      <c r="J163" s="418"/>
      <c r="M163" s="255"/>
      <c r="N163" s="491"/>
      <c r="O163" s="255"/>
      <c r="P163" s="561"/>
      <c r="Q163" s="562"/>
      <c r="R163" s="561"/>
      <c r="S163" s="563"/>
      <c r="T163" s="497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55"/>
      <c r="AF163" s="255"/>
      <c r="AG163" s="255"/>
      <c r="AH163" s="255"/>
      <c r="AI163" s="255"/>
      <c r="AJ163" s="255"/>
      <c r="AK163" s="255"/>
      <c r="AL163" s="255"/>
    </row>
    <row r="164" spans="1:38" s="814" customFormat="1" ht="14.4" customHeight="1" x14ac:dyDescent="0.25">
      <c r="A164" s="418"/>
      <c r="B164" s="418"/>
      <c r="C164" s="418"/>
      <c r="D164" s="418"/>
      <c r="E164" s="418"/>
      <c r="F164" s="418"/>
      <c r="G164" s="418"/>
      <c r="H164" s="418"/>
      <c r="I164" s="418"/>
      <c r="J164" s="418"/>
      <c r="K164" s="418"/>
      <c r="L164" s="418"/>
      <c r="M164" s="255"/>
      <c r="N164" s="255"/>
      <c r="O164" s="255"/>
      <c r="P164" s="561"/>
      <c r="Q164" s="562"/>
      <c r="R164" s="561"/>
      <c r="S164" s="563"/>
      <c r="T164" s="418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55"/>
      <c r="AF164" s="255"/>
      <c r="AG164" s="255"/>
      <c r="AH164" s="255"/>
      <c r="AI164" s="255"/>
      <c r="AJ164" s="255"/>
      <c r="AK164" s="255"/>
      <c r="AL164" s="255"/>
    </row>
    <row r="165" spans="1:38" s="814" customFormat="1" ht="14.4" customHeight="1" x14ac:dyDescent="0.25">
      <c r="A165" s="418"/>
      <c r="B165" s="418"/>
      <c r="C165" s="418"/>
      <c r="D165" s="418"/>
      <c r="E165" s="418"/>
      <c r="F165" s="418"/>
      <c r="G165" s="418"/>
      <c r="H165" s="418"/>
      <c r="I165" s="418"/>
      <c r="J165" s="418"/>
      <c r="K165" s="418"/>
      <c r="L165" s="418"/>
      <c r="M165" s="255"/>
      <c r="N165" s="255"/>
      <c r="O165" s="255"/>
      <c r="P165" s="561"/>
      <c r="Q165" s="562"/>
      <c r="R165" s="561"/>
      <c r="S165" s="561"/>
      <c r="T165" s="418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55"/>
      <c r="AF165" s="255"/>
      <c r="AG165" s="255"/>
      <c r="AH165" s="255"/>
      <c r="AI165" s="255"/>
      <c r="AJ165" s="255"/>
      <c r="AK165" s="255"/>
      <c r="AL165" s="255"/>
    </row>
    <row r="166" spans="1:38" s="814" customFormat="1" ht="14.4" customHeight="1" x14ac:dyDescent="0.25">
      <c r="A166" s="418"/>
      <c r="B166" s="418"/>
      <c r="C166" s="418"/>
      <c r="D166" s="418"/>
      <c r="E166" s="418"/>
      <c r="F166" s="418"/>
      <c r="G166" s="418"/>
      <c r="H166" s="418"/>
      <c r="I166" s="418"/>
      <c r="J166" s="418"/>
      <c r="M166" s="255"/>
      <c r="N166" s="255"/>
      <c r="O166" s="255"/>
      <c r="P166" s="561"/>
      <c r="Q166" s="562"/>
      <c r="R166" s="561"/>
      <c r="S166" s="805"/>
      <c r="T166" s="418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55"/>
      <c r="AF166" s="255"/>
      <c r="AG166" s="255"/>
      <c r="AH166" s="255"/>
      <c r="AI166" s="255"/>
      <c r="AJ166" s="255"/>
      <c r="AK166" s="255"/>
      <c r="AL166" s="255"/>
    </row>
    <row r="167" spans="1:38" s="814" customFormat="1" ht="14.4" customHeight="1" x14ac:dyDescent="0.25">
      <c r="A167" s="418"/>
      <c r="B167" s="418"/>
      <c r="C167" s="418"/>
      <c r="D167" s="418"/>
      <c r="E167" s="418"/>
      <c r="F167" s="418"/>
      <c r="G167" s="418"/>
      <c r="H167" s="418"/>
      <c r="I167" s="418"/>
      <c r="J167" s="418"/>
      <c r="K167" s="255"/>
      <c r="L167" s="255"/>
      <c r="M167" s="255"/>
      <c r="N167" s="255"/>
      <c r="O167" s="255"/>
      <c r="P167" s="561"/>
      <c r="Q167" s="562"/>
      <c r="R167" s="561"/>
      <c r="S167" s="805"/>
      <c r="T167" s="418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55"/>
      <c r="AF167" s="255"/>
      <c r="AG167" s="255"/>
      <c r="AH167" s="255"/>
      <c r="AI167" s="255"/>
      <c r="AJ167" s="255"/>
      <c r="AK167" s="255"/>
      <c r="AL167" s="255"/>
    </row>
    <row r="168" spans="1:38" s="814" customFormat="1" ht="14.4" customHeight="1" x14ac:dyDescent="0.25">
      <c r="A168" s="418"/>
      <c r="B168" s="418"/>
      <c r="C168" s="418"/>
      <c r="D168" s="418"/>
      <c r="E168" s="418"/>
      <c r="F168" s="418"/>
      <c r="G168" s="418"/>
      <c r="H168" s="418"/>
      <c r="I168" s="418"/>
      <c r="J168" s="418"/>
      <c r="K168" s="255"/>
      <c r="L168" s="255"/>
      <c r="M168" s="255"/>
      <c r="N168" s="255"/>
      <c r="O168" s="255"/>
      <c r="P168" s="105"/>
      <c r="Q168" s="564"/>
      <c r="R168" s="105"/>
      <c r="S168" s="564"/>
      <c r="T168" s="418"/>
      <c r="U168" s="255"/>
      <c r="V168" s="255"/>
      <c r="W168" s="255"/>
      <c r="X168" s="255"/>
      <c r="Y168" s="255"/>
      <c r="Z168" s="255"/>
      <c r="AA168" s="255"/>
      <c r="AB168" s="255"/>
      <c r="AC168" s="255"/>
      <c r="AD168" s="255"/>
      <c r="AE168" s="255"/>
      <c r="AF168" s="255"/>
      <c r="AG168" s="255"/>
      <c r="AH168" s="255"/>
      <c r="AI168" s="255"/>
      <c r="AJ168" s="255"/>
      <c r="AK168" s="255"/>
      <c r="AL168" s="255"/>
    </row>
    <row r="169" spans="1:38" s="814" customFormat="1" ht="14.4" customHeight="1" x14ac:dyDescent="0.25">
      <c r="A169" s="418"/>
      <c r="B169" s="418"/>
      <c r="C169" s="418"/>
      <c r="D169" s="418"/>
      <c r="E169" s="418"/>
      <c r="F169" s="418"/>
      <c r="G169" s="418"/>
      <c r="H169" s="418"/>
      <c r="I169" s="418"/>
      <c r="J169" s="418"/>
      <c r="K169" s="255"/>
      <c r="L169" s="255"/>
      <c r="M169" s="255"/>
      <c r="N169" s="255"/>
      <c r="O169" s="255"/>
      <c r="P169" s="105"/>
      <c r="Q169" s="497"/>
      <c r="R169" s="105"/>
      <c r="S169" s="497"/>
      <c r="T169" s="497"/>
      <c r="U169" s="255"/>
      <c r="V169" s="255"/>
      <c r="W169" s="255"/>
      <c r="X169" s="255"/>
      <c r="Y169" s="255"/>
      <c r="Z169" s="255"/>
      <c r="AA169" s="255"/>
      <c r="AB169" s="255"/>
      <c r="AC169" s="255"/>
      <c r="AD169" s="255"/>
      <c r="AE169" s="255"/>
      <c r="AF169" s="255"/>
      <c r="AG169" s="255"/>
      <c r="AH169" s="255"/>
      <c r="AI169" s="255"/>
      <c r="AJ169" s="255"/>
      <c r="AK169" s="255"/>
      <c r="AL169" s="255"/>
    </row>
    <row r="170" spans="1:38" s="814" customFormat="1" ht="14.4" customHeight="1" x14ac:dyDescent="0.25">
      <c r="A170" s="418"/>
      <c r="B170" s="418"/>
      <c r="C170" s="418"/>
      <c r="D170" s="418"/>
      <c r="E170" s="418"/>
      <c r="F170" s="418"/>
      <c r="G170" s="418"/>
      <c r="H170" s="418"/>
      <c r="I170" s="418"/>
      <c r="J170" s="418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  <c r="AA170" s="255"/>
      <c r="AB170" s="255"/>
      <c r="AC170" s="255"/>
      <c r="AD170" s="255"/>
      <c r="AE170" s="255"/>
      <c r="AF170" s="255"/>
      <c r="AG170" s="255"/>
      <c r="AH170" s="255"/>
      <c r="AI170" s="255"/>
      <c r="AJ170" s="255"/>
      <c r="AK170" s="255"/>
      <c r="AL170" s="255"/>
    </row>
    <row r="171" spans="1:38" s="814" customFormat="1" ht="14.4" customHeight="1" x14ac:dyDescent="0.25">
      <c r="A171" s="418"/>
      <c r="B171" s="418"/>
      <c r="C171" s="418"/>
      <c r="D171" s="418"/>
      <c r="E171" s="418"/>
      <c r="F171" s="418"/>
      <c r="G171" s="418"/>
      <c r="H171" s="418"/>
      <c r="I171" s="418"/>
      <c r="J171" s="418"/>
      <c r="K171" s="255"/>
      <c r="L171" s="255"/>
      <c r="M171" s="255"/>
      <c r="N171" s="255"/>
      <c r="O171" s="255"/>
      <c r="P171" s="558"/>
      <c r="Q171" s="558"/>
      <c r="R171" s="559"/>
      <c r="S171" s="560"/>
      <c r="T171" s="255"/>
      <c r="U171" s="255"/>
      <c r="V171" s="255"/>
      <c r="W171" s="255"/>
      <c r="X171" s="255"/>
      <c r="Y171" s="255"/>
      <c r="Z171" s="255"/>
      <c r="AA171" s="255"/>
      <c r="AB171" s="255"/>
      <c r="AC171" s="255"/>
      <c r="AD171" s="255"/>
      <c r="AE171" s="255"/>
      <c r="AF171" s="255"/>
      <c r="AG171" s="255"/>
      <c r="AH171" s="255"/>
      <c r="AI171" s="255"/>
      <c r="AJ171" s="255"/>
      <c r="AK171" s="255"/>
      <c r="AL171" s="255"/>
    </row>
    <row r="172" spans="1:38" s="814" customFormat="1" ht="14.4" customHeight="1" x14ac:dyDescent="0.25">
      <c r="A172" s="418"/>
      <c r="B172" s="418"/>
      <c r="C172" s="418"/>
      <c r="D172" s="418"/>
      <c r="E172" s="418"/>
      <c r="F172" s="418"/>
      <c r="G172" s="418"/>
      <c r="H172" s="418"/>
      <c r="I172" s="418"/>
      <c r="J172" s="418"/>
      <c r="K172" s="255"/>
      <c r="L172" s="255"/>
      <c r="M172" s="255"/>
      <c r="N172" s="255"/>
      <c r="O172" s="255"/>
      <c r="P172" s="73"/>
      <c r="Q172" s="73"/>
      <c r="R172" s="73"/>
      <c r="S172" s="73"/>
      <c r="T172" s="73"/>
      <c r="U172" s="255"/>
      <c r="V172" s="255"/>
      <c r="W172" s="255"/>
      <c r="X172" s="255"/>
      <c r="Y172" s="255"/>
      <c r="Z172" s="255"/>
      <c r="AA172" s="255"/>
      <c r="AB172" s="255"/>
      <c r="AC172" s="255"/>
      <c r="AD172" s="255"/>
      <c r="AE172" s="255"/>
      <c r="AF172" s="255"/>
      <c r="AG172" s="255"/>
      <c r="AH172" s="255"/>
      <c r="AI172" s="255"/>
      <c r="AJ172" s="255"/>
      <c r="AK172" s="255"/>
      <c r="AL172" s="255"/>
    </row>
    <row r="173" spans="1:38" s="814" customFormat="1" ht="14.4" customHeight="1" x14ac:dyDescent="0.25">
      <c r="A173" s="418"/>
      <c r="B173" s="418"/>
      <c r="C173" s="418"/>
      <c r="D173" s="418"/>
      <c r="E173" s="418"/>
      <c r="F173" s="418"/>
      <c r="G173" s="418"/>
      <c r="H173" s="418"/>
      <c r="I173" s="418"/>
      <c r="J173" s="418"/>
      <c r="K173" s="255"/>
      <c r="L173" s="255"/>
      <c r="M173" s="255"/>
      <c r="N173" s="255"/>
      <c r="O173" s="255"/>
      <c r="P173" s="561"/>
      <c r="Q173" s="562"/>
      <c r="R173" s="561"/>
      <c r="S173" s="561"/>
      <c r="T173" s="497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  <c r="AE173" s="255"/>
      <c r="AF173" s="255"/>
      <c r="AG173" s="255"/>
      <c r="AH173" s="255"/>
      <c r="AI173" s="255"/>
      <c r="AJ173" s="255"/>
      <c r="AK173" s="255"/>
      <c r="AL173" s="255"/>
    </row>
    <row r="174" spans="1:38" s="814" customFormat="1" ht="14.4" customHeight="1" x14ac:dyDescent="0.25">
      <c r="A174" s="418"/>
      <c r="B174" s="418"/>
      <c r="C174" s="418"/>
      <c r="D174" s="418"/>
      <c r="E174" s="418"/>
      <c r="F174" s="418"/>
      <c r="G174" s="418"/>
      <c r="H174" s="418"/>
      <c r="I174" s="418"/>
      <c r="J174" s="418"/>
      <c r="K174" s="255"/>
      <c r="L174" s="255"/>
      <c r="M174" s="255"/>
      <c r="N174" s="255"/>
      <c r="O174" s="255"/>
      <c r="P174" s="561"/>
      <c r="Q174" s="562"/>
      <c r="R174" s="561"/>
      <c r="S174" s="561"/>
      <c r="T174" s="497"/>
      <c r="U174" s="255"/>
      <c r="V174" s="255"/>
      <c r="W174" s="255"/>
      <c r="X174" s="255"/>
      <c r="Y174" s="255"/>
      <c r="Z174" s="255"/>
      <c r="AA174" s="255"/>
      <c r="AB174" s="255"/>
      <c r="AC174" s="255"/>
      <c r="AD174" s="255"/>
      <c r="AE174" s="255"/>
      <c r="AF174" s="255"/>
      <c r="AG174" s="255"/>
      <c r="AH174" s="255"/>
      <c r="AI174" s="255"/>
      <c r="AJ174" s="255"/>
      <c r="AK174" s="255"/>
      <c r="AL174" s="255"/>
    </row>
    <row r="175" spans="1:38" s="814" customFormat="1" ht="14.4" customHeight="1" x14ac:dyDescent="0.25">
      <c r="A175" s="418"/>
      <c r="B175" s="418"/>
      <c r="C175" s="418"/>
      <c r="D175" s="418"/>
      <c r="E175" s="418"/>
      <c r="F175" s="418"/>
      <c r="G175" s="418"/>
      <c r="H175" s="418"/>
      <c r="I175" s="418"/>
      <c r="J175" s="418"/>
      <c r="K175" s="255"/>
      <c r="L175" s="255"/>
      <c r="M175" s="255"/>
      <c r="N175" s="255"/>
      <c r="O175" s="255"/>
      <c r="P175" s="561"/>
      <c r="Q175" s="562"/>
      <c r="R175" s="561"/>
      <c r="S175" s="563"/>
      <c r="T175" s="497"/>
      <c r="U175" s="255"/>
      <c r="V175" s="255"/>
      <c r="W175" s="255"/>
      <c r="X175" s="255"/>
      <c r="Y175" s="255"/>
      <c r="Z175" s="255"/>
      <c r="AA175" s="255"/>
      <c r="AB175" s="255"/>
      <c r="AC175" s="255"/>
      <c r="AD175" s="255"/>
      <c r="AE175" s="255"/>
      <c r="AF175" s="255"/>
      <c r="AG175" s="255"/>
      <c r="AH175" s="255"/>
      <c r="AI175" s="255"/>
      <c r="AJ175" s="255"/>
      <c r="AK175" s="255"/>
      <c r="AL175" s="255"/>
    </row>
    <row r="176" spans="1:38" s="814" customFormat="1" ht="14.4" customHeight="1" x14ac:dyDescent="0.25">
      <c r="A176" s="418"/>
      <c r="B176" s="418"/>
      <c r="C176" s="418"/>
      <c r="D176" s="418"/>
      <c r="E176" s="418"/>
      <c r="F176" s="418"/>
      <c r="G176" s="418"/>
      <c r="H176" s="418"/>
      <c r="I176" s="418"/>
      <c r="J176" s="418"/>
      <c r="K176" s="255"/>
      <c r="L176" s="255"/>
      <c r="M176" s="255"/>
      <c r="N176" s="255"/>
      <c r="O176" s="255"/>
      <c r="P176" s="561"/>
      <c r="Q176" s="562"/>
      <c r="R176" s="561"/>
      <c r="S176" s="563"/>
      <c r="T176" s="497"/>
      <c r="U176" s="255"/>
      <c r="V176" s="255"/>
      <c r="W176" s="255"/>
      <c r="X176" s="255"/>
      <c r="Y176" s="255"/>
      <c r="Z176" s="255"/>
      <c r="AA176" s="255"/>
      <c r="AB176" s="255"/>
      <c r="AC176" s="255"/>
      <c r="AD176" s="255"/>
      <c r="AE176" s="255"/>
      <c r="AF176" s="255"/>
      <c r="AG176" s="255"/>
      <c r="AH176" s="255"/>
      <c r="AI176" s="255"/>
      <c r="AJ176" s="255"/>
      <c r="AK176" s="255"/>
      <c r="AL176" s="255"/>
    </row>
    <row r="177" spans="1:38" s="814" customFormat="1" ht="14.4" customHeight="1" x14ac:dyDescent="0.25">
      <c r="A177" s="418"/>
      <c r="B177" s="418"/>
      <c r="C177" s="418"/>
      <c r="D177" s="418"/>
      <c r="E177" s="418"/>
      <c r="F177" s="418"/>
      <c r="G177" s="418"/>
      <c r="H177" s="418"/>
      <c r="I177" s="418"/>
      <c r="J177" s="418"/>
      <c r="K177" s="255"/>
      <c r="L177" s="255"/>
      <c r="M177" s="255"/>
      <c r="N177" s="255"/>
      <c r="O177" s="255"/>
      <c r="P177" s="561"/>
      <c r="Q177" s="562"/>
      <c r="R177" s="561"/>
      <c r="S177" s="563"/>
      <c r="T177" s="418"/>
      <c r="U177" s="255"/>
      <c r="V177" s="255"/>
      <c r="W177" s="255"/>
      <c r="X177" s="255"/>
      <c r="Y177" s="255"/>
      <c r="Z177" s="255"/>
      <c r="AA177" s="255"/>
      <c r="AB177" s="255"/>
      <c r="AC177" s="255"/>
      <c r="AD177" s="255"/>
      <c r="AE177" s="255"/>
      <c r="AF177" s="255"/>
      <c r="AG177" s="255"/>
      <c r="AH177" s="255"/>
      <c r="AI177" s="255"/>
      <c r="AJ177" s="255"/>
      <c r="AK177" s="255"/>
      <c r="AL177" s="255"/>
    </row>
    <row r="178" spans="1:38" s="814" customFormat="1" ht="14.4" customHeight="1" x14ac:dyDescent="0.25">
      <c r="A178" s="418"/>
      <c r="B178" s="418"/>
      <c r="C178" s="418"/>
      <c r="D178" s="418"/>
      <c r="E178" s="418"/>
      <c r="F178" s="418"/>
      <c r="G178" s="418"/>
      <c r="H178" s="418"/>
      <c r="I178" s="418"/>
      <c r="J178" s="418"/>
      <c r="K178" s="255"/>
      <c r="L178" s="255"/>
      <c r="M178" s="255"/>
      <c r="N178" s="255"/>
      <c r="O178" s="255"/>
      <c r="P178" s="561"/>
      <c r="Q178" s="562"/>
      <c r="R178" s="561"/>
      <c r="S178" s="561"/>
      <c r="T178" s="418"/>
      <c r="U178" s="255"/>
      <c r="V178" s="255"/>
      <c r="W178" s="255"/>
      <c r="X178" s="255"/>
      <c r="Y178" s="255"/>
      <c r="Z178" s="255"/>
      <c r="AA178" s="255"/>
      <c r="AB178" s="255"/>
      <c r="AC178" s="255"/>
      <c r="AD178" s="255"/>
      <c r="AE178" s="255"/>
      <c r="AF178" s="255"/>
      <c r="AG178" s="255"/>
      <c r="AH178" s="255"/>
      <c r="AI178" s="255"/>
      <c r="AJ178" s="255"/>
      <c r="AK178" s="255"/>
      <c r="AL178" s="255"/>
    </row>
    <row r="179" spans="1:38" s="814" customFormat="1" ht="12.75" customHeight="1" x14ac:dyDescent="0.25">
      <c r="A179" s="418"/>
      <c r="B179" s="418"/>
      <c r="C179" s="418"/>
      <c r="D179" s="418"/>
      <c r="E179" s="418"/>
      <c r="F179" s="418"/>
      <c r="G179" s="418"/>
      <c r="H179" s="418"/>
      <c r="I179" s="418"/>
      <c r="J179" s="418"/>
      <c r="K179" s="255"/>
      <c r="L179" s="255"/>
      <c r="M179" s="255"/>
      <c r="N179" s="255"/>
      <c r="O179" s="255"/>
      <c r="P179" s="561"/>
      <c r="Q179" s="562"/>
      <c r="R179" s="561"/>
      <c r="S179" s="805"/>
      <c r="T179" s="418"/>
      <c r="U179" s="255"/>
      <c r="V179" s="255"/>
      <c r="W179" s="255"/>
      <c r="X179" s="255"/>
      <c r="Y179" s="255"/>
      <c r="Z179" s="255"/>
      <c r="AA179" s="255"/>
      <c r="AB179" s="255"/>
      <c r="AC179" s="255"/>
      <c r="AD179" s="255"/>
      <c r="AE179" s="255"/>
      <c r="AF179" s="255"/>
      <c r="AG179" s="255"/>
      <c r="AH179" s="255"/>
      <c r="AI179" s="255"/>
      <c r="AJ179" s="255"/>
      <c r="AK179" s="255"/>
      <c r="AL179" s="255"/>
    </row>
    <row r="180" spans="1:38" s="814" customFormat="1" ht="12.75" customHeight="1" x14ac:dyDescent="0.25">
      <c r="A180" s="418"/>
      <c r="B180" s="418"/>
      <c r="C180" s="418"/>
      <c r="D180" s="418"/>
      <c r="E180" s="418"/>
      <c r="F180" s="418"/>
      <c r="G180" s="418"/>
      <c r="H180" s="418"/>
      <c r="I180" s="418"/>
      <c r="J180" s="418"/>
      <c r="K180" s="255"/>
      <c r="L180" s="255"/>
      <c r="M180" s="255"/>
      <c r="N180" s="255"/>
      <c r="O180" s="255"/>
      <c r="P180" s="561"/>
      <c r="Q180" s="562"/>
      <c r="R180" s="561"/>
      <c r="S180" s="805"/>
      <c r="T180" s="418"/>
      <c r="U180" s="255"/>
      <c r="V180" s="255"/>
      <c r="W180" s="255"/>
      <c r="X180" s="255"/>
      <c r="Y180" s="255"/>
      <c r="Z180" s="255"/>
      <c r="AA180" s="255"/>
      <c r="AB180" s="255"/>
      <c r="AC180" s="255"/>
      <c r="AD180" s="255"/>
      <c r="AE180" s="255"/>
      <c r="AF180" s="255"/>
      <c r="AG180" s="255"/>
      <c r="AH180" s="255"/>
      <c r="AI180" s="255"/>
      <c r="AJ180" s="255"/>
      <c r="AK180" s="255"/>
      <c r="AL180" s="255"/>
    </row>
    <row r="181" spans="1:38" ht="12.75" customHeight="1" x14ac:dyDescent="0.25">
      <c r="K181" s="255"/>
      <c r="L181" s="255"/>
      <c r="M181" s="255"/>
      <c r="N181" s="255"/>
      <c r="O181" s="255"/>
      <c r="P181" s="105"/>
      <c r="Q181" s="564"/>
      <c r="R181" s="105"/>
      <c r="S181" s="564"/>
      <c r="T181" s="418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  <c r="AE181" s="255"/>
      <c r="AF181" s="255"/>
      <c r="AG181" s="255"/>
      <c r="AH181" s="255"/>
      <c r="AI181" s="255"/>
      <c r="AJ181" s="255"/>
      <c r="AK181" s="255"/>
      <c r="AL181" s="255"/>
    </row>
    <row r="182" spans="1:38" ht="12.75" customHeight="1" x14ac:dyDescent="0.25">
      <c r="K182" s="255"/>
      <c r="L182" s="255"/>
      <c r="M182" s="255"/>
      <c r="N182" s="255"/>
      <c r="O182" s="255"/>
      <c r="P182" s="105"/>
      <c r="Q182" s="497"/>
      <c r="R182" s="105"/>
      <c r="S182" s="497"/>
      <c r="T182" s="497"/>
      <c r="U182" s="255"/>
      <c r="V182" s="255"/>
      <c r="W182" s="255"/>
      <c r="X182" s="255"/>
      <c r="Y182" s="255"/>
      <c r="Z182" s="255"/>
      <c r="AA182" s="255"/>
      <c r="AB182" s="255"/>
      <c r="AC182" s="255"/>
      <c r="AD182" s="255"/>
      <c r="AE182" s="255"/>
      <c r="AF182" s="255"/>
      <c r="AG182" s="255"/>
      <c r="AH182" s="255"/>
      <c r="AI182" s="255"/>
      <c r="AJ182" s="255"/>
      <c r="AK182" s="255"/>
      <c r="AL182" s="255"/>
    </row>
    <row r="183" spans="1:38" ht="12.75" customHeight="1" x14ac:dyDescent="0.25"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  <c r="AD183" s="255"/>
      <c r="AE183" s="255"/>
      <c r="AF183" s="255"/>
      <c r="AG183" s="255"/>
      <c r="AH183" s="255"/>
      <c r="AI183" s="255"/>
      <c r="AJ183" s="255"/>
      <c r="AK183" s="255"/>
      <c r="AL183" s="255"/>
    </row>
    <row r="184" spans="1:38" ht="12.75" customHeight="1" x14ac:dyDescent="0.25"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  <c r="AB184" s="255"/>
      <c r="AC184" s="255"/>
      <c r="AD184" s="255"/>
      <c r="AE184" s="255"/>
      <c r="AF184" s="255"/>
      <c r="AG184" s="255"/>
      <c r="AH184" s="255"/>
      <c r="AI184" s="255"/>
      <c r="AJ184" s="255"/>
      <c r="AK184" s="255"/>
      <c r="AL184" s="255"/>
    </row>
    <row r="185" spans="1:38" ht="12.75" customHeight="1" x14ac:dyDescent="0.25"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  <c r="AE185" s="255"/>
      <c r="AF185" s="255"/>
      <c r="AG185" s="255"/>
      <c r="AH185" s="255"/>
      <c r="AI185" s="255"/>
      <c r="AJ185" s="255"/>
      <c r="AK185" s="255"/>
      <c r="AL185" s="255"/>
    </row>
    <row r="186" spans="1:38" ht="12.75" customHeight="1" x14ac:dyDescent="0.25"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  <c r="AA186" s="255"/>
      <c r="AB186" s="255"/>
      <c r="AC186" s="255"/>
      <c r="AD186" s="255"/>
      <c r="AE186" s="255"/>
      <c r="AF186" s="255"/>
      <c r="AG186" s="255"/>
      <c r="AH186" s="255"/>
      <c r="AI186" s="255"/>
      <c r="AJ186" s="255"/>
      <c r="AK186" s="255"/>
      <c r="AL186" s="255"/>
    </row>
    <row r="187" spans="1:38" ht="12.75" customHeight="1" x14ac:dyDescent="0.25"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  <c r="AA187" s="255"/>
      <c r="AB187" s="255"/>
      <c r="AC187" s="255"/>
      <c r="AD187" s="255"/>
      <c r="AE187" s="255"/>
      <c r="AF187" s="255"/>
      <c r="AG187" s="255"/>
      <c r="AH187" s="255"/>
      <c r="AI187" s="255"/>
      <c r="AJ187" s="255"/>
      <c r="AK187" s="255"/>
      <c r="AL187" s="255"/>
    </row>
    <row r="188" spans="1:38" ht="12.75" customHeight="1" x14ac:dyDescent="0.25"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  <c r="AA188" s="255"/>
      <c r="AB188" s="255"/>
      <c r="AC188" s="255"/>
      <c r="AD188" s="255"/>
      <c r="AE188" s="255"/>
      <c r="AF188" s="255"/>
      <c r="AG188" s="255"/>
      <c r="AH188" s="255"/>
      <c r="AI188" s="255"/>
      <c r="AJ188" s="255"/>
      <c r="AK188" s="255"/>
      <c r="AL188" s="255"/>
    </row>
    <row r="189" spans="1:38" ht="12.75" customHeight="1" x14ac:dyDescent="0.25"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  <c r="AB189" s="255"/>
      <c r="AC189" s="255"/>
      <c r="AD189" s="255"/>
      <c r="AE189" s="255"/>
      <c r="AF189" s="255"/>
      <c r="AG189" s="255"/>
      <c r="AH189" s="255"/>
      <c r="AI189" s="255"/>
      <c r="AJ189" s="255"/>
      <c r="AK189" s="255"/>
      <c r="AL189" s="255"/>
    </row>
    <row r="190" spans="1:38" ht="12.75" customHeight="1" x14ac:dyDescent="0.25"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  <c r="AA190" s="255"/>
      <c r="AB190" s="255"/>
      <c r="AC190" s="255"/>
      <c r="AD190" s="255"/>
      <c r="AE190" s="255"/>
      <c r="AF190" s="255"/>
      <c r="AG190" s="255"/>
      <c r="AH190" s="255"/>
      <c r="AI190" s="255"/>
      <c r="AJ190" s="255"/>
      <c r="AK190" s="255"/>
      <c r="AL190" s="255"/>
    </row>
    <row r="191" spans="1:38" ht="12.75" customHeight="1" x14ac:dyDescent="0.25"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  <c r="AA191" s="255"/>
      <c r="AB191" s="255"/>
      <c r="AC191" s="255"/>
      <c r="AD191" s="255"/>
      <c r="AE191" s="255"/>
      <c r="AF191" s="255"/>
      <c r="AG191" s="255"/>
      <c r="AH191" s="255"/>
      <c r="AI191" s="255"/>
      <c r="AJ191" s="255"/>
      <c r="AK191" s="255"/>
      <c r="AL191" s="255"/>
    </row>
    <row r="192" spans="1:38" ht="12.75" customHeight="1" x14ac:dyDescent="0.25"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  <c r="AB192" s="255"/>
      <c r="AC192" s="255"/>
      <c r="AD192" s="255"/>
      <c r="AE192" s="255"/>
      <c r="AF192" s="255"/>
      <c r="AG192" s="255"/>
      <c r="AH192" s="255"/>
      <c r="AI192" s="255"/>
      <c r="AJ192" s="255"/>
      <c r="AK192" s="255"/>
      <c r="AL192" s="255"/>
    </row>
    <row r="193" spans="11:38" ht="12.75" customHeight="1" x14ac:dyDescent="0.25"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  <c r="AB193" s="255"/>
      <c r="AC193" s="255"/>
      <c r="AD193" s="255"/>
      <c r="AE193" s="255"/>
      <c r="AF193" s="255"/>
      <c r="AG193" s="255"/>
      <c r="AH193" s="255"/>
      <c r="AI193" s="255"/>
      <c r="AJ193" s="255"/>
      <c r="AK193" s="255"/>
      <c r="AL193" s="255"/>
    </row>
    <row r="194" spans="11:38" ht="12.75" customHeight="1" x14ac:dyDescent="0.25"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  <c r="AA194" s="255"/>
      <c r="AB194" s="255"/>
      <c r="AC194" s="255"/>
      <c r="AD194" s="255"/>
      <c r="AE194" s="255"/>
      <c r="AF194" s="255"/>
      <c r="AG194" s="255"/>
      <c r="AH194" s="255"/>
      <c r="AI194" s="255"/>
      <c r="AJ194" s="255"/>
      <c r="AK194" s="255"/>
      <c r="AL194" s="255"/>
    </row>
    <row r="195" spans="11:38" ht="12.75" customHeight="1" x14ac:dyDescent="0.25"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  <c r="AI195" s="255"/>
      <c r="AJ195" s="255"/>
      <c r="AK195" s="255"/>
      <c r="AL195" s="255"/>
    </row>
    <row r="196" spans="11:38" ht="12.75" customHeight="1" x14ac:dyDescent="0.25"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  <c r="AA196" s="255"/>
      <c r="AB196" s="255"/>
      <c r="AC196" s="255"/>
      <c r="AD196" s="255"/>
      <c r="AE196" s="255"/>
      <c r="AF196" s="255"/>
      <c r="AG196" s="255"/>
      <c r="AH196" s="255"/>
      <c r="AI196" s="255"/>
      <c r="AJ196" s="255"/>
      <c r="AK196" s="255"/>
      <c r="AL196" s="255"/>
    </row>
    <row r="197" spans="11:38" ht="12.75" customHeight="1" x14ac:dyDescent="0.25"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  <c r="AA197" s="255"/>
      <c r="AB197" s="255"/>
      <c r="AC197" s="255"/>
      <c r="AD197" s="255"/>
      <c r="AE197" s="255"/>
      <c r="AF197" s="255"/>
      <c r="AG197" s="255"/>
      <c r="AH197" s="255"/>
      <c r="AI197" s="255"/>
      <c r="AJ197" s="255"/>
      <c r="AK197" s="255"/>
      <c r="AL197" s="255"/>
    </row>
    <row r="198" spans="11:38" ht="12.75" customHeight="1" x14ac:dyDescent="0.25"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  <c r="AA198" s="255"/>
      <c r="AB198" s="255"/>
      <c r="AC198" s="255"/>
      <c r="AD198" s="255"/>
      <c r="AE198" s="255"/>
      <c r="AF198" s="255"/>
      <c r="AG198" s="255"/>
      <c r="AH198" s="255"/>
      <c r="AI198" s="255"/>
      <c r="AJ198" s="255"/>
      <c r="AK198" s="255"/>
      <c r="AL198" s="255"/>
    </row>
    <row r="199" spans="11:38" ht="12.75" customHeight="1" x14ac:dyDescent="0.25"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  <c r="AA199" s="255"/>
      <c r="AB199" s="255"/>
      <c r="AC199" s="255"/>
      <c r="AD199" s="255"/>
      <c r="AE199" s="255"/>
      <c r="AF199" s="255"/>
      <c r="AG199" s="255"/>
      <c r="AH199" s="255"/>
      <c r="AI199" s="255"/>
      <c r="AJ199" s="255"/>
      <c r="AK199" s="255"/>
      <c r="AL199" s="255"/>
    </row>
    <row r="200" spans="11:38" ht="12.75" customHeight="1" x14ac:dyDescent="0.25"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  <c r="AA200" s="255"/>
      <c r="AB200" s="255"/>
      <c r="AC200" s="255"/>
      <c r="AD200" s="255"/>
      <c r="AE200" s="255"/>
      <c r="AF200" s="255"/>
      <c r="AG200" s="255"/>
      <c r="AH200" s="255"/>
      <c r="AI200" s="255"/>
      <c r="AJ200" s="255"/>
      <c r="AK200" s="255"/>
      <c r="AL200" s="255"/>
    </row>
    <row r="201" spans="11:38" ht="12.75" customHeight="1" x14ac:dyDescent="0.25"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  <c r="AA201" s="255"/>
      <c r="AB201" s="255"/>
      <c r="AC201" s="255"/>
      <c r="AD201" s="255"/>
      <c r="AE201" s="255"/>
      <c r="AF201" s="255"/>
      <c r="AG201" s="255"/>
      <c r="AH201" s="255"/>
      <c r="AI201" s="255"/>
      <c r="AJ201" s="255"/>
      <c r="AK201" s="255"/>
      <c r="AL201" s="255"/>
    </row>
    <row r="202" spans="11:38" ht="12.75" customHeight="1" x14ac:dyDescent="0.25"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  <c r="AA202" s="255"/>
      <c r="AB202" s="255"/>
      <c r="AC202" s="255"/>
      <c r="AD202" s="255"/>
      <c r="AE202" s="255"/>
      <c r="AF202" s="255"/>
      <c r="AG202" s="255"/>
      <c r="AH202" s="255"/>
      <c r="AI202" s="255"/>
      <c r="AJ202" s="255"/>
      <c r="AK202" s="255"/>
      <c r="AL202" s="255"/>
    </row>
    <row r="203" spans="11:38" ht="12.75" customHeight="1" x14ac:dyDescent="0.25"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  <c r="AA203" s="255"/>
      <c r="AB203" s="255"/>
      <c r="AC203" s="255"/>
      <c r="AD203" s="255"/>
      <c r="AE203" s="255"/>
      <c r="AF203" s="255"/>
      <c r="AG203" s="255"/>
      <c r="AH203" s="255"/>
      <c r="AI203" s="255"/>
      <c r="AJ203" s="255"/>
      <c r="AK203" s="255"/>
      <c r="AL203" s="255"/>
    </row>
    <row r="204" spans="11:38" ht="12.75" customHeight="1" x14ac:dyDescent="0.25"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  <c r="AA204" s="255"/>
      <c r="AB204" s="255"/>
      <c r="AC204" s="255"/>
      <c r="AD204" s="255"/>
      <c r="AE204" s="255"/>
      <c r="AF204" s="255"/>
      <c r="AG204" s="255"/>
      <c r="AH204" s="255"/>
      <c r="AI204" s="255"/>
      <c r="AJ204" s="255"/>
      <c r="AK204" s="255"/>
      <c r="AL204" s="255"/>
    </row>
    <row r="205" spans="11:38" ht="12.75" customHeight="1" x14ac:dyDescent="0.25"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  <c r="AA205" s="255"/>
      <c r="AB205" s="255"/>
      <c r="AC205" s="255"/>
      <c r="AD205" s="255"/>
      <c r="AE205" s="255"/>
      <c r="AF205" s="255"/>
      <c r="AG205" s="255"/>
      <c r="AH205" s="255"/>
      <c r="AI205" s="255"/>
      <c r="AJ205" s="255"/>
      <c r="AK205" s="255"/>
      <c r="AL205" s="255"/>
    </row>
    <row r="206" spans="11:38" ht="12.75" customHeight="1" x14ac:dyDescent="0.25"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  <c r="AB206" s="255"/>
      <c r="AC206" s="255"/>
      <c r="AD206" s="255"/>
      <c r="AE206" s="255"/>
      <c r="AF206" s="255"/>
      <c r="AG206" s="255"/>
      <c r="AH206" s="255"/>
      <c r="AI206" s="255"/>
      <c r="AJ206" s="255"/>
      <c r="AK206" s="255"/>
      <c r="AL206" s="255"/>
    </row>
    <row r="207" spans="11:38" ht="12.75" customHeight="1" x14ac:dyDescent="0.25"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  <c r="AA207" s="255"/>
      <c r="AB207" s="255"/>
      <c r="AC207" s="255"/>
      <c r="AD207" s="255"/>
      <c r="AE207" s="255"/>
      <c r="AF207" s="255"/>
      <c r="AG207" s="255"/>
      <c r="AH207" s="255"/>
      <c r="AI207" s="255"/>
      <c r="AJ207" s="255"/>
      <c r="AK207" s="255"/>
      <c r="AL207" s="255"/>
    </row>
    <row r="208" spans="11:38" ht="12.75" customHeight="1" x14ac:dyDescent="0.25"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  <c r="AA208" s="255"/>
      <c r="AB208" s="255"/>
      <c r="AC208" s="255"/>
      <c r="AD208" s="255"/>
      <c r="AE208" s="255"/>
      <c r="AF208" s="255"/>
      <c r="AG208" s="255"/>
      <c r="AH208" s="255"/>
      <c r="AI208" s="255"/>
      <c r="AJ208" s="255"/>
      <c r="AK208" s="255"/>
      <c r="AL208" s="255"/>
    </row>
    <row r="209" spans="11:38" ht="12.75" customHeight="1" x14ac:dyDescent="0.25"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  <c r="AA209" s="255"/>
      <c r="AB209" s="255"/>
      <c r="AC209" s="255"/>
      <c r="AD209" s="255"/>
      <c r="AE209" s="255"/>
      <c r="AF209" s="255"/>
      <c r="AG209" s="255"/>
      <c r="AH209" s="255"/>
      <c r="AI209" s="255"/>
      <c r="AJ209" s="255"/>
      <c r="AK209" s="255"/>
      <c r="AL209" s="255"/>
    </row>
    <row r="210" spans="11:38" ht="12.75" customHeight="1" x14ac:dyDescent="0.25"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  <c r="AA210" s="255"/>
      <c r="AB210" s="255"/>
      <c r="AC210" s="255"/>
      <c r="AD210" s="255"/>
      <c r="AE210" s="255"/>
      <c r="AF210" s="255"/>
      <c r="AG210" s="255"/>
      <c r="AH210" s="255"/>
      <c r="AI210" s="255"/>
      <c r="AJ210" s="255"/>
      <c r="AK210" s="255"/>
      <c r="AL210" s="255"/>
    </row>
    <row r="211" spans="11:38" ht="12.75" customHeight="1" x14ac:dyDescent="0.25"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  <c r="AA211" s="255"/>
      <c r="AB211" s="255"/>
      <c r="AC211" s="255"/>
      <c r="AD211" s="255"/>
      <c r="AE211" s="255"/>
      <c r="AF211" s="255"/>
      <c r="AG211" s="255"/>
      <c r="AH211" s="255"/>
      <c r="AI211" s="255"/>
      <c r="AJ211" s="255"/>
      <c r="AK211" s="255"/>
      <c r="AL211" s="255"/>
    </row>
    <row r="212" spans="11:38" ht="12.75" customHeight="1" x14ac:dyDescent="0.25"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  <c r="AA212" s="255"/>
      <c r="AB212" s="255"/>
      <c r="AC212" s="255"/>
      <c r="AD212" s="255"/>
      <c r="AE212" s="255"/>
      <c r="AF212" s="255"/>
      <c r="AG212" s="255"/>
      <c r="AH212" s="255"/>
      <c r="AI212" s="255"/>
      <c r="AJ212" s="255"/>
      <c r="AK212" s="255"/>
      <c r="AL212" s="255"/>
    </row>
    <row r="213" spans="11:38" ht="12.75" customHeight="1" x14ac:dyDescent="0.25"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  <c r="AA213" s="255"/>
      <c r="AB213" s="255"/>
      <c r="AC213" s="255"/>
      <c r="AD213" s="255"/>
      <c r="AE213" s="255"/>
      <c r="AF213" s="255"/>
      <c r="AG213" s="255"/>
      <c r="AH213" s="255"/>
      <c r="AI213" s="255"/>
      <c r="AJ213" s="255"/>
      <c r="AK213" s="255"/>
      <c r="AL213" s="255"/>
    </row>
    <row r="214" spans="11:38" ht="12.75" customHeight="1" x14ac:dyDescent="0.25"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  <c r="AA214" s="255"/>
      <c r="AB214" s="255"/>
      <c r="AC214" s="255"/>
      <c r="AD214" s="255"/>
      <c r="AE214" s="255"/>
      <c r="AF214" s="255"/>
      <c r="AG214" s="255"/>
      <c r="AH214" s="255"/>
      <c r="AI214" s="255"/>
      <c r="AJ214" s="255"/>
      <c r="AK214" s="255"/>
      <c r="AL214" s="255"/>
    </row>
    <row r="215" spans="11:38" ht="12.75" customHeight="1" x14ac:dyDescent="0.25"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  <c r="AA215" s="255"/>
      <c r="AB215" s="255"/>
      <c r="AC215" s="255"/>
      <c r="AD215" s="255"/>
      <c r="AE215" s="255"/>
      <c r="AF215" s="255"/>
      <c r="AG215" s="255"/>
      <c r="AH215" s="255"/>
      <c r="AI215" s="255"/>
      <c r="AJ215" s="255"/>
      <c r="AK215" s="255"/>
      <c r="AL215" s="255"/>
    </row>
    <row r="216" spans="11:38" ht="12.75" customHeight="1" x14ac:dyDescent="0.25"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  <c r="AA216" s="255"/>
      <c r="AB216" s="255"/>
      <c r="AC216" s="255"/>
      <c r="AD216" s="255"/>
      <c r="AE216" s="255"/>
      <c r="AF216" s="255"/>
      <c r="AG216" s="255"/>
      <c r="AH216" s="255"/>
      <c r="AI216" s="255"/>
      <c r="AJ216" s="255"/>
      <c r="AK216" s="255"/>
      <c r="AL216" s="255"/>
    </row>
    <row r="217" spans="11:38" ht="12.75" customHeight="1" x14ac:dyDescent="0.25"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  <c r="AA217" s="255"/>
      <c r="AB217" s="255"/>
      <c r="AC217" s="255"/>
      <c r="AD217" s="255"/>
      <c r="AE217" s="255"/>
      <c r="AF217" s="255"/>
      <c r="AG217" s="255"/>
      <c r="AH217" s="255"/>
      <c r="AI217" s="255"/>
      <c r="AJ217" s="255"/>
      <c r="AK217" s="255"/>
      <c r="AL217" s="255"/>
    </row>
    <row r="218" spans="11:38" ht="12.75" customHeight="1" x14ac:dyDescent="0.25"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  <c r="AA218" s="255"/>
      <c r="AB218" s="255"/>
      <c r="AC218" s="255"/>
      <c r="AD218" s="255"/>
      <c r="AE218" s="255"/>
      <c r="AF218" s="255"/>
      <c r="AG218" s="255"/>
      <c r="AH218" s="255"/>
      <c r="AI218" s="255"/>
      <c r="AJ218" s="255"/>
      <c r="AK218" s="255"/>
      <c r="AL218" s="255"/>
    </row>
    <row r="219" spans="11:38" ht="12.75" customHeight="1" x14ac:dyDescent="0.25"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  <c r="AA219" s="255"/>
      <c r="AB219" s="255"/>
      <c r="AC219" s="255"/>
      <c r="AD219" s="255"/>
      <c r="AE219" s="255"/>
      <c r="AF219" s="255"/>
      <c r="AG219" s="255"/>
      <c r="AH219" s="255"/>
      <c r="AI219" s="255"/>
      <c r="AJ219" s="255"/>
      <c r="AK219" s="255"/>
      <c r="AL219" s="255"/>
    </row>
    <row r="220" spans="11:38" ht="12.75" customHeight="1" x14ac:dyDescent="0.25"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  <c r="AA220" s="255"/>
      <c r="AB220" s="255"/>
      <c r="AC220" s="255"/>
      <c r="AD220" s="255"/>
      <c r="AE220" s="255"/>
      <c r="AF220" s="255"/>
      <c r="AG220" s="255"/>
      <c r="AH220" s="255"/>
      <c r="AI220" s="255"/>
      <c r="AJ220" s="255"/>
      <c r="AK220" s="255"/>
      <c r="AL220" s="255"/>
    </row>
    <row r="221" spans="11:38" ht="12.75" customHeight="1" x14ac:dyDescent="0.25"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  <c r="AA221" s="255"/>
      <c r="AB221" s="255"/>
      <c r="AC221" s="255"/>
      <c r="AD221" s="255"/>
      <c r="AE221" s="255"/>
      <c r="AF221" s="255"/>
      <c r="AG221" s="255"/>
      <c r="AH221" s="255"/>
      <c r="AI221" s="255"/>
      <c r="AJ221" s="255"/>
      <c r="AK221" s="255"/>
      <c r="AL221" s="255"/>
    </row>
    <row r="222" spans="11:38" ht="12.75" customHeight="1" x14ac:dyDescent="0.25"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  <c r="AA222" s="255"/>
      <c r="AB222" s="255"/>
      <c r="AC222" s="255"/>
      <c r="AD222" s="255"/>
      <c r="AE222" s="255"/>
      <c r="AF222" s="255"/>
      <c r="AG222" s="255"/>
      <c r="AH222" s="255"/>
      <c r="AI222" s="255"/>
      <c r="AJ222" s="255"/>
      <c r="AK222" s="255"/>
      <c r="AL222" s="255"/>
    </row>
    <row r="223" spans="11:38" ht="12.75" customHeight="1" x14ac:dyDescent="0.25"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  <c r="AA223" s="255"/>
      <c r="AB223" s="255"/>
      <c r="AC223" s="255"/>
      <c r="AD223" s="255"/>
      <c r="AE223" s="255"/>
      <c r="AF223" s="255"/>
      <c r="AG223" s="255"/>
      <c r="AH223" s="255"/>
      <c r="AI223" s="255"/>
      <c r="AJ223" s="255"/>
      <c r="AK223" s="255"/>
      <c r="AL223" s="255"/>
    </row>
    <row r="224" spans="11:38" ht="12.75" customHeight="1" x14ac:dyDescent="0.25"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  <c r="AA224" s="255"/>
      <c r="AB224" s="255"/>
      <c r="AC224" s="255"/>
      <c r="AD224" s="255"/>
      <c r="AE224" s="255"/>
      <c r="AF224" s="255"/>
      <c r="AG224" s="255"/>
      <c r="AH224" s="255"/>
      <c r="AI224" s="255"/>
      <c r="AJ224" s="255"/>
      <c r="AK224" s="255"/>
      <c r="AL224" s="255"/>
    </row>
    <row r="225" spans="11:38" ht="12.75" customHeight="1" x14ac:dyDescent="0.25"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  <c r="AA225" s="255"/>
      <c r="AB225" s="255"/>
      <c r="AC225" s="255"/>
      <c r="AD225" s="255"/>
      <c r="AE225" s="255"/>
      <c r="AF225" s="255"/>
      <c r="AG225" s="255"/>
      <c r="AH225" s="255"/>
      <c r="AI225" s="255"/>
      <c r="AJ225" s="255"/>
      <c r="AK225" s="255"/>
      <c r="AL225" s="255"/>
    </row>
    <row r="226" spans="11:38" ht="12.75" customHeight="1" x14ac:dyDescent="0.25"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  <c r="AA226" s="255"/>
      <c r="AB226" s="255"/>
      <c r="AC226" s="255"/>
      <c r="AD226" s="255"/>
      <c r="AE226" s="255"/>
      <c r="AF226" s="255"/>
      <c r="AG226" s="255"/>
      <c r="AH226" s="255"/>
      <c r="AI226" s="255"/>
      <c r="AJ226" s="255"/>
      <c r="AK226" s="255"/>
      <c r="AL226" s="255"/>
    </row>
    <row r="227" spans="11:38" ht="12.75" customHeight="1" x14ac:dyDescent="0.25"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  <c r="AA227" s="255"/>
      <c r="AB227" s="255"/>
      <c r="AC227" s="255"/>
      <c r="AD227" s="255"/>
      <c r="AE227" s="255"/>
      <c r="AF227" s="255"/>
      <c r="AG227" s="255"/>
      <c r="AH227" s="255"/>
      <c r="AI227" s="255"/>
      <c r="AJ227" s="255"/>
      <c r="AK227" s="255"/>
      <c r="AL227" s="255"/>
    </row>
    <row r="228" spans="11:38" ht="12.75" customHeight="1" x14ac:dyDescent="0.25"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  <c r="AA228" s="255"/>
      <c r="AB228" s="255"/>
      <c r="AC228" s="255"/>
      <c r="AD228" s="255"/>
      <c r="AE228" s="255"/>
      <c r="AF228" s="255"/>
      <c r="AG228" s="255"/>
      <c r="AH228" s="255"/>
      <c r="AI228" s="255"/>
      <c r="AJ228" s="255"/>
      <c r="AK228" s="255"/>
      <c r="AL228" s="255"/>
    </row>
    <row r="229" spans="11:38" ht="12.75" customHeight="1" x14ac:dyDescent="0.25"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  <c r="AA229" s="255"/>
      <c r="AB229" s="255"/>
      <c r="AC229" s="255"/>
      <c r="AD229" s="255"/>
      <c r="AE229" s="255"/>
      <c r="AF229" s="255"/>
      <c r="AG229" s="255"/>
      <c r="AH229" s="255"/>
      <c r="AI229" s="255"/>
      <c r="AJ229" s="255"/>
      <c r="AK229" s="255"/>
      <c r="AL229" s="255"/>
    </row>
    <row r="230" spans="11:38" ht="12.75" customHeight="1" x14ac:dyDescent="0.25"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  <c r="AA230" s="255"/>
      <c r="AB230" s="255"/>
      <c r="AC230" s="255"/>
      <c r="AD230" s="255"/>
      <c r="AE230" s="255"/>
      <c r="AF230" s="255"/>
      <c r="AG230" s="255"/>
      <c r="AH230" s="255"/>
      <c r="AI230" s="255"/>
      <c r="AJ230" s="255"/>
      <c r="AK230" s="255"/>
      <c r="AL230" s="255"/>
    </row>
    <row r="231" spans="11:38" ht="12.75" customHeight="1" x14ac:dyDescent="0.25"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  <c r="AA231" s="255"/>
      <c r="AB231" s="255"/>
      <c r="AC231" s="255"/>
      <c r="AD231" s="255"/>
      <c r="AE231" s="255"/>
      <c r="AF231" s="255"/>
      <c r="AG231" s="255"/>
      <c r="AH231" s="255"/>
      <c r="AI231" s="255"/>
      <c r="AJ231" s="255"/>
      <c r="AK231" s="255"/>
      <c r="AL231" s="255"/>
    </row>
    <row r="232" spans="11:38" ht="12.75" customHeight="1" x14ac:dyDescent="0.25"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  <c r="AA232" s="255"/>
      <c r="AB232" s="255"/>
      <c r="AC232" s="255"/>
      <c r="AD232" s="255"/>
      <c r="AE232" s="255"/>
      <c r="AF232" s="255"/>
      <c r="AG232" s="255"/>
      <c r="AH232" s="255"/>
      <c r="AI232" s="255"/>
      <c r="AJ232" s="255"/>
      <c r="AK232" s="255"/>
      <c r="AL232" s="255"/>
    </row>
    <row r="233" spans="11:38" ht="12.75" customHeight="1" x14ac:dyDescent="0.25"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  <c r="AA233" s="255"/>
      <c r="AB233" s="255"/>
      <c r="AC233" s="255"/>
      <c r="AD233" s="255"/>
      <c r="AE233" s="255"/>
      <c r="AF233" s="255"/>
      <c r="AG233" s="255"/>
      <c r="AH233" s="255"/>
      <c r="AI233" s="255"/>
      <c r="AJ233" s="255"/>
      <c r="AK233" s="255"/>
      <c r="AL233" s="255"/>
    </row>
    <row r="234" spans="11:38" ht="12.75" customHeight="1" x14ac:dyDescent="0.25"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  <c r="AA234" s="255"/>
      <c r="AB234" s="255"/>
      <c r="AC234" s="255"/>
      <c r="AD234" s="255"/>
      <c r="AE234" s="255"/>
      <c r="AF234" s="255"/>
      <c r="AG234" s="255"/>
      <c r="AH234" s="255"/>
      <c r="AI234" s="255"/>
      <c r="AJ234" s="255"/>
      <c r="AK234" s="255"/>
      <c r="AL234" s="255"/>
    </row>
    <row r="235" spans="11:38" ht="12.75" customHeight="1" x14ac:dyDescent="0.25"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  <c r="AA235" s="255"/>
      <c r="AB235" s="255"/>
      <c r="AC235" s="255"/>
      <c r="AD235" s="255"/>
      <c r="AE235" s="255"/>
      <c r="AF235" s="255"/>
      <c r="AG235" s="255"/>
      <c r="AH235" s="255"/>
      <c r="AI235" s="255"/>
      <c r="AJ235" s="255"/>
      <c r="AK235" s="255"/>
      <c r="AL235" s="255"/>
    </row>
    <row r="236" spans="11:38" ht="12.75" customHeight="1" x14ac:dyDescent="0.25"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  <c r="AA236" s="255"/>
      <c r="AB236" s="255"/>
      <c r="AC236" s="255"/>
      <c r="AD236" s="255"/>
      <c r="AE236" s="255"/>
      <c r="AF236" s="255"/>
      <c r="AG236" s="255"/>
      <c r="AH236" s="255"/>
      <c r="AI236" s="255"/>
      <c r="AJ236" s="255"/>
      <c r="AK236" s="255"/>
      <c r="AL236" s="255"/>
    </row>
    <row r="237" spans="11:38" ht="12.75" customHeight="1" x14ac:dyDescent="0.25"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  <c r="AA237" s="255"/>
      <c r="AB237" s="255"/>
      <c r="AC237" s="255"/>
      <c r="AD237" s="255"/>
      <c r="AE237" s="255"/>
      <c r="AF237" s="255"/>
      <c r="AG237" s="255"/>
      <c r="AH237" s="255"/>
      <c r="AI237" s="255"/>
      <c r="AJ237" s="255"/>
      <c r="AK237" s="255"/>
      <c r="AL237" s="255"/>
    </row>
    <row r="238" spans="11:38" ht="12.75" customHeight="1" x14ac:dyDescent="0.25"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  <c r="AA238" s="255"/>
      <c r="AB238" s="255"/>
      <c r="AC238" s="255"/>
      <c r="AD238" s="255"/>
      <c r="AE238" s="255"/>
      <c r="AF238" s="255"/>
      <c r="AG238" s="255"/>
      <c r="AH238" s="255"/>
      <c r="AI238" s="255"/>
      <c r="AJ238" s="255"/>
      <c r="AK238" s="255"/>
      <c r="AL238" s="255"/>
    </row>
    <row r="239" spans="11:38" ht="12.75" customHeight="1" x14ac:dyDescent="0.25"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  <c r="AA239" s="255"/>
      <c r="AB239" s="255"/>
      <c r="AC239" s="255"/>
      <c r="AD239" s="255"/>
      <c r="AE239" s="255"/>
      <c r="AF239" s="255"/>
      <c r="AG239" s="255"/>
      <c r="AH239" s="255"/>
      <c r="AI239" s="255"/>
      <c r="AJ239" s="255"/>
      <c r="AK239" s="255"/>
      <c r="AL239" s="255"/>
    </row>
    <row r="240" spans="11:38" ht="12.75" customHeight="1" x14ac:dyDescent="0.25"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  <c r="AA240" s="255"/>
      <c r="AB240" s="255"/>
      <c r="AC240" s="255"/>
      <c r="AD240" s="255"/>
      <c r="AE240" s="255"/>
      <c r="AF240" s="255"/>
      <c r="AG240" s="255"/>
      <c r="AH240" s="255"/>
      <c r="AI240" s="255"/>
      <c r="AJ240" s="255"/>
      <c r="AK240" s="255"/>
      <c r="AL240" s="255"/>
    </row>
    <row r="241" spans="11:38" ht="12.75" customHeight="1" x14ac:dyDescent="0.25"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5"/>
      <c r="AG241" s="255"/>
      <c r="AH241" s="255"/>
      <c r="AI241" s="255"/>
      <c r="AJ241" s="255"/>
      <c r="AK241" s="255"/>
      <c r="AL241" s="255"/>
    </row>
    <row r="242" spans="11:38" ht="12.75" customHeight="1" x14ac:dyDescent="0.25"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  <c r="AA242" s="255"/>
      <c r="AB242" s="255"/>
      <c r="AC242" s="255"/>
      <c r="AD242" s="255"/>
      <c r="AE242" s="255"/>
      <c r="AF242" s="255"/>
      <c r="AG242" s="255"/>
      <c r="AH242" s="255"/>
      <c r="AI242" s="255"/>
      <c r="AJ242" s="255"/>
      <c r="AK242" s="255"/>
      <c r="AL242" s="255"/>
    </row>
    <row r="243" spans="11:38" ht="12.75" customHeight="1" x14ac:dyDescent="0.25"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  <c r="AA243" s="255"/>
      <c r="AB243" s="255"/>
      <c r="AC243" s="255"/>
      <c r="AD243" s="255"/>
      <c r="AE243" s="255"/>
      <c r="AF243" s="255"/>
      <c r="AG243" s="255"/>
      <c r="AH243" s="255"/>
      <c r="AI243" s="255"/>
      <c r="AJ243" s="255"/>
      <c r="AK243" s="255"/>
      <c r="AL243" s="255"/>
    </row>
    <row r="244" spans="11:38" ht="12.75" customHeight="1" x14ac:dyDescent="0.25"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  <c r="AA244" s="255"/>
      <c r="AB244" s="255"/>
      <c r="AC244" s="255"/>
      <c r="AD244" s="255"/>
      <c r="AE244" s="255"/>
      <c r="AF244" s="255"/>
      <c r="AG244" s="255"/>
      <c r="AH244" s="255"/>
      <c r="AI244" s="255"/>
      <c r="AJ244" s="255"/>
      <c r="AK244" s="255"/>
      <c r="AL244" s="255"/>
    </row>
    <row r="245" spans="11:38" ht="12.75" customHeight="1" x14ac:dyDescent="0.25"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  <c r="AA245" s="255"/>
      <c r="AB245" s="255"/>
      <c r="AC245" s="255"/>
      <c r="AD245" s="255"/>
      <c r="AE245" s="255"/>
      <c r="AF245" s="255"/>
      <c r="AG245" s="255"/>
      <c r="AH245" s="255"/>
      <c r="AI245" s="255"/>
      <c r="AJ245" s="255"/>
      <c r="AK245" s="255"/>
      <c r="AL245" s="255"/>
    </row>
    <row r="246" spans="11:38" ht="12.75" customHeight="1" x14ac:dyDescent="0.25"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  <c r="AA246" s="255"/>
      <c r="AB246" s="255"/>
      <c r="AC246" s="255"/>
      <c r="AD246" s="255"/>
      <c r="AE246" s="255"/>
      <c r="AF246" s="255"/>
      <c r="AG246" s="255"/>
      <c r="AH246" s="255"/>
      <c r="AI246" s="255"/>
      <c r="AJ246" s="255"/>
      <c r="AK246" s="255"/>
      <c r="AL246" s="255"/>
    </row>
    <row r="247" spans="11:38" ht="12.75" customHeight="1" x14ac:dyDescent="0.25"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  <c r="AA247" s="255"/>
      <c r="AB247" s="255"/>
      <c r="AC247" s="255"/>
      <c r="AD247" s="255"/>
      <c r="AE247" s="255"/>
      <c r="AF247" s="255"/>
      <c r="AG247" s="255"/>
      <c r="AH247" s="255"/>
      <c r="AI247" s="255"/>
      <c r="AJ247" s="255"/>
      <c r="AK247" s="255"/>
      <c r="AL247" s="255"/>
    </row>
    <row r="248" spans="11:38" ht="12.75" customHeight="1" x14ac:dyDescent="0.25"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  <c r="AA248" s="255"/>
      <c r="AB248" s="255"/>
      <c r="AC248" s="255"/>
      <c r="AD248" s="255"/>
      <c r="AE248" s="255"/>
      <c r="AF248" s="255"/>
      <c r="AG248" s="255"/>
      <c r="AH248" s="255"/>
      <c r="AI248" s="255"/>
      <c r="AJ248" s="255"/>
      <c r="AK248" s="255"/>
      <c r="AL248" s="255"/>
    </row>
    <row r="249" spans="11:38" ht="12.75" customHeight="1" x14ac:dyDescent="0.25"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  <c r="AA249" s="255"/>
      <c r="AB249" s="255"/>
      <c r="AC249" s="255"/>
      <c r="AD249" s="255"/>
      <c r="AE249" s="255"/>
      <c r="AF249" s="255"/>
      <c r="AG249" s="255"/>
      <c r="AH249" s="255"/>
      <c r="AI249" s="255"/>
      <c r="AJ249" s="255"/>
      <c r="AK249" s="255"/>
      <c r="AL249" s="255"/>
    </row>
    <row r="250" spans="11:38" ht="12.75" customHeight="1" x14ac:dyDescent="0.25"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  <c r="AA250" s="255"/>
      <c r="AB250" s="255"/>
      <c r="AC250" s="255"/>
      <c r="AD250" s="255"/>
      <c r="AE250" s="255"/>
      <c r="AF250" s="255"/>
      <c r="AG250" s="255"/>
      <c r="AH250" s="255"/>
      <c r="AI250" s="255"/>
      <c r="AJ250" s="255"/>
      <c r="AK250" s="255"/>
      <c r="AL250" s="255"/>
    </row>
    <row r="251" spans="11:38" ht="12.75" customHeight="1" x14ac:dyDescent="0.25"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  <c r="AA251" s="255"/>
      <c r="AB251" s="255"/>
      <c r="AC251" s="255"/>
      <c r="AD251" s="255"/>
      <c r="AE251" s="255"/>
      <c r="AF251" s="255"/>
      <c r="AG251" s="255"/>
      <c r="AH251" s="255"/>
      <c r="AI251" s="255"/>
      <c r="AJ251" s="255"/>
      <c r="AK251" s="255"/>
      <c r="AL251" s="255"/>
    </row>
    <row r="252" spans="11:38" ht="12.75" customHeight="1" x14ac:dyDescent="0.25"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  <c r="AA252" s="255"/>
      <c r="AB252" s="255"/>
      <c r="AC252" s="255"/>
      <c r="AD252" s="255"/>
      <c r="AE252" s="255"/>
      <c r="AF252" s="255"/>
      <c r="AG252" s="255"/>
      <c r="AH252" s="255"/>
      <c r="AI252" s="255"/>
      <c r="AJ252" s="255"/>
      <c r="AK252" s="255"/>
      <c r="AL252" s="255"/>
    </row>
    <row r="253" spans="11:38" ht="12.75" customHeight="1" x14ac:dyDescent="0.25"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  <c r="AA253" s="255"/>
      <c r="AB253" s="255"/>
      <c r="AC253" s="255"/>
      <c r="AD253" s="255"/>
      <c r="AE253" s="255"/>
      <c r="AF253" s="255"/>
      <c r="AG253" s="255"/>
      <c r="AH253" s="255"/>
      <c r="AI253" s="255"/>
      <c r="AJ253" s="255"/>
      <c r="AK253" s="255"/>
      <c r="AL253" s="255"/>
    </row>
    <row r="254" spans="11:38" ht="12.75" customHeight="1" x14ac:dyDescent="0.25"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  <c r="AA254" s="255"/>
      <c r="AB254" s="255"/>
      <c r="AC254" s="255"/>
      <c r="AD254" s="255"/>
      <c r="AE254" s="255"/>
      <c r="AF254" s="255"/>
      <c r="AG254" s="255"/>
      <c r="AH254" s="255"/>
      <c r="AI254" s="255"/>
      <c r="AJ254" s="255"/>
      <c r="AK254" s="255"/>
      <c r="AL254" s="255"/>
    </row>
    <row r="255" spans="11:38" ht="12.75" customHeight="1" x14ac:dyDescent="0.25"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  <c r="AI255" s="255"/>
      <c r="AJ255" s="255"/>
      <c r="AK255" s="255"/>
      <c r="AL255" s="255"/>
    </row>
    <row r="256" spans="11:38" ht="12.75" customHeight="1" x14ac:dyDescent="0.25"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  <c r="AA256" s="255"/>
      <c r="AB256" s="255"/>
      <c r="AC256" s="255"/>
      <c r="AD256" s="255"/>
      <c r="AE256" s="255"/>
      <c r="AF256" s="255"/>
      <c r="AG256" s="255"/>
      <c r="AH256" s="255"/>
      <c r="AI256" s="255"/>
      <c r="AJ256" s="255"/>
      <c r="AK256" s="255"/>
      <c r="AL256" s="255"/>
    </row>
    <row r="257" spans="11:38" ht="12.75" customHeight="1" x14ac:dyDescent="0.25"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  <c r="AA257" s="255"/>
      <c r="AB257" s="255"/>
      <c r="AC257" s="255"/>
      <c r="AD257" s="255"/>
      <c r="AE257" s="255"/>
      <c r="AF257" s="255"/>
      <c r="AG257" s="255"/>
      <c r="AH257" s="255"/>
      <c r="AI257" s="255"/>
      <c r="AJ257" s="255"/>
      <c r="AK257" s="255"/>
      <c r="AL257" s="255"/>
    </row>
    <row r="258" spans="11:38" ht="12.75" customHeight="1" x14ac:dyDescent="0.25"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  <c r="AA258" s="255"/>
      <c r="AB258" s="255"/>
      <c r="AC258" s="255"/>
      <c r="AD258" s="255"/>
      <c r="AE258" s="255"/>
      <c r="AF258" s="255"/>
      <c r="AG258" s="255"/>
      <c r="AH258" s="255"/>
      <c r="AI258" s="255"/>
      <c r="AJ258" s="255"/>
      <c r="AK258" s="255"/>
      <c r="AL258" s="255"/>
    </row>
    <row r="259" spans="11:38" ht="12.75" customHeight="1" x14ac:dyDescent="0.25"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  <c r="AA259" s="255"/>
      <c r="AB259" s="255"/>
      <c r="AC259" s="255"/>
      <c r="AD259" s="255"/>
      <c r="AE259" s="255"/>
      <c r="AF259" s="255"/>
      <c r="AG259" s="255"/>
      <c r="AH259" s="255"/>
      <c r="AI259" s="255"/>
      <c r="AJ259" s="255"/>
      <c r="AK259" s="255"/>
      <c r="AL259" s="255"/>
    </row>
    <row r="260" spans="11:38" ht="12.75" customHeight="1" x14ac:dyDescent="0.25"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  <c r="AA260" s="255"/>
      <c r="AB260" s="255"/>
      <c r="AC260" s="255"/>
      <c r="AD260" s="255"/>
      <c r="AE260" s="255"/>
      <c r="AF260" s="255"/>
      <c r="AG260" s="255"/>
      <c r="AH260" s="255"/>
      <c r="AI260" s="255"/>
      <c r="AJ260" s="255"/>
      <c r="AK260" s="255"/>
      <c r="AL260" s="255"/>
    </row>
    <row r="261" spans="11:38" ht="12.75" customHeight="1" x14ac:dyDescent="0.25"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  <c r="AA261" s="255"/>
      <c r="AB261" s="255"/>
      <c r="AC261" s="255"/>
      <c r="AD261" s="255"/>
      <c r="AE261" s="255"/>
      <c r="AF261" s="255"/>
      <c r="AG261" s="255"/>
      <c r="AH261" s="255"/>
      <c r="AI261" s="255"/>
      <c r="AJ261" s="255"/>
      <c r="AK261" s="255"/>
      <c r="AL261" s="255"/>
    </row>
    <row r="262" spans="11:38" ht="12.75" customHeight="1" x14ac:dyDescent="0.25"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  <c r="AA262" s="255"/>
      <c r="AB262" s="255"/>
      <c r="AC262" s="255"/>
      <c r="AD262" s="255"/>
      <c r="AE262" s="255"/>
      <c r="AF262" s="255"/>
      <c r="AG262" s="255"/>
      <c r="AH262" s="255"/>
      <c r="AI262" s="255"/>
      <c r="AJ262" s="255"/>
      <c r="AK262" s="255"/>
      <c r="AL262" s="255"/>
    </row>
    <row r="263" spans="11:38" ht="12.75" customHeight="1" x14ac:dyDescent="0.25"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  <c r="AA263" s="255"/>
      <c r="AB263" s="255"/>
      <c r="AC263" s="255"/>
      <c r="AD263" s="255"/>
      <c r="AE263" s="255"/>
      <c r="AF263" s="255"/>
      <c r="AG263" s="255"/>
      <c r="AH263" s="255"/>
      <c r="AI263" s="255"/>
      <c r="AJ263" s="255"/>
      <c r="AK263" s="255"/>
      <c r="AL263" s="255"/>
    </row>
    <row r="264" spans="11:38" ht="12.75" customHeight="1" x14ac:dyDescent="0.25"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  <c r="AA264" s="255"/>
      <c r="AB264" s="255"/>
      <c r="AC264" s="255"/>
      <c r="AD264" s="255"/>
      <c r="AE264" s="255"/>
      <c r="AF264" s="255"/>
      <c r="AG264" s="255"/>
      <c r="AH264" s="255"/>
      <c r="AI264" s="255"/>
      <c r="AJ264" s="255"/>
      <c r="AK264" s="255"/>
      <c r="AL264" s="255"/>
    </row>
    <row r="265" spans="11:38" ht="12.75" customHeight="1" x14ac:dyDescent="0.25"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  <c r="AA265" s="255"/>
      <c r="AB265" s="255"/>
      <c r="AC265" s="255"/>
      <c r="AD265" s="255"/>
      <c r="AE265" s="255"/>
      <c r="AF265" s="255"/>
      <c r="AG265" s="255"/>
      <c r="AH265" s="255"/>
      <c r="AI265" s="255"/>
      <c r="AJ265" s="255"/>
      <c r="AK265" s="255"/>
      <c r="AL265" s="255"/>
    </row>
    <row r="266" spans="11:38" ht="12.75" customHeight="1" x14ac:dyDescent="0.25"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  <c r="AA266" s="255"/>
      <c r="AB266" s="255"/>
      <c r="AC266" s="255"/>
      <c r="AD266" s="255"/>
      <c r="AE266" s="255"/>
      <c r="AF266" s="255"/>
      <c r="AG266" s="255"/>
      <c r="AH266" s="255"/>
      <c r="AI266" s="255"/>
      <c r="AJ266" s="255"/>
      <c r="AK266" s="255"/>
      <c r="AL266" s="255"/>
    </row>
    <row r="267" spans="11:38" ht="12.75" customHeight="1" x14ac:dyDescent="0.25"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  <c r="AA267" s="255"/>
      <c r="AB267" s="255"/>
      <c r="AC267" s="255"/>
      <c r="AD267" s="255"/>
      <c r="AE267" s="255"/>
      <c r="AF267" s="255"/>
      <c r="AG267" s="255"/>
      <c r="AH267" s="255"/>
      <c r="AI267" s="255"/>
      <c r="AJ267" s="255"/>
      <c r="AK267" s="255"/>
      <c r="AL267" s="255"/>
    </row>
    <row r="268" spans="11:38" ht="12.75" customHeight="1" x14ac:dyDescent="0.25"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  <c r="AA268" s="255"/>
      <c r="AB268" s="255"/>
      <c r="AC268" s="255"/>
      <c r="AD268" s="255"/>
      <c r="AE268" s="255"/>
      <c r="AF268" s="255"/>
      <c r="AG268" s="255"/>
      <c r="AH268" s="255"/>
      <c r="AI268" s="255"/>
      <c r="AJ268" s="255"/>
      <c r="AK268" s="255"/>
      <c r="AL268" s="255"/>
    </row>
    <row r="269" spans="11:38" ht="12.75" customHeight="1" x14ac:dyDescent="0.25"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  <c r="AA269" s="255"/>
      <c r="AB269" s="255"/>
      <c r="AC269" s="255"/>
      <c r="AD269" s="255"/>
      <c r="AE269" s="255"/>
      <c r="AF269" s="255"/>
      <c r="AG269" s="255"/>
      <c r="AH269" s="255"/>
      <c r="AI269" s="255"/>
      <c r="AJ269" s="255"/>
      <c r="AK269" s="255"/>
      <c r="AL269" s="255"/>
    </row>
    <row r="270" spans="11:38" ht="12.75" customHeight="1" x14ac:dyDescent="0.25"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  <c r="AA270" s="255"/>
      <c r="AB270" s="255"/>
      <c r="AC270" s="255"/>
      <c r="AD270" s="255"/>
      <c r="AE270" s="255"/>
      <c r="AF270" s="255"/>
      <c r="AG270" s="255"/>
      <c r="AH270" s="255"/>
      <c r="AI270" s="255"/>
      <c r="AJ270" s="255"/>
      <c r="AK270" s="255"/>
      <c r="AL270" s="255"/>
    </row>
    <row r="271" spans="11:38" ht="12.75" customHeight="1" x14ac:dyDescent="0.25"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  <c r="AA271" s="255"/>
      <c r="AB271" s="255"/>
      <c r="AC271" s="255"/>
      <c r="AD271" s="255"/>
      <c r="AE271" s="255"/>
      <c r="AF271" s="255"/>
      <c r="AG271" s="255"/>
      <c r="AH271" s="255"/>
      <c r="AI271" s="255"/>
      <c r="AJ271" s="255"/>
      <c r="AK271" s="255"/>
      <c r="AL271" s="255"/>
    </row>
    <row r="272" spans="11:38" ht="12.75" customHeight="1" x14ac:dyDescent="0.25"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  <c r="AA272" s="255"/>
      <c r="AB272" s="255"/>
      <c r="AC272" s="255"/>
      <c r="AD272" s="255"/>
      <c r="AE272" s="255"/>
      <c r="AF272" s="255"/>
      <c r="AG272" s="255"/>
      <c r="AH272" s="255"/>
      <c r="AI272" s="255"/>
      <c r="AJ272" s="255"/>
      <c r="AK272" s="255"/>
      <c r="AL272" s="255"/>
    </row>
    <row r="273" spans="11:38" ht="12.75" customHeight="1" x14ac:dyDescent="0.25"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  <c r="AA273" s="255"/>
      <c r="AB273" s="255"/>
      <c r="AC273" s="255"/>
      <c r="AD273" s="255"/>
      <c r="AE273" s="255"/>
      <c r="AF273" s="255"/>
      <c r="AG273" s="255"/>
      <c r="AH273" s="255"/>
      <c r="AI273" s="255"/>
      <c r="AJ273" s="255"/>
      <c r="AK273" s="255"/>
      <c r="AL273" s="255"/>
    </row>
    <row r="274" spans="11:38" ht="12.75" customHeight="1" x14ac:dyDescent="0.25"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  <c r="AA274" s="255"/>
      <c r="AB274" s="255"/>
      <c r="AC274" s="255"/>
      <c r="AD274" s="255"/>
      <c r="AE274" s="255"/>
      <c r="AF274" s="255"/>
      <c r="AG274" s="255"/>
      <c r="AH274" s="255"/>
      <c r="AI274" s="255"/>
      <c r="AJ274" s="255"/>
      <c r="AK274" s="255"/>
      <c r="AL274" s="255"/>
    </row>
    <row r="275" spans="11:38" ht="12.75" customHeight="1" x14ac:dyDescent="0.25"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  <c r="AA275" s="255"/>
      <c r="AB275" s="255"/>
      <c r="AC275" s="255"/>
      <c r="AD275" s="255"/>
      <c r="AE275" s="255"/>
      <c r="AF275" s="255"/>
      <c r="AG275" s="255"/>
      <c r="AH275" s="255"/>
      <c r="AI275" s="255"/>
      <c r="AJ275" s="255"/>
      <c r="AK275" s="255"/>
      <c r="AL275" s="255"/>
    </row>
    <row r="276" spans="11:38" ht="12.75" customHeight="1" x14ac:dyDescent="0.25"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  <c r="AA276" s="255"/>
      <c r="AB276" s="255"/>
      <c r="AC276" s="255"/>
      <c r="AD276" s="255"/>
      <c r="AE276" s="255"/>
      <c r="AF276" s="255"/>
      <c r="AG276" s="255"/>
      <c r="AH276" s="255"/>
      <c r="AI276" s="255"/>
      <c r="AJ276" s="255"/>
      <c r="AK276" s="255"/>
      <c r="AL276" s="255"/>
    </row>
    <row r="277" spans="11:38" ht="12.75" customHeight="1" x14ac:dyDescent="0.25"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  <c r="AA277" s="255"/>
      <c r="AB277" s="255"/>
      <c r="AC277" s="255"/>
      <c r="AD277" s="255"/>
      <c r="AE277" s="255"/>
      <c r="AF277" s="255"/>
      <c r="AG277" s="255"/>
      <c r="AH277" s="255"/>
      <c r="AI277" s="255"/>
      <c r="AJ277" s="255"/>
      <c r="AK277" s="255"/>
      <c r="AL277" s="255"/>
    </row>
    <row r="278" spans="11:38" ht="12.75" customHeight="1" x14ac:dyDescent="0.25"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  <c r="AA278" s="255"/>
      <c r="AB278" s="255"/>
      <c r="AC278" s="255"/>
      <c r="AD278" s="255"/>
      <c r="AE278" s="255"/>
      <c r="AF278" s="255"/>
      <c r="AG278" s="255"/>
      <c r="AH278" s="255"/>
      <c r="AI278" s="255"/>
      <c r="AJ278" s="255"/>
      <c r="AK278" s="255"/>
      <c r="AL278" s="255"/>
    </row>
    <row r="279" spans="11:38" ht="12.75" customHeight="1" x14ac:dyDescent="0.25"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  <c r="AA279" s="255"/>
      <c r="AB279" s="255"/>
      <c r="AC279" s="255"/>
      <c r="AD279" s="255"/>
      <c r="AE279" s="255"/>
      <c r="AF279" s="255"/>
      <c r="AG279" s="255"/>
      <c r="AH279" s="255"/>
      <c r="AI279" s="255"/>
      <c r="AJ279" s="255"/>
      <c r="AK279" s="255"/>
      <c r="AL279" s="255"/>
    </row>
    <row r="280" spans="11:38" ht="12.75" customHeight="1" x14ac:dyDescent="0.25"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  <c r="AA280" s="255"/>
      <c r="AB280" s="255"/>
      <c r="AC280" s="255"/>
      <c r="AD280" s="255"/>
      <c r="AE280" s="255"/>
      <c r="AF280" s="255"/>
      <c r="AG280" s="255"/>
      <c r="AH280" s="255"/>
      <c r="AI280" s="255"/>
      <c r="AJ280" s="255"/>
      <c r="AK280" s="255"/>
      <c r="AL280" s="255"/>
    </row>
    <row r="281" spans="11:38" ht="12.75" customHeight="1" x14ac:dyDescent="0.25"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  <c r="AA281" s="255"/>
      <c r="AB281" s="255"/>
      <c r="AC281" s="255"/>
      <c r="AD281" s="255"/>
      <c r="AE281" s="255"/>
      <c r="AF281" s="255"/>
      <c r="AG281" s="255"/>
      <c r="AH281" s="255"/>
      <c r="AI281" s="255"/>
      <c r="AJ281" s="255"/>
      <c r="AK281" s="255"/>
      <c r="AL281" s="255"/>
    </row>
    <row r="282" spans="11:38" ht="12.75" customHeight="1" x14ac:dyDescent="0.25"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  <c r="AA282" s="255"/>
      <c r="AB282" s="255"/>
      <c r="AC282" s="255"/>
      <c r="AD282" s="255"/>
      <c r="AE282" s="255"/>
      <c r="AF282" s="255"/>
      <c r="AG282" s="255"/>
      <c r="AH282" s="255"/>
      <c r="AI282" s="255"/>
      <c r="AJ282" s="255"/>
      <c r="AK282" s="255"/>
      <c r="AL282" s="255"/>
    </row>
    <row r="283" spans="11:38" ht="12.75" customHeight="1" x14ac:dyDescent="0.25"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  <c r="AA283" s="255"/>
      <c r="AB283" s="255"/>
      <c r="AC283" s="255"/>
      <c r="AD283" s="255"/>
      <c r="AE283" s="255"/>
      <c r="AF283" s="255"/>
      <c r="AG283" s="255"/>
      <c r="AH283" s="255"/>
      <c r="AI283" s="255"/>
      <c r="AJ283" s="255"/>
      <c r="AK283" s="255"/>
      <c r="AL283" s="255"/>
    </row>
    <row r="284" spans="11:38" ht="12.75" customHeight="1" x14ac:dyDescent="0.25"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  <c r="AA284" s="255"/>
      <c r="AB284" s="255"/>
      <c r="AC284" s="255"/>
      <c r="AD284" s="255"/>
      <c r="AE284" s="255"/>
      <c r="AF284" s="255"/>
      <c r="AG284" s="255"/>
      <c r="AH284" s="255"/>
      <c r="AI284" s="255"/>
      <c r="AJ284" s="255"/>
      <c r="AK284" s="255"/>
      <c r="AL284" s="255"/>
    </row>
    <row r="285" spans="11:38" ht="12.75" customHeight="1" x14ac:dyDescent="0.25"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  <c r="AA285" s="255"/>
      <c r="AB285" s="255"/>
      <c r="AC285" s="255"/>
      <c r="AD285" s="255"/>
      <c r="AE285" s="255"/>
      <c r="AF285" s="255"/>
      <c r="AG285" s="255"/>
      <c r="AH285" s="255"/>
      <c r="AI285" s="255"/>
      <c r="AJ285" s="255"/>
      <c r="AK285" s="255"/>
      <c r="AL285" s="255"/>
    </row>
    <row r="286" spans="11:38" ht="12.75" customHeight="1" x14ac:dyDescent="0.25"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  <c r="AA286" s="255"/>
      <c r="AB286" s="255"/>
      <c r="AC286" s="255"/>
      <c r="AD286" s="255"/>
      <c r="AE286" s="255"/>
      <c r="AF286" s="255"/>
      <c r="AG286" s="255"/>
      <c r="AH286" s="255"/>
      <c r="AI286" s="255"/>
      <c r="AJ286" s="255"/>
      <c r="AK286" s="255"/>
      <c r="AL286" s="255"/>
    </row>
    <row r="287" spans="11:38" ht="12.75" customHeight="1" x14ac:dyDescent="0.25"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  <c r="AA287" s="255"/>
      <c r="AB287" s="255"/>
      <c r="AC287" s="255"/>
      <c r="AD287" s="255"/>
      <c r="AE287" s="255"/>
      <c r="AF287" s="255"/>
      <c r="AG287" s="255"/>
      <c r="AH287" s="255"/>
      <c r="AI287" s="255"/>
      <c r="AJ287" s="255"/>
      <c r="AK287" s="255"/>
      <c r="AL287" s="255"/>
    </row>
    <row r="288" spans="11:38" ht="12.75" customHeight="1" x14ac:dyDescent="0.25"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  <c r="AA288" s="255"/>
      <c r="AB288" s="255"/>
      <c r="AC288" s="255"/>
      <c r="AD288" s="255"/>
      <c r="AE288" s="255"/>
      <c r="AF288" s="255"/>
      <c r="AG288" s="255"/>
      <c r="AH288" s="255"/>
      <c r="AI288" s="255"/>
      <c r="AJ288" s="255"/>
      <c r="AK288" s="255"/>
      <c r="AL288" s="255"/>
    </row>
    <row r="289" spans="11:38" ht="12.75" customHeight="1" x14ac:dyDescent="0.25"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  <c r="AA289" s="255"/>
      <c r="AB289" s="255"/>
      <c r="AC289" s="255"/>
      <c r="AD289" s="255"/>
      <c r="AE289" s="255"/>
      <c r="AF289" s="255"/>
      <c r="AG289" s="255"/>
      <c r="AH289" s="255"/>
      <c r="AI289" s="255"/>
      <c r="AJ289" s="255"/>
      <c r="AK289" s="255"/>
      <c r="AL289" s="255"/>
    </row>
    <row r="290" spans="11:38" ht="12.75" customHeight="1" x14ac:dyDescent="0.25"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  <c r="AA290" s="255"/>
      <c r="AB290" s="255"/>
      <c r="AC290" s="255"/>
      <c r="AD290" s="255"/>
      <c r="AE290" s="255"/>
      <c r="AF290" s="255"/>
      <c r="AG290" s="255"/>
      <c r="AH290" s="255"/>
      <c r="AI290" s="255"/>
      <c r="AJ290" s="255"/>
      <c r="AK290" s="255"/>
      <c r="AL290" s="255"/>
    </row>
    <row r="291" spans="11:38" ht="12.75" customHeight="1" x14ac:dyDescent="0.25"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  <c r="AA291" s="255"/>
      <c r="AB291" s="255"/>
      <c r="AC291" s="255"/>
      <c r="AD291" s="255"/>
      <c r="AE291" s="255"/>
      <c r="AF291" s="255"/>
      <c r="AG291" s="255"/>
      <c r="AH291" s="255"/>
      <c r="AI291" s="255"/>
      <c r="AJ291" s="255"/>
      <c r="AK291" s="255"/>
      <c r="AL291" s="255"/>
    </row>
    <row r="292" spans="11:38" ht="12.75" customHeight="1" x14ac:dyDescent="0.25"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  <c r="AA292" s="255"/>
      <c r="AB292" s="255"/>
      <c r="AC292" s="255"/>
      <c r="AD292" s="255"/>
      <c r="AE292" s="255"/>
      <c r="AF292" s="255"/>
      <c r="AG292" s="255"/>
      <c r="AH292" s="255"/>
      <c r="AI292" s="255"/>
      <c r="AJ292" s="255"/>
      <c r="AK292" s="255"/>
      <c r="AL292" s="255"/>
    </row>
    <row r="293" spans="11:38" ht="12.75" customHeight="1" x14ac:dyDescent="0.25"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  <c r="AA293" s="255"/>
      <c r="AB293" s="255"/>
      <c r="AC293" s="255"/>
      <c r="AD293" s="255"/>
      <c r="AE293" s="255"/>
      <c r="AF293" s="255"/>
      <c r="AG293" s="255"/>
      <c r="AH293" s="255"/>
      <c r="AI293" s="255"/>
      <c r="AJ293" s="255"/>
      <c r="AK293" s="255"/>
      <c r="AL293" s="255"/>
    </row>
    <row r="294" spans="11:38" ht="12.75" customHeight="1" x14ac:dyDescent="0.25"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  <c r="AA294" s="255"/>
      <c r="AB294" s="255"/>
      <c r="AC294" s="255"/>
      <c r="AD294" s="255"/>
      <c r="AE294" s="255"/>
      <c r="AF294" s="255"/>
      <c r="AG294" s="255"/>
      <c r="AH294" s="255"/>
      <c r="AI294" s="255"/>
      <c r="AJ294" s="255"/>
      <c r="AK294" s="255"/>
      <c r="AL294" s="255"/>
    </row>
    <row r="295" spans="11:38" ht="12.75" customHeight="1" x14ac:dyDescent="0.25"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  <c r="AA295" s="255"/>
      <c r="AB295" s="255"/>
      <c r="AC295" s="255"/>
      <c r="AD295" s="255"/>
      <c r="AE295" s="255"/>
      <c r="AF295" s="255"/>
      <c r="AG295" s="255"/>
      <c r="AH295" s="255"/>
      <c r="AI295" s="255"/>
      <c r="AJ295" s="255"/>
      <c r="AK295" s="255"/>
      <c r="AL295" s="255"/>
    </row>
    <row r="296" spans="11:38" ht="12.75" customHeight="1" x14ac:dyDescent="0.25"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  <c r="AA296" s="255"/>
      <c r="AB296" s="255"/>
      <c r="AC296" s="255"/>
      <c r="AD296" s="255"/>
      <c r="AE296" s="255"/>
      <c r="AF296" s="255"/>
      <c r="AG296" s="255"/>
      <c r="AH296" s="255"/>
      <c r="AI296" s="255"/>
      <c r="AJ296" s="255"/>
      <c r="AK296" s="255"/>
      <c r="AL296" s="255"/>
    </row>
    <row r="297" spans="11:38" ht="12.75" customHeight="1" x14ac:dyDescent="0.25"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  <c r="AA297" s="255"/>
      <c r="AB297" s="255"/>
      <c r="AC297" s="255"/>
      <c r="AD297" s="255"/>
      <c r="AE297" s="255"/>
      <c r="AF297" s="255"/>
      <c r="AG297" s="255"/>
      <c r="AH297" s="255"/>
      <c r="AI297" s="255"/>
      <c r="AJ297" s="255"/>
      <c r="AK297" s="255"/>
      <c r="AL297" s="255"/>
    </row>
    <row r="298" spans="11:38" ht="12.75" customHeight="1" x14ac:dyDescent="0.25"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  <c r="AA298" s="255"/>
      <c r="AB298" s="255"/>
      <c r="AC298" s="255"/>
      <c r="AD298" s="255"/>
      <c r="AE298" s="255"/>
      <c r="AF298" s="255"/>
      <c r="AG298" s="255"/>
      <c r="AH298" s="255"/>
      <c r="AI298" s="255"/>
      <c r="AJ298" s="255"/>
      <c r="AK298" s="255"/>
      <c r="AL298" s="255"/>
    </row>
    <row r="299" spans="11:38" ht="12.75" customHeight="1" x14ac:dyDescent="0.25"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  <c r="AA299" s="255"/>
      <c r="AB299" s="255"/>
      <c r="AC299" s="255"/>
      <c r="AD299" s="255"/>
      <c r="AE299" s="255"/>
      <c r="AF299" s="255"/>
      <c r="AG299" s="255"/>
      <c r="AH299" s="255"/>
      <c r="AI299" s="255"/>
      <c r="AJ299" s="255"/>
      <c r="AK299" s="255"/>
      <c r="AL299" s="255"/>
    </row>
    <row r="300" spans="11:38" ht="12.75" customHeight="1" x14ac:dyDescent="0.25"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  <c r="AA300" s="255"/>
      <c r="AB300" s="255"/>
      <c r="AC300" s="255"/>
      <c r="AD300" s="255"/>
      <c r="AE300" s="255"/>
      <c r="AF300" s="255"/>
      <c r="AG300" s="255"/>
      <c r="AH300" s="255"/>
      <c r="AI300" s="255"/>
      <c r="AJ300" s="255"/>
      <c r="AK300" s="255"/>
      <c r="AL300" s="255"/>
    </row>
    <row r="301" spans="11:38" ht="12.75" customHeight="1" x14ac:dyDescent="0.25"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  <c r="AA301" s="255"/>
      <c r="AB301" s="255"/>
      <c r="AC301" s="255"/>
      <c r="AD301" s="255"/>
      <c r="AE301" s="255"/>
      <c r="AF301" s="255"/>
      <c r="AG301" s="255"/>
      <c r="AH301" s="255"/>
      <c r="AI301" s="255"/>
      <c r="AJ301" s="255"/>
      <c r="AK301" s="255"/>
      <c r="AL301" s="255"/>
    </row>
    <row r="302" spans="11:38" ht="12.75" customHeight="1" x14ac:dyDescent="0.25"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  <c r="AA302" s="255"/>
      <c r="AB302" s="255"/>
      <c r="AC302" s="255"/>
      <c r="AD302" s="255"/>
      <c r="AE302" s="255"/>
      <c r="AF302" s="255"/>
      <c r="AG302" s="255"/>
      <c r="AH302" s="255"/>
      <c r="AI302" s="255"/>
      <c r="AJ302" s="255"/>
      <c r="AK302" s="255"/>
      <c r="AL302" s="255"/>
    </row>
    <row r="303" spans="11:38" ht="12.75" customHeight="1" x14ac:dyDescent="0.25"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  <c r="AA303" s="255"/>
      <c r="AB303" s="255"/>
      <c r="AC303" s="255"/>
      <c r="AD303" s="255"/>
      <c r="AE303" s="255"/>
      <c r="AF303" s="255"/>
      <c r="AG303" s="255"/>
      <c r="AH303" s="255"/>
      <c r="AI303" s="255"/>
      <c r="AJ303" s="255"/>
      <c r="AK303" s="255"/>
      <c r="AL303" s="255"/>
    </row>
    <row r="304" spans="11:38" ht="12.75" customHeight="1" x14ac:dyDescent="0.25"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  <c r="AA304" s="255"/>
      <c r="AB304" s="255"/>
      <c r="AC304" s="255"/>
      <c r="AD304" s="255"/>
      <c r="AE304" s="255"/>
      <c r="AF304" s="255"/>
      <c r="AG304" s="255"/>
      <c r="AH304" s="255"/>
      <c r="AI304" s="255"/>
      <c r="AJ304" s="255"/>
      <c r="AK304" s="255"/>
      <c r="AL304" s="255"/>
    </row>
    <row r="305" spans="11:38" ht="12.75" customHeight="1" x14ac:dyDescent="0.25"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  <c r="AA305" s="255"/>
      <c r="AB305" s="255"/>
      <c r="AC305" s="255"/>
      <c r="AD305" s="255"/>
      <c r="AE305" s="255"/>
      <c r="AF305" s="255"/>
      <c r="AG305" s="255"/>
      <c r="AH305" s="255"/>
      <c r="AI305" s="255"/>
      <c r="AJ305" s="255"/>
      <c r="AK305" s="255"/>
      <c r="AL305" s="255"/>
    </row>
    <row r="306" spans="11:38" ht="12.75" customHeight="1" x14ac:dyDescent="0.25"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  <c r="AA306" s="255"/>
      <c r="AB306" s="255"/>
      <c r="AC306" s="255"/>
      <c r="AD306" s="255"/>
      <c r="AE306" s="255"/>
      <c r="AF306" s="255"/>
      <c r="AG306" s="255"/>
      <c r="AH306" s="255"/>
      <c r="AI306" s="255"/>
      <c r="AJ306" s="255"/>
      <c r="AK306" s="255"/>
      <c r="AL306" s="255"/>
    </row>
    <row r="307" spans="11:38" ht="12.75" customHeight="1" x14ac:dyDescent="0.25"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  <c r="AA307" s="255"/>
      <c r="AB307" s="255"/>
      <c r="AC307" s="255"/>
      <c r="AD307" s="255"/>
      <c r="AE307" s="255"/>
      <c r="AF307" s="255"/>
      <c r="AG307" s="255"/>
      <c r="AH307" s="255"/>
      <c r="AI307" s="255"/>
      <c r="AJ307" s="255"/>
      <c r="AK307" s="255"/>
      <c r="AL307" s="255"/>
    </row>
    <row r="308" spans="11:38" ht="12.75" customHeight="1" x14ac:dyDescent="0.25"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  <c r="AA308" s="255"/>
      <c r="AB308" s="255"/>
      <c r="AC308" s="255"/>
      <c r="AD308" s="255"/>
      <c r="AE308" s="255"/>
      <c r="AF308" s="255"/>
      <c r="AG308" s="255"/>
      <c r="AH308" s="255"/>
      <c r="AI308" s="255"/>
      <c r="AJ308" s="255"/>
      <c r="AK308" s="255"/>
      <c r="AL308" s="255"/>
    </row>
    <row r="309" spans="11:38" ht="12.75" customHeight="1" x14ac:dyDescent="0.25"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  <c r="AA309" s="255"/>
      <c r="AB309" s="255"/>
      <c r="AC309" s="255"/>
      <c r="AD309" s="255"/>
      <c r="AE309" s="255"/>
      <c r="AF309" s="255"/>
      <c r="AG309" s="255"/>
      <c r="AH309" s="255"/>
      <c r="AI309" s="255"/>
      <c r="AJ309" s="255"/>
      <c r="AK309" s="255"/>
      <c r="AL309" s="255"/>
    </row>
    <row r="310" spans="11:38" ht="12.75" customHeight="1" x14ac:dyDescent="0.25"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  <c r="AA310" s="255"/>
      <c r="AB310" s="255"/>
      <c r="AC310" s="255"/>
      <c r="AD310" s="255"/>
      <c r="AE310" s="255"/>
      <c r="AF310" s="255"/>
      <c r="AG310" s="255"/>
      <c r="AH310" s="255"/>
      <c r="AI310" s="255"/>
      <c r="AJ310" s="255"/>
      <c r="AK310" s="255"/>
      <c r="AL310" s="255"/>
    </row>
    <row r="311" spans="11:38" ht="12.75" customHeight="1" x14ac:dyDescent="0.25"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  <c r="AA311" s="255"/>
      <c r="AB311" s="255"/>
      <c r="AC311" s="255"/>
      <c r="AD311" s="255"/>
      <c r="AE311" s="255"/>
      <c r="AF311" s="255"/>
      <c r="AG311" s="255"/>
      <c r="AH311" s="255"/>
      <c r="AI311" s="255"/>
      <c r="AJ311" s="255"/>
      <c r="AK311" s="255"/>
      <c r="AL311" s="255"/>
    </row>
    <row r="312" spans="11:38" ht="12.75" customHeight="1" x14ac:dyDescent="0.25"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  <c r="AA312" s="255"/>
      <c r="AB312" s="255"/>
      <c r="AC312" s="255"/>
      <c r="AD312" s="255"/>
      <c r="AE312" s="255"/>
      <c r="AF312" s="255"/>
      <c r="AG312" s="255"/>
      <c r="AH312" s="255"/>
      <c r="AI312" s="255"/>
      <c r="AJ312" s="255"/>
      <c r="AK312" s="255"/>
      <c r="AL312" s="255"/>
    </row>
    <row r="313" spans="11:38" ht="12.75" customHeight="1" x14ac:dyDescent="0.25"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  <c r="AA313" s="255"/>
      <c r="AB313" s="255"/>
      <c r="AC313" s="255"/>
      <c r="AD313" s="255"/>
      <c r="AE313" s="255"/>
      <c r="AF313" s="255"/>
      <c r="AG313" s="255"/>
      <c r="AH313" s="255"/>
      <c r="AI313" s="255"/>
      <c r="AJ313" s="255"/>
      <c r="AK313" s="255"/>
      <c r="AL313" s="255"/>
    </row>
    <row r="314" spans="11:38" ht="12.75" customHeight="1" x14ac:dyDescent="0.25"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  <c r="AA314" s="255"/>
      <c r="AB314" s="255"/>
      <c r="AC314" s="255"/>
      <c r="AD314" s="255"/>
      <c r="AE314" s="255"/>
      <c r="AF314" s="255"/>
      <c r="AG314" s="255"/>
      <c r="AH314" s="255"/>
      <c r="AI314" s="255"/>
      <c r="AJ314" s="255"/>
      <c r="AK314" s="255"/>
      <c r="AL314" s="255"/>
    </row>
    <row r="315" spans="11:38" ht="12.75" customHeight="1" x14ac:dyDescent="0.25"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  <c r="AA315" s="255"/>
      <c r="AB315" s="255"/>
      <c r="AC315" s="255"/>
      <c r="AD315" s="255"/>
      <c r="AE315" s="255"/>
      <c r="AF315" s="255"/>
      <c r="AG315" s="255"/>
      <c r="AH315" s="255"/>
      <c r="AI315" s="255"/>
      <c r="AJ315" s="255"/>
      <c r="AK315" s="255"/>
      <c r="AL315" s="255"/>
    </row>
    <row r="316" spans="11:38" ht="12.75" customHeight="1" x14ac:dyDescent="0.25"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  <c r="AA316" s="255"/>
      <c r="AB316" s="255"/>
      <c r="AC316" s="255"/>
      <c r="AD316" s="255"/>
      <c r="AE316" s="255"/>
      <c r="AF316" s="255"/>
      <c r="AG316" s="255"/>
      <c r="AH316" s="255"/>
      <c r="AI316" s="255"/>
      <c r="AJ316" s="255"/>
      <c r="AK316" s="255"/>
      <c r="AL316" s="255"/>
    </row>
    <row r="317" spans="11:38" ht="12.75" customHeight="1" x14ac:dyDescent="0.25"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  <c r="AA317" s="255"/>
      <c r="AB317" s="255"/>
      <c r="AC317" s="255"/>
      <c r="AD317" s="255"/>
      <c r="AE317" s="255"/>
      <c r="AF317" s="255"/>
      <c r="AG317" s="255"/>
      <c r="AH317" s="255"/>
      <c r="AI317" s="255"/>
      <c r="AJ317" s="255"/>
      <c r="AK317" s="255"/>
      <c r="AL317" s="255"/>
    </row>
    <row r="318" spans="11:38" ht="12.75" customHeight="1" x14ac:dyDescent="0.25"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  <c r="AA318" s="255"/>
      <c r="AB318" s="255"/>
      <c r="AC318" s="255"/>
      <c r="AD318" s="255"/>
      <c r="AE318" s="255"/>
      <c r="AF318" s="255"/>
      <c r="AG318" s="255"/>
      <c r="AH318" s="255"/>
      <c r="AI318" s="255"/>
      <c r="AJ318" s="255"/>
      <c r="AK318" s="255"/>
      <c r="AL318" s="255"/>
    </row>
    <row r="319" spans="11:38" ht="12.75" customHeight="1" x14ac:dyDescent="0.25"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  <c r="AA319" s="255"/>
      <c r="AB319" s="255"/>
      <c r="AC319" s="255"/>
      <c r="AD319" s="255"/>
      <c r="AE319" s="255"/>
      <c r="AF319" s="255"/>
      <c r="AG319" s="255"/>
      <c r="AH319" s="255"/>
      <c r="AI319" s="255"/>
      <c r="AJ319" s="255"/>
      <c r="AK319" s="255"/>
      <c r="AL319" s="255"/>
    </row>
    <row r="320" spans="11:38" ht="12.75" customHeight="1" x14ac:dyDescent="0.25"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  <c r="AA320" s="255"/>
      <c r="AB320" s="255"/>
      <c r="AC320" s="255"/>
      <c r="AD320" s="255"/>
      <c r="AE320" s="255"/>
      <c r="AF320" s="255"/>
      <c r="AG320" s="255"/>
      <c r="AH320" s="255"/>
      <c r="AI320" s="255"/>
      <c r="AJ320" s="255"/>
      <c r="AK320" s="255"/>
      <c r="AL320" s="255"/>
    </row>
    <row r="321" spans="11:38" ht="12.75" customHeight="1" x14ac:dyDescent="0.25"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  <c r="AA321" s="255"/>
      <c r="AB321" s="255"/>
      <c r="AC321" s="255"/>
      <c r="AD321" s="255"/>
      <c r="AE321" s="255"/>
      <c r="AF321" s="255"/>
      <c r="AG321" s="255"/>
      <c r="AH321" s="255"/>
      <c r="AI321" s="255"/>
      <c r="AJ321" s="255"/>
      <c r="AK321" s="255"/>
      <c r="AL321" s="255"/>
    </row>
    <row r="322" spans="11:38" ht="12.75" customHeight="1" x14ac:dyDescent="0.25"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  <c r="AA322" s="255"/>
      <c r="AB322" s="255"/>
      <c r="AC322" s="255"/>
      <c r="AD322" s="255"/>
      <c r="AE322" s="255"/>
      <c r="AF322" s="255"/>
      <c r="AG322" s="255"/>
      <c r="AH322" s="255"/>
      <c r="AI322" s="255"/>
      <c r="AJ322" s="255"/>
      <c r="AK322" s="255"/>
      <c r="AL322" s="255"/>
    </row>
    <row r="323" spans="11:38" ht="12.75" customHeight="1" x14ac:dyDescent="0.25"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  <c r="AA323" s="255"/>
      <c r="AB323" s="255"/>
      <c r="AC323" s="255"/>
      <c r="AD323" s="255"/>
      <c r="AE323" s="255"/>
      <c r="AF323" s="255"/>
      <c r="AG323" s="255"/>
      <c r="AH323" s="255"/>
      <c r="AI323" s="255"/>
      <c r="AJ323" s="255"/>
      <c r="AK323" s="255"/>
      <c r="AL323" s="255"/>
    </row>
    <row r="324" spans="11:38" ht="12.75" customHeight="1" x14ac:dyDescent="0.25"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  <c r="AA324" s="255"/>
      <c r="AB324" s="255"/>
      <c r="AC324" s="255"/>
      <c r="AD324" s="255"/>
      <c r="AE324" s="255"/>
      <c r="AF324" s="255"/>
      <c r="AG324" s="255"/>
      <c r="AH324" s="255"/>
      <c r="AI324" s="255"/>
      <c r="AJ324" s="255"/>
      <c r="AK324" s="255"/>
      <c r="AL324" s="255"/>
    </row>
    <row r="325" spans="11:38" ht="12.75" customHeight="1" x14ac:dyDescent="0.25"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  <c r="AA325" s="255"/>
      <c r="AB325" s="255"/>
      <c r="AC325" s="255"/>
      <c r="AD325" s="255"/>
      <c r="AE325" s="255"/>
      <c r="AF325" s="255"/>
      <c r="AG325" s="255"/>
      <c r="AH325" s="255"/>
      <c r="AI325" s="255"/>
      <c r="AJ325" s="255"/>
      <c r="AK325" s="255"/>
      <c r="AL325" s="255"/>
    </row>
    <row r="326" spans="11:38" ht="12.75" customHeight="1" x14ac:dyDescent="0.25"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  <c r="AA326" s="255"/>
      <c r="AB326" s="255"/>
      <c r="AC326" s="255"/>
      <c r="AD326" s="255"/>
      <c r="AE326" s="255"/>
      <c r="AF326" s="255"/>
      <c r="AG326" s="255"/>
      <c r="AH326" s="255"/>
      <c r="AI326" s="255"/>
      <c r="AJ326" s="255"/>
      <c r="AK326" s="255"/>
      <c r="AL326" s="255"/>
    </row>
    <row r="327" spans="11:38" ht="12.75" customHeight="1" x14ac:dyDescent="0.25"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  <c r="AA327" s="255"/>
      <c r="AB327" s="255"/>
      <c r="AC327" s="255"/>
      <c r="AD327" s="255"/>
      <c r="AE327" s="255"/>
      <c r="AF327" s="255"/>
      <c r="AG327" s="255"/>
      <c r="AH327" s="255"/>
      <c r="AI327" s="255"/>
      <c r="AJ327" s="255"/>
      <c r="AK327" s="255"/>
      <c r="AL327" s="255"/>
    </row>
    <row r="328" spans="11:38" ht="12.75" customHeight="1" x14ac:dyDescent="0.25"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  <c r="AA328" s="255"/>
      <c r="AB328" s="255"/>
      <c r="AC328" s="255"/>
      <c r="AD328" s="255"/>
      <c r="AE328" s="255"/>
      <c r="AF328" s="255"/>
      <c r="AG328" s="255"/>
      <c r="AH328" s="255"/>
      <c r="AI328" s="255"/>
      <c r="AJ328" s="255"/>
      <c r="AK328" s="255"/>
      <c r="AL328" s="255"/>
    </row>
    <row r="329" spans="11:38" ht="12.75" customHeight="1" x14ac:dyDescent="0.25"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  <c r="AA329" s="255"/>
      <c r="AB329" s="255"/>
      <c r="AC329" s="255"/>
      <c r="AD329" s="255"/>
      <c r="AE329" s="255"/>
      <c r="AF329" s="255"/>
      <c r="AG329" s="255"/>
      <c r="AH329" s="255"/>
      <c r="AI329" s="255"/>
      <c r="AJ329" s="255"/>
      <c r="AK329" s="255"/>
      <c r="AL329" s="255"/>
    </row>
    <row r="330" spans="11:38" ht="12.75" customHeight="1" x14ac:dyDescent="0.25"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  <c r="AA330" s="255"/>
      <c r="AB330" s="255"/>
      <c r="AC330" s="255"/>
      <c r="AD330" s="255"/>
      <c r="AE330" s="255"/>
      <c r="AF330" s="255"/>
      <c r="AG330" s="255"/>
      <c r="AH330" s="255"/>
      <c r="AI330" s="255"/>
      <c r="AJ330" s="255"/>
      <c r="AK330" s="255"/>
      <c r="AL330" s="255"/>
    </row>
    <row r="331" spans="11:38" ht="12.75" customHeight="1" x14ac:dyDescent="0.25"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  <c r="AA331" s="255"/>
      <c r="AB331" s="255"/>
      <c r="AC331" s="255"/>
      <c r="AD331" s="255"/>
      <c r="AE331" s="255"/>
      <c r="AF331" s="255"/>
      <c r="AG331" s="255"/>
      <c r="AH331" s="255"/>
      <c r="AI331" s="255"/>
      <c r="AJ331" s="255"/>
      <c r="AK331" s="255"/>
      <c r="AL331" s="255"/>
    </row>
    <row r="332" spans="11:38" ht="12.75" customHeight="1" x14ac:dyDescent="0.25"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  <c r="AA332" s="255"/>
      <c r="AB332" s="255"/>
      <c r="AC332" s="255"/>
      <c r="AD332" s="255"/>
      <c r="AE332" s="255"/>
      <c r="AF332" s="255"/>
      <c r="AG332" s="255"/>
      <c r="AH332" s="255"/>
      <c r="AI332" s="255"/>
      <c r="AJ332" s="255"/>
      <c r="AK332" s="255"/>
      <c r="AL332" s="255"/>
    </row>
    <row r="333" spans="11:38" ht="12.75" customHeight="1" x14ac:dyDescent="0.25"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  <c r="AA333" s="255"/>
      <c r="AB333" s="255"/>
      <c r="AC333" s="255"/>
      <c r="AD333" s="255"/>
      <c r="AE333" s="255"/>
      <c r="AF333" s="255"/>
      <c r="AG333" s="255"/>
      <c r="AH333" s="255"/>
      <c r="AI333" s="255"/>
      <c r="AJ333" s="255"/>
      <c r="AK333" s="255"/>
      <c r="AL333" s="255"/>
    </row>
    <row r="334" spans="11:38" ht="12.75" customHeight="1" x14ac:dyDescent="0.25"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  <c r="AA334" s="255"/>
      <c r="AB334" s="255"/>
      <c r="AC334" s="255"/>
      <c r="AD334" s="255"/>
      <c r="AE334" s="255"/>
      <c r="AF334" s="255"/>
      <c r="AG334" s="255"/>
      <c r="AH334" s="255"/>
      <c r="AI334" s="255"/>
      <c r="AJ334" s="255"/>
      <c r="AK334" s="255"/>
      <c r="AL334" s="255"/>
    </row>
    <row r="335" spans="11:38" ht="12.75" customHeight="1" x14ac:dyDescent="0.25"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  <c r="AA335" s="255"/>
      <c r="AB335" s="255"/>
      <c r="AC335" s="255"/>
      <c r="AD335" s="255"/>
      <c r="AE335" s="255"/>
      <c r="AF335" s="255"/>
      <c r="AG335" s="255"/>
      <c r="AH335" s="255"/>
      <c r="AI335" s="255"/>
      <c r="AJ335" s="255"/>
      <c r="AK335" s="255"/>
      <c r="AL335" s="255"/>
    </row>
    <row r="336" spans="11:38" ht="12.75" customHeight="1" x14ac:dyDescent="0.25"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  <c r="AA336" s="255"/>
      <c r="AB336" s="255"/>
      <c r="AC336" s="255"/>
      <c r="AD336" s="255"/>
      <c r="AE336" s="255"/>
      <c r="AF336" s="255"/>
      <c r="AG336" s="255"/>
      <c r="AH336" s="255"/>
      <c r="AI336" s="255"/>
      <c r="AJ336" s="255"/>
      <c r="AK336" s="255"/>
      <c r="AL336" s="255"/>
    </row>
    <row r="337" spans="11:38" ht="12.75" customHeight="1" x14ac:dyDescent="0.25"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  <c r="AA337" s="255"/>
      <c r="AB337" s="255"/>
      <c r="AC337" s="255"/>
      <c r="AD337" s="255"/>
      <c r="AE337" s="255"/>
      <c r="AF337" s="255"/>
      <c r="AG337" s="255"/>
      <c r="AH337" s="255"/>
      <c r="AI337" s="255"/>
      <c r="AJ337" s="255"/>
      <c r="AK337" s="255"/>
      <c r="AL337" s="255"/>
    </row>
    <row r="338" spans="11:38" ht="12.75" customHeight="1" x14ac:dyDescent="0.25"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  <c r="AA338" s="255"/>
      <c r="AB338" s="255"/>
      <c r="AC338" s="255"/>
      <c r="AD338" s="255"/>
      <c r="AE338" s="255"/>
      <c r="AF338" s="255"/>
      <c r="AG338" s="255"/>
      <c r="AH338" s="255"/>
      <c r="AI338" s="255"/>
      <c r="AJ338" s="255"/>
      <c r="AK338" s="255"/>
      <c r="AL338" s="255"/>
    </row>
    <row r="339" spans="11:38" ht="12.75" customHeight="1" x14ac:dyDescent="0.25"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  <c r="AA339" s="255"/>
      <c r="AB339" s="255"/>
      <c r="AC339" s="255"/>
      <c r="AD339" s="255"/>
      <c r="AE339" s="255"/>
      <c r="AF339" s="255"/>
      <c r="AG339" s="255"/>
      <c r="AH339" s="255"/>
      <c r="AI339" s="255"/>
      <c r="AJ339" s="255"/>
      <c r="AK339" s="255"/>
      <c r="AL339" s="255"/>
    </row>
    <row r="340" spans="11:38" ht="12.75" customHeight="1" x14ac:dyDescent="0.25"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  <c r="AA340" s="255"/>
      <c r="AB340" s="255"/>
      <c r="AC340" s="255"/>
      <c r="AD340" s="255"/>
      <c r="AE340" s="255"/>
      <c r="AF340" s="255"/>
      <c r="AG340" s="255"/>
      <c r="AH340" s="255"/>
      <c r="AI340" s="255"/>
      <c r="AJ340" s="255"/>
      <c r="AK340" s="255"/>
      <c r="AL340" s="255"/>
    </row>
    <row r="341" spans="11:38" ht="12.75" customHeight="1" x14ac:dyDescent="0.25"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  <c r="AA341" s="255"/>
      <c r="AB341" s="255"/>
      <c r="AC341" s="255"/>
      <c r="AD341" s="255"/>
      <c r="AE341" s="255"/>
      <c r="AF341" s="255"/>
      <c r="AG341" s="255"/>
      <c r="AH341" s="255"/>
      <c r="AI341" s="255"/>
      <c r="AJ341" s="255"/>
      <c r="AK341" s="255"/>
      <c r="AL341" s="255"/>
    </row>
    <row r="342" spans="11:38" ht="12.75" customHeight="1" x14ac:dyDescent="0.25"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  <c r="AA342" s="255"/>
      <c r="AB342" s="255"/>
      <c r="AC342" s="255"/>
      <c r="AD342" s="255"/>
      <c r="AE342" s="255"/>
      <c r="AF342" s="255"/>
      <c r="AG342" s="255"/>
      <c r="AH342" s="255"/>
      <c r="AI342" s="255"/>
      <c r="AJ342" s="255"/>
      <c r="AK342" s="255"/>
      <c r="AL342" s="255"/>
    </row>
    <row r="343" spans="11:38" ht="12.75" customHeight="1" x14ac:dyDescent="0.25"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  <c r="AA343" s="255"/>
      <c r="AB343" s="255"/>
      <c r="AC343" s="255"/>
      <c r="AD343" s="255"/>
      <c r="AE343" s="255"/>
      <c r="AF343" s="255"/>
      <c r="AG343" s="255"/>
      <c r="AH343" s="255"/>
      <c r="AI343" s="255"/>
      <c r="AJ343" s="255"/>
      <c r="AK343" s="255"/>
      <c r="AL343" s="255"/>
    </row>
    <row r="344" spans="11:38" ht="12.75" customHeight="1" x14ac:dyDescent="0.25"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  <c r="AA344" s="255"/>
      <c r="AB344" s="255"/>
      <c r="AC344" s="255"/>
      <c r="AD344" s="255"/>
      <c r="AE344" s="255"/>
      <c r="AF344" s="255"/>
      <c r="AG344" s="255"/>
      <c r="AH344" s="255"/>
      <c r="AI344" s="255"/>
      <c r="AJ344" s="255"/>
      <c r="AK344" s="255"/>
      <c r="AL344" s="255"/>
    </row>
    <row r="345" spans="11:38" ht="12.75" customHeight="1" x14ac:dyDescent="0.25"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  <c r="AA345" s="255"/>
      <c r="AB345" s="255"/>
      <c r="AC345" s="255"/>
      <c r="AD345" s="255"/>
      <c r="AE345" s="255"/>
      <c r="AF345" s="255"/>
      <c r="AG345" s="255"/>
      <c r="AH345" s="255"/>
      <c r="AI345" s="255"/>
      <c r="AJ345" s="255"/>
      <c r="AK345" s="255"/>
      <c r="AL345" s="255"/>
    </row>
    <row r="346" spans="11:38" ht="12.75" customHeight="1" x14ac:dyDescent="0.25"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  <c r="AA346" s="255"/>
      <c r="AB346" s="255"/>
      <c r="AC346" s="255"/>
      <c r="AD346" s="255"/>
      <c r="AE346" s="255"/>
      <c r="AF346" s="255"/>
      <c r="AG346" s="255"/>
      <c r="AH346" s="255"/>
      <c r="AI346" s="255"/>
      <c r="AJ346" s="255"/>
      <c r="AK346" s="255"/>
      <c r="AL346" s="255"/>
    </row>
    <row r="347" spans="11:38" ht="12.75" customHeight="1" x14ac:dyDescent="0.25"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  <c r="AA347" s="255"/>
      <c r="AB347" s="255"/>
      <c r="AC347" s="255"/>
      <c r="AD347" s="255"/>
      <c r="AE347" s="255"/>
      <c r="AF347" s="255"/>
      <c r="AG347" s="255"/>
      <c r="AH347" s="255"/>
      <c r="AI347" s="255"/>
      <c r="AJ347" s="255"/>
      <c r="AK347" s="255"/>
      <c r="AL347" s="255"/>
    </row>
    <row r="348" spans="11:38" ht="12.75" customHeight="1" x14ac:dyDescent="0.25"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  <c r="AA348" s="255"/>
      <c r="AB348" s="255"/>
      <c r="AC348" s="255"/>
      <c r="AD348" s="255"/>
      <c r="AE348" s="255"/>
      <c r="AF348" s="255"/>
      <c r="AG348" s="255"/>
      <c r="AH348" s="255"/>
      <c r="AI348" s="255"/>
      <c r="AJ348" s="255"/>
      <c r="AK348" s="255"/>
      <c r="AL348" s="255"/>
    </row>
    <row r="349" spans="11:38" ht="12.75" customHeight="1" x14ac:dyDescent="0.25"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  <c r="AA349" s="255"/>
      <c r="AB349" s="255"/>
      <c r="AC349" s="255"/>
      <c r="AD349" s="255"/>
      <c r="AE349" s="255"/>
      <c r="AF349" s="255"/>
      <c r="AG349" s="255"/>
      <c r="AH349" s="255"/>
      <c r="AI349" s="255"/>
      <c r="AJ349" s="255"/>
      <c r="AK349" s="255"/>
      <c r="AL349" s="255"/>
    </row>
    <row r="350" spans="11:38" ht="12.75" customHeight="1" x14ac:dyDescent="0.25"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  <c r="AA350" s="255"/>
      <c r="AB350" s="255"/>
      <c r="AC350" s="255"/>
      <c r="AD350" s="255"/>
      <c r="AE350" s="255"/>
      <c r="AF350" s="255"/>
      <c r="AG350" s="255"/>
      <c r="AH350" s="255"/>
      <c r="AI350" s="255"/>
      <c r="AJ350" s="255"/>
      <c r="AK350" s="255"/>
      <c r="AL350" s="255"/>
    </row>
    <row r="351" spans="11:38" ht="12.75" customHeight="1" x14ac:dyDescent="0.25"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  <c r="AA351" s="255"/>
      <c r="AB351" s="255"/>
      <c r="AC351" s="255"/>
      <c r="AD351" s="255"/>
      <c r="AE351" s="255"/>
      <c r="AF351" s="255"/>
      <c r="AG351" s="255"/>
      <c r="AH351" s="255"/>
      <c r="AI351" s="255"/>
      <c r="AJ351" s="255"/>
      <c r="AK351" s="255"/>
      <c r="AL351" s="255"/>
    </row>
    <row r="352" spans="11:38" ht="12.75" customHeight="1" x14ac:dyDescent="0.25"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  <c r="AA352" s="255"/>
      <c r="AB352" s="255"/>
      <c r="AC352" s="255"/>
      <c r="AD352" s="255"/>
      <c r="AE352" s="255"/>
      <c r="AF352" s="255"/>
      <c r="AG352" s="255"/>
      <c r="AH352" s="255"/>
      <c r="AI352" s="255"/>
      <c r="AJ352" s="255"/>
      <c r="AK352" s="255"/>
      <c r="AL352" s="255"/>
    </row>
    <row r="353" spans="11:38" ht="12.75" customHeight="1" x14ac:dyDescent="0.25"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  <c r="AA353" s="255"/>
      <c r="AB353" s="255"/>
      <c r="AC353" s="255"/>
      <c r="AD353" s="255"/>
      <c r="AE353" s="255"/>
      <c r="AF353" s="255"/>
      <c r="AG353" s="255"/>
      <c r="AH353" s="255"/>
      <c r="AI353" s="255"/>
      <c r="AJ353" s="255"/>
      <c r="AK353" s="255"/>
      <c r="AL353" s="255"/>
    </row>
    <row r="354" spans="11:38" ht="12.75" customHeight="1" x14ac:dyDescent="0.25"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  <c r="AA354" s="255"/>
      <c r="AB354" s="255"/>
      <c r="AC354" s="255"/>
      <c r="AD354" s="255"/>
      <c r="AE354" s="255"/>
      <c r="AF354" s="255"/>
      <c r="AG354" s="255"/>
      <c r="AH354" s="255"/>
      <c r="AI354" s="255"/>
      <c r="AJ354" s="255"/>
      <c r="AK354" s="255"/>
      <c r="AL354" s="255"/>
    </row>
    <row r="355" spans="11:38" ht="12.75" customHeight="1" x14ac:dyDescent="0.25"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  <c r="AA355" s="255"/>
      <c r="AB355" s="255"/>
      <c r="AC355" s="255"/>
      <c r="AD355" s="255"/>
      <c r="AE355" s="255"/>
      <c r="AF355" s="255"/>
      <c r="AG355" s="255"/>
      <c r="AH355" s="255"/>
      <c r="AI355" s="255"/>
      <c r="AJ355" s="255"/>
      <c r="AK355" s="255"/>
      <c r="AL355" s="255"/>
    </row>
    <row r="356" spans="11:38" ht="12.75" customHeight="1" x14ac:dyDescent="0.25"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  <c r="AA356" s="255"/>
      <c r="AB356" s="255"/>
      <c r="AC356" s="255"/>
      <c r="AD356" s="255"/>
      <c r="AE356" s="255"/>
      <c r="AF356" s="255"/>
      <c r="AG356" s="255"/>
      <c r="AH356" s="255"/>
      <c r="AI356" s="255"/>
      <c r="AJ356" s="255"/>
      <c r="AK356" s="255"/>
      <c r="AL356" s="255"/>
    </row>
    <row r="357" spans="11:38" ht="12.75" customHeight="1" x14ac:dyDescent="0.25"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  <c r="AA357" s="255"/>
      <c r="AB357" s="255"/>
      <c r="AC357" s="255"/>
      <c r="AD357" s="255"/>
      <c r="AE357" s="255"/>
      <c r="AF357" s="255"/>
      <c r="AG357" s="255"/>
      <c r="AH357" s="255"/>
      <c r="AI357" s="255"/>
      <c r="AJ357" s="255"/>
      <c r="AK357" s="255"/>
      <c r="AL357" s="255"/>
    </row>
    <row r="358" spans="11:38" ht="12.75" customHeight="1" x14ac:dyDescent="0.25"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  <c r="AA358" s="255"/>
      <c r="AB358" s="255"/>
      <c r="AC358" s="255"/>
      <c r="AD358" s="255"/>
      <c r="AE358" s="255"/>
      <c r="AF358" s="255"/>
      <c r="AG358" s="255"/>
      <c r="AH358" s="255"/>
      <c r="AI358" s="255"/>
      <c r="AJ358" s="255"/>
      <c r="AK358" s="255"/>
      <c r="AL358" s="255"/>
    </row>
    <row r="359" spans="11:38" ht="12.75" customHeight="1" x14ac:dyDescent="0.25"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  <c r="AA359" s="255"/>
      <c r="AB359" s="255"/>
      <c r="AC359" s="255"/>
      <c r="AD359" s="255"/>
      <c r="AE359" s="255"/>
      <c r="AF359" s="255"/>
      <c r="AG359" s="255"/>
      <c r="AH359" s="255"/>
      <c r="AI359" s="255"/>
      <c r="AJ359" s="255"/>
      <c r="AK359" s="255"/>
      <c r="AL359" s="255"/>
    </row>
    <row r="360" spans="11:38" ht="12.75" customHeight="1" x14ac:dyDescent="0.25"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  <c r="AA360" s="255"/>
      <c r="AB360" s="255"/>
      <c r="AC360" s="255"/>
      <c r="AD360" s="255"/>
      <c r="AE360" s="255"/>
      <c r="AF360" s="255"/>
      <c r="AG360" s="255"/>
      <c r="AH360" s="255"/>
      <c r="AI360" s="255"/>
      <c r="AJ360" s="255"/>
      <c r="AK360" s="255"/>
      <c r="AL360" s="255"/>
    </row>
    <row r="361" spans="11:38" ht="12.75" customHeight="1" x14ac:dyDescent="0.25"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  <c r="AA361" s="255"/>
      <c r="AB361" s="255"/>
      <c r="AC361" s="255"/>
      <c r="AD361" s="255"/>
      <c r="AE361" s="255"/>
      <c r="AF361" s="255"/>
      <c r="AG361" s="255"/>
      <c r="AH361" s="255"/>
      <c r="AI361" s="255"/>
      <c r="AJ361" s="255"/>
      <c r="AK361" s="255"/>
      <c r="AL361" s="255"/>
    </row>
    <row r="362" spans="11:38" ht="12.75" customHeight="1" x14ac:dyDescent="0.25"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  <c r="AA362" s="255"/>
      <c r="AB362" s="255"/>
      <c r="AC362" s="255"/>
      <c r="AD362" s="255"/>
      <c r="AE362" s="255"/>
      <c r="AF362" s="255"/>
      <c r="AG362" s="255"/>
      <c r="AH362" s="255"/>
      <c r="AI362" s="255"/>
      <c r="AJ362" s="255"/>
      <c r="AK362" s="255"/>
      <c r="AL362" s="255"/>
    </row>
    <row r="363" spans="11:38" ht="12.75" customHeight="1" x14ac:dyDescent="0.25"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  <c r="AA363" s="255"/>
      <c r="AB363" s="255"/>
      <c r="AC363" s="255"/>
      <c r="AD363" s="255"/>
      <c r="AE363" s="255"/>
      <c r="AF363" s="255"/>
      <c r="AG363" s="255"/>
      <c r="AH363" s="255"/>
      <c r="AI363" s="255"/>
      <c r="AJ363" s="255"/>
      <c r="AK363" s="255"/>
      <c r="AL363" s="255"/>
    </row>
    <row r="364" spans="11:38" ht="12.75" customHeight="1" x14ac:dyDescent="0.25"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  <c r="AA364" s="255"/>
      <c r="AB364" s="255"/>
      <c r="AC364" s="255"/>
      <c r="AD364" s="255"/>
      <c r="AE364" s="255"/>
      <c r="AF364" s="255"/>
      <c r="AG364" s="255"/>
      <c r="AH364" s="255"/>
      <c r="AI364" s="255"/>
      <c r="AJ364" s="255"/>
      <c r="AK364" s="255"/>
      <c r="AL364" s="255"/>
    </row>
    <row r="365" spans="11:38" ht="12.75" customHeight="1" x14ac:dyDescent="0.25"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  <c r="AA365" s="255"/>
      <c r="AB365" s="255"/>
      <c r="AC365" s="255"/>
      <c r="AD365" s="255"/>
      <c r="AE365" s="255"/>
      <c r="AF365" s="255"/>
      <c r="AG365" s="255"/>
      <c r="AH365" s="255"/>
      <c r="AI365" s="255"/>
      <c r="AJ365" s="255"/>
      <c r="AK365" s="255"/>
      <c r="AL365" s="255"/>
    </row>
    <row r="366" spans="11:38" ht="12.75" customHeight="1" x14ac:dyDescent="0.25"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  <c r="AA366" s="255"/>
      <c r="AB366" s="255"/>
      <c r="AC366" s="255"/>
      <c r="AD366" s="255"/>
      <c r="AE366" s="255"/>
      <c r="AF366" s="255"/>
      <c r="AG366" s="255"/>
      <c r="AH366" s="255"/>
      <c r="AI366" s="255"/>
      <c r="AJ366" s="255"/>
      <c r="AK366" s="255"/>
      <c r="AL366" s="255"/>
    </row>
    <row r="367" spans="11:38" ht="12.75" customHeight="1" x14ac:dyDescent="0.25"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  <c r="AA367" s="255"/>
      <c r="AB367" s="255"/>
      <c r="AC367" s="255"/>
      <c r="AD367" s="255"/>
      <c r="AE367" s="255"/>
      <c r="AF367" s="255"/>
      <c r="AG367" s="255"/>
      <c r="AH367" s="255"/>
      <c r="AI367" s="255"/>
      <c r="AJ367" s="255"/>
      <c r="AK367" s="255"/>
      <c r="AL367" s="255"/>
    </row>
    <row r="368" spans="11:38" ht="12.75" customHeight="1" x14ac:dyDescent="0.25"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  <c r="AA368" s="255"/>
      <c r="AB368" s="255"/>
      <c r="AC368" s="255"/>
      <c r="AD368" s="255"/>
      <c r="AE368" s="255"/>
      <c r="AF368" s="255"/>
      <c r="AG368" s="255"/>
      <c r="AH368" s="255"/>
      <c r="AI368" s="255"/>
      <c r="AJ368" s="255"/>
      <c r="AK368" s="255"/>
      <c r="AL368" s="255"/>
    </row>
    <row r="369" spans="11:38" ht="12.75" customHeight="1" x14ac:dyDescent="0.25"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  <c r="AA369" s="255"/>
      <c r="AB369" s="255"/>
      <c r="AC369" s="255"/>
      <c r="AD369" s="255"/>
      <c r="AE369" s="255"/>
      <c r="AF369" s="255"/>
      <c r="AG369" s="255"/>
      <c r="AH369" s="255"/>
      <c r="AI369" s="255"/>
      <c r="AJ369" s="255"/>
      <c r="AK369" s="255"/>
      <c r="AL369" s="255"/>
    </row>
    <row r="370" spans="11:38" ht="12.75" customHeight="1" x14ac:dyDescent="0.25"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  <c r="AA370" s="255"/>
      <c r="AB370" s="255"/>
      <c r="AC370" s="255"/>
      <c r="AD370" s="255"/>
      <c r="AE370" s="255"/>
      <c r="AF370" s="255"/>
      <c r="AG370" s="255"/>
      <c r="AH370" s="255"/>
      <c r="AI370" s="255"/>
      <c r="AJ370" s="255"/>
      <c r="AK370" s="255"/>
      <c r="AL370" s="255"/>
    </row>
    <row r="371" spans="11:38" ht="12.75" customHeight="1" x14ac:dyDescent="0.25"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  <c r="AA371" s="255"/>
      <c r="AB371" s="255"/>
      <c r="AC371" s="255"/>
      <c r="AD371" s="255"/>
      <c r="AE371" s="255"/>
      <c r="AF371" s="255"/>
      <c r="AG371" s="255"/>
      <c r="AH371" s="255"/>
      <c r="AI371" s="255"/>
      <c r="AJ371" s="255"/>
      <c r="AK371" s="255"/>
      <c r="AL371" s="255"/>
    </row>
    <row r="372" spans="11:38" ht="12.75" customHeight="1" x14ac:dyDescent="0.25"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  <c r="AA372" s="255"/>
      <c r="AB372" s="255"/>
      <c r="AC372" s="255"/>
      <c r="AD372" s="255"/>
      <c r="AE372" s="255"/>
      <c r="AF372" s="255"/>
      <c r="AG372" s="255"/>
      <c r="AH372" s="255"/>
      <c r="AI372" s="255"/>
      <c r="AJ372" s="255"/>
      <c r="AK372" s="255"/>
      <c r="AL372" s="255"/>
    </row>
    <row r="373" spans="11:38" ht="12.75" customHeight="1" x14ac:dyDescent="0.25"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  <c r="AA373" s="255"/>
      <c r="AB373" s="255"/>
      <c r="AC373" s="255"/>
      <c r="AD373" s="255"/>
      <c r="AE373" s="255"/>
      <c r="AF373" s="255"/>
      <c r="AG373" s="255"/>
      <c r="AH373" s="255"/>
      <c r="AI373" s="255"/>
      <c r="AJ373" s="255"/>
      <c r="AK373" s="255"/>
      <c r="AL373" s="255"/>
    </row>
    <row r="374" spans="11:38" ht="12.75" customHeight="1" x14ac:dyDescent="0.25"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  <c r="AA374" s="255"/>
      <c r="AB374" s="255"/>
      <c r="AC374" s="255"/>
      <c r="AD374" s="255"/>
      <c r="AE374" s="255"/>
      <c r="AF374" s="255"/>
      <c r="AG374" s="255"/>
      <c r="AH374" s="255"/>
      <c r="AI374" s="255"/>
      <c r="AJ374" s="255"/>
      <c r="AK374" s="255"/>
      <c r="AL374" s="255"/>
    </row>
    <row r="375" spans="11:38" ht="12.75" customHeight="1" x14ac:dyDescent="0.25"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  <c r="AA375" s="255"/>
      <c r="AB375" s="255"/>
      <c r="AC375" s="255"/>
      <c r="AD375" s="255"/>
      <c r="AE375" s="255"/>
      <c r="AF375" s="255"/>
      <c r="AG375" s="255"/>
      <c r="AH375" s="255"/>
      <c r="AI375" s="255"/>
      <c r="AJ375" s="255"/>
      <c r="AK375" s="255"/>
      <c r="AL375" s="255"/>
    </row>
    <row r="376" spans="11:38" ht="12.75" customHeight="1" x14ac:dyDescent="0.25"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  <c r="AA376" s="255"/>
      <c r="AB376" s="255"/>
      <c r="AC376" s="255"/>
      <c r="AD376" s="255"/>
      <c r="AE376" s="255"/>
      <c r="AF376" s="255"/>
      <c r="AG376" s="255"/>
      <c r="AH376" s="255"/>
      <c r="AI376" s="255"/>
      <c r="AJ376" s="255"/>
      <c r="AK376" s="255"/>
      <c r="AL376" s="255"/>
    </row>
    <row r="377" spans="11:38" ht="12.75" customHeight="1" x14ac:dyDescent="0.25"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  <c r="AA377" s="255"/>
      <c r="AB377" s="255"/>
      <c r="AC377" s="255"/>
      <c r="AD377" s="255"/>
      <c r="AE377" s="255"/>
      <c r="AF377" s="255"/>
      <c r="AG377" s="255"/>
      <c r="AH377" s="255"/>
      <c r="AI377" s="255"/>
      <c r="AJ377" s="255"/>
      <c r="AK377" s="255"/>
      <c r="AL377" s="255"/>
    </row>
    <row r="378" spans="11:38" ht="12.75" customHeight="1" x14ac:dyDescent="0.25"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  <c r="AA378" s="255"/>
      <c r="AB378" s="255"/>
      <c r="AC378" s="255"/>
      <c r="AD378" s="255"/>
      <c r="AE378" s="255"/>
      <c r="AF378" s="255"/>
      <c r="AG378" s="255"/>
      <c r="AH378" s="255"/>
      <c r="AI378" s="255"/>
      <c r="AJ378" s="255"/>
      <c r="AK378" s="255"/>
      <c r="AL378" s="255"/>
    </row>
    <row r="379" spans="11:38" ht="12.75" customHeight="1" x14ac:dyDescent="0.25"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  <c r="AA379" s="255"/>
      <c r="AB379" s="255"/>
      <c r="AC379" s="255"/>
      <c r="AD379" s="255"/>
      <c r="AE379" s="255"/>
      <c r="AF379" s="255"/>
      <c r="AG379" s="255"/>
      <c r="AH379" s="255"/>
      <c r="AI379" s="255"/>
      <c r="AJ379" s="255"/>
      <c r="AK379" s="255"/>
      <c r="AL379" s="255"/>
    </row>
    <row r="380" spans="11:38" ht="12.75" customHeight="1" x14ac:dyDescent="0.25"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  <c r="AA380" s="255"/>
      <c r="AB380" s="255"/>
      <c r="AC380" s="255"/>
      <c r="AD380" s="255"/>
      <c r="AE380" s="255"/>
      <c r="AF380" s="255"/>
      <c r="AG380" s="255"/>
      <c r="AH380" s="255"/>
      <c r="AI380" s="255"/>
      <c r="AJ380" s="255"/>
      <c r="AK380" s="255"/>
      <c r="AL380" s="255"/>
    </row>
    <row r="381" spans="11:38" ht="12.75" customHeight="1" x14ac:dyDescent="0.25"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  <c r="AA381" s="255"/>
      <c r="AB381" s="255"/>
      <c r="AC381" s="255"/>
      <c r="AD381" s="255"/>
      <c r="AE381" s="255"/>
      <c r="AF381" s="255"/>
      <c r="AG381" s="255"/>
      <c r="AH381" s="255"/>
      <c r="AI381" s="255"/>
      <c r="AJ381" s="255"/>
      <c r="AK381" s="255"/>
      <c r="AL381" s="255"/>
    </row>
    <row r="382" spans="11:38" ht="12.75" customHeight="1" x14ac:dyDescent="0.25"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  <c r="AA382" s="255"/>
      <c r="AB382" s="255"/>
      <c r="AC382" s="255"/>
      <c r="AD382" s="255"/>
      <c r="AE382" s="255"/>
      <c r="AF382" s="255"/>
      <c r="AG382" s="255"/>
      <c r="AH382" s="255"/>
      <c r="AI382" s="255"/>
      <c r="AJ382" s="255"/>
      <c r="AK382" s="255"/>
      <c r="AL382" s="255"/>
    </row>
    <row r="383" spans="11:38" ht="12.75" customHeight="1" x14ac:dyDescent="0.25"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  <c r="AA383" s="255"/>
      <c r="AB383" s="255"/>
      <c r="AC383" s="255"/>
      <c r="AD383" s="255"/>
      <c r="AE383" s="255"/>
      <c r="AF383" s="255"/>
      <c r="AG383" s="255"/>
      <c r="AH383" s="255"/>
      <c r="AI383" s="255"/>
      <c r="AJ383" s="255"/>
      <c r="AK383" s="255"/>
      <c r="AL383" s="255"/>
    </row>
    <row r="384" spans="11:38" ht="12.75" customHeight="1" x14ac:dyDescent="0.25"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  <c r="AA384" s="255"/>
      <c r="AB384" s="255"/>
      <c r="AC384" s="255"/>
      <c r="AD384" s="255"/>
      <c r="AE384" s="255"/>
      <c r="AF384" s="255"/>
      <c r="AG384" s="255"/>
      <c r="AH384" s="255"/>
      <c r="AI384" s="255"/>
      <c r="AJ384" s="255"/>
      <c r="AK384" s="255"/>
      <c r="AL384" s="255"/>
    </row>
    <row r="385" spans="11:38" ht="12.75" customHeight="1" x14ac:dyDescent="0.25"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  <c r="AA385" s="255"/>
      <c r="AB385" s="255"/>
      <c r="AC385" s="255"/>
      <c r="AD385" s="255"/>
      <c r="AE385" s="255"/>
      <c r="AF385" s="255"/>
      <c r="AG385" s="255"/>
      <c r="AH385" s="255"/>
      <c r="AI385" s="255"/>
      <c r="AJ385" s="255"/>
      <c r="AK385" s="255"/>
      <c r="AL385" s="255"/>
    </row>
    <row r="386" spans="11:38" ht="12.75" customHeight="1" x14ac:dyDescent="0.25"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  <c r="AA386" s="255"/>
      <c r="AB386" s="255"/>
      <c r="AC386" s="255"/>
      <c r="AD386" s="255"/>
      <c r="AE386" s="255"/>
      <c r="AF386" s="255"/>
      <c r="AG386" s="255"/>
      <c r="AH386" s="255"/>
      <c r="AI386" s="255"/>
      <c r="AJ386" s="255"/>
      <c r="AK386" s="255"/>
      <c r="AL386" s="255"/>
    </row>
    <row r="387" spans="11:38" ht="12.75" customHeight="1" x14ac:dyDescent="0.25"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  <c r="AA387" s="255"/>
      <c r="AB387" s="255"/>
      <c r="AC387" s="255"/>
      <c r="AD387" s="255"/>
      <c r="AE387" s="255"/>
      <c r="AF387" s="255"/>
      <c r="AG387" s="255"/>
      <c r="AH387" s="255"/>
      <c r="AI387" s="255"/>
      <c r="AJ387" s="255"/>
      <c r="AK387" s="255"/>
      <c r="AL387" s="255"/>
    </row>
    <row r="388" spans="11:38" ht="12.75" customHeight="1" x14ac:dyDescent="0.25"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  <c r="AA388" s="255"/>
      <c r="AB388" s="255"/>
      <c r="AC388" s="255"/>
      <c r="AD388" s="255"/>
      <c r="AE388" s="255"/>
      <c r="AF388" s="255"/>
      <c r="AG388" s="255"/>
      <c r="AH388" s="255"/>
      <c r="AI388" s="255"/>
      <c r="AJ388" s="255"/>
      <c r="AK388" s="255"/>
      <c r="AL388" s="255"/>
    </row>
    <row r="389" spans="11:38" ht="12.75" customHeight="1" x14ac:dyDescent="0.25"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  <c r="AA389" s="255"/>
      <c r="AB389" s="255"/>
      <c r="AC389" s="255"/>
      <c r="AD389" s="255"/>
      <c r="AE389" s="255"/>
      <c r="AF389" s="255"/>
      <c r="AG389" s="255"/>
      <c r="AH389" s="255"/>
      <c r="AI389" s="255"/>
      <c r="AJ389" s="255"/>
      <c r="AK389" s="255"/>
      <c r="AL389" s="255"/>
    </row>
    <row r="390" spans="11:38" ht="12.75" customHeight="1" x14ac:dyDescent="0.25"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  <c r="AA390" s="255"/>
      <c r="AB390" s="255"/>
      <c r="AC390" s="255"/>
      <c r="AD390" s="255"/>
      <c r="AE390" s="255"/>
      <c r="AF390" s="255"/>
      <c r="AG390" s="255"/>
      <c r="AH390" s="255"/>
      <c r="AI390" s="255"/>
      <c r="AJ390" s="255"/>
      <c r="AK390" s="255"/>
      <c r="AL390" s="255"/>
    </row>
    <row r="391" spans="11:38" ht="12.75" customHeight="1" x14ac:dyDescent="0.25"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  <c r="AA391" s="255"/>
      <c r="AB391" s="255"/>
      <c r="AC391" s="255"/>
      <c r="AD391" s="255"/>
      <c r="AE391" s="255"/>
      <c r="AF391" s="255"/>
      <c r="AG391" s="255"/>
      <c r="AH391" s="255"/>
      <c r="AI391" s="255"/>
      <c r="AJ391" s="255"/>
      <c r="AK391" s="255"/>
      <c r="AL391" s="255"/>
    </row>
    <row r="392" spans="11:38" ht="12.75" customHeight="1" x14ac:dyDescent="0.25"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  <c r="AA392" s="255"/>
      <c r="AB392" s="255"/>
      <c r="AC392" s="255"/>
      <c r="AD392" s="255"/>
      <c r="AE392" s="255"/>
      <c r="AF392" s="255"/>
      <c r="AG392" s="255"/>
      <c r="AH392" s="255"/>
      <c r="AI392" s="255"/>
      <c r="AJ392" s="255"/>
      <c r="AK392" s="255"/>
      <c r="AL392" s="255"/>
    </row>
    <row r="393" spans="11:38" ht="12.75" customHeight="1" x14ac:dyDescent="0.25"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  <c r="AA393" s="255"/>
      <c r="AB393" s="255"/>
      <c r="AC393" s="255"/>
      <c r="AD393" s="255"/>
      <c r="AE393" s="255"/>
      <c r="AF393" s="255"/>
      <c r="AG393" s="255"/>
      <c r="AH393" s="255"/>
      <c r="AI393" s="255"/>
      <c r="AJ393" s="255"/>
      <c r="AK393" s="255"/>
      <c r="AL393" s="255"/>
    </row>
    <row r="394" spans="11:38" ht="12.75" customHeight="1" x14ac:dyDescent="0.25"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  <c r="AA394" s="255"/>
      <c r="AB394" s="255"/>
      <c r="AC394" s="255"/>
      <c r="AD394" s="255"/>
      <c r="AE394" s="255"/>
      <c r="AF394" s="255"/>
      <c r="AG394" s="255"/>
      <c r="AH394" s="255"/>
      <c r="AI394" s="255"/>
      <c r="AJ394" s="255"/>
      <c r="AK394" s="255"/>
      <c r="AL394" s="255"/>
    </row>
    <row r="395" spans="11:38" ht="12.75" customHeight="1" x14ac:dyDescent="0.25"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  <c r="AA395" s="255"/>
      <c r="AB395" s="255"/>
      <c r="AC395" s="255"/>
      <c r="AD395" s="255"/>
      <c r="AE395" s="255"/>
      <c r="AF395" s="255"/>
      <c r="AG395" s="255"/>
      <c r="AH395" s="255"/>
      <c r="AI395" s="255"/>
      <c r="AJ395" s="255"/>
      <c r="AK395" s="255"/>
      <c r="AL395" s="255"/>
    </row>
    <row r="396" spans="11:38" ht="12.75" customHeight="1" x14ac:dyDescent="0.25"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  <c r="AA396" s="255"/>
      <c r="AB396" s="255"/>
      <c r="AC396" s="255"/>
      <c r="AD396" s="255"/>
      <c r="AE396" s="255"/>
      <c r="AF396" s="255"/>
      <c r="AG396" s="255"/>
      <c r="AH396" s="255"/>
      <c r="AI396" s="255"/>
      <c r="AJ396" s="255"/>
      <c r="AK396" s="255"/>
      <c r="AL396" s="255"/>
    </row>
    <row r="397" spans="11:38" ht="12.75" customHeight="1" x14ac:dyDescent="0.25"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  <c r="AA397" s="255"/>
      <c r="AB397" s="255"/>
      <c r="AC397" s="255"/>
      <c r="AD397" s="255"/>
      <c r="AE397" s="255"/>
      <c r="AF397" s="255"/>
      <c r="AG397" s="255"/>
      <c r="AH397" s="255"/>
      <c r="AI397" s="255"/>
      <c r="AJ397" s="255"/>
      <c r="AK397" s="255"/>
      <c r="AL397" s="255"/>
    </row>
    <row r="398" spans="11:38" ht="12.75" customHeight="1" x14ac:dyDescent="0.25"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  <c r="AA398" s="255"/>
      <c r="AB398" s="255"/>
      <c r="AC398" s="255"/>
      <c r="AD398" s="255"/>
      <c r="AE398" s="255"/>
      <c r="AF398" s="255"/>
      <c r="AG398" s="255"/>
      <c r="AH398" s="255"/>
      <c r="AI398" s="255"/>
      <c r="AJ398" s="255"/>
      <c r="AK398" s="255"/>
      <c r="AL398" s="255"/>
    </row>
    <row r="399" spans="11:38" ht="12.75" customHeight="1" x14ac:dyDescent="0.25"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  <c r="AA399" s="255"/>
      <c r="AB399" s="255"/>
      <c r="AC399" s="255"/>
      <c r="AD399" s="255"/>
      <c r="AE399" s="255"/>
      <c r="AF399" s="255"/>
      <c r="AG399" s="255"/>
      <c r="AH399" s="255"/>
      <c r="AI399" s="255"/>
      <c r="AJ399" s="255"/>
      <c r="AK399" s="255"/>
      <c r="AL399" s="255"/>
    </row>
    <row r="400" spans="11:38" ht="12.75" customHeight="1" x14ac:dyDescent="0.25"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  <c r="AA400" s="255"/>
      <c r="AB400" s="255"/>
      <c r="AC400" s="255"/>
      <c r="AD400" s="255"/>
      <c r="AE400" s="255"/>
      <c r="AF400" s="255"/>
      <c r="AG400" s="255"/>
      <c r="AH400" s="255"/>
      <c r="AI400" s="255"/>
      <c r="AJ400" s="255"/>
      <c r="AK400" s="255"/>
      <c r="AL400" s="255"/>
    </row>
    <row r="401" spans="11:38" ht="12.75" customHeight="1" x14ac:dyDescent="0.25"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  <c r="AA401" s="255"/>
      <c r="AB401" s="255"/>
      <c r="AC401" s="255"/>
      <c r="AD401" s="255"/>
      <c r="AE401" s="255"/>
      <c r="AF401" s="255"/>
      <c r="AG401" s="255"/>
      <c r="AH401" s="255"/>
      <c r="AI401" s="255"/>
      <c r="AJ401" s="255"/>
      <c r="AK401" s="255"/>
      <c r="AL401" s="255"/>
    </row>
    <row r="402" spans="11:38" ht="12.75" customHeight="1" x14ac:dyDescent="0.25"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  <c r="AA402" s="255"/>
      <c r="AB402" s="255"/>
      <c r="AC402" s="255"/>
      <c r="AD402" s="255"/>
      <c r="AE402" s="255"/>
      <c r="AF402" s="255"/>
      <c r="AG402" s="255"/>
      <c r="AH402" s="255"/>
      <c r="AI402" s="255"/>
      <c r="AJ402" s="255"/>
      <c r="AK402" s="255"/>
      <c r="AL402" s="255"/>
    </row>
    <row r="403" spans="11:38" ht="12.75" customHeight="1" x14ac:dyDescent="0.25"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  <c r="AA403" s="255"/>
      <c r="AB403" s="255"/>
      <c r="AC403" s="255"/>
      <c r="AD403" s="255"/>
      <c r="AE403" s="255"/>
      <c r="AF403" s="255"/>
      <c r="AG403" s="255"/>
      <c r="AH403" s="255"/>
      <c r="AI403" s="255"/>
      <c r="AJ403" s="255"/>
      <c r="AK403" s="255"/>
      <c r="AL403" s="255"/>
    </row>
    <row r="404" spans="11:38" ht="12.75" customHeight="1" x14ac:dyDescent="0.25"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  <c r="AA404" s="255"/>
      <c r="AB404" s="255"/>
      <c r="AC404" s="255"/>
      <c r="AD404" s="255"/>
      <c r="AE404" s="255"/>
      <c r="AF404" s="255"/>
      <c r="AG404" s="255"/>
      <c r="AH404" s="255"/>
      <c r="AI404" s="255"/>
      <c r="AJ404" s="255"/>
      <c r="AK404" s="255"/>
      <c r="AL404" s="255"/>
    </row>
    <row r="405" spans="11:38" ht="12.75" customHeight="1" x14ac:dyDescent="0.25"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  <c r="AA405" s="255"/>
      <c r="AB405" s="255"/>
      <c r="AC405" s="255"/>
      <c r="AD405" s="255"/>
      <c r="AE405" s="255"/>
      <c r="AF405" s="255"/>
      <c r="AG405" s="255"/>
      <c r="AH405" s="255"/>
      <c r="AI405" s="255"/>
      <c r="AJ405" s="255"/>
      <c r="AK405" s="255"/>
      <c r="AL405" s="255"/>
    </row>
    <row r="406" spans="11:38" ht="12.75" customHeight="1" x14ac:dyDescent="0.25"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  <c r="AA406" s="255"/>
      <c r="AB406" s="255"/>
      <c r="AC406" s="255"/>
      <c r="AD406" s="255"/>
      <c r="AE406" s="255"/>
      <c r="AF406" s="255"/>
      <c r="AG406" s="255"/>
      <c r="AH406" s="255"/>
      <c r="AI406" s="255"/>
      <c r="AJ406" s="255"/>
      <c r="AK406" s="255"/>
      <c r="AL406" s="255"/>
    </row>
    <row r="407" spans="11:38" ht="12.75" customHeight="1" x14ac:dyDescent="0.25"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  <c r="AA407" s="255"/>
      <c r="AB407" s="255"/>
      <c r="AC407" s="255"/>
      <c r="AD407" s="255"/>
      <c r="AE407" s="255"/>
      <c r="AF407" s="255"/>
      <c r="AG407" s="255"/>
      <c r="AH407" s="255"/>
      <c r="AI407" s="255"/>
      <c r="AJ407" s="255"/>
      <c r="AK407" s="255"/>
      <c r="AL407" s="255"/>
    </row>
    <row r="408" spans="11:38" ht="12.75" customHeight="1" x14ac:dyDescent="0.25"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  <c r="AA408" s="255"/>
      <c r="AB408" s="255"/>
      <c r="AC408" s="255"/>
      <c r="AD408" s="255"/>
      <c r="AE408" s="255"/>
      <c r="AF408" s="255"/>
      <c r="AG408" s="255"/>
      <c r="AH408" s="255"/>
      <c r="AI408" s="255"/>
      <c r="AJ408" s="255"/>
      <c r="AK408" s="255"/>
      <c r="AL408" s="255"/>
    </row>
    <row r="409" spans="11:38" ht="12.75" customHeight="1" x14ac:dyDescent="0.25"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  <c r="AA409" s="255"/>
      <c r="AB409" s="255"/>
      <c r="AC409" s="255"/>
      <c r="AD409" s="255"/>
      <c r="AE409" s="255"/>
      <c r="AF409" s="255"/>
      <c r="AG409" s="255"/>
      <c r="AH409" s="255"/>
      <c r="AI409" s="255"/>
      <c r="AJ409" s="255"/>
      <c r="AK409" s="255"/>
      <c r="AL409" s="255"/>
    </row>
    <row r="410" spans="11:38" ht="12.75" customHeight="1" x14ac:dyDescent="0.25"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  <c r="AA410" s="255"/>
      <c r="AB410" s="255"/>
      <c r="AC410" s="255"/>
      <c r="AD410" s="255"/>
      <c r="AE410" s="255"/>
      <c r="AF410" s="255"/>
      <c r="AG410" s="255"/>
      <c r="AH410" s="255"/>
      <c r="AI410" s="255"/>
      <c r="AJ410" s="255"/>
      <c r="AK410" s="255"/>
      <c r="AL410" s="255"/>
    </row>
    <row r="411" spans="11:38" ht="12.75" customHeight="1" x14ac:dyDescent="0.25"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  <c r="AA411" s="255"/>
      <c r="AB411" s="255"/>
      <c r="AC411" s="255"/>
      <c r="AD411" s="255"/>
      <c r="AE411" s="255"/>
      <c r="AF411" s="255"/>
      <c r="AG411" s="255"/>
      <c r="AH411" s="255"/>
      <c r="AI411" s="255"/>
      <c r="AJ411" s="255"/>
      <c r="AK411" s="255"/>
      <c r="AL411" s="255"/>
    </row>
    <row r="412" spans="11:38" ht="12.75" customHeight="1" x14ac:dyDescent="0.25"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  <c r="AA412" s="255"/>
      <c r="AB412" s="255"/>
      <c r="AC412" s="255"/>
      <c r="AD412" s="255"/>
      <c r="AE412" s="255"/>
      <c r="AF412" s="255"/>
      <c r="AG412" s="255"/>
      <c r="AH412" s="255"/>
      <c r="AI412" s="255"/>
      <c r="AJ412" s="255"/>
      <c r="AK412" s="255"/>
      <c r="AL412" s="255"/>
    </row>
    <row r="413" spans="11:38" ht="12.75" customHeight="1" x14ac:dyDescent="0.25"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  <c r="AA413" s="255"/>
      <c r="AB413" s="255"/>
      <c r="AC413" s="255"/>
      <c r="AD413" s="255"/>
      <c r="AE413" s="255"/>
      <c r="AF413" s="255"/>
      <c r="AG413" s="255"/>
      <c r="AH413" s="255"/>
      <c r="AI413" s="255"/>
      <c r="AJ413" s="255"/>
      <c r="AK413" s="255"/>
      <c r="AL413" s="255"/>
    </row>
    <row r="414" spans="11:38" ht="12.75" customHeight="1" x14ac:dyDescent="0.25"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  <c r="AA414" s="255"/>
      <c r="AB414" s="255"/>
      <c r="AC414" s="255"/>
      <c r="AD414" s="255"/>
      <c r="AE414" s="255"/>
      <c r="AF414" s="255"/>
      <c r="AG414" s="255"/>
      <c r="AH414" s="255"/>
      <c r="AI414" s="255"/>
      <c r="AJ414" s="255"/>
      <c r="AK414" s="255"/>
      <c r="AL414" s="255"/>
    </row>
    <row r="415" spans="11:38" ht="12.75" customHeight="1" x14ac:dyDescent="0.25"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  <c r="AA415" s="255"/>
      <c r="AB415" s="255"/>
      <c r="AC415" s="255"/>
      <c r="AD415" s="255"/>
      <c r="AE415" s="255"/>
      <c r="AF415" s="255"/>
      <c r="AG415" s="255"/>
      <c r="AH415" s="255"/>
      <c r="AI415" s="255"/>
      <c r="AJ415" s="255"/>
      <c r="AK415" s="255"/>
      <c r="AL415" s="255"/>
    </row>
    <row r="416" spans="11:38" ht="12.75" customHeight="1" x14ac:dyDescent="0.25"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  <c r="AA416" s="255"/>
      <c r="AB416" s="255"/>
      <c r="AC416" s="255"/>
      <c r="AD416" s="255"/>
      <c r="AE416" s="255"/>
      <c r="AF416" s="255"/>
      <c r="AG416" s="255"/>
      <c r="AH416" s="255"/>
      <c r="AI416" s="255"/>
      <c r="AJ416" s="255"/>
      <c r="AK416" s="255"/>
      <c r="AL416" s="255"/>
    </row>
    <row r="417" spans="11:38" ht="12.75" customHeight="1" x14ac:dyDescent="0.25"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  <c r="AA417" s="255"/>
      <c r="AB417" s="255"/>
      <c r="AC417" s="255"/>
      <c r="AD417" s="255"/>
      <c r="AE417" s="255"/>
      <c r="AF417" s="255"/>
      <c r="AG417" s="255"/>
      <c r="AH417" s="255"/>
      <c r="AI417" s="255"/>
      <c r="AJ417" s="255"/>
      <c r="AK417" s="255"/>
      <c r="AL417" s="255"/>
    </row>
    <row r="418" spans="11:38" ht="12.75" customHeight="1" x14ac:dyDescent="0.25"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  <c r="AA418" s="255"/>
      <c r="AB418" s="255"/>
      <c r="AC418" s="255"/>
      <c r="AD418" s="255"/>
      <c r="AE418" s="255"/>
      <c r="AF418" s="255"/>
      <c r="AG418" s="255"/>
      <c r="AH418" s="255"/>
      <c r="AI418" s="255"/>
      <c r="AJ418" s="255"/>
      <c r="AK418" s="255"/>
      <c r="AL418" s="255"/>
    </row>
    <row r="419" spans="11:38" ht="12.75" customHeight="1" x14ac:dyDescent="0.25"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  <c r="AA419" s="255"/>
      <c r="AB419" s="255"/>
      <c r="AC419" s="255"/>
      <c r="AD419" s="255"/>
      <c r="AE419" s="255"/>
      <c r="AF419" s="255"/>
      <c r="AG419" s="255"/>
      <c r="AH419" s="255"/>
      <c r="AI419" s="255"/>
      <c r="AJ419" s="255"/>
      <c r="AK419" s="255"/>
      <c r="AL419" s="255"/>
    </row>
    <row r="420" spans="11:38" ht="12.75" customHeight="1" x14ac:dyDescent="0.25"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  <c r="AA420" s="255"/>
      <c r="AB420" s="255"/>
      <c r="AC420" s="255"/>
      <c r="AD420" s="255"/>
      <c r="AE420" s="255"/>
      <c r="AF420" s="255"/>
      <c r="AG420" s="255"/>
      <c r="AH420" s="255"/>
      <c r="AI420" s="255"/>
      <c r="AJ420" s="255"/>
      <c r="AK420" s="255"/>
      <c r="AL420" s="255"/>
    </row>
    <row r="421" spans="11:38" ht="12.75" customHeight="1" x14ac:dyDescent="0.25"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  <c r="AA421" s="255"/>
      <c r="AB421" s="255"/>
      <c r="AC421" s="255"/>
      <c r="AD421" s="255"/>
      <c r="AE421" s="255"/>
      <c r="AF421" s="255"/>
      <c r="AG421" s="255"/>
      <c r="AH421" s="255"/>
      <c r="AI421" s="255"/>
      <c r="AJ421" s="255"/>
      <c r="AK421" s="255"/>
      <c r="AL421" s="255"/>
    </row>
    <row r="422" spans="11:38" ht="12.75" customHeight="1" x14ac:dyDescent="0.25"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  <c r="AA422" s="255"/>
      <c r="AB422" s="255"/>
      <c r="AC422" s="255"/>
      <c r="AD422" s="255"/>
      <c r="AE422" s="255"/>
      <c r="AF422" s="255"/>
      <c r="AG422" s="255"/>
      <c r="AH422" s="255"/>
      <c r="AI422" s="255"/>
      <c r="AJ422" s="255"/>
      <c r="AK422" s="255"/>
      <c r="AL422" s="255"/>
    </row>
    <row r="423" spans="11:38" ht="12.75" customHeight="1" x14ac:dyDescent="0.25"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  <c r="AA423" s="255"/>
      <c r="AB423" s="255"/>
      <c r="AC423" s="255"/>
      <c r="AD423" s="255"/>
      <c r="AE423" s="255"/>
      <c r="AF423" s="255"/>
      <c r="AG423" s="255"/>
      <c r="AH423" s="255"/>
      <c r="AI423" s="255"/>
      <c r="AJ423" s="255"/>
      <c r="AK423" s="255"/>
      <c r="AL423" s="255"/>
    </row>
    <row r="424" spans="11:38" ht="12.75" customHeight="1" x14ac:dyDescent="0.25"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  <c r="AA424" s="255"/>
      <c r="AB424" s="255"/>
      <c r="AC424" s="255"/>
      <c r="AD424" s="255"/>
      <c r="AE424" s="255"/>
      <c r="AF424" s="255"/>
      <c r="AG424" s="255"/>
      <c r="AH424" s="255"/>
      <c r="AI424" s="255"/>
      <c r="AJ424" s="255"/>
      <c r="AK424" s="255"/>
      <c r="AL424" s="255"/>
    </row>
    <row r="425" spans="11:38" ht="12.75" customHeight="1" x14ac:dyDescent="0.25"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  <c r="AA425" s="255"/>
      <c r="AB425" s="255"/>
      <c r="AC425" s="255"/>
      <c r="AD425" s="255"/>
      <c r="AE425" s="255"/>
      <c r="AF425" s="255"/>
      <c r="AG425" s="255"/>
      <c r="AH425" s="255"/>
      <c r="AI425" s="255"/>
      <c r="AJ425" s="255"/>
      <c r="AK425" s="255"/>
      <c r="AL425" s="255"/>
    </row>
    <row r="426" spans="11:38" ht="12.75" customHeight="1" x14ac:dyDescent="0.25"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  <c r="AA426" s="255"/>
      <c r="AB426" s="255"/>
      <c r="AC426" s="255"/>
      <c r="AD426" s="255"/>
      <c r="AE426" s="255"/>
      <c r="AF426" s="255"/>
      <c r="AG426" s="255"/>
      <c r="AH426" s="255"/>
      <c r="AI426" s="255"/>
      <c r="AJ426" s="255"/>
      <c r="AK426" s="255"/>
      <c r="AL426" s="255"/>
    </row>
    <row r="427" spans="11:38" ht="12.75" customHeight="1" x14ac:dyDescent="0.25"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  <c r="AA427" s="255"/>
      <c r="AB427" s="255"/>
      <c r="AC427" s="255"/>
      <c r="AD427" s="255"/>
      <c r="AE427" s="255"/>
      <c r="AF427" s="255"/>
      <c r="AG427" s="255"/>
      <c r="AH427" s="255"/>
      <c r="AI427" s="255"/>
      <c r="AJ427" s="255"/>
      <c r="AK427" s="255"/>
      <c r="AL427" s="255"/>
    </row>
    <row r="428" spans="11:38" ht="12.75" customHeight="1" x14ac:dyDescent="0.25"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  <c r="AA428" s="255"/>
      <c r="AB428" s="255"/>
      <c r="AC428" s="255"/>
      <c r="AD428" s="255"/>
      <c r="AE428" s="255"/>
      <c r="AF428" s="255"/>
      <c r="AG428" s="255"/>
      <c r="AH428" s="255"/>
      <c r="AI428" s="255"/>
      <c r="AJ428" s="255"/>
      <c r="AK428" s="255"/>
      <c r="AL428" s="255"/>
    </row>
    <row r="429" spans="11:38" ht="12.75" customHeight="1" x14ac:dyDescent="0.25"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  <c r="AA429" s="255"/>
      <c r="AB429" s="255"/>
      <c r="AC429" s="255"/>
      <c r="AD429" s="255"/>
      <c r="AE429" s="255"/>
      <c r="AF429" s="255"/>
      <c r="AG429" s="255"/>
      <c r="AH429" s="255"/>
      <c r="AI429" s="255"/>
      <c r="AJ429" s="255"/>
      <c r="AK429" s="255"/>
      <c r="AL429" s="255"/>
    </row>
    <row r="430" spans="11:38" ht="12.75" customHeight="1" x14ac:dyDescent="0.25"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  <c r="AA430" s="255"/>
      <c r="AB430" s="255"/>
      <c r="AC430" s="255"/>
      <c r="AD430" s="255"/>
      <c r="AE430" s="255"/>
      <c r="AF430" s="255"/>
      <c r="AG430" s="255"/>
      <c r="AH430" s="255"/>
      <c r="AI430" s="255"/>
      <c r="AJ430" s="255"/>
      <c r="AK430" s="255"/>
      <c r="AL430" s="255"/>
    </row>
    <row r="431" spans="11:38" ht="12.75" customHeight="1" x14ac:dyDescent="0.25"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  <c r="AA431" s="255"/>
      <c r="AB431" s="255"/>
      <c r="AC431" s="255"/>
      <c r="AD431" s="255"/>
      <c r="AE431" s="255"/>
      <c r="AF431" s="255"/>
      <c r="AG431" s="255"/>
      <c r="AH431" s="255"/>
      <c r="AI431" s="255"/>
      <c r="AJ431" s="255"/>
      <c r="AK431" s="255"/>
      <c r="AL431" s="255"/>
    </row>
    <row r="432" spans="11:38" ht="12.75" customHeight="1" x14ac:dyDescent="0.25"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  <c r="AA432" s="255"/>
      <c r="AB432" s="255"/>
      <c r="AC432" s="255"/>
      <c r="AD432" s="255"/>
      <c r="AE432" s="255"/>
      <c r="AF432" s="255"/>
      <c r="AG432" s="255"/>
      <c r="AH432" s="255"/>
      <c r="AI432" s="255"/>
      <c r="AJ432" s="255"/>
      <c r="AK432" s="255"/>
      <c r="AL432" s="255"/>
    </row>
    <row r="433" spans="11:38" ht="12.75" customHeight="1" x14ac:dyDescent="0.25"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  <c r="AA433" s="255"/>
      <c r="AB433" s="255"/>
      <c r="AC433" s="255"/>
      <c r="AD433" s="255"/>
      <c r="AE433" s="255"/>
      <c r="AF433" s="255"/>
      <c r="AG433" s="255"/>
      <c r="AH433" s="255"/>
      <c r="AI433" s="255"/>
      <c r="AJ433" s="255"/>
      <c r="AK433" s="255"/>
      <c r="AL433" s="255"/>
    </row>
    <row r="434" spans="11:38" ht="12.75" customHeight="1" x14ac:dyDescent="0.25"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  <c r="AA434" s="255"/>
      <c r="AB434" s="255"/>
      <c r="AC434" s="255"/>
      <c r="AD434" s="255"/>
      <c r="AE434" s="255"/>
      <c r="AF434" s="255"/>
      <c r="AG434" s="255"/>
      <c r="AH434" s="255"/>
      <c r="AI434" s="255"/>
      <c r="AJ434" s="255"/>
      <c r="AK434" s="255"/>
      <c r="AL434" s="255"/>
    </row>
    <row r="435" spans="11:38" ht="12.75" customHeight="1" x14ac:dyDescent="0.25"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  <c r="AA435" s="255"/>
      <c r="AB435" s="255"/>
      <c r="AC435" s="255"/>
      <c r="AD435" s="255"/>
      <c r="AE435" s="255"/>
      <c r="AF435" s="255"/>
      <c r="AG435" s="255"/>
      <c r="AH435" s="255"/>
      <c r="AI435" s="255"/>
      <c r="AJ435" s="255"/>
      <c r="AK435" s="255"/>
      <c r="AL435" s="255"/>
    </row>
    <row r="436" spans="11:38" ht="12.75" customHeight="1" x14ac:dyDescent="0.25"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  <c r="AA436" s="255"/>
      <c r="AB436" s="255"/>
      <c r="AC436" s="255"/>
      <c r="AD436" s="255"/>
      <c r="AE436" s="255"/>
      <c r="AF436" s="255"/>
      <c r="AG436" s="255"/>
      <c r="AH436" s="255"/>
      <c r="AI436" s="255"/>
      <c r="AJ436" s="255"/>
      <c r="AK436" s="255"/>
      <c r="AL436" s="255"/>
    </row>
    <row r="437" spans="11:38" ht="12.75" customHeight="1" x14ac:dyDescent="0.25"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  <c r="AA437" s="255"/>
      <c r="AB437" s="255"/>
      <c r="AC437" s="255"/>
      <c r="AD437" s="255"/>
      <c r="AE437" s="255"/>
      <c r="AF437" s="255"/>
      <c r="AG437" s="255"/>
      <c r="AH437" s="255"/>
      <c r="AI437" s="255"/>
      <c r="AJ437" s="255"/>
      <c r="AK437" s="255"/>
      <c r="AL437" s="255"/>
    </row>
    <row r="438" spans="11:38" ht="12.75" customHeight="1" x14ac:dyDescent="0.25"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  <c r="AA438" s="255"/>
      <c r="AB438" s="255"/>
      <c r="AC438" s="255"/>
      <c r="AD438" s="255"/>
      <c r="AE438" s="255"/>
      <c r="AF438" s="255"/>
      <c r="AG438" s="255"/>
      <c r="AH438" s="255"/>
      <c r="AI438" s="255"/>
      <c r="AJ438" s="255"/>
      <c r="AK438" s="255"/>
      <c r="AL438" s="255"/>
    </row>
    <row r="439" spans="11:38" ht="12.75" customHeight="1" x14ac:dyDescent="0.25"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  <c r="AA439" s="255"/>
      <c r="AB439" s="255"/>
      <c r="AC439" s="255"/>
      <c r="AD439" s="255"/>
      <c r="AE439" s="255"/>
      <c r="AF439" s="255"/>
      <c r="AG439" s="255"/>
      <c r="AH439" s="255"/>
      <c r="AI439" s="255"/>
      <c r="AJ439" s="255"/>
      <c r="AK439" s="255"/>
      <c r="AL439" s="255"/>
    </row>
    <row r="440" spans="11:38" ht="12.75" customHeight="1" x14ac:dyDescent="0.25"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  <c r="AA440" s="255"/>
      <c r="AB440" s="255"/>
      <c r="AC440" s="255"/>
      <c r="AD440" s="255"/>
      <c r="AE440" s="255"/>
      <c r="AF440" s="255"/>
      <c r="AG440" s="255"/>
      <c r="AH440" s="255"/>
      <c r="AI440" s="255"/>
      <c r="AJ440" s="255"/>
      <c r="AK440" s="255"/>
      <c r="AL440" s="255"/>
    </row>
    <row r="441" spans="11:38" ht="12.75" customHeight="1" x14ac:dyDescent="0.25"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  <c r="AA441" s="255"/>
      <c r="AB441" s="255"/>
      <c r="AC441" s="255"/>
      <c r="AD441" s="255"/>
      <c r="AE441" s="255"/>
      <c r="AF441" s="255"/>
      <c r="AG441" s="255"/>
      <c r="AH441" s="255"/>
      <c r="AI441" s="255"/>
      <c r="AJ441" s="255"/>
      <c r="AK441" s="255"/>
      <c r="AL441" s="255"/>
    </row>
    <row r="442" spans="11:38" ht="12.75" customHeight="1" x14ac:dyDescent="0.25"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  <c r="AA442" s="255"/>
      <c r="AB442" s="255"/>
      <c r="AC442" s="255"/>
      <c r="AD442" s="255"/>
      <c r="AE442" s="255"/>
      <c r="AF442" s="255"/>
      <c r="AG442" s="255"/>
      <c r="AH442" s="255"/>
      <c r="AI442" s="255"/>
      <c r="AJ442" s="255"/>
      <c r="AK442" s="255"/>
      <c r="AL442" s="255"/>
    </row>
    <row r="443" spans="11:38" ht="12.75" customHeight="1" x14ac:dyDescent="0.25"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  <c r="AA443" s="255"/>
      <c r="AB443" s="255"/>
      <c r="AC443" s="255"/>
      <c r="AD443" s="255"/>
      <c r="AE443" s="255"/>
      <c r="AF443" s="255"/>
      <c r="AG443" s="255"/>
      <c r="AH443" s="255"/>
      <c r="AI443" s="255"/>
      <c r="AJ443" s="255"/>
      <c r="AK443" s="255"/>
      <c r="AL443" s="255"/>
    </row>
    <row r="444" spans="11:38" ht="12.75" customHeight="1" x14ac:dyDescent="0.25"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  <c r="AA444" s="255"/>
      <c r="AB444" s="255"/>
      <c r="AC444" s="255"/>
      <c r="AD444" s="255"/>
      <c r="AE444" s="255"/>
      <c r="AF444" s="255"/>
      <c r="AG444" s="255"/>
      <c r="AH444" s="255"/>
      <c r="AI444" s="255"/>
      <c r="AJ444" s="255"/>
      <c r="AK444" s="255"/>
      <c r="AL444" s="255"/>
    </row>
    <row r="445" spans="11:38" ht="12.75" customHeight="1" x14ac:dyDescent="0.25"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  <c r="AA445" s="255"/>
      <c r="AB445" s="255"/>
      <c r="AC445" s="255"/>
      <c r="AD445" s="255"/>
      <c r="AE445" s="255"/>
      <c r="AF445" s="255"/>
      <c r="AG445" s="255"/>
      <c r="AH445" s="255"/>
      <c r="AI445" s="255"/>
      <c r="AJ445" s="255"/>
      <c r="AK445" s="255"/>
      <c r="AL445" s="255"/>
    </row>
    <row r="446" spans="11:38" ht="12.75" customHeight="1" x14ac:dyDescent="0.25"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  <c r="AA446" s="255"/>
      <c r="AB446" s="255"/>
      <c r="AC446" s="255"/>
      <c r="AD446" s="255"/>
      <c r="AE446" s="255"/>
      <c r="AF446" s="255"/>
      <c r="AG446" s="255"/>
      <c r="AH446" s="255"/>
      <c r="AI446" s="255"/>
      <c r="AJ446" s="255"/>
      <c r="AK446" s="255"/>
      <c r="AL446" s="255"/>
    </row>
    <row r="447" spans="11:38" ht="12.75" customHeight="1" x14ac:dyDescent="0.25"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  <c r="AA447" s="255"/>
      <c r="AB447" s="255"/>
      <c r="AC447" s="255"/>
      <c r="AD447" s="255"/>
      <c r="AE447" s="255"/>
      <c r="AF447" s="255"/>
      <c r="AG447" s="255"/>
      <c r="AH447" s="255"/>
      <c r="AI447" s="255"/>
      <c r="AJ447" s="255"/>
      <c r="AK447" s="255"/>
      <c r="AL447" s="255"/>
    </row>
    <row r="448" spans="11:38" ht="12.75" customHeight="1" x14ac:dyDescent="0.25"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  <c r="AA448" s="255"/>
      <c r="AB448" s="255"/>
      <c r="AC448" s="255"/>
      <c r="AD448" s="255"/>
      <c r="AE448" s="255"/>
      <c r="AF448" s="255"/>
      <c r="AG448" s="255"/>
      <c r="AH448" s="255"/>
      <c r="AI448" s="255"/>
      <c r="AJ448" s="255"/>
      <c r="AK448" s="255"/>
      <c r="AL448" s="255"/>
    </row>
    <row r="449" spans="11:38" ht="12.75" customHeight="1" x14ac:dyDescent="0.25"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  <c r="AA449" s="255"/>
      <c r="AB449" s="255"/>
      <c r="AC449" s="255"/>
      <c r="AD449" s="255"/>
      <c r="AE449" s="255"/>
      <c r="AF449" s="255"/>
      <c r="AG449" s="255"/>
      <c r="AH449" s="255"/>
      <c r="AI449" s="255"/>
      <c r="AJ449" s="255"/>
      <c r="AK449" s="255"/>
      <c r="AL449" s="255"/>
    </row>
    <row r="450" spans="11:38" ht="12.75" customHeight="1" x14ac:dyDescent="0.25"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  <c r="AA450" s="255"/>
      <c r="AB450" s="255"/>
      <c r="AC450" s="255"/>
      <c r="AD450" s="255"/>
      <c r="AE450" s="255"/>
      <c r="AF450" s="255"/>
      <c r="AG450" s="255"/>
      <c r="AH450" s="255"/>
      <c r="AI450" s="255"/>
      <c r="AJ450" s="255"/>
      <c r="AK450" s="255"/>
      <c r="AL450" s="255"/>
    </row>
    <row r="451" spans="11:38" ht="12.75" customHeight="1" x14ac:dyDescent="0.25"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  <c r="AA451" s="255"/>
      <c r="AB451" s="255"/>
      <c r="AC451" s="255"/>
      <c r="AD451" s="255"/>
      <c r="AE451" s="255"/>
      <c r="AF451" s="255"/>
      <c r="AG451" s="255"/>
      <c r="AH451" s="255"/>
      <c r="AI451" s="255"/>
      <c r="AJ451" s="255"/>
      <c r="AK451" s="255"/>
      <c r="AL451" s="255"/>
    </row>
    <row r="452" spans="11:38" ht="12.75" customHeight="1" x14ac:dyDescent="0.25"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  <c r="AA452" s="255"/>
      <c r="AB452" s="255"/>
      <c r="AC452" s="255"/>
      <c r="AD452" s="255"/>
      <c r="AE452" s="255"/>
      <c r="AF452" s="255"/>
      <c r="AG452" s="255"/>
      <c r="AH452" s="255"/>
      <c r="AI452" s="255"/>
      <c r="AJ452" s="255"/>
      <c r="AK452" s="255"/>
      <c r="AL452" s="255"/>
    </row>
    <row r="453" spans="11:38" ht="12.75" customHeight="1" x14ac:dyDescent="0.25"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  <c r="AA453" s="255"/>
      <c r="AB453" s="255"/>
      <c r="AC453" s="255"/>
      <c r="AD453" s="255"/>
      <c r="AE453" s="255"/>
      <c r="AF453" s="255"/>
      <c r="AG453" s="255"/>
      <c r="AH453" s="255"/>
      <c r="AI453" s="255"/>
      <c r="AJ453" s="255"/>
      <c r="AK453" s="255"/>
      <c r="AL453" s="255"/>
    </row>
    <row r="454" spans="11:38" ht="12.75" customHeight="1" x14ac:dyDescent="0.25"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  <c r="AA454" s="255"/>
      <c r="AB454" s="255"/>
      <c r="AC454" s="255"/>
      <c r="AD454" s="255"/>
      <c r="AE454" s="255"/>
      <c r="AF454" s="255"/>
      <c r="AG454" s="255"/>
      <c r="AH454" s="255"/>
      <c r="AI454" s="255"/>
      <c r="AJ454" s="255"/>
      <c r="AK454" s="255"/>
      <c r="AL454" s="255"/>
    </row>
    <row r="455" spans="11:38" ht="12.75" customHeight="1" x14ac:dyDescent="0.25"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  <c r="AA455" s="255"/>
      <c r="AB455" s="255"/>
      <c r="AC455" s="255"/>
      <c r="AD455" s="255"/>
      <c r="AE455" s="255"/>
      <c r="AF455" s="255"/>
      <c r="AG455" s="255"/>
      <c r="AH455" s="255"/>
      <c r="AI455" s="255"/>
      <c r="AJ455" s="255"/>
      <c r="AK455" s="255"/>
      <c r="AL455" s="255"/>
    </row>
    <row r="456" spans="11:38" ht="12.75" customHeight="1" x14ac:dyDescent="0.25"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  <c r="AA456" s="255"/>
      <c r="AB456" s="255"/>
      <c r="AC456" s="255"/>
      <c r="AD456" s="255"/>
      <c r="AE456" s="255"/>
      <c r="AF456" s="255"/>
      <c r="AG456" s="255"/>
      <c r="AH456" s="255"/>
      <c r="AI456" s="255"/>
      <c r="AJ456" s="255"/>
      <c r="AK456" s="255"/>
      <c r="AL456" s="255"/>
    </row>
    <row r="457" spans="11:38" ht="12.75" customHeight="1" x14ac:dyDescent="0.25"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  <c r="AA457" s="255"/>
      <c r="AB457" s="255"/>
      <c r="AC457" s="255"/>
      <c r="AD457" s="255"/>
      <c r="AE457" s="255"/>
      <c r="AF457" s="255"/>
      <c r="AG457" s="255"/>
      <c r="AH457" s="255"/>
      <c r="AI457" s="255"/>
      <c r="AJ457" s="255"/>
      <c r="AK457" s="255"/>
      <c r="AL457" s="255"/>
    </row>
    <row r="458" spans="11:38" ht="12.75" customHeight="1" x14ac:dyDescent="0.25"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  <c r="AA458" s="255"/>
      <c r="AB458" s="255"/>
      <c r="AC458" s="255"/>
      <c r="AD458" s="255"/>
      <c r="AE458" s="255"/>
      <c r="AF458" s="255"/>
      <c r="AG458" s="255"/>
      <c r="AH458" s="255"/>
      <c r="AI458" s="255"/>
      <c r="AJ458" s="255"/>
      <c r="AK458" s="255"/>
      <c r="AL458" s="255"/>
    </row>
    <row r="459" spans="11:38" ht="12.75" customHeight="1" x14ac:dyDescent="0.25"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  <c r="AA459" s="255"/>
      <c r="AB459" s="255"/>
      <c r="AC459" s="255"/>
      <c r="AD459" s="255"/>
      <c r="AE459" s="255"/>
      <c r="AF459" s="255"/>
      <c r="AG459" s="255"/>
      <c r="AH459" s="255"/>
      <c r="AI459" s="255"/>
      <c r="AJ459" s="255"/>
      <c r="AK459" s="255"/>
      <c r="AL459" s="255"/>
    </row>
    <row r="460" spans="11:38" ht="12.75" customHeight="1" x14ac:dyDescent="0.25"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  <c r="AA460" s="255"/>
      <c r="AB460" s="255"/>
      <c r="AC460" s="255"/>
      <c r="AD460" s="255"/>
      <c r="AE460" s="255"/>
      <c r="AF460" s="255"/>
      <c r="AG460" s="255"/>
      <c r="AH460" s="255"/>
      <c r="AI460" s="255"/>
      <c r="AJ460" s="255"/>
      <c r="AK460" s="255"/>
      <c r="AL460" s="255"/>
    </row>
    <row r="461" spans="11:38" ht="12.75" customHeight="1" x14ac:dyDescent="0.25"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  <c r="AA461" s="255"/>
      <c r="AB461" s="255"/>
      <c r="AC461" s="255"/>
      <c r="AD461" s="255"/>
      <c r="AE461" s="255"/>
      <c r="AF461" s="255"/>
      <c r="AG461" s="255"/>
      <c r="AH461" s="255"/>
      <c r="AI461" s="255"/>
      <c r="AJ461" s="255"/>
      <c r="AK461" s="255"/>
      <c r="AL461" s="255"/>
    </row>
    <row r="462" spans="11:38" ht="12.75" customHeight="1" x14ac:dyDescent="0.25"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  <c r="AA462" s="255"/>
      <c r="AB462" s="255"/>
      <c r="AC462" s="255"/>
      <c r="AD462" s="255"/>
      <c r="AE462" s="255"/>
      <c r="AF462" s="255"/>
      <c r="AG462" s="255"/>
      <c r="AH462" s="255"/>
      <c r="AI462" s="255"/>
      <c r="AJ462" s="255"/>
      <c r="AK462" s="255"/>
      <c r="AL462" s="255"/>
    </row>
    <row r="463" spans="11:38" ht="12.75" customHeight="1" x14ac:dyDescent="0.25"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  <c r="AA463" s="255"/>
      <c r="AB463" s="255"/>
      <c r="AC463" s="255"/>
      <c r="AD463" s="255"/>
      <c r="AE463" s="255"/>
      <c r="AF463" s="255"/>
      <c r="AG463" s="255"/>
      <c r="AH463" s="255"/>
      <c r="AI463" s="255"/>
      <c r="AJ463" s="255"/>
      <c r="AK463" s="255"/>
      <c r="AL463" s="255"/>
    </row>
    <row r="464" spans="11:38" ht="12.75" customHeight="1" x14ac:dyDescent="0.25"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  <c r="AA464" s="255"/>
      <c r="AB464" s="255"/>
      <c r="AC464" s="255"/>
      <c r="AD464" s="255"/>
      <c r="AE464" s="255"/>
      <c r="AF464" s="255"/>
      <c r="AG464" s="255"/>
      <c r="AH464" s="255"/>
      <c r="AI464" s="255"/>
      <c r="AJ464" s="255"/>
      <c r="AK464" s="255"/>
      <c r="AL464" s="255"/>
    </row>
    <row r="465" spans="11:38" ht="12.75" customHeight="1" x14ac:dyDescent="0.25"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  <c r="AA465" s="255"/>
      <c r="AB465" s="255"/>
      <c r="AC465" s="255"/>
      <c r="AD465" s="255"/>
      <c r="AE465" s="255"/>
      <c r="AF465" s="255"/>
      <c r="AG465" s="255"/>
      <c r="AH465" s="255"/>
      <c r="AI465" s="255"/>
      <c r="AJ465" s="255"/>
      <c r="AK465" s="255"/>
      <c r="AL465" s="255"/>
    </row>
    <row r="466" spans="11:38" ht="12.75" customHeight="1" x14ac:dyDescent="0.25"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  <c r="AA466" s="255"/>
      <c r="AB466" s="255"/>
      <c r="AC466" s="255"/>
      <c r="AD466" s="255"/>
      <c r="AE466" s="255"/>
      <c r="AF466" s="255"/>
      <c r="AG466" s="255"/>
      <c r="AH466" s="255"/>
      <c r="AI466" s="255"/>
      <c r="AJ466" s="255"/>
      <c r="AK466" s="255"/>
      <c r="AL466" s="255"/>
    </row>
    <row r="467" spans="11:38" ht="12.75" customHeight="1" x14ac:dyDescent="0.25"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  <c r="AA467" s="255"/>
      <c r="AB467" s="255"/>
      <c r="AC467" s="255"/>
      <c r="AD467" s="255"/>
      <c r="AE467" s="255"/>
      <c r="AF467" s="255"/>
      <c r="AG467" s="255"/>
      <c r="AH467" s="255"/>
      <c r="AI467" s="255"/>
      <c r="AJ467" s="255"/>
      <c r="AK467" s="255"/>
      <c r="AL467" s="255"/>
    </row>
    <row r="468" spans="11:38" ht="12.75" customHeight="1" x14ac:dyDescent="0.25"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  <c r="AA468" s="255"/>
      <c r="AB468" s="255"/>
      <c r="AC468" s="255"/>
      <c r="AD468" s="255"/>
      <c r="AE468" s="255"/>
      <c r="AF468" s="255"/>
      <c r="AG468" s="255"/>
      <c r="AH468" s="255"/>
      <c r="AI468" s="255"/>
      <c r="AJ468" s="255"/>
      <c r="AK468" s="255"/>
      <c r="AL468" s="255"/>
    </row>
    <row r="469" spans="11:38" ht="12.75" customHeight="1" x14ac:dyDescent="0.25"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  <c r="AA469" s="255"/>
      <c r="AB469" s="255"/>
      <c r="AC469" s="255"/>
      <c r="AD469" s="255"/>
      <c r="AE469" s="255"/>
      <c r="AF469" s="255"/>
      <c r="AG469" s="255"/>
      <c r="AH469" s="255"/>
      <c r="AI469" s="255"/>
      <c r="AJ469" s="255"/>
      <c r="AK469" s="255"/>
      <c r="AL469" s="255"/>
    </row>
    <row r="470" spans="11:38" ht="12.75" customHeight="1" x14ac:dyDescent="0.25"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  <c r="AA470" s="255"/>
      <c r="AB470" s="255"/>
      <c r="AC470" s="255"/>
      <c r="AD470" s="255"/>
      <c r="AE470" s="255"/>
      <c r="AF470" s="255"/>
      <c r="AG470" s="255"/>
      <c r="AH470" s="255"/>
      <c r="AI470" s="255"/>
      <c r="AJ470" s="255"/>
      <c r="AK470" s="255"/>
      <c r="AL470" s="255"/>
    </row>
    <row r="471" spans="11:38" ht="12.75" customHeight="1" x14ac:dyDescent="0.25"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  <c r="AA471" s="255"/>
      <c r="AB471" s="255"/>
      <c r="AC471" s="255"/>
      <c r="AD471" s="255"/>
      <c r="AE471" s="255"/>
      <c r="AF471" s="255"/>
      <c r="AG471" s="255"/>
      <c r="AH471" s="255"/>
      <c r="AI471" s="255"/>
      <c r="AJ471" s="255"/>
      <c r="AK471" s="255"/>
      <c r="AL471" s="255"/>
    </row>
    <row r="472" spans="11:38" ht="12.75" customHeight="1" x14ac:dyDescent="0.25"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  <c r="AA472" s="255"/>
      <c r="AB472" s="255"/>
      <c r="AC472" s="255"/>
      <c r="AD472" s="255"/>
      <c r="AE472" s="255"/>
      <c r="AF472" s="255"/>
      <c r="AG472" s="255"/>
      <c r="AH472" s="255"/>
      <c r="AI472" s="255"/>
      <c r="AJ472" s="255"/>
      <c r="AK472" s="255"/>
      <c r="AL472" s="255"/>
    </row>
    <row r="473" spans="11:38" ht="12.75" customHeight="1" x14ac:dyDescent="0.25"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  <c r="AA473" s="255"/>
      <c r="AB473" s="255"/>
      <c r="AC473" s="255"/>
      <c r="AD473" s="255"/>
      <c r="AE473" s="255"/>
      <c r="AF473" s="255"/>
      <c r="AG473" s="255"/>
      <c r="AH473" s="255"/>
      <c r="AI473" s="255"/>
      <c r="AJ473" s="255"/>
      <c r="AK473" s="255"/>
      <c r="AL473" s="255"/>
    </row>
    <row r="474" spans="11:38" ht="12.75" customHeight="1" x14ac:dyDescent="0.25"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  <c r="AA474" s="255"/>
      <c r="AB474" s="255"/>
      <c r="AC474" s="255"/>
      <c r="AD474" s="255"/>
      <c r="AE474" s="255"/>
      <c r="AF474" s="255"/>
      <c r="AG474" s="255"/>
      <c r="AH474" s="255"/>
      <c r="AI474" s="255"/>
      <c r="AJ474" s="255"/>
      <c r="AK474" s="255"/>
      <c r="AL474" s="255"/>
    </row>
    <row r="475" spans="11:38" ht="12.75" customHeight="1" x14ac:dyDescent="0.25"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  <c r="AA475" s="255"/>
      <c r="AB475" s="255"/>
      <c r="AC475" s="255"/>
      <c r="AD475" s="255"/>
      <c r="AE475" s="255"/>
      <c r="AF475" s="255"/>
      <c r="AG475" s="255"/>
      <c r="AH475" s="255"/>
      <c r="AI475" s="255"/>
      <c r="AJ475" s="255"/>
      <c r="AK475" s="255"/>
      <c r="AL475" s="255"/>
    </row>
    <row r="476" spans="11:38" ht="12.75" customHeight="1" x14ac:dyDescent="0.25"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  <c r="AA476" s="255"/>
      <c r="AB476" s="255"/>
      <c r="AC476" s="255"/>
      <c r="AD476" s="255"/>
      <c r="AE476" s="255"/>
      <c r="AF476" s="255"/>
      <c r="AG476" s="255"/>
      <c r="AH476" s="255"/>
      <c r="AI476" s="255"/>
      <c r="AJ476" s="255"/>
      <c r="AK476" s="255"/>
      <c r="AL476" s="255"/>
    </row>
    <row r="477" spans="11:38" ht="12.75" customHeight="1" x14ac:dyDescent="0.25"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  <c r="AA477" s="255"/>
      <c r="AB477" s="255"/>
      <c r="AC477" s="255"/>
      <c r="AD477" s="255"/>
      <c r="AE477" s="255"/>
      <c r="AF477" s="255"/>
      <c r="AG477" s="255"/>
      <c r="AH477" s="255"/>
      <c r="AI477" s="255"/>
      <c r="AJ477" s="255"/>
      <c r="AK477" s="255"/>
      <c r="AL477" s="255"/>
    </row>
    <row r="478" spans="11:38" ht="12.75" customHeight="1" x14ac:dyDescent="0.25"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  <c r="AA478" s="255"/>
      <c r="AB478" s="255"/>
      <c r="AC478" s="255"/>
      <c r="AD478" s="255"/>
      <c r="AE478" s="255"/>
      <c r="AF478" s="255"/>
      <c r="AG478" s="255"/>
      <c r="AH478" s="255"/>
      <c r="AI478" s="255"/>
      <c r="AJ478" s="255"/>
      <c r="AK478" s="255"/>
      <c r="AL478" s="255"/>
    </row>
    <row r="479" spans="11:38" ht="12.75" customHeight="1" x14ac:dyDescent="0.25"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  <c r="AA479" s="255"/>
      <c r="AB479" s="255"/>
      <c r="AC479" s="255"/>
      <c r="AD479" s="255"/>
      <c r="AE479" s="255"/>
      <c r="AF479" s="255"/>
      <c r="AG479" s="255"/>
      <c r="AH479" s="255"/>
      <c r="AI479" s="255"/>
      <c r="AJ479" s="255"/>
      <c r="AK479" s="255"/>
      <c r="AL479" s="255"/>
    </row>
    <row r="480" spans="11:38" ht="12.75" customHeight="1" x14ac:dyDescent="0.25"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  <c r="AA480" s="255"/>
      <c r="AB480" s="255"/>
      <c r="AC480" s="255"/>
      <c r="AD480" s="255"/>
      <c r="AE480" s="255"/>
      <c r="AF480" s="255"/>
      <c r="AG480" s="255"/>
      <c r="AH480" s="255"/>
      <c r="AI480" s="255"/>
      <c r="AJ480" s="255"/>
      <c r="AK480" s="255"/>
      <c r="AL480" s="255"/>
    </row>
    <row r="481" spans="11:38" ht="12.75" customHeight="1" x14ac:dyDescent="0.25"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  <c r="AA481" s="255"/>
      <c r="AB481" s="255"/>
      <c r="AC481" s="255"/>
      <c r="AD481" s="255"/>
      <c r="AE481" s="255"/>
      <c r="AF481" s="255"/>
      <c r="AG481" s="255"/>
      <c r="AH481" s="255"/>
      <c r="AI481" s="255"/>
      <c r="AJ481" s="255"/>
      <c r="AK481" s="255"/>
      <c r="AL481" s="255"/>
    </row>
    <row r="482" spans="11:38" ht="12.75" customHeight="1" x14ac:dyDescent="0.25"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  <c r="AA482" s="255"/>
      <c r="AB482" s="255"/>
      <c r="AC482" s="255"/>
      <c r="AD482" s="255"/>
      <c r="AE482" s="255"/>
      <c r="AF482" s="255"/>
      <c r="AG482" s="255"/>
      <c r="AH482" s="255"/>
      <c r="AI482" s="255"/>
      <c r="AJ482" s="255"/>
      <c r="AK482" s="255"/>
      <c r="AL482" s="255"/>
    </row>
    <row r="483" spans="11:38" ht="12.75" customHeight="1" x14ac:dyDescent="0.25"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  <c r="AA483" s="255"/>
      <c r="AB483" s="255"/>
      <c r="AC483" s="255"/>
      <c r="AD483" s="255"/>
      <c r="AE483" s="255"/>
      <c r="AF483" s="255"/>
      <c r="AG483" s="255"/>
      <c r="AH483" s="255"/>
      <c r="AI483" s="255"/>
      <c r="AJ483" s="255"/>
      <c r="AK483" s="255"/>
      <c r="AL483" s="255"/>
    </row>
    <row r="484" spans="11:38" ht="12.75" customHeight="1" x14ac:dyDescent="0.25"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  <c r="AA484" s="255"/>
      <c r="AB484" s="255"/>
      <c r="AC484" s="255"/>
      <c r="AD484" s="255"/>
      <c r="AE484" s="255"/>
      <c r="AF484" s="255"/>
      <c r="AG484" s="255"/>
      <c r="AH484" s="255"/>
      <c r="AI484" s="255"/>
      <c r="AJ484" s="255"/>
      <c r="AK484" s="255"/>
      <c r="AL484" s="255"/>
    </row>
    <row r="485" spans="11:38" ht="12.75" customHeight="1" x14ac:dyDescent="0.25"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  <c r="AA485" s="255"/>
      <c r="AB485" s="255"/>
      <c r="AC485" s="255"/>
      <c r="AD485" s="255"/>
      <c r="AE485" s="255"/>
      <c r="AF485" s="255"/>
      <c r="AG485" s="255"/>
      <c r="AH485" s="255"/>
      <c r="AI485" s="255"/>
      <c r="AJ485" s="255"/>
      <c r="AK485" s="255"/>
      <c r="AL485" s="255"/>
    </row>
    <row r="486" spans="11:38" ht="12.75" customHeight="1" x14ac:dyDescent="0.25"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  <c r="AA486" s="255"/>
      <c r="AB486" s="255"/>
      <c r="AC486" s="255"/>
      <c r="AD486" s="255"/>
      <c r="AE486" s="255"/>
      <c r="AF486" s="255"/>
      <c r="AG486" s="255"/>
      <c r="AH486" s="255"/>
      <c r="AI486" s="255"/>
      <c r="AJ486" s="255"/>
      <c r="AK486" s="255"/>
      <c r="AL486" s="255"/>
    </row>
    <row r="487" spans="11:38" ht="12.75" customHeight="1" x14ac:dyDescent="0.25"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  <c r="AA487" s="255"/>
      <c r="AB487" s="255"/>
      <c r="AC487" s="255"/>
      <c r="AD487" s="255"/>
      <c r="AE487" s="255"/>
      <c r="AF487" s="255"/>
      <c r="AG487" s="255"/>
      <c r="AH487" s="255"/>
      <c r="AI487" s="255"/>
      <c r="AJ487" s="255"/>
      <c r="AK487" s="255"/>
      <c r="AL487" s="255"/>
    </row>
    <row r="488" spans="11:38" ht="12.75" customHeight="1" x14ac:dyDescent="0.25"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  <c r="AA488" s="255"/>
      <c r="AB488" s="255"/>
      <c r="AC488" s="255"/>
      <c r="AD488" s="255"/>
      <c r="AE488" s="255"/>
      <c r="AF488" s="255"/>
      <c r="AG488" s="255"/>
      <c r="AH488" s="255"/>
      <c r="AI488" s="255"/>
      <c r="AJ488" s="255"/>
      <c r="AK488" s="255"/>
      <c r="AL488" s="255"/>
    </row>
    <row r="489" spans="11:38" ht="12.75" customHeight="1" x14ac:dyDescent="0.25"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  <c r="AA489" s="255"/>
      <c r="AB489" s="255"/>
      <c r="AC489" s="255"/>
      <c r="AD489" s="255"/>
      <c r="AE489" s="255"/>
      <c r="AF489" s="255"/>
      <c r="AG489" s="255"/>
      <c r="AH489" s="255"/>
      <c r="AI489" s="255"/>
      <c r="AJ489" s="255"/>
      <c r="AK489" s="255"/>
      <c r="AL489" s="255"/>
    </row>
    <row r="490" spans="11:38" ht="12.75" customHeight="1" x14ac:dyDescent="0.25"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  <c r="AA490" s="255"/>
      <c r="AB490" s="255"/>
      <c r="AC490" s="255"/>
      <c r="AD490" s="255"/>
      <c r="AE490" s="255"/>
      <c r="AF490" s="255"/>
      <c r="AG490" s="255"/>
      <c r="AH490" s="255"/>
      <c r="AI490" s="255"/>
      <c r="AJ490" s="255"/>
      <c r="AK490" s="255"/>
      <c r="AL490" s="255"/>
    </row>
    <row r="491" spans="11:38" ht="12.75" customHeight="1" x14ac:dyDescent="0.25"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  <c r="AA491" s="255"/>
      <c r="AB491" s="255"/>
      <c r="AC491" s="255"/>
      <c r="AD491" s="255"/>
      <c r="AE491" s="255"/>
      <c r="AF491" s="255"/>
      <c r="AG491" s="255"/>
      <c r="AH491" s="255"/>
      <c r="AI491" s="255"/>
      <c r="AJ491" s="255"/>
      <c r="AK491" s="255"/>
      <c r="AL491" s="255"/>
    </row>
    <row r="492" spans="11:38" ht="12.75" customHeight="1" x14ac:dyDescent="0.25"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  <c r="AA492" s="255"/>
      <c r="AB492" s="255"/>
      <c r="AC492" s="255"/>
      <c r="AD492" s="255"/>
      <c r="AE492" s="255"/>
      <c r="AF492" s="255"/>
      <c r="AG492" s="255"/>
      <c r="AH492" s="255"/>
      <c r="AI492" s="255"/>
      <c r="AJ492" s="255"/>
      <c r="AK492" s="255"/>
      <c r="AL492" s="255"/>
    </row>
    <row r="493" spans="11:38" ht="12.75" customHeight="1" x14ac:dyDescent="0.25"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  <c r="AA493" s="255"/>
      <c r="AB493" s="255"/>
      <c r="AC493" s="255"/>
      <c r="AD493" s="255"/>
      <c r="AE493" s="255"/>
      <c r="AF493" s="255"/>
      <c r="AG493" s="255"/>
      <c r="AH493" s="255"/>
      <c r="AI493" s="255"/>
      <c r="AJ493" s="255"/>
      <c r="AK493" s="255"/>
      <c r="AL493" s="255"/>
    </row>
    <row r="494" spans="11:38" ht="12.75" customHeight="1" x14ac:dyDescent="0.25"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  <c r="AA494" s="255"/>
      <c r="AB494" s="255"/>
      <c r="AC494" s="255"/>
      <c r="AD494" s="255"/>
      <c r="AE494" s="255"/>
      <c r="AF494" s="255"/>
      <c r="AG494" s="255"/>
      <c r="AH494" s="255"/>
      <c r="AI494" s="255"/>
      <c r="AJ494" s="255"/>
      <c r="AK494" s="255"/>
      <c r="AL494" s="255"/>
    </row>
    <row r="495" spans="11:38" ht="12.75" customHeight="1" x14ac:dyDescent="0.25"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  <c r="AA495" s="255"/>
      <c r="AB495" s="255"/>
      <c r="AC495" s="255"/>
      <c r="AD495" s="255"/>
      <c r="AE495" s="255"/>
      <c r="AF495" s="255"/>
      <c r="AG495" s="255"/>
      <c r="AH495" s="255"/>
      <c r="AI495" s="255"/>
      <c r="AJ495" s="255"/>
      <c r="AK495" s="255"/>
      <c r="AL495" s="255"/>
    </row>
    <row r="496" spans="11:38" ht="12.75" customHeight="1" x14ac:dyDescent="0.25"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  <c r="AA496" s="255"/>
      <c r="AB496" s="255"/>
      <c r="AC496" s="255"/>
      <c r="AD496" s="255"/>
      <c r="AE496" s="255"/>
      <c r="AF496" s="255"/>
      <c r="AG496" s="255"/>
      <c r="AH496" s="255"/>
      <c r="AI496" s="255"/>
      <c r="AJ496" s="255"/>
      <c r="AK496" s="255"/>
      <c r="AL496" s="255"/>
    </row>
    <row r="497" spans="11:38" ht="12.75" customHeight="1" x14ac:dyDescent="0.25"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  <c r="AA497" s="255"/>
      <c r="AB497" s="255"/>
      <c r="AC497" s="255"/>
      <c r="AD497" s="255"/>
      <c r="AE497" s="255"/>
      <c r="AF497" s="255"/>
      <c r="AG497" s="255"/>
      <c r="AH497" s="255"/>
      <c r="AI497" s="255"/>
      <c r="AJ497" s="255"/>
      <c r="AK497" s="255"/>
      <c r="AL497" s="255"/>
    </row>
    <row r="498" spans="11:38" ht="12.75" customHeight="1" x14ac:dyDescent="0.25"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  <c r="AA498" s="255"/>
      <c r="AB498" s="255"/>
      <c r="AC498" s="255"/>
      <c r="AD498" s="255"/>
      <c r="AE498" s="255"/>
      <c r="AF498" s="255"/>
      <c r="AG498" s="255"/>
      <c r="AH498" s="255"/>
      <c r="AI498" s="255"/>
      <c r="AJ498" s="255"/>
      <c r="AK498" s="255"/>
      <c r="AL498" s="255"/>
    </row>
    <row r="499" spans="11:38" ht="12.75" customHeight="1" x14ac:dyDescent="0.25"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  <c r="AA499" s="255"/>
      <c r="AB499" s="255"/>
      <c r="AC499" s="255"/>
      <c r="AD499" s="255"/>
      <c r="AE499" s="255"/>
      <c r="AF499" s="255"/>
      <c r="AG499" s="255"/>
      <c r="AH499" s="255"/>
      <c r="AI499" s="255"/>
      <c r="AJ499" s="255"/>
      <c r="AK499" s="255"/>
      <c r="AL499" s="255"/>
    </row>
    <row r="500" spans="11:38" ht="12.75" customHeight="1" x14ac:dyDescent="0.25"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  <c r="AA500" s="255"/>
      <c r="AB500" s="255"/>
      <c r="AC500" s="255"/>
      <c r="AD500" s="255"/>
      <c r="AE500" s="255"/>
      <c r="AF500" s="255"/>
      <c r="AG500" s="255"/>
      <c r="AH500" s="255"/>
      <c r="AI500" s="255"/>
      <c r="AJ500" s="255"/>
      <c r="AK500" s="255"/>
      <c r="AL500" s="255"/>
    </row>
    <row r="501" spans="11:38" ht="12.75" customHeight="1" x14ac:dyDescent="0.25"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  <c r="AA501" s="255"/>
      <c r="AB501" s="255"/>
      <c r="AC501" s="255"/>
      <c r="AD501" s="255"/>
      <c r="AE501" s="255"/>
      <c r="AF501" s="255"/>
      <c r="AG501" s="255"/>
      <c r="AH501" s="255"/>
      <c r="AI501" s="255"/>
      <c r="AJ501" s="255"/>
      <c r="AK501" s="255"/>
      <c r="AL501" s="255"/>
    </row>
    <row r="502" spans="11:38" ht="12.75" customHeight="1" x14ac:dyDescent="0.25"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  <c r="AA502" s="255"/>
      <c r="AB502" s="255"/>
      <c r="AC502" s="255"/>
      <c r="AD502" s="255"/>
      <c r="AE502" s="255"/>
      <c r="AF502" s="255"/>
      <c r="AG502" s="255"/>
      <c r="AH502" s="255"/>
      <c r="AI502" s="255"/>
      <c r="AJ502" s="255"/>
      <c r="AK502" s="255"/>
      <c r="AL502" s="255"/>
    </row>
    <row r="503" spans="11:38" ht="12.75" customHeight="1" x14ac:dyDescent="0.25"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  <c r="AA503" s="255"/>
      <c r="AB503" s="255"/>
      <c r="AC503" s="255"/>
      <c r="AD503" s="255"/>
      <c r="AE503" s="255"/>
      <c r="AF503" s="255"/>
      <c r="AG503" s="255"/>
      <c r="AH503" s="255"/>
      <c r="AI503" s="255"/>
      <c r="AJ503" s="255"/>
      <c r="AK503" s="255"/>
      <c r="AL503" s="255"/>
    </row>
    <row r="504" spans="11:38" ht="12.75" customHeight="1" x14ac:dyDescent="0.25"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  <c r="AA504" s="255"/>
      <c r="AB504" s="255"/>
      <c r="AC504" s="255"/>
      <c r="AD504" s="255"/>
      <c r="AE504" s="255"/>
      <c r="AF504" s="255"/>
      <c r="AG504" s="255"/>
      <c r="AH504" s="255"/>
      <c r="AI504" s="255"/>
      <c r="AJ504" s="255"/>
      <c r="AK504" s="255"/>
      <c r="AL504" s="255"/>
    </row>
    <row r="505" spans="11:38" ht="12.75" customHeight="1" x14ac:dyDescent="0.25"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  <c r="AA505" s="255"/>
      <c r="AB505" s="255"/>
      <c r="AC505" s="255"/>
      <c r="AD505" s="255"/>
      <c r="AE505" s="255"/>
      <c r="AF505" s="255"/>
      <c r="AG505" s="255"/>
      <c r="AH505" s="255"/>
      <c r="AI505" s="255"/>
      <c r="AJ505" s="255"/>
      <c r="AK505" s="255"/>
      <c r="AL505" s="255"/>
    </row>
    <row r="506" spans="11:38" ht="12.75" customHeight="1" x14ac:dyDescent="0.25"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  <c r="AA506" s="255"/>
      <c r="AB506" s="255"/>
      <c r="AC506" s="255"/>
      <c r="AD506" s="255"/>
      <c r="AE506" s="255"/>
      <c r="AF506" s="255"/>
      <c r="AG506" s="255"/>
      <c r="AH506" s="255"/>
      <c r="AI506" s="255"/>
      <c r="AJ506" s="255"/>
      <c r="AK506" s="255"/>
      <c r="AL506" s="255"/>
    </row>
    <row r="507" spans="11:38" ht="12.75" customHeight="1" x14ac:dyDescent="0.25"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  <c r="AA507" s="255"/>
      <c r="AB507" s="255"/>
      <c r="AC507" s="255"/>
      <c r="AD507" s="255"/>
      <c r="AE507" s="255"/>
      <c r="AF507" s="255"/>
      <c r="AG507" s="255"/>
      <c r="AH507" s="255"/>
      <c r="AI507" s="255"/>
      <c r="AJ507" s="255"/>
      <c r="AK507" s="255"/>
      <c r="AL507" s="255"/>
    </row>
    <row r="508" spans="11:38" ht="12.75" customHeight="1" x14ac:dyDescent="0.25"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  <c r="AA508" s="255"/>
      <c r="AB508" s="255"/>
      <c r="AC508" s="255"/>
      <c r="AD508" s="255"/>
      <c r="AE508" s="255"/>
      <c r="AF508" s="255"/>
      <c r="AG508" s="255"/>
      <c r="AH508" s="255"/>
      <c r="AI508" s="255"/>
      <c r="AJ508" s="255"/>
      <c r="AK508" s="255"/>
      <c r="AL508" s="255"/>
    </row>
    <row r="509" spans="11:38" ht="12.75" customHeight="1" x14ac:dyDescent="0.25"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  <c r="AA509" s="255"/>
      <c r="AB509" s="255"/>
      <c r="AC509" s="255"/>
      <c r="AD509" s="255"/>
      <c r="AE509" s="255"/>
      <c r="AF509" s="255"/>
      <c r="AG509" s="255"/>
      <c r="AH509" s="255"/>
      <c r="AI509" s="255"/>
      <c r="AJ509" s="255"/>
      <c r="AK509" s="255"/>
      <c r="AL509" s="255"/>
    </row>
    <row r="510" spans="11:38" ht="12.75" customHeight="1" x14ac:dyDescent="0.25"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  <c r="AA510" s="255"/>
      <c r="AB510" s="255"/>
      <c r="AC510" s="255"/>
      <c r="AD510" s="255"/>
      <c r="AE510" s="255"/>
      <c r="AF510" s="255"/>
      <c r="AG510" s="255"/>
      <c r="AH510" s="255"/>
      <c r="AI510" s="255"/>
      <c r="AJ510" s="255"/>
      <c r="AK510" s="255"/>
      <c r="AL510" s="255"/>
    </row>
    <row r="511" spans="11:38" ht="12.75" customHeight="1" x14ac:dyDescent="0.25"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  <c r="AA511" s="255"/>
      <c r="AB511" s="255"/>
      <c r="AC511" s="255"/>
      <c r="AD511" s="255"/>
      <c r="AE511" s="255"/>
      <c r="AF511" s="255"/>
      <c r="AG511" s="255"/>
      <c r="AH511" s="255"/>
      <c r="AI511" s="255"/>
      <c r="AJ511" s="255"/>
      <c r="AK511" s="255"/>
      <c r="AL511" s="255"/>
    </row>
    <row r="512" spans="11:38" ht="12.75" customHeight="1" x14ac:dyDescent="0.25"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  <c r="AA512" s="255"/>
      <c r="AB512" s="255"/>
      <c r="AC512" s="255"/>
      <c r="AD512" s="255"/>
      <c r="AE512" s="255"/>
      <c r="AF512" s="255"/>
      <c r="AG512" s="255"/>
      <c r="AH512" s="255"/>
      <c r="AI512" s="255"/>
      <c r="AJ512" s="255"/>
      <c r="AK512" s="255"/>
      <c r="AL512" s="255"/>
    </row>
    <row r="513" spans="11:38" ht="12.75" customHeight="1" x14ac:dyDescent="0.25"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  <c r="AA513" s="255"/>
      <c r="AB513" s="255"/>
      <c r="AC513" s="255"/>
      <c r="AD513" s="255"/>
      <c r="AE513" s="255"/>
      <c r="AF513" s="255"/>
      <c r="AG513" s="255"/>
      <c r="AH513" s="255"/>
      <c r="AI513" s="255"/>
      <c r="AJ513" s="255"/>
      <c r="AK513" s="255"/>
      <c r="AL513" s="255"/>
    </row>
    <row r="514" spans="11:38" ht="12.75" customHeight="1" x14ac:dyDescent="0.25"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  <c r="AA514" s="255"/>
      <c r="AB514" s="255"/>
      <c r="AC514" s="255"/>
      <c r="AD514" s="255"/>
      <c r="AE514" s="255"/>
      <c r="AF514" s="255"/>
      <c r="AG514" s="255"/>
      <c r="AH514" s="255"/>
      <c r="AI514" s="255"/>
      <c r="AJ514" s="255"/>
      <c r="AK514" s="255"/>
      <c r="AL514" s="255"/>
    </row>
    <row r="515" spans="11:38" ht="12.75" customHeight="1" x14ac:dyDescent="0.25"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  <c r="AA515" s="255"/>
      <c r="AB515" s="255"/>
      <c r="AC515" s="255"/>
      <c r="AD515" s="255"/>
      <c r="AE515" s="255"/>
      <c r="AF515" s="255"/>
      <c r="AG515" s="255"/>
      <c r="AH515" s="255"/>
      <c r="AI515" s="255"/>
      <c r="AJ515" s="255"/>
      <c r="AK515" s="255"/>
      <c r="AL515" s="255"/>
    </row>
    <row r="516" spans="11:38" ht="12.75" customHeight="1" x14ac:dyDescent="0.25"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  <c r="AA516" s="255"/>
      <c r="AB516" s="255"/>
      <c r="AC516" s="255"/>
      <c r="AD516" s="255"/>
      <c r="AE516" s="255"/>
      <c r="AF516" s="255"/>
      <c r="AG516" s="255"/>
      <c r="AH516" s="255"/>
      <c r="AI516" s="255"/>
      <c r="AJ516" s="255"/>
      <c r="AK516" s="255"/>
      <c r="AL516" s="255"/>
    </row>
    <row r="517" spans="11:38" ht="12.75" customHeight="1" x14ac:dyDescent="0.25"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  <c r="AA517" s="255"/>
      <c r="AB517" s="255"/>
      <c r="AC517" s="255"/>
      <c r="AD517" s="255"/>
      <c r="AE517" s="255"/>
      <c r="AF517" s="255"/>
      <c r="AG517" s="255"/>
      <c r="AH517" s="255"/>
      <c r="AI517" s="255"/>
      <c r="AJ517" s="255"/>
      <c r="AK517" s="255"/>
      <c r="AL517" s="255"/>
    </row>
    <row r="518" spans="11:38" ht="12.75" customHeight="1" x14ac:dyDescent="0.25"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  <c r="AA518" s="255"/>
      <c r="AB518" s="255"/>
      <c r="AC518" s="255"/>
      <c r="AD518" s="255"/>
      <c r="AE518" s="255"/>
      <c r="AF518" s="255"/>
      <c r="AG518" s="255"/>
      <c r="AH518" s="255"/>
      <c r="AI518" s="255"/>
      <c r="AJ518" s="255"/>
      <c r="AK518" s="255"/>
      <c r="AL518" s="255"/>
    </row>
    <row r="519" spans="11:38" ht="12.75" customHeight="1" x14ac:dyDescent="0.25"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  <c r="AA519" s="255"/>
      <c r="AB519" s="255"/>
      <c r="AC519" s="255"/>
      <c r="AD519" s="255"/>
      <c r="AE519" s="255"/>
      <c r="AF519" s="255"/>
      <c r="AG519" s="255"/>
      <c r="AH519" s="255"/>
      <c r="AI519" s="255"/>
      <c r="AJ519" s="255"/>
      <c r="AK519" s="255"/>
      <c r="AL519" s="255"/>
    </row>
    <row r="520" spans="11:38" ht="12.75" customHeight="1" x14ac:dyDescent="0.25"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  <c r="AA520" s="255"/>
      <c r="AB520" s="255"/>
      <c r="AC520" s="255"/>
      <c r="AD520" s="255"/>
      <c r="AE520" s="255"/>
      <c r="AF520" s="255"/>
      <c r="AG520" s="255"/>
      <c r="AH520" s="255"/>
      <c r="AI520" s="255"/>
      <c r="AJ520" s="255"/>
      <c r="AK520" s="255"/>
      <c r="AL520" s="255"/>
    </row>
    <row r="521" spans="11:38" ht="12.75" customHeight="1" x14ac:dyDescent="0.25"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  <c r="AA521" s="255"/>
      <c r="AB521" s="255"/>
      <c r="AC521" s="255"/>
      <c r="AD521" s="255"/>
      <c r="AE521" s="255"/>
      <c r="AF521" s="255"/>
      <c r="AG521" s="255"/>
      <c r="AH521" s="255"/>
      <c r="AI521" s="255"/>
      <c r="AJ521" s="255"/>
      <c r="AK521" s="255"/>
      <c r="AL521" s="255"/>
    </row>
    <row r="522" spans="11:38" ht="12.75" customHeight="1" x14ac:dyDescent="0.25"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  <c r="AA522" s="255"/>
      <c r="AB522" s="255"/>
      <c r="AC522" s="255"/>
      <c r="AD522" s="255"/>
      <c r="AE522" s="255"/>
      <c r="AF522" s="255"/>
      <c r="AG522" s="255"/>
      <c r="AH522" s="255"/>
      <c r="AI522" s="255"/>
      <c r="AJ522" s="255"/>
      <c r="AK522" s="255"/>
      <c r="AL522" s="255"/>
    </row>
    <row r="523" spans="11:38" ht="12.75" customHeight="1" x14ac:dyDescent="0.25"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  <c r="AA523" s="255"/>
      <c r="AB523" s="255"/>
      <c r="AC523" s="255"/>
      <c r="AD523" s="255"/>
      <c r="AE523" s="255"/>
      <c r="AF523" s="255"/>
      <c r="AG523" s="255"/>
      <c r="AH523" s="255"/>
      <c r="AI523" s="255"/>
      <c r="AJ523" s="255"/>
      <c r="AK523" s="255"/>
      <c r="AL523" s="255"/>
    </row>
    <row r="524" spans="11:38" ht="12.75" customHeight="1" x14ac:dyDescent="0.25"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  <c r="AA524" s="255"/>
      <c r="AB524" s="255"/>
      <c r="AC524" s="255"/>
      <c r="AD524" s="255"/>
      <c r="AE524" s="255"/>
      <c r="AF524" s="255"/>
      <c r="AG524" s="255"/>
      <c r="AH524" s="255"/>
      <c r="AI524" s="255"/>
      <c r="AJ524" s="255"/>
      <c r="AK524" s="255"/>
      <c r="AL524" s="255"/>
    </row>
    <row r="525" spans="11:38" ht="12.75" customHeight="1" x14ac:dyDescent="0.25"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  <c r="AA525" s="255"/>
      <c r="AB525" s="255"/>
      <c r="AC525" s="255"/>
      <c r="AD525" s="255"/>
      <c r="AE525" s="255"/>
      <c r="AF525" s="255"/>
      <c r="AG525" s="255"/>
      <c r="AH525" s="255"/>
      <c r="AI525" s="255"/>
      <c r="AJ525" s="255"/>
      <c r="AK525" s="255"/>
      <c r="AL525" s="255"/>
    </row>
    <row r="526" spans="11:38" ht="12.75" customHeight="1" x14ac:dyDescent="0.25"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  <c r="AA526" s="255"/>
      <c r="AB526" s="255"/>
      <c r="AC526" s="255"/>
      <c r="AD526" s="255"/>
      <c r="AE526" s="255"/>
      <c r="AF526" s="255"/>
      <c r="AG526" s="255"/>
      <c r="AH526" s="255"/>
      <c r="AI526" s="255"/>
      <c r="AJ526" s="255"/>
      <c r="AK526" s="255"/>
      <c r="AL526" s="255"/>
    </row>
    <row r="527" spans="11:38" ht="12.75" customHeight="1" x14ac:dyDescent="0.25"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  <c r="AA527" s="255"/>
      <c r="AB527" s="255"/>
      <c r="AC527" s="255"/>
      <c r="AD527" s="255"/>
      <c r="AE527" s="255"/>
      <c r="AF527" s="255"/>
      <c r="AG527" s="255"/>
      <c r="AH527" s="255"/>
      <c r="AI527" s="255"/>
      <c r="AJ527" s="255"/>
      <c r="AK527" s="255"/>
      <c r="AL527" s="255"/>
    </row>
    <row r="528" spans="11:38" ht="12.75" customHeight="1" x14ac:dyDescent="0.25"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  <c r="AA528" s="255"/>
      <c r="AB528" s="255"/>
      <c r="AC528" s="255"/>
      <c r="AD528" s="255"/>
      <c r="AE528" s="255"/>
      <c r="AF528" s="255"/>
      <c r="AG528" s="255"/>
      <c r="AH528" s="255"/>
      <c r="AI528" s="255"/>
      <c r="AJ528" s="255"/>
      <c r="AK528" s="255"/>
      <c r="AL528" s="255"/>
    </row>
    <row r="529" spans="11:38" ht="12.75" customHeight="1" x14ac:dyDescent="0.25"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  <c r="AA529" s="255"/>
      <c r="AB529" s="255"/>
      <c r="AC529" s="255"/>
      <c r="AD529" s="255"/>
      <c r="AE529" s="255"/>
      <c r="AF529" s="255"/>
      <c r="AG529" s="255"/>
      <c r="AH529" s="255"/>
      <c r="AI529" s="255"/>
      <c r="AJ529" s="255"/>
      <c r="AK529" s="255"/>
      <c r="AL529" s="255"/>
    </row>
    <row r="530" spans="11:38" ht="12.75" customHeight="1" x14ac:dyDescent="0.25"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  <c r="AA530" s="255"/>
      <c r="AB530" s="255"/>
      <c r="AC530" s="255"/>
      <c r="AD530" s="255"/>
      <c r="AE530" s="255"/>
      <c r="AF530" s="255"/>
      <c r="AG530" s="255"/>
      <c r="AH530" s="255"/>
      <c r="AI530" s="255"/>
      <c r="AJ530" s="255"/>
      <c r="AK530" s="255"/>
      <c r="AL530" s="255"/>
    </row>
    <row r="531" spans="11:38" ht="12.75" customHeight="1" x14ac:dyDescent="0.25"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  <c r="AA531" s="255"/>
      <c r="AB531" s="255"/>
      <c r="AC531" s="255"/>
      <c r="AD531" s="255"/>
      <c r="AE531" s="255"/>
      <c r="AF531" s="255"/>
      <c r="AG531" s="255"/>
      <c r="AH531" s="255"/>
      <c r="AI531" s="255"/>
      <c r="AJ531" s="255"/>
      <c r="AK531" s="255"/>
      <c r="AL531" s="255"/>
    </row>
    <row r="532" spans="11:38" ht="12.75" customHeight="1" x14ac:dyDescent="0.25"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  <c r="AA532" s="255"/>
      <c r="AB532" s="255"/>
      <c r="AC532" s="255"/>
      <c r="AD532" s="255"/>
      <c r="AE532" s="255"/>
      <c r="AF532" s="255"/>
      <c r="AG532" s="255"/>
      <c r="AH532" s="255"/>
      <c r="AI532" s="255"/>
      <c r="AJ532" s="255"/>
      <c r="AK532" s="255"/>
      <c r="AL532" s="255"/>
    </row>
    <row r="533" spans="11:38" ht="12.75" customHeight="1" x14ac:dyDescent="0.25"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  <c r="AA533" s="255"/>
      <c r="AB533" s="255"/>
      <c r="AC533" s="255"/>
      <c r="AD533" s="255"/>
      <c r="AE533" s="255"/>
      <c r="AF533" s="255"/>
      <c r="AG533" s="255"/>
      <c r="AH533" s="255"/>
      <c r="AI533" s="255"/>
      <c r="AJ533" s="255"/>
      <c r="AK533" s="255"/>
      <c r="AL533" s="255"/>
    </row>
    <row r="534" spans="11:38" ht="12.75" customHeight="1" x14ac:dyDescent="0.25"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  <c r="AA534" s="255"/>
      <c r="AB534" s="255"/>
      <c r="AC534" s="255"/>
      <c r="AD534" s="255"/>
      <c r="AE534" s="255"/>
      <c r="AF534" s="255"/>
      <c r="AG534" s="255"/>
      <c r="AH534" s="255"/>
      <c r="AI534" s="255"/>
      <c r="AJ534" s="255"/>
      <c r="AK534" s="255"/>
      <c r="AL534" s="255"/>
    </row>
    <row r="535" spans="11:38" ht="12.75" customHeight="1" x14ac:dyDescent="0.25"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  <c r="AA535" s="255"/>
      <c r="AB535" s="255"/>
      <c r="AC535" s="255"/>
      <c r="AD535" s="255"/>
      <c r="AE535" s="255"/>
      <c r="AF535" s="255"/>
      <c r="AG535" s="255"/>
      <c r="AH535" s="255"/>
      <c r="AI535" s="255"/>
      <c r="AJ535" s="255"/>
      <c r="AK535" s="255"/>
      <c r="AL535" s="255"/>
    </row>
    <row r="536" spans="11:38" ht="12.75" customHeight="1" x14ac:dyDescent="0.25"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  <c r="AA536" s="255"/>
      <c r="AB536" s="255"/>
      <c r="AC536" s="255"/>
      <c r="AD536" s="255"/>
      <c r="AE536" s="255"/>
      <c r="AF536" s="255"/>
      <c r="AG536" s="255"/>
      <c r="AH536" s="255"/>
      <c r="AI536" s="255"/>
      <c r="AJ536" s="255"/>
      <c r="AK536" s="255"/>
      <c r="AL536" s="255"/>
    </row>
    <row r="537" spans="11:38" ht="12.75" customHeight="1" x14ac:dyDescent="0.25"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  <c r="AA537" s="255"/>
      <c r="AB537" s="255"/>
      <c r="AC537" s="255"/>
      <c r="AD537" s="255"/>
      <c r="AE537" s="255"/>
      <c r="AF537" s="255"/>
      <c r="AG537" s="255"/>
      <c r="AH537" s="255"/>
      <c r="AI537" s="255"/>
      <c r="AJ537" s="255"/>
      <c r="AK537" s="255"/>
      <c r="AL537" s="255"/>
    </row>
    <row r="538" spans="11:38" ht="12.75" customHeight="1" x14ac:dyDescent="0.25"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  <c r="AA538" s="255"/>
      <c r="AB538" s="255"/>
      <c r="AC538" s="255"/>
      <c r="AD538" s="255"/>
      <c r="AE538" s="255"/>
      <c r="AF538" s="255"/>
      <c r="AG538" s="255"/>
      <c r="AH538" s="255"/>
      <c r="AI538" s="255"/>
      <c r="AJ538" s="255"/>
      <c r="AK538" s="255"/>
      <c r="AL538" s="255"/>
    </row>
    <row r="539" spans="11:38" ht="12.75" customHeight="1" x14ac:dyDescent="0.25"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  <c r="AA539" s="255"/>
      <c r="AB539" s="255"/>
      <c r="AC539" s="255"/>
      <c r="AD539" s="255"/>
      <c r="AE539" s="255"/>
      <c r="AF539" s="255"/>
      <c r="AG539" s="255"/>
      <c r="AH539" s="255"/>
      <c r="AI539" s="255"/>
      <c r="AJ539" s="255"/>
      <c r="AK539" s="255"/>
      <c r="AL539" s="255"/>
    </row>
    <row r="540" spans="11:38" ht="12.75" customHeight="1" x14ac:dyDescent="0.25"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  <c r="AA540" s="255"/>
      <c r="AB540" s="255"/>
      <c r="AC540" s="255"/>
      <c r="AD540" s="255"/>
      <c r="AE540" s="255"/>
      <c r="AF540" s="255"/>
      <c r="AG540" s="255"/>
      <c r="AH540" s="255"/>
      <c r="AI540" s="255"/>
      <c r="AJ540" s="255"/>
      <c r="AK540" s="255"/>
      <c r="AL540" s="255"/>
    </row>
    <row r="541" spans="11:38" ht="12.75" customHeight="1" x14ac:dyDescent="0.25"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  <c r="AA541" s="255"/>
      <c r="AB541" s="255"/>
      <c r="AC541" s="255"/>
      <c r="AD541" s="255"/>
      <c r="AE541" s="255"/>
      <c r="AF541" s="255"/>
      <c r="AG541" s="255"/>
      <c r="AH541" s="255"/>
      <c r="AI541" s="255"/>
      <c r="AJ541" s="255"/>
      <c r="AK541" s="255"/>
      <c r="AL541" s="255"/>
    </row>
    <row r="542" spans="11:38" ht="12.75" customHeight="1" x14ac:dyDescent="0.25"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  <c r="AA542" s="255"/>
      <c r="AB542" s="255"/>
      <c r="AC542" s="255"/>
      <c r="AD542" s="255"/>
      <c r="AE542" s="255"/>
      <c r="AF542" s="255"/>
      <c r="AG542" s="255"/>
      <c r="AH542" s="255"/>
      <c r="AI542" s="255"/>
      <c r="AJ542" s="255"/>
      <c r="AK542" s="255"/>
      <c r="AL542" s="255"/>
    </row>
    <row r="543" spans="11:38" ht="12.75" customHeight="1" x14ac:dyDescent="0.25"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  <c r="AA543" s="255"/>
      <c r="AB543" s="255"/>
      <c r="AC543" s="255"/>
      <c r="AD543" s="255"/>
      <c r="AE543" s="255"/>
      <c r="AF543" s="255"/>
      <c r="AG543" s="255"/>
      <c r="AH543" s="255"/>
      <c r="AI543" s="255"/>
      <c r="AJ543" s="255"/>
      <c r="AK543" s="255"/>
      <c r="AL543" s="255"/>
    </row>
    <row r="544" spans="11:38" ht="12.75" customHeight="1" x14ac:dyDescent="0.25"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  <c r="AA544" s="255"/>
      <c r="AB544" s="255"/>
      <c r="AC544" s="255"/>
      <c r="AD544" s="255"/>
      <c r="AE544" s="255"/>
      <c r="AF544" s="255"/>
      <c r="AG544" s="255"/>
      <c r="AH544" s="255"/>
      <c r="AI544" s="255"/>
      <c r="AJ544" s="255"/>
      <c r="AK544" s="255"/>
      <c r="AL544" s="255"/>
    </row>
    <row r="545" spans="11:38" ht="12.75" customHeight="1" x14ac:dyDescent="0.25"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  <c r="AA545" s="255"/>
      <c r="AB545" s="255"/>
      <c r="AC545" s="255"/>
      <c r="AD545" s="255"/>
      <c r="AE545" s="255"/>
      <c r="AF545" s="255"/>
      <c r="AG545" s="255"/>
      <c r="AH545" s="255"/>
      <c r="AI545" s="255"/>
      <c r="AJ545" s="255"/>
      <c r="AK545" s="255"/>
      <c r="AL545" s="255"/>
    </row>
    <row r="546" spans="11:38" ht="12.75" customHeight="1" x14ac:dyDescent="0.25"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  <c r="AA546" s="255"/>
      <c r="AB546" s="255"/>
      <c r="AC546" s="255"/>
      <c r="AD546" s="255"/>
      <c r="AE546" s="255"/>
      <c r="AF546" s="255"/>
      <c r="AG546" s="255"/>
      <c r="AH546" s="255"/>
      <c r="AI546" s="255"/>
      <c r="AJ546" s="255"/>
      <c r="AK546" s="255"/>
      <c r="AL546" s="255"/>
    </row>
    <row r="547" spans="11:38" ht="12.75" customHeight="1" x14ac:dyDescent="0.25"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  <c r="AA547" s="255"/>
      <c r="AB547" s="255"/>
      <c r="AC547" s="255"/>
      <c r="AD547" s="255"/>
      <c r="AE547" s="255"/>
      <c r="AF547" s="255"/>
      <c r="AG547" s="255"/>
      <c r="AH547" s="255"/>
      <c r="AI547" s="255"/>
      <c r="AJ547" s="255"/>
      <c r="AK547" s="255"/>
      <c r="AL547" s="255"/>
    </row>
    <row r="548" spans="11:38" ht="12.75" customHeight="1" x14ac:dyDescent="0.25"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  <c r="AA548" s="255"/>
      <c r="AB548" s="255"/>
      <c r="AC548" s="255"/>
      <c r="AD548" s="255"/>
      <c r="AE548" s="255"/>
      <c r="AF548" s="255"/>
      <c r="AG548" s="255"/>
      <c r="AH548" s="255"/>
      <c r="AI548" s="255"/>
      <c r="AJ548" s="255"/>
      <c r="AK548" s="255"/>
      <c r="AL548" s="255"/>
    </row>
    <row r="549" spans="11:38" ht="12.75" customHeight="1" x14ac:dyDescent="0.25"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  <c r="AA549" s="255"/>
      <c r="AB549" s="255"/>
      <c r="AC549" s="255"/>
      <c r="AD549" s="255"/>
      <c r="AE549" s="255"/>
      <c r="AF549" s="255"/>
      <c r="AG549" s="255"/>
      <c r="AH549" s="255"/>
      <c r="AI549" s="255"/>
      <c r="AJ549" s="255"/>
      <c r="AK549" s="255"/>
      <c r="AL549" s="255"/>
    </row>
    <row r="550" spans="11:38" ht="12.75" customHeight="1" x14ac:dyDescent="0.25"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  <c r="AA550" s="255"/>
      <c r="AB550" s="255"/>
      <c r="AC550" s="255"/>
      <c r="AD550" s="255"/>
      <c r="AE550" s="255"/>
      <c r="AF550" s="255"/>
      <c r="AG550" s="255"/>
      <c r="AH550" s="255"/>
      <c r="AI550" s="255"/>
      <c r="AJ550" s="255"/>
      <c r="AK550" s="255"/>
      <c r="AL550" s="255"/>
    </row>
    <row r="551" spans="11:38" ht="12.75" customHeight="1" x14ac:dyDescent="0.25"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  <c r="AA551" s="255"/>
      <c r="AB551" s="255"/>
      <c r="AC551" s="255"/>
      <c r="AD551" s="255"/>
      <c r="AE551" s="255"/>
      <c r="AF551" s="255"/>
      <c r="AG551" s="255"/>
      <c r="AH551" s="255"/>
      <c r="AI551" s="255"/>
      <c r="AJ551" s="255"/>
      <c r="AK551" s="255"/>
      <c r="AL551" s="255"/>
    </row>
    <row r="552" spans="11:38" ht="12.75" customHeight="1" x14ac:dyDescent="0.25"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  <c r="AA552" s="255"/>
      <c r="AB552" s="255"/>
      <c r="AC552" s="255"/>
      <c r="AD552" s="255"/>
      <c r="AE552" s="255"/>
      <c r="AF552" s="255"/>
      <c r="AG552" s="255"/>
      <c r="AH552" s="255"/>
      <c r="AI552" s="255"/>
      <c r="AJ552" s="255"/>
      <c r="AK552" s="255"/>
      <c r="AL552" s="255"/>
    </row>
    <row r="553" spans="11:38" ht="12.75" customHeight="1" x14ac:dyDescent="0.25"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  <c r="AA553" s="255"/>
      <c r="AB553" s="255"/>
      <c r="AC553" s="255"/>
      <c r="AD553" s="255"/>
      <c r="AE553" s="255"/>
      <c r="AF553" s="255"/>
      <c r="AG553" s="255"/>
      <c r="AH553" s="255"/>
      <c r="AI553" s="255"/>
      <c r="AJ553" s="255"/>
      <c r="AK553" s="255"/>
      <c r="AL553" s="255"/>
    </row>
    <row r="554" spans="11:38" ht="12.75" customHeight="1" x14ac:dyDescent="0.25"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  <c r="AA554" s="255"/>
      <c r="AB554" s="255"/>
      <c r="AC554" s="255"/>
      <c r="AD554" s="255"/>
      <c r="AE554" s="255"/>
      <c r="AF554" s="255"/>
      <c r="AG554" s="255"/>
      <c r="AH554" s="255"/>
      <c r="AI554" s="255"/>
      <c r="AJ554" s="255"/>
      <c r="AK554" s="255"/>
      <c r="AL554" s="255"/>
    </row>
    <row r="555" spans="11:38" ht="12.75" customHeight="1" x14ac:dyDescent="0.25"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  <c r="AA555" s="255"/>
      <c r="AB555" s="255"/>
      <c r="AC555" s="255"/>
      <c r="AD555" s="255"/>
      <c r="AE555" s="255"/>
      <c r="AF555" s="255"/>
      <c r="AG555" s="255"/>
      <c r="AH555" s="255"/>
      <c r="AI555" s="255"/>
      <c r="AJ555" s="255"/>
      <c r="AK555" s="255"/>
      <c r="AL555" s="255"/>
    </row>
    <row r="556" spans="11:38" ht="12.75" customHeight="1" x14ac:dyDescent="0.25"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  <c r="AA556" s="255"/>
      <c r="AB556" s="255"/>
      <c r="AC556" s="255"/>
      <c r="AD556" s="255"/>
      <c r="AE556" s="255"/>
      <c r="AF556" s="255"/>
      <c r="AG556" s="255"/>
      <c r="AH556" s="255"/>
      <c r="AI556" s="255"/>
      <c r="AJ556" s="255"/>
      <c r="AK556" s="255"/>
      <c r="AL556" s="255"/>
    </row>
    <row r="557" spans="11:38" ht="12.75" customHeight="1" x14ac:dyDescent="0.25"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  <c r="AA557" s="255"/>
      <c r="AB557" s="255"/>
      <c r="AC557" s="255"/>
      <c r="AD557" s="255"/>
      <c r="AE557" s="255"/>
      <c r="AF557" s="255"/>
      <c r="AG557" s="255"/>
      <c r="AH557" s="255"/>
      <c r="AI557" s="255"/>
      <c r="AJ557" s="255"/>
      <c r="AK557" s="255"/>
      <c r="AL557" s="255"/>
    </row>
    <row r="558" spans="11:38" ht="12.75" customHeight="1" x14ac:dyDescent="0.25"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  <c r="AA558" s="255"/>
      <c r="AB558" s="255"/>
      <c r="AC558" s="255"/>
      <c r="AD558" s="255"/>
      <c r="AE558" s="255"/>
      <c r="AF558" s="255"/>
      <c r="AG558" s="255"/>
      <c r="AH558" s="255"/>
      <c r="AI558" s="255"/>
      <c r="AJ558" s="255"/>
      <c r="AK558" s="255"/>
      <c r="AL558" s="255"/>
    </row>
    <row r="559" spans="11:38" ht="12.75" customHeight="1" x14ac:dyDescent="0.25"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  <c r="AA559" s="255"/>
      <c r="AB559" s="255"/>
      <c r="AC559" s="255"/>
      <c r="AD559" s="255"/>
      <c r="AE559" s="255"/>
      <c r="AF559" s="255"/>
      <c r="AG559" s="255"/>
      <c r="AH559" s="255"/>
      <c r="AI559" s="255"/>
      <c r="AJ559" s="255"/>
      <c r="AK559" s="255"/>
      <c r="AL559" s="255"/>
    </row>
    <row r="560" spans="11:38" ht="12.75" customHeight="1" x14ac:dyDescent="0.25"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  <c r="AA560" s="255"/>
      <c r="AB560" s="255"/>
      <c r="AC560" s="255"/>
      <c r="AD560" s="255"/>
      <c r="AE560" s="255"/>
      <c r="AF560" s="255"/>
      <c r="AG560" s="255"/>
      <c r="AH560" s="255"/>
      <c r="AI560" s="255"/>
      <c r="AJ560" s="255"/>
      <c r="AK560" s="255"/>
      <c r="AL560" s="255"/>
    </row>
    <row r="561" spans="11:38" ht="12.75" customHeight="1" x14ac:dyDescent="0.25"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  <c r="AA561" s="255"/>
      <c r="AB561" s="255"/>
      <c r="AC561" s="255"/>
      <c r="AD561" s="255"/>
      <c r="AE561" s="255"/>
      <c r="AF561" s="255"/>
      <c r="AG561" s="255"/>
      <c r="AH561" s="255"/>
      <c r="AI561" s="255"/>
      <c r="AJ561" s="255"/>
      <c r="AK561" s="255"/>
      <c r="AL561" s="255"/>
    </row>
    <row r="562" spans="11:38" ht="12.75" customHeight="1" x14ac:dyDescent="0.25"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  <c r="AA562" s="255"/>
      <c r="AB562" s="255"/>
      <c r="AC562" s="255"/>
      <c r="AD562" s="255"/>
      <c r="AE562" s="255"/>
      <c r="AF562" s="255"/>
      <c r="AG562" s="255"/>
      <c r="AH562" s="255"/>
      <c r="AI562" s="255"/>
      <c r="AJ562" s="255"/>
      <c r="AK562" s="255"/>
      <c r="AL562" s="255"/>
    </row>
    <row r="563" spans="11:38" ht="12.75" customHeight="1" x14ac:dyDescent="0.25"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  <c r="AA563" s="255"/>
      <c r="AB563" s="255"/>
      <c r="AC563" s="255"/>
      <c r="AD563" s="255"/>
      <c r="AE563" s="255"/>
      <c r="AF563" s="255"/>
      <c r="AG563" s="255"/>
      <c r="AH563" s="255"/>
      <c r="AI563" s="255"/>
      <c r="AJ563" s="255"/>
      <c r="AK563" s="255"/>
      <c r="AL563" s="255"/>
    </row>
    <row r="564" spans="11:38" ht="12.75" customHeight="1" x14ac:dyDescent="0.25"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  <c r="AA564" s="255"/>
      <c r="AB564" s="255"/>
      <c r="AC564" s="255"/>
      <c r="AD564" s="255"/>
      <c r="AE564" s="255"/>
      <c r="AF564" s="255"/>
      <c r="AG564" s="255"/>
      <c r="AH564" s="255"/>
      <c r="AI564" s="255"/>
      <c r="AJ564" s="255"/>
      <c r="AK564" s="255"/>
      <c r="AL564" s="255"/>
    </row>
    <row r="565" spans="11:38" ht="12.75" customHeight="1" x14ac:dyDescent="0.25"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  <c r="AA565" s="255"/>
      <c r="AB565" s="255"/>
      <c r="AC565" s="255"/>
      <c r="AD565" s="255"/>
      <c r="AE565" s="255"/>
      <c r="AF565" s="255"/>
      <c r="AG565" s="255"/>
      <c r="AH565" s="255"/>
      <c r="AI565" s="255"/>
      <c r="AJ565" s="255"/>
      <c r="AK565" s="255"/>
      <c r="AL565" s="255"/>
    </row>
    <row r="566" spans="11:38" ht="12.75" customHeight="1" x14ac:dyDescent="0.25"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  <c r="AA566" s="255"/>
      <c r="AB566" s="255"/>
      <c r="AC566" s="255"/>
      <c r="AD566" s="255"/>
      <c r="AE566" s="255"/>
      <c r="AF566" s="255"/>
      <c r="AG566" s="255"/>
      <c r="AH566" s="255"/>
      <c r="AI566" s="255"/>
      <c r="AJ566" s="255"/>
      <c r="AK566" s="255"/>
      <c r="AL566" s="255"/>
    </row>
    <row r="567" spans="11:38" ht="12.75" customHeight="1" x14ac:dyDescent="0.25"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  <c r="AA567" s="255"/>
      <c r="AB567" s="255"/>
      <c r="AC567" s="255"/>
      <c r="AD567" s="255"/>
      <c r="AE567" s="255"/>
      <c r="AF567" s="255"/>
      <c r="AG567" s="255"/>
      <c r="AH567" s="255"/>
      <c r="AI567" s="255"/>
      <c r="AJ567" s="255"/>
      <c r="AK567" s="255"/>
      <c r="AL567" s="255"/>
    </row>
    <row r="568" spans="11:38" ht="12.75" customHeight="1" x14ac:dyDescent="0.25"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  <c r="AA568" s="255"/>
      <c r="AB568" s="255"/>
      <c r="AC568" s="255"/>
      <c r="AD568" s="255"/>
      <c r="AE568" s="255"/>
      <c r="AF568" s="255"/>
      <c r="AG568" s="255"/>
      <c r="AH568" s="255"/>
      <c r="AI568" s="255"/>
      <c r="AJ568" s="255"/>
      <c r="AK568" s="255"/>
      <c r="AL568" s="255"/>
    </row>
    <row r="569" spans="11:38" ht="12.75" customHeight="1" x14ac:dyDescent="0.25"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  <c r="AA569" s="255"/>
      <c r="AB569" s="255"/>
      <c r="AC569" s="255"/>
      <c r="AD569" s="255"/>
      <c r="AE569" s="255"/>
      <c r="AF569" s="255"/>
      <c r="AG569" s="255"/>
      <c r="AH569" s="255"/>
      <c r="AI569" s="255"/>
      <c r="AJ569" s="255"/>
      <c r="AK569" s="255"/>
      <c r="AL569" s="255"/>
    </row>
    <row r="570" spans="11:38" ht="12.75" customHeight="1" x14ac:dyDescent="0.25"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  <c r="AA570" s="255"/>
      <c r="AB570" s="255"/>
      <c r="AC570" s="255"/>
      <c r="AD570" s="255"/>
      <c r="AE570" s="255"/>
      <c r="AF570" s="255"/>
      <c r="AG570" s="255"/>
      <c r="AH570" s="255"/>
      <c r="AI570" s="255"/>
      <c r="AJ570" s="255"/>
      <c r="AK570" s="255"/>
      <c r="AL570" s="255"/>
    </row>
    <row r="571" spans="11:38" ht="12.75" customHeight="1" x14ac:dyDescent="0.25"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  <c r="AA571" s="255"/>
      <c r="AB571" s="255"/>
      <c r="AC571" s="255"/>
      <c r="AD571" s="255"/>
      <c r="AE571" s="255"/>
      <c r="AF571" s="255"/>
      <c r="AG571" s="255"/>
      <c r="AH571" s="255"/>
      <c r="AI571" s="255"/>
      <c r="AJ571" s="255"/>
      <c r="AK571" s="255"/>
      <c r="AL571" s="255"/>
    </row>
    <row r="572" spans="11:38" ht="12.75" customHeight="1" x14ac:dyDescent="0.25"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  <c r="AA572" s="255"/>
      <c r="AB572" s="255"/>
      <c r="AC572" s="255"/>
      <c r="AD572" s="255"/>
      <c r="AE572" s="255"/>
      <c r="AF572" s="255"/>
      <c r="AG572" s="255"/>
      <c r="AH572" s="255"/>
      <c r="AI572" s="255"/>
      <c r="AJ572" s="255"/>
      <c r="AK572" s="255"/>
      <c r="AL572" s="255"/>
    </row>
    <row r="573" spans="11:38" ht="12.75" customHeight="1" x14ac:dyDescent="0.25"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  <c r="AA573" s="255"/>
      <c r="AB573" s="255"/>
      <c r="AC573" s="255"/>
      <c r="AD573" s="255"/>
      <c r="AE573" s="255"/>
      <c r="AF573" s="255"/>
      <c r="AG573" s="255"/>
      <c r="AH573" s="255"/>
      <c r="AI573" s="255"/>
      <c r="AJ573" s="255"/>
      <c r="AK573" s="255"/>
      <c r="AL573" s="255"/>
    </row>
    <row r="574" spans="11:38" ht="12.75" customHeight="1" x14ac:dyDescent="0.25"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  <c r="AA574" s="255"/>
      <c r="AB574" s="255"/>
      <c r="AC574" s="255"/>
      <c r="AD574" s="255"/>
      <c r="AE574" s="255"/>
      <c r="AF574" s="255"/>
      <c r="AG574" s="255"/>
      <c r="AH574" s="255"/>
      <c r="AI574" s="255"/>
      <c r="AJ574" s="255"/>
      <c r="AK574" s="255"/>
      <c r="AL574" s="255"/>
    </row>
    <row r="575" spans="11:38" ht="12.75" customHeight="1" x14ac:dyDescent="0.25"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  <c r="AA575" s="255"/>
      <c r="AB575" s="255"/>
      <c r="AC575" s="255"/>
      <c r="AD575" s="255"/>
      <c r="AE575" s="255"/>
      <c r="AF575" s="255"/>
      <c r="AG575" s="255"/>
      <c r="AH575" s="255"/>
      <c r="AI575" s="255"/>
      <c r="AJ575" s="255"/>
      <c r="AK575" s="255"/>
      <c r="AL575" s="255"/>
    </row>
    <row r="576" spans="11:38" ht="12.75" customHeight="1" x14ac:dyDescent="0.25"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  <c r="AA576" s="255"/>
      <c r="AB576" s="255"/>
      <c r="AC576" s="255"/>
      <c r="AD576" s="255"/>
      <c r="AE576" s="255"/>
      <c r="AF576" s="255"/>
      <c r="AG576" s="255"/>
      <c r="AH576" s="255"/>
      <c r="AI576" s="255"/>
      <c r="AJ576" s="255"/>
      <c r="AK576" s="255"/>
      <c r="AL576" s="255"/>
    </row>
    <row r="577" spans="11:38" ht="12.75" customHeight="1" x14ac:dyDescent="0.25"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  <c r="AA577" s="255"/>
      <c r="AB577" s="255"/>
      <c r="AC577" s="255"/>
      <c r="AD577" s="255"/>
      <c r="AE577" s="255"/>
      <c r="AF577" s="255"/>
      <c r="AG577" s="255"/>
      <c r="AH577" s="255"/>
      <c r="AI577" s="255"/>
      <c r="AJ577" s="255"/>
      <c r="AK577" s="255"/>
      <c r="AL577" s="255"/>
    </row>
    <row r="578" spans="11:38" ht="12.75" customHeight="1" x14ac:dyDescent="0.25"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  <c r="AA578" s="255"/>
      <c r="AB578" s="255"/>
      <c r="AC578" s="255"/>
      <c r="AD578" s="255"/>
      <c r="AE578" s="255"/>
      <c r="AF578" s="255"/>
      <c r="AG578" s="255"/>
      <c r="AH578" s="255"/>
      <c r="AI578" s="255"/>
      <c r="AJ578" s="255"/>
      <c r="AK578" s="255"/>
      <c r="AL578" s="255"/>
    </row>
    <row r="579" spans="11:38" ht="12.75" customHeight="1" x14ac:dyDescent="0.25"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  <c r="AA579" s="255"/>
      <c r="AB579" s="255"/>
      <c r="AC579" s="255"/>
      <c r="AD579" s="255"/>
      <c r="AE579" s="255"/>
      <c r="AF579" s="255"/>
      <c r="AG579" s="255"/>
      <c r="AH579" s="255"/>
      <c r="AI579" s="255"/>
      <c r="AJ579" s="255"/>
      <c r="AK579" s="255"/>
      <c r="AL579" s="255"/>
    </row>
    <row r="580" spans="11:38" ht="12.75" customHeight="1" x14ac:dyDescent="0.25"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  <c r="AA580" s="255"/>
      <c r="AB580" s="255"/>
      <c r="AC580" s="255"/>
      <c r="AD580" s="255"/>
      <c r="AE580" s="255"/>
      <c r="AF580" s="255"/>
      <c r="AG580" s="255"/>
      <c r="AH580" s="255"/>
      <c r="AI580" s="255"/>
      <c r="AJ580" s="255"/>
      <c r="AK580" s="255"/>
      <c r="AL580" s="255"/>
    </row>
    <row r="581" spans="11:38" ht="12.75" customHeight="1" x14ac:dyDescent="0.25"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  <c r="AA581" s="255"/>
      <c r="AB581" s="255"/>
      <c r="AC581" s="255"/>
      <c r="AD581" s="255"/>
      <c r="AE581" s="255"/>
      <c r="AF581" s="255"/>
      <c r="AG581" s="255"/>
      <c r="AH581" s="255"/>
      <c r="AI581" s="255"/>
      <c r="AJ581" s="255"/>
      <c r="AK581" s="255"/>
      <c r="AL581" s="255"/>
    </row>
    <row r="582" spans="11:38" ht="12.75" customHeight="1" x14ac:dyDescent="0.25"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  <c r="AA582" s="255"/>
      <c r="AB582" s="255"/>
      <c r="AC582" s="255"/>
      <c r="AD582" s="255"/>
      <c r="AE582" s="255"/>
      <c r="AF582" s="255"/>
      <c r="AG582" s="255"/>
      <c r="AH582" s="255"/>
      <c r="AI582" s="255"/>
      <c r="AJ582" s="255"/>
      <c r="AK582" s="255"/>
      <c r="AL582" s="255"/>
    </row>
    <row r="583" spans="11:38" ht="12.75" customHeight="1" x14ac:dyDescent="0.25"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  <c r="AA583" s="255"/>
      <c r="AB583" s="255"/>
      <c r="AC583" s="255"/>
      <c r="AD583" s="255"/>
      <c r="AE583" s="255"/>
      <c r="AF583" s="255"/>
      <c r="AG583" s="255"/>
      <c r="AH583" s="255"/>
      <c r="AI583" s="255"/>
      <c r="AJ583" s="255"/>
      <c r="AK583" s="255"/>
      <c r="AL583" s="255"/>
    </row>
    <row r="584" spans="11:38" ht="12.75" customHeight="1" x14ac:dyDescent="0.25"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  <c r="AA584" s="255"/>
      <c r="AB584" s="255"/>
      <c r="AC584" s="255"/>
      <c r="AD584" s="255"/>
      <c r="AE584" s="255"/>
      <c r="AF584" s="255"/>
      <c r="AG584" s="255"/>
      <c r="AH584" s="255"/>
      <c r="AI584" s="255"/>
      <c r="AJ584" s="255"/>
      <c r="AK584" s="255"/>
      <c r="AL584" s="255"/>
    </row>
    <row r="585" spans="11:38" ht="12.75" customHeight="1" x14ac:dyDescent="0.25"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  <c r="AA585" s="255"/>
      <c r="AB585" s="255"/>
      <c r="AC585" s="255"/>
      <c r="AD585" s="255"/>
      <c r="AE585" s="255"/>
      <c r="AF585" s="255"/>
      <c r="AG585" s="255"/>
      <c r="AH585" s="255"/>
      <c r="AI585" s="255"/>
      <c r="AJ585" s="255"/>
      <c r="AK585" s="255"/>
      <c r="AL585" s="255"/>
    </row>
    <row r="586" spans="11:38" ht="12.75" customHeight="1" x14ac:dyDescent="0.25"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  <c r="AA586" s="255"/>
      <c r="AB586" s="255"/>
      <c r="AC586" s="255"/>
      <c r="AD586" s="255"/>
      <c r="AE586" s="255"/>
      <c r="AF586" s="255"/>
      <c r="AG586" s="255"/>
      <c r="AH586" s="255"/>
      <c r="AI586" s="255"/>
      <c r="AJ586" s="255"/>
      <c r="AK586" s="255"/>
      <c r="AL586" s="255"/>
    </row>
    <row r="587" spans="11:38" ht="12.75" customHeight="1" x14ac:dyDescent="0.25"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  <c r="AA587" s="255"/>
      <c r="AB587" s="255"/>
      <c r="AC587" s="255"/>
      <c r="AD587" s="255"/>
      <c r="AE587" s="255"/>
      <c r="AF587" s="255"/>
      <c r="AG587" s="255"/>
      <c r="AH587" s="255"/>
      <c r="AI587" s="255"/>
      <c r="AJ587" s="255"/>
      <c r="AK587" s="255"/>
      <c r="AL587" s="255"/>
    </row>
    <row r="588" spans="11:38" ht="12.75" customHeight="1" x14ac:dyDescent="0.25"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  <c r="AA588" s="255"/>
      <c r="AB588" s="255"/>
      <c r="AC588" s="255"/>
      <c r="AD588" s="255"/>
      <c r="AE588" s="255"/>
      <c r="AF588" s="255"/>
      <c r="AG588" s="255"/>
      <c r="AH588" s="255"/>
      <c r="AI588" s="255"/>
      <c r="AJ588" s="255"/>
      <c r="AK588" s="255"/>
      <c r="AL588" s="255"/>
    </row>
    <row r="589" spans="11:38" ht="12.75" customHeight="1" x14ac:dyDescent="0.25"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  <c r="AA589" s="255"/>
      <c r="AB589" s="255"/>
      <c r="AC589" s="255"/>
      <c r="AD589" s="255"/>
      <c r="AE589" s="255"/>
      <c r="AF589" s="255"/>
      <c r="AG589" s="255"/>
      <c r="AH589" s="255"/>
      <c r="AI589" s="255"/>
      <c r="AJ589" s="255"/>
      <c r="AK589" s="255"/>
      <c r="AL589" s="255"/>
    </row>
    <row r="590" spans="11:38" ht="12.75" customHeight="1" x14ac:dyDescent="0.25"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  <c r="AA590" s="255"/>
      <c r="AB590" s="255"/>
      <c r="AC590" s="255"/>
      <c r="AD590" s="255"/>
      <c r="AE590" s="255"/>
      <c r="AF590" s="255"/>
      <c r="AG590" s="255"/>
      <c r="AH590" s="255"/>
      <c r="AI590" s="255"/>
      <c r="AJ590" s="255"/>
      <c r="AK590" s="255"/>
      <c r="AL590" s="255"/>
    </row>
    <row r="591" spans="11:38" ht="12.75" customHeight="1" x14ac:dyDescent="0.25"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  <c r="AA591" s="255"/>
      <c r="AB591" s="255"/>
      <c r="AC591" s="255"/>
      <c r="AD591" s="255"/>
      <c r="AE591" s="255"/>
      <c r="AF591" s="255"/>
      <c r="AG591" s="255"/>
      <c r="AH591" s="255"/>
      <c r="AI591" s="255"/>
      <c r="AJ591" s="255"/>
      <c r="AK591" s="255"/>
      <c r="AL591" s="255"/>
    </row>
    <row r="592" spans="11:38" ht="12.75" customHeight="1" x14ac:dyDescent="0.25"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  <c r="AA592" s="255"/>
      <c r="AB592" s="255"/>
      <c r="AC592" s="255"/>
      <c r="AD592" s="255"/>
      <c r="AE592" s="255"/>
      <c r="AF592" s="255"/>
      <c r="AG592" s="255"/>
      <c r="AH592" s="255"/>
      <c r="AI592" s="255"/>
      <c r="AJ592" s="255"/>
      <c r="AK592" s="255"/>
      <c r="AL592" s="255"/>
    </row>
    <row r="593" spans="11:38" ht="12.75" customHeight="1" x14ac:dyDescent="0.25"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  <c r="AA593" s="255"/>
      <c r="AB593" s="255"/>
      <c r="AC593" s="255"/>
      <c r="AD593" s="255"/>
      <c r="AE593" s="255"/>
      <c r="AF593" s="255"/>
      <c r="AG593" s="255"/>
      <c r="AH593" s="255"/>
      <c r="AI593" s="255"/>
      <c r="AJ593" s="255"/>
      <c r="AK593" s="255"/>
      <c r="AL593" s="255"/>
    </row>
    <row r="594" spans="11:38" ht="12.75" customHeight="1" x14ac:dyDescent="0.25"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  <c r="AA594" s="255"/>
      <c r="AB594" s="255"/>
      <c r="AC594" s="255"/>
      <c r="AD594" s="255"/>
      <c r="AE594" s="255"/>
      <c r="AF594" s="255"/>
      <c r="AG594" s="255"/>
      <c r="AH594" s="255"/>
      <c r="AI594" s="255"/>
      <c r="AJ594" s="255"/>
      <c r="AK594" s="255"/>
      <c r="AL594" s="255"/>
    </row>
    <row r="595" spans="11:38" ht="12.75" customHeight="1" x14ac:dyDescent="0.25"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  <c r="AA595" s="255"/>
      <c r="AB595" s="255"/>
      <c r="AC595" s="255"/>
      <c r="AD595" s="255"/>
      <c r="AE595" s="255"/>
      <c r="AF595" s="255"/>
      <c r="AG595" s="255"/>
      <c r="AH595" s="255"/>
      <c r="AI595" s="255"/>
      <c r="AJ595" s="255"/>
      <c r="AK595" s="255"/>
      <c r="AL595" s="255"/>
    </row>
    <row r="596" spans="11:38" ht="12.75" customHeight="1" x14ac:dyDescent="0.25"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  <c r="AA596" s="255"/>
      <c r="AB596" s="255"/>
      <c r="AC596" s="255"/>
      <c r="AD596" s="255"/>
      <c r="AE596" s="255"/>
      <c r="AF596" s="255"/>
      <c r="AG596" s="255"/>
      <c r="AH596" s="255"/>
      <c r="AI596" s="255"/>
      <c r="AJ596" s="255"/>
      <c r="AK596" s="255"/>
      <c r="AL596" s="255"/>
    </row>
    <row r="597" spans="11:38" ht="12.75" customHeight="1" x14ac:dyDescent="0.25"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  <c r="AA597" s="255"/>
      <c r="AB597" s="255"/>
      <c r="AC597" s="255"/>
      <c r="AD597" s="255"/>
      <c r="AE597" s="255"/>
      <c r="AF597" s="255"/>
      <c r="AG597" s="255"/>
      <c r="AH597" s="255"/>
      <c r="AI597" s="255"/>
      <c r="AJ597" s="255"/>
      <c r="AK597" s="255"/>
      <c r="AL597" s="255"/>
    </row>
    <row r="598" spans="11:38" ht="12.75" customHeight="1" x14ac:dyDescent="0.25"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  <c r="AA598" s="255"/>
      <c r="AB598" s="255"/>
      <c r="AC598" s="255"/>
      <c r="AD598" s="255"/>
      <c r="AE598" s="255"/>
      <c r="AF598" s="255"/>
      <c r="AG598" s="255"/>
      <c r="AH598" s="255"/>
      <c r="AI598" s="255"/>
      <c r="AJ598" s="255"/>
      <c r="AK598" s="255"/>
      <c r="AL598" s="255"/>
    </row>
    <row r="599" spans="11:38" ht="12.75" customHeight="1" x14ac:dyDescent="0.25"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  <c r="AA599" s="255"/>
      <c r="AB599" s="255"/>
      <c r="AC599" s="255"/>
      <c r="AD599" s="255"/>
      <c r="AE599" s="255"/>
      <c r="AF599" s="255"/>
      <c r="AG599" s="255"/>
      <c r="AH599" s="255"/>
      <c r="AI599" s="255"/>
      <c r="AJ599" s="255"/>
      <c r="AK599" s="255"/>
      <c r="AL599" s="255"/>
    </row>
    <row r="600" spans="11:38" ht="12.75" customHeight="1" x14ac:dyDescent="0.25"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  <c r="AA600" s="255"/>
      <c r="AB600" s="255"/>
      <c r="AC600" s="255"/>
      <c r="AD600" s="255"/>
      <c r="AE600" s="255"/>
      <c r="AF600" s="255"/>
      <c r="AG600" s="255"/>
      <c r="AH600" s="255"/>
      <c r="AI600" s="255"/>
      <c r="AJ600" s="255"/>
      <c r="AK600" s="255"/>
      <c r="AL600" s="255"/>
    </row>
    <row r="601" spans="11:38" ht="12.75" customHeight="1" x14ac:dyDescent="0.25"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  <c r="AA601" s="255"/>
      <c r="AB601" s="255"/>
      <c r="AC601" s="255"/>
      <c r="AD601" s="255"/>
      <c r="AE601" s="255"/>
      <c r="AF601" s="255"/>
      <c r="AG601" s="255"/>
      <c r="AH601" s="255"/>
      <c r="AI601" s="255"/>
      <c r="AJ601" s="255"/>
      <c r="AK601" s="255"/>
      <c r="AL601" s="255"/>
    </row>
    <row r="602" spans="11:38" ht="12.75" customHeight="1" x14ac:dyDescent="0.25"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  <c r="AA602" s="255"/>
      <c r="AB602" s="255"/>
      <c r="AC602" s="255"/>
      <c r="AD602" s="255"/>
      <c r="AE602" s="255"/>
      <c r="AF602" s="255"/>
      <c r="AG602" s="255"/>
      <c r="AH602" s="255"/>
      <c r="AI602" s="255"/>
      <c r="AJ602" s="255"/>
      <c r="AK602" s="255"/>
      <c r="AL602" s="255"/>
    </row>
    <row r="603" spans="11:38" ht="12.75" customHeight="1" x14ac:dyDescent="0.25"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  <c r="AA603" s="255"/>
      <c r="AB603" s="255"/>
      <c r="AC603" s="255"/>
      <c r="AD603" s="255"/>
      <c r="AE603" s="255"/>
      <c r="AF603" s="255"/>
      <c r="AG603" s="255"/>
      <c r="AH603" s="255"/>
      <c r="AI603" s="255"/>
      <c r="AJ603" s="255"/>
      <c r="AK603" s="255"/>
      <c r="AL603" s="255"/>
    </row>
    <row r="604" spans="11:38" ht="12.75" customHeight="1" x14ac:dyDescent="0.25"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  <c r="AA604" s="255"/>
      <c r="AB604" s="255"/>
      <c r="AC604" s="255"/>
      <c r="AD604" s="255"/>
      <c r="AE604" s="255"/>
      <c r="AF604" s="255"/>
      <c r="AG604" s="255"/>
      <c r="AH604" s="255"/>
      <c r="AI604" s="255"/>
      <c r="AJ604" s="255"/>
      <c r="AK604" s="255"/>
      <c r="AL604" s="255"/>
    </row>
    <row r="605" spans="11:38" ht="12.75" customHeight="1" x14ac:dyDescent="0.25"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  <c r="AA605" s="255"/>
      <c r="AB605" s="255"/>
      <c r="AC605" s="255"/>
      <c r="AD605" s="255"/>
      <c r="AE605" s="255"/>
      <c r="AF605" s="255"/>
      <c r="AG605" s="255"/>
      <c r="AH605" s="255"/>
      <c r="AI605" s="255"/>
      <c r="AJ605" s="255"/>
      <c r="AK605" s="255"/>
      <c r="AL605" s="255"/>
    </row>
    <row r="606" spans="11:38" ht="12.75" customHeight="1" x14ac:dyDescent="0.25"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  <c r="AA606" s="255"/>
      <c r="AB606" s="255"/>
      <c r="AC606" s="255"/>
      <c r="AD606" s="255"/>
      <c r="AE606" s="255"/>
      <c r="AF606" s="255"/>
      <c r="AG606" s="255"/>
      <c r="AH606" s="255"/>
      <c r="AI606" s="255"/>
      <c r="AJ606" s="255"/>
      <c r="AK606" s="255"/>
      <c r="AL606" s="255"/>
    </row>
    <row r="607" spans="11:38" ht="12.75" customHeight="1" x14ac:dyDescent="0.25"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  <c r="AA607" s="255"/>
      <c r="AB607" s="255"/>
      <c r="AC607" s="255"/>
      <c r="AD607" s="255"/>
      <c r="AE607" s="255"/>
      <c r="AF607" s="255"/>
      <c r="AG607" s="255"/>
      <c r="AH607" s="255"/>
      <c r="AI607" s="255"/>
      <c r="AJ607" s="255"/>
      <c r="AK607" s="255"/>
      <c r="AL607" s="255"/>
    </row>
    <row r="608" spans="11:38" ht="12.75" customHeight="1" x14ac:dyDescent="0.25"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  <c r="AA608" s="255"/>
      <c r="AB608" s="255"/>
      <c r="AC608" s="255"/>
      <c r="AD608" s="255"/>
      <c r="AE608" s="255"/>
      <c r="AF608" s="255"/>
      <c r="AG608" s="255"/>
      <c r="AH608" s="255"/>
      <c r="AI608" s="255"/>
      <c r="AJ608" s="255"/>
      <c r="AK608" s="255"/>
      <c r="AL608" s="255"/>
    </row>
    <row r="609" spans="11:38" ht="12.75" customHeight="1" x14ac:dyDescent="0.25"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  <c r="AA609" s="255"/>
      <c r="AB609" s="255"/>
      <c r="AC609" s="255"/>
      <c r="AD609" s="255"/>
      <c r="AE609" s="255"/>
      <c r="AF609" s="255"/>
      <c r="AG609" s="255"/>
      <c r="AH609" s="255"/>
      <c r="AI609" s="255"/>
      <c r="AJ609" s="255"/>
      <c r="AK609" s="255"/>
      <c r="AL609" s="255"/>
    </row>
    <row r="610" spans="11:38" ht="12.75" customHeight="1" x14ac:dyDescent="0.25"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  <c r="AA610" s="255"/>
      <c r="AB610" s="255"/>
      <c r="AC610" s="255"/>
      <c r="AD610" s="255"/>
      <c r="AE610" s="255"/>
      <c r="AF610" s="255"/>
      <c r="AG610" s="255"/>
      <c r="AH610" s="255"/>
      <c r="AI610" s="255"/>
      <c r="AJ610" s="255"/>
      <c r="AK610" s="255"/>
      <c r="AL610" s="255"/>
    </row>
    <row r="611" spans="11:38" ht="12.75" customHeight="1" x14ac:dyDescent="0.25"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  <c r="AA611" s="255"/>
      <c r="AB611" s="255"/>
      <c r="AC611" s="255"/>
      <c r="AD611" s="255"/>
      <c r="AE611" s="255"/>
      <c r="AF611" s="255"/>
      <c r="AG611" s="255"/>
      <c r="AH611" s="255"/>
      <c r="AI611" s="255"/>
      <c r="AJ611" s="255"/>
      <c r="AK611" s="255"/>
      <c r="AL611" s="255"/>
    </row>
    <row r="612" spans="11:38" ht="12.75" customHeight="1" x14ac:dyDescent="0.25"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  <c r="AA612" s="255"/>
      <c r="AB612" s="255"/>
      <c r="AC612" s="255"/>
      <c r="AD612" s="255"/>
      <c r="AE612" s="255"/>
      <c r="AF612" s="255"/>
      <c r="AG612" s="255"/>
      <c r="AH612" s="255"/>
      <c r="AI612" s="255"/>
      <c r="AJ612" s="255"/>
      <c r="AK612" s="255"/>
      <c r="AL612" s="255"/>
    </row>
    <row r="613" spans="11:38" ht="12.75" customHeight="1" x14ac:dyDescent="0.25"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  <c r="AA613" s="255"/>
      <c r="AB613" s="255"/>
      <c r="AC613" s="255"/>
      <c r="AD613" s="255"/>
      <c r="AE613" s="255"/>
      <c r="AF613" s="255"/>
      <c r="AG613" s="255"/>
      <c r="AH613" s="255"/>
      <c r="AI613" s="255"/>
      <c r="AJ613" s="255"/>
      <c r="AK613" s="255"/>
      <c r="AL613" s="255"/>
    </row>
    <row r="614" spans="11:38" ht="12.75" customHeight="1" x14ac:dyDescent="0.25"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  <c r="AA614" s="255"/>
      <c r="AB614" s="255"/>
      <c r="AC614" s="255"/>
      <c r="AD614" s="255"/>
      <c r="AE614" s="255"/>
      <c r="AF614" s="255"/>
      <c r="AG614" s="255"/>
      <c r="AH614" s="255"/>
      <c r="AI614" s="255"/>
      <c r="AJ614" s="255"/>
      <c r="AK614" s="255"/>
      <c r="AL614" s="255"/>
    </row>
    <row r="615" spans="11:38" ht="12.75" customHeight="1" x14ac:dyDescent="0.25"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  <c r="AA615" s="255"/>
      <c r="AB615" s="255"/>
      <c r="AC615" s="255"/>
      <c r="AD615" s="255"/>
      <c r="AE615" s="255"/>
      <c r="AF615" s="255"/>
      <c r="AG615" s="255"/>
      <c r="AH615" s="255"/>
      <c r="AI615" s="255"/>
      <c r="AJ615" s="255"/>
      <c r="AK615" s="255"/>
      <c r="AL615" s="255"/>
    </row>
    <row r="616" spans="11:38" ht="12.75" customHeight="1" x14ac:dyDescent="0.25"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  <c r="AA616" s="255"/>
      <c r="AB616" s="255"/>
      <c r="AC616" s="255"/>
      <c r="AD616" s="255"/>
      <c r="AE616" s="255"/>
      <c r="AF616" s="255"/>
      <c r="AG616" s="255"/>
      <c r="AH616" s="255"/>
      <c r="AI616" s="255"/>
      <c r="AJ616" s="255"/>
      <c r="AK616" s="255"/>
      <c r="AL616" s="255"/>
    </row>
    <row r="617" spans="11:38" ht="12.75" customHeight="1" x14ac:dyDescent="0.25"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  <c r="AA617" s="255"/>
      <c r="AB617" s="255"/>
      <c r="AC617" s="255"/>
      <c r="AD617" s="255"/>
      <c r="AE617" s="255"/>
      <c r="AF617" s="255"/>
      <c r="AG617" s="255"/>
      <c r="AH617" s="255"/>
      <c r="AI617" s="255"/>
      <c r="AJ617" s="255"/>
      <c r="AK617" s="255"/>
      <c r="AL617" s="255"/>
    </row>
    <row r="618" spans="11:38" ht="12.75" customHeight="1" x14ac:dyDescent="0.25"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  <c r="AA618" s="255"/>
      <c r="AB618" s="255"/>
      <c r="AC618" s="255"/>
      <c r="AD618" s="255"/>
      <c r="AE618" s="255"/>
      <c r="AF618" s="255"/>
      <c r="AG618" s="255"/>
      <c r="AH618" s="255"/>
      <c r="AI618" s="255"/>
      <c r="AJ618" s="255"/>
      <c r="AK618" s="255"/>
      <c r="AL618" s="255"/>
    </row>
    <row r="619" spans="11:38" ht="12.75" customHeight="1" x14ac:dyDescent="0.25"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  <c r="AA619" s="255"/>
      <c r="AB619" s="255"/>
      <c r="AC619" s="255"/>
      <c r="AD619" s="255"/>
      <c r="AE619" s="255"/>
      <c r="AF619" s="255"/>
      <c r="AG619" s="255"/>
      <c r="AH619" s="255"/>
      <c r="AI619" s="255"/>
      <c r="AJ619" s="255"/>
      <c r="AK619" s="255"/>
      <c r="AL619" s="255"/>
    </row>
    <row r="620" spans="11:38" ht="12.75" customHeight="1" x14ac:dyDescent="0.25"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  <c r="AA620" s="255"/>
      <c r="AB620" s="255"/>
      <c r="AC620" s="255"/>
      <c r="AD620" s="255"/>
      <c r="AE620" s="255"/>
      <c r="AF620" s="255"/>
      <c r="AG620" s="255"/>
      <c r="AH620" s="255"/>
      <c r="AI620" s="255"/>
      <c r="AJ620" s="255"/>
      <c r="AK620" s="255"/>
      <c r="AL620" s="255"/>
    </row>
    <row r="621" spans="11:38" ht="12.75" customHeight="1" x14ac:dyDescent="0.25"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  <c r="AA621" s="255"/>
      <c r="AB621" s="255"/>
      <c r="AC621" s="255"/>
      <c r="AD621" s="255"/>
      <c r="AE621" s="255"/>
      <c r="AF621" s="255"/>
      <c r="AG621" s="255"/>
      <c r="AH621" s="255"/>
      <c r="AI621" s="255"/>
      <c r="AJ621" s="255"/>
      <c r="AK621" s="255"/>
      <c r="AL621" s="255"/>
    </row>
    <row r="622" spans="11:38" ht="12.75" customHeight="1" x14ac:dyDescent="0.25"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  <c r="AA622" s="255"/>
      <c r="AB622" s="255"/>
      <c r="AC622" s="255"/>
      <c r="AD622" s="255"/>
      <c r="AE622" s="255"/>
      <c r="AF622" s="255"/>
      <c r="AG622" s="255"/>
      <c r="AH622" s="255"/>
      <c r="AI622" s="255"/>
      <c r="AJ622" s="255"/>
      <c r="AK622" s="255"/>
      <c r="AL622" s="255"/>
    </row>
    <row r="623" spans="11:38" ht="12.75" customHeight="1" x14ac:dyDescent="0.25"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  <c r="AA623" s="255"/>
      <c r="AB623" s="255"/>
      <c r="AC623" s="255"/>
      <c r="AD623" s="255"/>
      <c r="AE623" s="255"/>
      <c r="AF623" s="255"/>
      <c r="AG623" s="255"/>
      <c r="AH623" s="255"/>
      <c r="AI623" s="255"/>
      <c r="AJ623" s="255"/>
      <c r="AK623" s="255"/>
      <c r="AL623" s="255"/>
    </row>
    <row r="624" spans="11:38" ht="12.75" customHeight="1" x14ac:dyDescent="0.25"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  <c r="AA624" s="255"/>
      <c r="AB624" s="255"/>
      <c r="AC624" s="255"/>
      <c r="AD624" s="255"/>
      <c r="AE624" s="255"/>
      <c r="AF624" s="255"/>
      <c r="AG624" s="255"/>
      <c r="AH624" s="255"/>
      <c r="AI624" s="255"/>
      <c r="AJ624" s="255"/>
      <c r="AK624" s="255"/>
      <c r="AL624" s="255"/>
    </row>
    <row r="625" spans="11:38" ht="12.75" customHeight="1" x14ac:dyDescent="0.25"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  <c r="AA625" s="255"/>
      <c r="AB625" s="255"/>
      <c r="AC625" s="255"/>
      <c r="AD625" s="255"/>
      <c r="AE625" s="255"/>
      <c r="AF625" s="255"/>
      <c r="AG625" s="255"/>
      <c r="AH625" s="255"/>
      <c r="AI625" s="255"/>
      <c r="AJ625" s="255"/>
      <c r="AK625" s="255"/>
      <c r="AL625" s="255"/>
    </row>
    <row r="626" spans="11:38" ht="12.75" customHeight="1" x14ac:dyDescent="0.25"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  <c r="AA626" s="255"/>
      <c r="AB626" s="255"/>
      <c r="AC626" s="255"/>
      <c r="AD626" s="255"/>
      <c r="AE626" s="255"/>
      <c r="AF626" s="255"/>
      <c r="AG626" s="255"/>
      <c r="AH626" s="255"/>
      <c r="AI626" s="255"/>
      <c r="AJ626" s="255"/>
      <c r="AK626" s="255"/>
      <c r="AL626" s="255"/>
    </row>
    <row r="627" spans="11:38" ht="12.75" customHeight="1" x14ac:dyDescent="0.25"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  <c r="AA627" s="255"/>
      <c r="AB627" s="255"/>
      <c r="AC627" s="255"/>
      <c r="AD627" s="255"/>
      <c r="AE627" s="255"/>
      <c r="AF627" s="255"/>
      <c r="AG627" s="255"/>
      <c r="AH627" s="255"/>
      <c r="AI627" s="255"/>
      <c r="AJ627" s="255"/>
      <c r="AK627" s="255"/>
      <c r="AL627" s="255"/>
    </row>
    <row r="628" spans="11:38" ht="12.75" customHeight="1" x14ac:dyDescent="0.25"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  <c r="AA628" s="255"/>
      <c r="AB628" s="255"/>
      <c r="AC628" s="255"/>
      <c r="AD628" s="255"/>
      <c r="AE628" s="255"/>
      <c r="AF628" s="255"/>
      <c r="AG628" s="255"/>
      <c r="AH628" s="255"/>
      <c r="AI628" s="255"/>
      <c r="AJ628" s="255"/>
      <c r="AK628" s="255"/>
      <c r="AL628" s="255"/>
    </row>
    <row r="629" spans="11:38" ht="12.75" customHeight="1" x14ac:dyDescent="0.25"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  <c r="AA629" s="255"/>
      <c r="AB629" s="255"/>
      <c r="AC629" s="255"/>
      <c r="AD629" s="255"/>
      <c r="AE629" s="255"/>
      <c r="AF629" s="255"/>
      <c r="AG629" s="255"/>
      <c r="AH629" s="255"/>
      <c r="AI629" s="255"/>
      <c r="AJ629" s="255"/>
      <c r="AK629" s="255"/>
      <c r="AL629" s="255"/>
    </row>
    <row r="630" spans="11:38" ht="12.75" customHeight="1" x14ac:dyDescent="0.25"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  <c r="AA630" s="255"/>
      <c r="AB630" s="255"/>
      <c r="AC630" s="255"/>
      <c r="AD630" s="255"/>
      <c r="AE630" s="255"/>
      <c r="AF630" s="255"/>
      <c r="AG630" s="255"/>
      <c r="AH630" s="255"/>
      <c r="AI630" s="255"/>
      <c r="AJ630" s="255"/>
      <c r="AK630" s="255"/>
      <c r="AL630" s="255"/>
    </row>
    <row r="631" spans="11:38" ht="12.75" customHeight="1" x14ac:dyDescent="0.25"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  <c r="AA631" s="255"/>
      <c r="AB631" s="255"/>
      <c r="AC631" s="255"/>
      <c r="AD631" s="255"/>
      <c r="AE631" s="255"/>
      <c r="AF631" s="255"/>
      <c r="AG631" s="255"/>
      <c r="AH631" s="255"/>
      <c r="AI631" s="255"/>
      <c r="AJ631" s="255"/>
      <c r="AK631" s="255"/>
      <c r="AL631" s="255"/>
    </row>
    <row r="632" spans="11:38" ht="12.75" customHeight="1" x14ac:dyDescent="0.25"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  <c r="AA632" s="255"/>
      <c r="AB632" s="255"/>
      <c r="AC632" s="255"/>
      <c r="AD632" s="255"/>
      <c r="AE632" s="255"/>
      <c r="AF632" s="255"/>
      <c r="AG632" s="255"/>
      <c r="AH632" s="255"/>
      <c r="AI632" s="255"/>
      <c r="AJ632" s="255"/>
      <c r="AK632" s="255"/>
      <c r="AL632" s="255"/>
    </row>
    <row r="633" spans="11:38" ht="12.75" customHeight="1" x14ac:dyDescent="0.25"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  <c r="AA633" s="255"/>
      <c r="AB633" s="255"/>
      <c r="AC633" s="255"/>
      <c r="AD633" s="255"/>
      <c r="AE633" s="255"/>
      <c r="AF633" s="255"/>
      <c r="AG633" s="255"/>
      <c r="AH633" s="255"/>
      <c r="AI633" s="255"/>
      <c r="AJ633" s="255"/>
      <c r="AK633" s="255"/>
      <c r="AL633" s="255"/>
    </row>
    <row r="634" spans="11:38" ht="12.75" customHeight="1" x14ac:dyDescent="0.25"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  <c r="AA634" s="255"/>
      <c r="AB634" s="255"/>
      <c r="AC634" s="255"/>
      <c r="AD634" s="255"/>
      <c r="AE634" s="255"/>
      <c r="AF634" s="255"/>
      <c r="AG634" s="255"/>
      <c r="AH634" s="255"/>
      <c r="AI634" s="255"/>
      <c r="AJ634" s="255"/>
      <c r="AK634" s="255"/>
      <c r="AL634" s="255"/>
    </row>
    <row r="635" spans="11:38" ht="12.75" customHeight="1" x14ac:dyDescent="0.25"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  <c r="AA635" s="255"/>
      <c r="AB635" s="255"/>
      <c r="AC635" s="255"/>
      <c r="AD635" s="255"/>
      <c r="AE635" s="255"/>
      <c r="AF635" s="255"/>
      <c r="AG635" s="255"/>
      <c r="AH635" s="255"/>
      <c r="AI635" s="255"/>
      <c r="AJ635" s="255"/>
      <c r="AK635" s="255"/>
      <c r="AL635" s="255"/>
    </row>
    <row r="636" spans="11:38" ht="12.75" customHeight="1" x14ac:dyDescent="0.25"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  <c r="AA636" s="255"/>
      <c r="AB636" s="255"/>
      <c r="AC636" s="255"/>
      <c r="AD636" s="255"/>
      <c r="AE636" s="255"/>
      <c r="AF636" s="255"/>
      <c r="AG636" s="255"/>
      <c r="AH636" s="255"/>
      <c r="AI636" s="255"/>
      <c r="AJ636" s="255"/>
      <c r="AK636" s="255"/>
      <c r="AL636" s="255"/>
    </row>
    <row r="637" spans="11:38" ht="12.75" customHeight="1" x14ac:dyDescent="0.25"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  <c r="AA637" s="255"/>
      <c r="AB637" s="255"/>
      <c r="AC637" s="255"/>
      <c r="AD637" s="255"/>
      <c r="AE637" s="255"/>
      <c r="AF637" s="255"/>
      <c r="AG637" s="255"/>
      <c r="AH637" s="255"/>
      <c r="AI637" s="255"/>
      <c r="AJ637" s="255"/>
      <c r="AK637" s="255"/>
      <c r="AL637" s="255"/>
    </row>
    <row r="638" spans="11:38" ht="12.75" customHeight="1" x14ac:dyDescent="0.25"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  <c r="AA638" s="255"/>
      <c r="AB638" s="255"/>
      <c r="AC638" s="255"/>
      <c r="AD638" s="255"/>
      <c r="AE638" s="255"/>
      <c r="AF638" s="255"/>
      <c r="AG638" s="255"/>
      <c r="AH638" s="255"/>
      <c r="AI638" s="255"/>
      <c r="AJ638" s="255"/>
      <c r="AK638" s="255"/>
      <c r="AL638" s="255"/>
    </row>
    <row r="639" spans="11:38" ht="12.75" customHeight="1" x14ac:dyDescent="0.25"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  <c r="AA639" s="255"/>
      <c r="AB639" s="255"/>
      <c r="AC639" s="255"/>
      <c r="AD639" s="255"/>
      <c r="AE639" s="255"/>
      <c r="AF639" s="255"/>
      <c r="AG639" s="255"/>
      <c r="AH639" s="255"/>
      <c r="AI639" s="255"/>
      <c r="AJ639" s="255"/>
      <c r="AK639" s="255"/>
      <c r="AL639" s="255"/>
    </row>
    <row r="640" spans="11:38" ht="12.75" customHeight="1" x14ac:dyDescent="0.25"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  <c r="AA640" s="255"/>
      <c r="AB640" s="255"/>
      <c r="AC640" s="255"/>
      <c r="AD640" s="255"/>
      <c r="AE640" s="255"/>
      <c r="AF640" s="255"/>
      <c r="AG640" s="255"/>
      <c r="AH640" s="255"/>
      <c r="AI640" s="255"/>
      <c r="AJ640" s="255"/>
      <c r="AK640" s="255"/>
      <c r="AL640" s="255"/>
    </row>
    <row r="641" spans="11:38" ht="12.75" customHeight="1" x14ac:dyDescent="0.25"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  <c r="AA641" s="255"/>
      <c r="AB641" s="255"/>
      <c r="AC641" s="255"/>
      <c r="AD641" s="255"/>
      <c r="AE641" s="255"/>
      <c r="AF641" s="255"/>
      <c r="AG641" s="255"/>
      <c r="AH641" s="255"/>
      <c r="AI641" s="255"/>
      <c r="AJ641" s="255"/>
      <c r="AK641" s="255"/>
      <c r="AL641" s="255"/>
    </row>
    <row r="642" spans="11:38" ht="12.75" customHeight="1" x14ac:dyDescent="0.25"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  <c r="AA642" s="255"/>
      <c r="AB642" s="255"/>
      <c r="AC642" s="255"/>
      <c r="AD642" s="255"/>
      <c r="AE642" s="255"/>
      <c r="AF642" s="255"/>
      <c r="AG642" s="255"/>
      <c r="AH642" s="255"/>
      <c r="AI642" s="255"/>
      <c r="AJ642" s="255"/>
      <c r="AK642" s="255"/>
      <c r="AL642" s="255"/>
    </row>
    <row r="643" spans="11:38" ht="12.75" customHeight="1" x14ac:dyDescent="0.25"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  <c r="AA643" s="255"/>
      <c r="AB643" s="255"/>
      <c r="AC643" s="255"/>
      <c r="AD643" s="255"/>
      <c r="AE643" s="255"/>
      <c r="AF643" s="255"/>
      <c r="AG643" s="255"/>
      <c r="AH643" s="255"/>
      <c r="AI643" s="255"/>
      <c r="AJ643" s="255"/>
      <c r="AK643" s="255"/>
      <c r="AL643" s="255"/>
    </row>
    <row r="644" spans="11:38" ht="12.75" customHeight="1" x14ac:dyDescent="0.25"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  <c r="AA644" s="255"/>
      <c r="AB644" s="255"/>
      <c r="AC644" s="255"/>
      <c r="AD644" s="255"/>
      <c r="AE644" s="255"/>
      <c r="AF644" s="255"/>
      <c r="AG644" s="255"/>
      <c r="AH644" s="255"/>
      <c r="AI644" s="255"/>
      <c r="AJ644" s="255"/>
      <c r="AK644" s="255"/>
      <c r="AL644" s="255"/>
    </row>
    <row r="645" spans="11:38" ht="12.75" customHeight="1" x14ac:dyDescent="0.25"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  <c r="AA645" s="255"/>
      <c r="AB645" s="255"/>
      <c r="AC645" s="255"/>
      <c r="AD645" s="255"/>
      <c r="AE645" s="255"/>
      <c r="AF645" s="255"/>
      <c r="AG645" s="255"/>
      <c r="AH645" s="255"/>
      <c r="AI645" s="255"/>
      <c r="AJ645" s="255"/>
      <c r="AK645" s="255"/>
      <c r="AL645" s="255"/>
    </row>
    <row r="646" spans="11:38" ht="12.75" customHeight="1" x14ac:dyDescent="0.25"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  <c r="AA646" s="255"/>
      <c r="AB646" s="255"/>
      <c r="AC646" s="255"/>
      <c r="AD646" s="255"/>
      <c r="AE646" s="255"/>
      <c r="AF646" s="255"/>
      <c r="AG646" s="255"/>
      <c r="AH646" s="255"/>
      <c r="AI646" s="255"/>
      <c r="AJ646" s="255"/>
      <c r="AK646" s="255"/>
      <c r="AL646" s="255"/>
    </row>
    <row r="647" spans="11:38" ht="12.75" customHeight="1" x14ac:dyDescent="0.25"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  <c r="AA647" s="255"/>
      <c r="AB647" s="255"/>
      <c r="AC647" s="255"/>
      <c r="AD647" s="255"/>
      <c r="AE647" s="255"/>
      <c r="AF647" s="255"/>
      <c r="AG647" s="255"/>
      <c r="AH647" s="255"/>
      <c r="AI647" s="255"/>
      <c r="AJ647" s="255"/>
      <c r="AK647" s="255"/>
      <c r="AL647" s="255"/>
    </row>
    <row r="648" spans="11:38" ht="12.75" customHeight="1" x14ac:dyDescent="0.25"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  <c r="AA648" s="255"/>
      <c r="AB648" s="255"/>
      <c r="AC648" s="255"/>
      <c r="AD648" s="255"/>
      <c r="AE648" s="255"/>
      <c r="AF648" s="255"/>
      <c r="AG648" s="255"/>
      <c r="AH648" s="255"/>
      <c r="AI648" s="255"/>
      <c r="AJ648" s="255"/>
      <c r="AK648" s="255"/>
      <c r="AL648" s="255"/>
    </row>
    <row r="649" spans="11:38" ht="12.75" customHeight="1" x14ac:dyDescent="0.25"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  <c r="AA649" s="255"/>
      <c r="AB649" s="255"/>
      <c r="AC649" s="255"/>
      <c r="AD649" s="255"/>
      <c r="AE649" s="255"/>
      <c r="AF649" s="255"/>
      <c r="AG649" s="255"/>
      <c r="AH649" s="255"/>
      <c r="AI649" s="255"/>
      <c r="AJ649" s="255"/>
      <c r="AK649" s="255"/>
      <c r="AL649" s="255"/>
    </row>
    <row r="650" spans="11:38" ht="12.75" customHeight="1" x14ac:dyDescent="0.25"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  <c r="AA650" s="255"/>
      <c r="AB650" s="255"/>
      <c r="AC650" s="255"/>
      <c r="AD650" s="255"/>
      <c r="AE650" s="255"/>
      <c r="AF650" s="255"/>
      <c r="AG650" s="255"/>
      <c r="AH650" s="255"/>
      <c r="AI650" s="255"/>
      <c r="AJ650" s="255"/>
      <c r="AK650" s="255"/>
      <c r="AL650" s="255"/>
    </row>
    <row r="651" spans="11:38" ht="12.75" customHeight="1" x14ac:dyDescent="0.25"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  <c r="AA651" s="255"/>
      <c r="AB651" s="255"/>
      <c r="AC651" s="255"/>
      <c r="AD651" s="255"/>
      <c r="AE651" s="255"/>
      <c r="AF651" s="255"/>
      <c r="AG651" s="255"/>
      <c r="AH651" s="255"/>
      <c r="AI651" s="255"/>
      <c r="AJ651" s="255"/>
      <c r="AK651" s="255"/>
      <c r="AL651" s="255"/>
    </row>
    <row r="652" spans="11:38" ht="12.75" customHeight="1" x14ac:dyDescent="0.25"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  <c r="AA652" s="255"/>
      <c r="AB652" s="255"/>
      <c r="AC652" s="255"/>
      <c r="AD652" s="255"/>
      <c r="AE652" s="255"/>
      <c r="AF652" s="255"/>
      <c r="AG652" s="255"/>
      <c r="AH652" s="255"/>
      <c r="AI652" s="255"/>
      <c r="AJ652" s="255"/>
      <c r="AK652" s="255"/>
      <c r="AL652" s="255"/>
    </row>
    <row r="653" spans="11:38" ht="12.75" customHeight="1" x14ac:dyDescent="0.25"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  <c r="AA653" s="255"/>
      <c r="AB653" s="255"/>
      <c r="AC653" s="255"/>
      <c r="AD653" s="255"/>
      <c r="AE653" s="255"/>
      <c r="AF653" s="255"/>
      <c r="AG653" s="255"/>
      <c r="AH653" s="255"/>
      <c r="AI653" s="255"/>
      <c r="AJ653" s="255"/>
      <c r="AK653" s="255"/>
      <c r="AL653" s="255"/>
    </row>
    <row r="654" spans="11:38" ht="12.75" customHeight="1" x14ac:dyDescent="0.25"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  <c r="AA654" s="255"/>
      <c r="AB654" s="255"/>
      <c r="AC654" s="255"/>
      <c r="AD654" s="255"/>
      <c r="AE654" s="255"/>
      <c r="AF654" s="255"/>
      <c r="AG654" s="255"/>
      <c r="AH654" s="255"/>
      <c r="AI654" s="255"/>
      <c r="AJ654" s="255"/>
      <c r="AK654" s="255"/>
      <c r="AL654" s="255"/>
    </row>
    <row r="655" spans="11:38" ht="12.75" customHeight="1" x14ac:dyDescent="0.25"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  <c r="AA655" s="255"/>
      <c r="AB655" s="255"/>
      <c r="AC655" s="255"/>
      <c r="AD655" s="255"/>
      <c r="AE655" s="255"/>
      <c r="AF655" s="255"/>
      <c r="AG655" s="255"/>
      <c r="AH655" s="255"/>
      <c r="AI655" s="255"/>
      <c r="AJ655" s="255"/>
      <c r="AK655" s="255"/>
      <c r="AL655" s="255"/>
    </row>
    <row r="656" spans="11:38" ht="12.75" customHeight="1" x14ac:dyDescent="0.25"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  <c r="AA656" s="255"/>
      <c r="AB656" s="255"/>
      <c r="AC656" s="255"/>
      <c r="AD656" s="255"/>
      <c r="AE656" s="255"/>
      <c r="AF656" s="255"/>
      <c r="AG656" s="255"/>
      <c r="AH656" s="255"/>
      <c r="AI656" s="255"/>
      <c r="AJ656" s="255"/>
      <c r="AK656" s="255"/>
      <c r="AL656" s="255"/>
    </row>
    <row r="657" spans="11:38" ht="12.75" customHeight="1" x14ac:dyDescent="0.25"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  <c r="AA657" s="255"/>
      <c r="AB657" s="255"/>
      <c r="AC657" s="255"/>
      <c r="AD657" s="255"/>
      <c r="AE657" s="255"/>
      <c r="AF657" s="255"/>
      <c r="AG657" s="255"/>
      <c r="AH657" s="255"/>
      <c r="AI657" s="255"/>
      <c r="AJ657" s="255"/>
      <c r="AK657" s="255"/>
      <c r="AL657" s="255"/>
    </row>
    <row r="658" spans="11:38" ht="12.75" customHeight="1" x14ac:dyDescent="0.25"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  <c r="AA658" s="255"/>
      <c r="AB658" s="255"/>
      <c r="AC658" s="255"/>
      <c r="AD658" s="255"/>
      <c r="AE658" s="255"/>
      <c r="AF658" s="255"/>
      <c r="AG658" s="255"/>
      <c r="AH658" s="255"/>
      <c r="AI658" s="255"/>
      <c r="AJ658" s="255"/>
      <c r="AK658" s="255"/>
      <c r="AL658" s="255"/>
    </row>
    <row r="659" spans="11:38" ht="12.75" customHeight="1" x14ac:dyDescent="0.25"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  <c r="AA659" s="255"/>
      <c r="AB659" s="255"/>
      <c r="AC659" s="255"/>
      <c r="AD659" s="255"/>
      <c r="AE659" s="255"/>
      <c r="AF659" s="255"/>
      <c r="AG659" s="255"/>
      <c r="AH659" s="255"/>
      <c r="AI659" s="255"/>
      <c r="AJ659" s="255"/>
      <c r="AK659" s="255"/>
      <c r="AL659" s="255"/>
    </row>
    <row r="660" spans="11:38" ht="12.75" customHeight="1" x14ac:dyDescent="0.25"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  <c r="AA660" s="255"/>
      <c r="AB660" s="255"/>
      <c r="AC660" s="255"/>
      <c r="AD660" s="255"/>
      <c r="AE660" s="255"/>
      <c r="AF660" s="255"/>
      <c r="AG660" s="255"/>
      <c r="AH660" s="255"/>
      <c r="AI660" s="255"/>
      <c r="AJ660" s="255"/>
      <c r="AK660" s="255"/>
      <c r="AL660" s="255"/>
    </row>
    <row r="661" spans="11:38" ht="12.75" customHeight="1" x14ac:dyDescent="0.25"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  <c r="AA661" s="255"/>
      <c r="AB661" s="255"/>
      <c r="AC661" s="255"/>
      <c r="AD661" s="255"/>
      <c r="AE661" s="255"/>
      <c r="AF661" s="255"/>
      <c r="AG661" s="255"/>
      <c r="AH661" s="255"/>
      <c r="AI661" s="255"/>
      <c r="AJ661" s="255"/>
      <c r="AK661" s="255"/>
      <c r="AL661" s="255"/>
    </row>
    <row r="662" spans="11:38" ht="12.75" customHeight="1" x14ac:dyDescent="0.25"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  <c r="AA662" s="255"/>
      <c r="AB662" s="255"/>
      <c r="AC662" s="255"/>
      <c r="AD662" s="255"/>
      <c r="AE662" s="255"/>
      <c r="AF662" s="255"/>
      <c r="AG662" s="255"/>
      <c r="AH662" s="255"/>
      <c r="AI662" s="255"/>
      <c r="AJ662" s="255"/>
      <c r="AK662" s="255"/>
      <c r="AL662" s="255"/>
    </row>
    <row r="663" spans="11:38" ht="12.75" customHeight="1" x14ac:dyDescent="0.25"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  <c r="AA663" s="255"/>
      <c r="AB663" s="255"/>
      <c r="AC663" s="255"/>
      <c r="AD663" s="255"/>
      <c r="AE663" s="255"/>
      <c r="AF663" s="255"/>
      <c r="AG663" s="255"/>
      <c r="AH663" s="255"/>
      <c r="AI663" s="255"/>
      <c r="AJ663" s="255"/>
      <c r="AK663" s="255"/>
      <c r="AL663" s="255"/>
    </row>
    <row r="664" spans="11:38" ht="12.75" customHeight="1" x14ac:dyDescent="0.25"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  <c r="AA664" s="255"/>
      <c r="AB664" s="255"/>
      <c r="AC664" s="255"/>
      <c r="AD664" s="255"/>
      <c r="AE664" s="255"/>
      <c r="AF664" s="255"/>
      <c r="AG664" s="255"/>
      <c r="AH664" s="255"/>
      <c r="AI664" s="255"/>
      <c r="AJ664" s="255"/>
      <c r="AK664" s="255"/>
      <c r="AL664" s="255"/>
    </row>
    <row r="665" spans="11:38" ht="12.75" customHeight="1" x14ac:dyDescent="0.25"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  <c r="AA665" s="255"/>
      <c r="AB665" s="255"/>
      <c r="AC665" s="255"/>
      <c r="AD665" s="255"/>
      <c r="AE665" s="255"/>
      <c r="AF665" s="255"/>
      <c r="AG665" s="255"/>
      <c r="AH665" s="255"/>
      <c r="AI665" s="255"/>
      <c r="AJ665" s="255"/>
      <c r="AK665" s="255"/>
      <c r="AL665" s="255"/>
    </row>
    <row r="666" spans="11:38" ht="12.75" customHeight="1" x14ac:dyDescent="0.25"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  <c r="AA666" s="255"/>
      <c r="AB666" s="255"/>
      <c r="AC666" s="255"/>
      <c r="AD666" s="255"/>
      <c r="AE666" s="255"/>
      <c r="AF666" s="255"/>
      <c r="AG666" s="255"/>
      <c r="AH666" s="255"/>
      <c r="AI666" s="255"/>
      <c r="AJ666" s="255"/>
      <c r="AK666" s="255"/>
      <c r="AL666" s="255"/>
    </row>
    <row r="667" spans="11:38" ht="12.75" customHeight="1" x14ac:dyDescent="0.25"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  <c r="AA667" s="255"/>
      <c r="AB667" s="255"/>
      <c r="AC667" s="255"/>
      <c r="AD667" s="255"/>
      <c r="AE667" s="255"/>
      <c r="AF667" s="255"/>
      <c r="AG667" s="255"/>
      <c r="AH667" s="255"/>
      <c r="AI667" s="255"/>
      <c r="AJ667" s="255"/>
      <c r="AK667" s="255"/>
      <c r="AL667" s="255"/>
    </row>
    <row r="668" spans="11:38" ht="12.75" customHeight="1" x14ac:dyDescent="0.25"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  <c r="AA668" s="255"/>
      <c r="AB668" s="255"/>
      <c r="AC668" s="255"/>
      <c r="AD668" s="255"/>
      <c r="AE668" s="255"/>
      <c r="AF668" s="255"/>
      <c r="AG668" s="255"/>
      <c r="AH668" s="255"/>
      <c r="AI668" s="255"/>
      <c r="AJ668" s="255"/>
      <c r="AK668" s="255"/>
      <c r="AL668" s="255"/>
    </row>
    <row r="669" spans="11:38" ht="12.75" customHeight="1" x14ac:dyDescent="0.25"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  <c r="AA669" s="255"/>
      <c r="AB669" s="255"/>
      <c r="AC669" s="255"/>
      <c r="AD669" s="255"/>
      <c r="AE669" s="255"/>
      <c r="AF669" s="255"/>
      <c r="AG669" s="255"/>
      <c r="AH669" s="255"/>
      <c r="AI669" s="255"/>
      <c r="AJ669" s="255"/>
      <c r="AK669" s="255"/>
      <c r="AL669" s="255"/>
    </row>
    <row r="670" spans="11:38" ht="12.75" customHeight="1" x14ac:dyDescent="0.25"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  <c r="AA670" s="255"/>
      <c r="AB670" s="255"/>
      <c r="AC670" s="255"/>
      <c r="AD670" s="255"/>
      <c r="AE670" s="255"/>
      <c r="AF670" s="255"/>
      <c r="AG670" s="255"/>
      <c r="AH670" s="255"/>
      <c r="AI670" s="255"/>
      <c r="AJ670" s="255"/>
      <c r="AK670" s="255"/>
      <c r="AL670" s="255"/>
    </row>
    <row r="671" spans="11:38" ht="12.75" customHeight="1" x14ac:dyDescent="0.25"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  <c r="AA671" s="255"/>
      <c r="AB671" s="255"/>
      <c r="AC671" s="255"/>
      <c r="AD671" s="255"/>
      <c r="AE671" s="255"/>
      <c r="AF671" s="255"/>
      <c r="AG671" s="255"/>
      <c r="AH671" s="255"/>
      <c r="AI671" s="255"/>
      <c r="AJ671" s="255"/>
      <c r="AK671" s="255"/>
      <c r="AL671" s="255"/>
    </row>
    <row r="672" spans="11:38" ht="12.75" customHeight="1" x14ac:dyDescent="0.25"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  <c r="AA672" s="255"/>
      <c r="AB672" s="255"/>
      <c r="AC672" s="255"/>
      <c r="AD672" s="255"/>
      <c r="AE672" s="255"/>
      <c r="AF672" s="255"/>
      <c r="AG672" s="255"/>
      <c r="AH672" s="255"/>
      <c r="AI672" s="255"/>
      <c r="AJ672" s="255"/>
      <c r="AK672" s="255"/>
      <c r="AL672" s="255"/>
    </row>
    <row r="673" spans="11:38" ht="12.75" customHeight="1" x14ac:dyDescent="0.25"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  <c r="AA673" s="255"/>
      <c r="AB673" s="255"/>
      <c r="AC673" s="255"/>
      <c r="AD673" s="255"/>
      <c r="AE673" s="255"/>
      <c r="AF673" s="255"/>
      <c r="AG673" s="255"/>
      <c r="AH673" s="255"/>
      <c r="AI673" s="255"/>
      <c r="AJ673" s="255"/>
      <c r="AK673" s="255"/>
      <c r="AL673" s="255"/>
    </row>
    <row r="674" spans="11:38" ht="12.75" customHeight="1" x14ac:dyDescent="0.25"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  <c r="AA674" s="255"/>
      <c r="AB674" s="255"/>
      <c r="AC674" s="255"/>
      <c r="AD674" s="255"/>
      <c r="AE674" s="255"/>
      <c r="AF674" s="255"/>
      <c r="AG674" s="255"/>
      <c r="AH674" s="255"/>
      <c r="AI674" s="255"/>
      <c r="AJ674" s="255"/>
      <c r="AK674" s="255"/>
      <c r="AL674" s="255"/>
    </row>
    <row r="675" spans="11:38" ht="12.75" customHeight="1" x14ac:dyDescent="0.25"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  <c r="AA675" s="255"/>
      <c r="AB675" s="255"/>
      <c r="AC675" s="255"/>
      <c r="AD675" s="255"/>
      <c r="AE675" s="255"/>
      <c r="AF675" s="255"/>
      <c r="AG675" s="255"/>
      <c r="AH675" s="255"/>
      <c r="AI675" s="255"/>
      <c r="AJ675" s="255"/>
      <c r="AK675" s="255"/>
      <c r="AL675" s="255"/>
    </row>
    <row r="676" spans="11:38" ht="12.75" customHeight="1" x14ac:dyDescent="0.25"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  <c r="AA676" s="255"/>
      <c r="AB676" s="255"/>
      <c r="AC676" s="255"/>
      <c r="AD676" s="255"/>
      <c r="AE676" s="255"/>
      <c r="AF676" s="255"/>
      <c r="AG676" s="255"/>
      <c r="AH676" s="255"/>
      <c r="AI676" s="255"/>
      <c r="AJ676" s="255"/>
      <c r="AK676" s="255"/>
      <c r="AL676" s="255"/>
    </row>
    <row r="677" spans="11:38" ht="12.75" customHeight="1" x14ac:dyDescent="0.25"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  <c r="AA677" s="255"/>
      <c r="AB677" s="255"/>
      <c r="AC677" s="255"/>
      <c r="AD677" s="255"/>
      <c r="AE677" s="255"/>
      <c r="AF677" s="255"/>
      <c r="AG677" s="255"/>
      <c r="AH677" s="255"/>
      <c r="AI677" s="255"/>
      <c r="AJ677" s="255"/>
      <c r="AK677" s="255"/>
      <c r="AL677" s="255"/>
    </row>
    <row r="678" spans="11:38" ht="12.75" customHeight="1" x14ac:dyDescent="0.25"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  <c r="AA678" s="255"/>
      <c r="AB678" s="255"/>
      <c r="AC678" s="255"/>
      <c r="AD678" s="255"/>
      <c r="AE678" s="255"/>
      <c r="AF678" s="255"/>
      <c r="AG678" s="255"/>
      <c r="AH678" s="255"/>
      <c r="AI678" s="255"/>
      <c r="AJ678" s="255"/>
      <c r="AK678" s="255"/>
      <c r="AL678" s="255"/>
    </row>
    <row r="679" spans="11:38" ht="12.75" customHeight="1" x14ac:dyDescent="0.25"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  <c r="AA679" s="255"/>
      <c r="AB679" s="255"/>
      <c r="AC679" s="255"/>
      <c r="AD679" s="255"/>
      <c r="AE679" s="255"/>
      <c r="AF679" s="255"/>
      <c r="AG679" s="255"/>
      <c r="AH679" s="255"/>
      <c r="AI679" s="255"/>
      <c r="AJ679" s="255"/>
      <c r="AK679" s="255"/>
      <c r="AL679" s="255"/>
    </row>
    <row r="680" spans="11:38" ht="12.75" customHeight="1" x14ac:dyDescent="0.25"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  <c r="AA680" s="255"/>
      <c r="AB680" s="255"/>
      <c r="AC680" s="255"/>
      <c r="AD680" s="255"/>
      <c r="AE680" s="255"/>
      <c r="AF680" s="255"/>
      <c r="AG680" s="255"/>
      <c r="AH680" s="255"/>
      <c r="AI680" s="255"/>
      <c r="AJ680" s="255"/>
      <c r="AK680" s="255"/>
      <c r="AL680" s="255"/>
    </row>
    <row r="681" spans="11:38" ht="12.75" customHeight="1" x14ac:dyDescent="0.25"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  <c r="AA681" s="255"/>
      <c r="AB681" s="255"/>
      <c r="AC681" s="255"/>
      <c r="AD681" s="255"/>
      <c r="AE681" s="255"/>
      <c r="AF681" s="255"/>
      <c r="AG681" s="255"/>
      <c r="AH681" s="255"/>
      <c r="AI681" s="255"/>
      <c r="AJ681" s="255"/>
      <c r="AK681" s="255"/>
      <c r="AL681" s="255"/>
    </row>
    <row r="682" spans="11:38" ht="12.75" customHeight="1" x14ac:dyDescent="0.25"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  <c r="AA682" s="255"/>
      <c r="AB682" s="255"/>
      <c r="AC682" s="255"/>
      <c r="AD682" s="255"/>
      <c r="AE682" s="255"/>
      <c r="AF682" s="255"/>
      <c r="AG682" s="255"/>
      <c r="AH682" s="255"/>
      <c r="AI682" s="255"/>
      <c r="AJ682" s="255"/>
      <c r="AK682" s="255"/>
      <c r="AL682" s="255"/>
    </row>
    <row r="683" spans="11:38" ht="12.75" customHeight="1" x14ac:dyDescent="0.25"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  <c r="AA683" s="255"/>
      <c r="AB683" s="255"/>
      <c r="AC683" s="255"/>
      <c r="AD683" s="255"/>
      <c r="AE683" s="255"/>
      <c r="AF683" s="255"/>
      <c r="AG683" s="255"/>
      <c r="AH683" s="255"/>
      <c r="AI683" s="255"/>
      <c r="AJ683" s="255"/>
      <c r="AK683" s="255"/>
      <c r="AL683" s="255"/>
    </row>
    <row r="684" spans="11:38" ht="12.75" customHeight="1" x14ac:dyDescent="0.25"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  <c r="AA684" s="255"/>
      <c r="AB684" s="255"/>
      <c r="AC684" s="255"/>
      <c r="AD684" s="255"/>
      <c r="AE684" s="255"/>
      <c r="AF684" s="255"/>
      <c r="AG684" s="255"/>
      <c r="AH684" s="255"/>
      <c r="AI684" s="255"/>
      <c r="AJ684" s="255"/>
      <c r="AK684" s="255"/>
      <c r="AL684" s="255"/>
    </row>
    <row r="685" spans="11:38" ht="12.75" customHeight="1" x14ac:dyDescent="0.25"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  <c r="AA685" s="255"/>
      <c r="AB685" s="255"/>
      <c r="AC685" s="255"/>
      <c r="AD685" s="255"/>
      <c r="AE685" s="255"/>
      <c r="AF685" s="255"/>
      <c r="AG685" s="255"/>
      <c r="AH685" s="255"/>
      <c r="AI685" s="255"/>
      <c r="AJ685" s="255"/>
      <c r="AK685" s="255"/>
      <c r="AL685" s="255"/>
    </row>
    <row r="686" spans="11:38" ht="12.75" customHeight="1" x14ac:dyDescent="0.25"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  <c r="AA686" s="255"/>
      <c r="AB686" s="255"/>
      <c r="AC686" s="255"/>
      <c r="AD686" s="255"/>
      <c r="AE686" s="255"/>
      <c r="AF686" s="255"/>
      <c r="AG686" s="255"/>
      <c r="AH686" s="255"/>
      <c r="AI686" s="255"/>
      <c r="AJ686" s="255"/>
      <c r="AK686" s="255"/>
      <c r="AL686" s="255"/>
    </row>
    <row r="687" spans="11:38" ht="12.75" customHeight="1" x14ac:dyDescent="0.25"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  <c r="AA687" s="255"/>
      <c r="AB687" s="255"/>
      <c r="AC687" s="255"/>
      <c r="AD687" s="255"/>
      <c r="AE687" s="255"/>
      <c r="AF687" s="255"/>
      <c r="AG687" s="255"/>
      <c r="AH687" s="255"/>
      <c r="AI687" s="255"/>
      <c r="AJ687" s="255"/>
      <c r="AK687" s="255"/>
      <c r="AL687" s="255"/>
    </row>
    <row r="688" spans="11:38" ht="12.75" customHeight="1" x14ac:dyDescent="0.25"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  <c r="AA688" s="255"/>
      <c r="AB688" s="255"/>
      <c r="AC688" s="255"/>
      <c r="AD688" s="255"/>
      <c r="AE688" s="255"/>
      <c r="AF688" s="255"/>
      <c r="AG688" s="255"/>
      <c r="AH688" s="255"/>
      <c r="AI688" s="255"/>
      <c r="AJ688" s="255"/>
      <c r="AK688" s="255"/>
      <c r="AL688" s="255"/>
    </row>
    <row r="689" spans="11:38" ht="12.75" customHeight="1" x14ac:dyDescent="0.25"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  <c r="AA689" s="255"/>
      <c r="AB689" s="255"/>
      <c r="AC689" s="255"/>
      <c r="AD689" s="255"/>
      <c r="AE689" s="255"/>
      <c r="AF689" s="255"/>
      <c r="AG689" s="255"/>
      <c r="AH689" s="255"/>
      <c r="AI689" s="255"/>
      <c r="AJ689" s="255"/>
      <c r="AK689" s="255"/>
      <c r="AL689" s="255"/>
    </row>
    <row r="690" spans="11:38" ht="12.75" customHeight="1" x14ac:dyDescent="0.25"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  <c r="AA690" s="255"/>
      <c r="AB690" s="255"/>
      <c r="AC690" s="255"/>
      <c r="AD690" s="255"/>
      <c r="AE690" s="255"/>
      <c r="AF690" s="255"/>
      <c r="AG690" s="255"/>
      <c r="AH690" s="255"/>
      <c r="AI690" s="255"/>
      <c r="AJ690" s="255"/>
      <c r="AK690" s="255"/>
      <c r="AL690" s="255"/>
    </row>
    <row r="691" spans="11:38" ht="12.75" customHeight="1" x14ac:dyDescent="0.25"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  <c r="AA691" s="255"/>
      <c r="AB691" s="255"/>
      <c r="AC691" s="255"/>
      <c r="AD691" s="255"/>
      <c r="AE691" s="255"/>
      <c r="AF691" s="255"/>
      <c r="AG691" s="255"/>
      <c r="AH691" s="255"/>
      <c r="AI691" s="255"/>
      <c r="AJ691" s="255"/>
      <c r="AK691" s="255"/>
      <c r="AL691" s="255"/>
    </row>
    <row r="692" spans="11:38" ht="12.75" customHeight="1" x14ac:dyDescent="0.25"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  <c r="AA692" s="255"/>
      <c r="AB692" s="255"/>
      <c r="AC692" s="255"/>
      <c r="AD692" s="255"/>
      <c r="AE692" s="255"/>
      <c r="AF692" s="255"/>
      <c r="AG692" s="255"/>
      <c r="AH692" s="255"/>
      <c r="AI692" s="255"/>
      <c r="AJ692" s="255"/>
      <c r="AK692" s="255"/>
      <c r="AL692" s="255"/>
    </row>
    <row r="693" spans="11:38" ht="12.75" customHeight="1" x14ac:dyDescent="0.25"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  <c r="AA693" s="255"/>
      <c r="AB693" s="255"/>
      <c r="AC693" s="255"/>
      <c r="AD693" s="255"/>
      <c r="AE693" s="255"/>
      <c r="AF693" s="255"/>
      <c r="AG693" s="255"/>
      <c r="AH693" s="255"/>
      <c r="AI693" s="255"/>
      <c r="AJ693" s="255"/>
      <c r="AK693" s="255"/>
      <c r="AL693" s="255"/>
    </row>
    <row r="694" spans="11:38" ht="12.75" customHeight="1" x14ac:dyDescent="0.25"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  <c r="AA694" s="255"/>
      <c r="AB694" s="255"/>
      <c r="AC694" s="255"/>
      <c r="AD694" s="255"/>
      <c r="AE694" s="255"/>
      <c r="AF694" s="255"/>
      <c r="AG694" s="255"/>
      <c r="AH694" s="255"/>
      <c r="AI694" s="255"/>
      <c r="AJ694" s="255"/>
      <c r="AK694" s="255"/>
      <c r="AL694" s="255"/>
    </row>
    <row r="695" spans="11:38" ht="12.75" customHeight="1" x14ac:dyDescent="0.25"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  <c r="AA695" s="255"/>
      <c r="AB695" s="255"/>
      <c r="AC695" s="255"/>
      <c r="AD695" s="255"/>
      <c r="AE695" s="255"/>
      <c r="AF695" s="255"/>
      <c r="AG695" s="255"/>
      <c r="AH695" s="255"/>
      <c r="AI695" s="255"/>
      <c r="AJ695" s="255"/>
      <c r="AK695" s="255"/>
      <c r="AL695" s="255"/>
    </row>
    <row r="696" spans="11:38" ht="12.75" customHeight="1" x14ac:dyDescent="0.25"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  <c r="AA696" s="255"/>
      <c r="AB696" s="255"/>
      <c r="AC696" s="255"/>
      <c r="AD696" s="255"/>
      <c r="AE696" s="255"/>
      <c r="AF696" s="255"/>
      <c r="AG696" s="255"/>
      <c r="AH696" s="255"/>
      <c r="AI696" s="255"/>
      <c r="AJ696" s="255"/>
      <c r="AK696" s="255"/>
      <c r="AL696" s="255"/>
    </row>
    <row r="697" spans="11:38" ht="12.75" customHeight="1" x14ac:dyDescent="0.25"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  <c r="AA697" s="255"/>
      <c r="AB697" s="255"/>
      <c r="AC697" s="255"/>
      <c r="AD697" s="255"/>
      <c r="AE697" s="255"/>
      <c r="AF697" s="255"/>
      <c r="AG697" s="255"/>
      <c r="AH697" s="255"/>
      <c r="AI697" s="255"/>
      <c r="AJ697" s="255"/>
      <c r="AK697" s="255"/>
      <c r="AL697" s="255"/>
    </row>
    <row r="698" spans="11:38" ht="12.75" customHeight="1" x14ac:dyDescent="0.25"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  <c r="AA698" s="255"/>
      <c r="AB698" s="255"/>
      <c r="AC698" s="255"/>
      <c r="AD698" s="255"/>
      <c r="AE698" s="255"/>
      <c r="AF698" s="255"/>
      <c r="AG698" s="255"/>
      <c r="AH698" s="255"/>
      <c r="AI698" s="255"/>
      <c r="AJ698" s="255"/>
      <c r="AK698" s="255"/>
      <c r="AL698" s="255"/>
    </row>
    <row r="699" spans="11:38" ht="12.75" customHeight="1" x14ac:dyDescent="0.25"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  <c r="AA699" s="255"/>
      <c r="AB699" s="255"/>
      <c r="AC699" s="255"/>
      <c r="AD699" s="255"/>
      <c r="AE699" s="255"/>
      <c r="AF699" s="255"/>
      <c r="AG699" s="255"/>
      <c r="AH699" s="255"/>
      <c r="AI699" s="255"/>
      <c r="AJ699" s="255"/>
      <c r="AK699" s="255"/>
      <c r="AL699" s="255"/>
    </row>
    <row r="700" spans="11:38" ht="12.75" customHeight="1" x14ac:dyDescent="0.25"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  <c r="AA700" s="255"/>
      <c r="AB700" s="255"/>
      <c r="AC700" s="255"/>
      <c r="AD700" s="255"/>
      <c r="AE700" s="255"/>
      <c r="AF700" s="255"/>
      <c r="AG700" s="255"/>
      <c r="AH700" s="255"/>
      <c r="AI700" s="255"/>
      <c r="AJ700" s="255"/>
      <c r="AK700" s="255"/>
      <c r="AL700" s="255"/>
    </row>
    <row r="701" spans="11:38" ht="12.75" customHeight="1" x14ac:dyDescent="0.25"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  <c r="AA701" s="255"/>
      <c r="AB701" s="255"/>
      <c r="AC701" s="255"/>
      <c r="AD701" s="255"/>
      <c r="AE701" s="255"/>
      <c r="AF701" s="255"/>
      <c r="AG701" s="255"/>
      <c r="AH701" s="255"/>
      <c r="AI701" s="255"/>
      <c r="AJ701" s="255"/>
      <c r="AK701" s="255"/>
      <c r="AL701" s="255"/>
    </row>
    <row r="702" spans="11:38" ht="12.75" customHeight="1" x14ac:dyDescent="0.25"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  <c r="AA702" s="255"/>
      <c r="AB702" s="255"/>
      <c r="AC702" s="255"/>
      <c r="AD702" s="255"/>
      <c r="AE702" s="255"/>
      <c r="AF702" s="255"/>
      <c r="AG702" s="255"/>
      <c r="AH702" s="255"/>
      <c r="AI702" s="255"/>
      <c r="AJ702" s="255"/>
      <c r="AK702" s="255"/>
      <c r="AL702" s="255"/>
    </row>
    <row r="703" spans="11:38" ht="12.75" customHeight="1" x14ac:dyDescent="0.25"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  <c r="AA703" s="255"/>
      <c r="AB703" s="255"/>
      <c r="AC703" s="255"/>
      <c r="AD703" s="255"/>
      <c r="AE703" s="255"/>
      <c r="AF703" s="255"/>
      <c r="AG703" s="255"/>
      <c r="AH703" s="255"/>
      <c r="AI703" s="255"/>
      <c r="AJ703" s="255"/>
      <c r="AK703" s="255"/>
      <c r="AL703" s="255"/>
    </row>
    <row r="704" spans="11:38" ht="12.75" customHeight="1" x14ac:dyDescent="0.25"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  <c r="AA704" s="255"/>
      <c r="AB704" s="255"/>
      <c r="AC704" s="255"/>
      <c r="AD704" s="255"/>
      <c r="AE704" s="255"/>
      <c r="AF704" s="255"/>
      <c r="AG704" s="255"/>
      <c r="AH704" s="255"/>
      <c r="AI704" s="255"/>
      <c r="AJ704" s="255"/>
      <c r="AK704" s="255"/>
      <c r="AL704" s="255"/>
    </row>
    <row r="705" spans="11:38" ht="12.75" customHeight="1" x14ac:dyDescent="0.25"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  <c r="AA705" s="255"/>
      <c r="AB705" s="255"/>
      <c r="AC705" s="255"/>
      <c r="AD705" s="255"/>
      <c r="AE705" s="255"/>
      <c r="AF705" s="255"/>
      <c r="AG705" s="255"/>
      <c r="AH705" s="255"/>
      <c r="AI705" s="255"/>
      <c r="AJ705" s="255"/>
      <c r="AK705" s="255"/>
      <c r="AL705" s="255"/>
    </row>
    <row r="706" spans="11:38" ht="12.75" customHeight="1" x14ac:dyDescent="0.25"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  <c r="AA706" s="255"/>
      <c r="AB706" s="255"/>
      <c r="AC706" s="255"/>
      <c r="AD706" s="255"/>
      <c r="AE706" s="255"/>
      <c r="AF706" s="255"/>
      <c r="AG706" s="255"/>
      <c r="AH706" s="255"/>
      <c r="AI706" s="255"/>
      <c r="AJ706" s="255"/>
      <c r="AK706" s="255"/>
      <c r="AL706" s="255"/>
    </row>
    <row r="707" spans="11:38" ht="12.75" customHeight="1" x14ac:dyDescent="0.25"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  <c r="AA707" s="255"/>
      <c r="AB707" s="255"/>
      <c r="AC707" s="255"/>
      <c r="AD707" s="255"/>
      <c r="AE707" s="255"/>
      <c r="AF707" s="255"/>
      <c r="AG707" s="255"/>
      <c r="AH707" s="255"/>
      <c r="AI707" s="255"/>
      <c r="AJ707" s="255"/>
      <c r="AK707" s="255"/>
      <c r="AL707" s="255"/>
    </row>
    <row r="708" spans="11:38" ht="12.75" customHeight="1" x14ac:dyDescent="0.25"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  <c r="AA708" s="255"/>
      <c r="AB708" s="255"/>
      <c r="AC708" s="255"/>
      <c r="AD708" s="255"/>
      <c r="AE708" s="255"/>
      <c r="AF708" s="255"/>
      <c r="AG708" s="255"/>
      <c r="AH708" s="255"/>
      <c r="AI708" s="255"/>
      <c r="AJ708" s="255"/>
      <c r="AK708" s="255"/>
      <c r="AL708" s="255"/>
    </row>
    <row r="709" spans="11:38" ht="12.75" customHeight="1" x14ac:dyDescent="0.25"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  <c r="AA709" s="255"/>
      <c r="AB709" s="255"/>
      <c r="AC709" s="255"/>
      <c r="AD709" s="255"/>
      <c r="AE709" s="255"/>
      <c r="AF709" s="255"/>
      <c r="AG709" s="255"/>
      <c r="AH709" s="255"/>
      <c r="AI709" s="255"/>
      <c r="AJ709" s="255"/>
      <c r="AK709" s="255"/>
      <c r="AL709" s="255"/>
    </row>
    <row r="710" spans="11:38" ht="12.75" customHeight="1" x14ac:dyDescent="0.25"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  <c r="AA710" s="255"/>
      <c r="AB710" s="255"/>
      <c r="AC710" s="255"/>
      <c r="AD710" s="255"/>
      <c r="AE710" s="255"/>
      <c r="AF710" s="255"/>
      <c r="AG710" s="255"/>
      <c r="AH710" s="255"/>
      <c r="AI710" s="255"/>
      <c r="AJ710" s="255"/>
      <c r="AK710" s="255"/>
      <c r="AL710" s="255"/>
    </row>
    <row r="711" spans="11:38" ht="12.75" customHeight="1" x14ac:dyDescent="0.25"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  <c r="AA711" s="255"/>
      <c r="AB711" s="255"/>
      <c r="AC711" s="255"/>
      <c r="AD711" s="255"/>
      <c r="AE711" s="255"/>
      <c r="AF711" s="255"/>
      <c r="AG711" s="255"/>
      <c r="AH711" s="255"/>
      <c r="AI711" s="255"/>
      <c r="AJ711" s="255"/>
      <c r="AK711" s="255"/>
      <c r="AL711" s="255"/>
    </row>
    <row r="712" spans="11:38" ht="12.75" customHeight="1" x14ac:dyDescent="0.25"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  <c r="AA712" s="255"/>
      <c r="AB712" s="255"/>
      <c r="AC712" s="255"/>
      <c r="AD712" s="255"/>
      <c r="AE712" s="255"/>
      <c r="AF712" s="255"/>
      <c r="AG712" s="255"/>
      <c r="AH712" s="255"/>
      <c r="AI712" s="255"/>
      <c r="AJ712" s="255"/>
      <c r="AK712" s="255"/>
      <c r="AL712" s="255"/>
    </row>
    <row r="713" spans="11:38" ht="12.75" customHeight="1" x14ac:dyDescent="0.25"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  <c r="AA713" s="255"/>
      <c r="AB713" s="255"/>
      <c r="AC713" s="255"/>
      <c r="AD713" s="255"/>
      <c r="AE713" s="255"/>
      <c r="AF713" s="255"/>
      <c r="AG713" s="255"/>
      <c r="AH713" s="255"/>
      <c r="AI713" s="255"/>
      <c r="AJ713" s="255"/>
      <c r="AK713" s="255"/>
      <c r="AL713" s="255"/>
    </row>
    <row r="714" spans="11:38" ht="12.75" customHeight="1" x14ac:dyDescent="0.25"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  <c r="AA714" s="255"/>
      <c r="AB714" s="255"/>
      <c r="AC714" s="255"/>
      <c r="AD714" s="255"/>
      <c r="AE714" s="255"/>
      <c r="AF714" s="255"/>
      <c r="AG714" s="255"/>
      <c r="AH714" s="255"/>
      <c r="AI714" s="255"/>
      <c r="AJ714" s="255"/>
      <c r="AK714" s="255"/>
      <c r="AL714" s="255"/>
    </row>
    <row r="715" spans="11:38" ht="12.75" customHeight="1" x14ac:dyDescent="0.25"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  <c r="AA715" s="255"/>
      <c r="AB715" s="255"/>
      <c r="AC715" s="255"/>
      <c r="AD715" s="255"/>
      <c r="AE715" s="255"/>
      <c r="AF715" s="255"/>
      <c r="AG715" s="255"/>
      <c r="AH715" s="255"/>
      <c r="AI715" s="255"/>
      <c r="AJ715" s="255"/>
      <c r="AK715" s="255"/>
      <c r="AL715" s="255"/>
    </row>
    <row r="716" spans="11:38" ht="12.75" customHeight="1" x14ac:dyDescent="0.25"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  <c r="AA716" s="255"/>
      <c r="AB716" s="255"/>
      <c r="AC716" s="255"/>
      <c r="AD716" s="255"/>
      <c r="AE716" s="255"/>
      <c r="AF716" s="255"/>
      <c r="AG716" s="255"/>
      <c r="AH716" s="255"/>
      <c r="AI716" s="255"/>
      <c r="AJ716" s="255"/>
      <c r="AK716" s="255"/>
      <c r="AL716" s="255"/>
    </row>
    <row r="717" spans="11:38" ht="12.75" customHeight="1" x14ac:dyDescent="0.25"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  <c r="AA717" s="255"/>
      <c r="AB717" s="255"/>
      <c r="AC717" s="255"/>
      <c r="AD717" s="255"/>
      <c r="AE717" s="255"/>
      <c r="AF717" s="255"/>
      <c r="AG717" s="255"/>
      <c r="AH717" s="255"/>
      <c r="AI717" s="255"/>
      <c r="AJ717" s="255"/>
      <c r="AK717" s="255"/>
      <c r="AL717" s="255"/>
    </row>
    <row r="718" spans="11:38" ht="12.75" customHeight="1" x14ac:dyDescent="0.25"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  <c r="AA718" s="255"/>
      <c r="AB718" s="255"/>
      <c r="AC718" s="255"/>
      <c r="AD718" s="255"/>
      <c r="AE718" s="255"/>
      <c r="AF718" s="255"/>
      <c r="AG718" s="255"/>
      <c r="AH718" s="255"/>
      <c r="AI718" s="255"/>
      <c r="AJ718" s="255"/>
      <c r="AK718" s="255"/>
      <c r="AL718" s="255"/>
    </row>
    <row r="719" spans="11:38" ht="12.75" customHeight="1" x14ac:dyDescent="0.25"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  <c r="AA719" s="255"/>
      <c r="AB719" s="255"/>
      <c r="AC719" s="255"/>
      <c r="AD719" s="255"/>
      <c r="AE719" s="255"/>
      <c r="AF719" s="255"/>
      <c r="AG719" s="255"/>
      <c r="AH719" s="255"/>
      <c r="AI719" s="255"/>
      <c r="AJ719" s="255"/>
      <c r="AK719" s="255"/>
      <c r="AL719" s="255"/>
    </row>
    <row r="720" spans="11:38" ht="12.75" customHeight="1" x14ac:dyDescent="0.25"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  <c r="AA720" s="255"/>
      <c r="AB720" s="255"/>
      <c r="AC720" s="255"/>
      <c r="AD720" s="255"/>
      <c r="AE720" s="255"/>
      <c r="AF720" s="255"/>
      <c r="AG720" s="255"/>
      <c r="AH720" s="255"/>
      <c r="AI720" s="255"/>
      <c r="AJ720" s="255"/>
      <c r="AK720" s="255"/>
      <c r="AL720" s="255"/>
    </row>
    <row r="721" spans="11:38" ht="12.75" customHeight="1" x14ac:dyDescent="0.25"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  <c r="AA721" s="255"/>
      <c r="AB721" s="255"/>
      <c r="AC721" s="255"/>
      <c r="AD721" s="255"/>
      <c r="AE721" s="255"/>
      <c r="AF721" s="255"/>
      <c r="AG721" s="255"/>
      <c r="AH721" s="255"/>
      <c r="AI721" s="255"/>
      <c r="AJ721" s="255"/>
      <c r="AK721" s="255"/>
      <c r="AL721" s="255"/>
    </row>
    <row r="722" spans="11:38" ht="12.75" customHeight="1" x14ac:dyDescent="0.25"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  <c r="AA722" s="255"/>
      <c r="AB722" s="255"/>
      <c r="AC722" s="255"/>
      <c r="AD722" s="255"/>
      <c r="AE722" s="255"/>
      <c r="AF722" s="255"/>
      <c r="AG722" s="255"/>
      <c r="AH722" s="255"/>
      <c r="AI722" s="255"/>
      <c r="AJ722" s="255"/>
      <c r="AK722" s="255"/>
      <c r="AL722" s="255"/>
    </row>
    <row r="723" spans="11:38" ht="12.75" customHeight="1" x14ac:dyDescent="0.25"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  <c r="AA723" s="255"/>
      <c r="AB723" s="255"/>
      <c r="AC723" s="255"/>
      <c r="AD723" s="255"/>
      <c r="AE723" s="255"/>
      <c r="AF723" s="255"/>
      <c r="AG723" s="255"/>
      <c r="AH723" s="255"/>
      <c r="AI723" s="255"/>
      <c r="AJ723" s="255"/>
      <c r="AK723" s="255"/>
      <c r="AL723" s="255"/>
    </row>
    <row r="724" spans="11:38" ht="12.75" customHeight="1" x14ac:dyDescent="0.25"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  <c r="AA724" s="255"/>
      <c r="AB724" s="255"/>
      <c r="AC724" s="255"/>
      <c r="AD724" s="255"/>
      <c r="AE724" s="255"/>
      <c r="AF724" s="255"/>
      <c r="AG724" s="255"/>
      <c r="AH724" s="255"/>
      <c r="AI724" s="255"/>
      <c r="AJ724" s="255"/>
      <c r="AK724" s="255"/>
      <c r="AL724" s="255"/>
    </row>
    <row r="725" spans="11:38" ht="12.75" customHeight="1" x14ac:dyDescent="0.25"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  <c r="AA725" s="255"/>
      <c r="AB725" s="255"/>
      <c r="AC725" s="255"/>
      <c r="AD725" s="255"/>
      <c r="AE725" s="255"/>
      <c r="AF725" s="255"/>
      <c r="AG725" s="255"/>
      <c r="AH725" s="255"/>
      <c r="AI725" s="255"/>
      <c r="AJ725" s="255"/>
      <c r="AK725" s="255"/>
      <c r="AL725" s="255"/>
    </row>
    <row r="726" spans="11:38" ht="12.75" customHeight="1" x14ac:dyDescent="0.25"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  <c r="AA726" s="255"/>
      <c r="AB726" s="255"/>
      <c r="AC726" s="255"/>
      <c r="AD726" s="255"/>
      <c r="AE726" s="255"/>
      <c r="AF726" s="255"/>
      <c r="AG726" s="255"/>
      <c r="AH726" s="255"/>
      <c r="AI726" s="255"/>
      <c r="AJ726" s="255"/>
      <c r="AK726" s="255"/>
      <c r="AL726" s="255"/>
    </row>
    <row r="727" spans="11:38" ht="12.75" customHeight="1" x14ac:dyDescent="0.25"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  <c r="AA727" s="255"/>
      <c r="AB727" s="255"/>
      <c r="AC727" s="255"/>
      <c r="AD727" s="255"/>
      <c r="AE727" s="255"/>
      <c r="AF727" s="255"/>
      <c r="AG727" s="255"/>
      <c r="AH727" s="255"/>
      <c r="AI727" s="255"/>
      <c r="AJ727" s="255"/>
      <c r="AK727" s="255"/>
      <c r="AL727" s="255"/>
    </row>
    <row r="728" spans="11:38" ht="12.75" customHeight="1" x14ac:dyDescent="0.25"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  <c r="AA728" s="255"/>
      <c r="AB728" s="255"/>
      <c r="AC728" s="255"/>
      <c r="AD728" s="255"/>
      <c r="AE728" s="255"/>
      <c r="AF728" s="255"/>
      <c r="AG728" s="255"/>
      <c r="AH728" s="255"/>
      <c r="AI728" s="255"/>
      <c r="AJ728" s="255"/>
      <c r="AK728" s="255"/>
      <c r="AL728" s="255"/>
    </row>
    <row r="729" spans="11:38" ht="12.75" customHeight="1" x14ac:dyDescent="0.25"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  <c r="AA729" s="255"/>
      <c r="AB729" s="255"/>
      <c r="AC729" s="255"/>
      <c r="AD729" s="255"/>
      <c r="AE729" s="255"/>
      <c r="AF729" s="255"/>
      <c r="AG729" s="255"/>
      <c r="AH729" s="255"/>
      <c r="AI729" s="255"/>
      <c r="AJ729" s="255"/>
      <c r="AK729" s="255"/>
      <c r="AL729" s="255"/>
    </row>
    <row r="730" spans="11:38" ht="12.75" customHeight="1" x14ac:dyDescent="0.25"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  <c r="AA730" s="255"/>
      <c r="AB730" s="255"/>
      <c r="AC730" s="255"/>
      <c r="AD730" s="255"/>
      <c r="AE730" s="255"/>
      <c r="AF730" s="255"/>
      <c r="AG730" s="255"/>
      <c r="AH730" s="255"/>
      <c r="AI730" s="255"/>
      <c r="AJ730" s="255"/>
      <c r="AK730" s="255"/>
      <c r="AL730" s="255"/>
    </row>
    <row r="731" spans="11:38" ht="12.75" customHeight="1" x14ac:dyDescent="0.25"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  <c r="AA731" s="255"/>
      <c r="AB731" s="255"/>
      <c r="AC731" s="255"/>
      <c r="AD731" s="255"/>
      <c r="AE731" s="255"/>
      <c r="AF731" s="255"/>
      <c r="AG731" s="255"/>
      <c r="AH731" s="255"/>
      <c r="AI731" s="255"/>
      <c r="AJ731" s="255"/>
      <c r="AK731" s="255"/>
      <c r="AL731" s="255"/>
    </row>
    <row r="732" spans="11:38" ht="12.75" customHeight="1" x14ac:dyDescent="0.25"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  <c r="AA732" s="255"/>
      <c r="AB732" s="255"/>
      <c r="AC732" s="255"/>
      <c r="AD732" s="255"/>
      <c r="AE732" s="255"/>
      <c r="AF732" s="255"/>
      <c r="AG732" s="255"/>
      <c r="AH732" s="255"/>
      <c r="AI732" s="255"/>
      <c r="AJ732" s="255"/>
      <c r="AK732" s="255"/>
      <c r="AL732" s="255"/>
    </row>
    <row r="733" spans="11:38" ht="12.75" customHeight="1" x14ac:dyDescent="0.25"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  <c r="AA733" s="255"/>
      <c r="AB733" s="255"/>
      <c r="AC733" s="255"/>
      <c r="AD733" s="255"/>
      <c r="AE733" s="255"/>
      <c r="AF733" s="255"/>
      <c r="AG733" s="255"/>
      <c r="AH733" s="255"/>
      <c r="AI733" s="255"/>
      <c r="AJ733" s="255"/>
      <c r="AK733" s="255"/>
      <c r="AL733" s="255"/>
    </row>
    <row r="734" spans="11:38" ht="12.75" customHeight="1" x14ac:dyDescent="0.25"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  <c r="AA734" s="255"/>
      <c r="AB734" s="255"/>
      <c r="AC734" s="255"/>
      <c r="AD734" s="255"/>
      <c r="AE734" s="255"/>
      <c r="AF734" s="255"/>
      <c r="AG734" s="255"/>
      <c r="AH734" s="255"/>
      <c r="AI734" s="255"/>
      <c r="AJ734" s="255"/>
      <c r="AK734" s="255"/>
      <c r="AL734" s="255"/>
    </row>
    <row r="735" spans="11:38" ht="12.75" customHeight="1" x14ac:dyDescent="0.25"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  <c r="AA735" s="255"/>
      <c r="AB735" s="255"/>
      <c r="AC735" s="255"/>
      <c r="AD735" s="255"/>
      <c r="AE735" s="255"/>
      <c r="AF735" s="255"/>
      <c r="AG735" s="255"/>
      <c r="AH735" s="255"/>
      <c r="AI735" s="255"/>
      <c r="AJ735" s="255"/>
      <c r="AK735" s="255"/>
      <c r="AL735" s="255"/>
    </row>
    <row r="736" spans="11:38" ht="12.75" customHeight="1" x14ac:dyDescent="0.25"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  <c r="AA736" s="255"/>
      <c r="AB736" s="255"/>
      <c r="AC736" s="255"/>
      <c r="AD736" s="255"/>
      <c r="AE736" s="255"/>
      <c r="AF736" s="255"/>
      <c r="AG736" s="255"/>
      <c r="AH736" s="255"/>
      <c r="AI736" s="255"/>
      <c r="AJ736" s="255"/>
      <c r="AK736" s="255"/>
      <c r="AL736" s="255"/>
    </row>
    <row r="737" spans="11:38" ht="12.75" customHeight="1" x14ac:dyDescent="0.25"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  <c r="AA737" s="255"/>
      <c r="AB737" s="255"/>
      <c r="AC737" s="255"/>
      <c r="AD737" s="255"/>
      <c r="AE737" s="255"/>
      <c r="AF737" s="255"/>
      <c r="AG737" s="255"/>
      <c r="AH737" s="255"/>
      <c r="AI737" s="255"/>
      <c r="AJ737" s="255"/>
      <c r="AK737" s="255"/>
      <c r="AL737" s="255"/>
    </row>
    <row r="738" spans="11:38" ht="12.75" customHeight="1" x14ac:dyDescent="0.25"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  <c r="AA738" s="255"/>
      <c r="AB738" s="255"/>
      <c r="AC738" s="255"/>
      <c r="AD738" s="255"/>
      <c r="AE738" s="255"/>
      <c r="AF738" s="255"/>
      <c r="AG738" s="255"/>
      <c r="AH738" s="255"/>
      <c r="AI738" s="255"/>
      <c r="AJ738" s="255"/>
      <c r="AK738" s="255"/>
      <c r="AL738" s="255"/>
    </row>
    <row r="739" spans="11:38" ht="12.75" customHeight="1" x14ac:dyDescent="0.25"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  <c r="AA739" s="255"/>
      <c r="AB739" s="255"/>
      <c r="AC739" s="255"/>
      <c r="AD739" s="255"/>
      <c r="AE739" s="255"/>
      <c r="AF739" s="255"/>
      <c r="AG739" s="255"/>
      <c r="AH739" s="255"/>
      <c r="AI739" s="255"/>
      <c r="AJ739" s="255"/>
      <c r="AK739" s="255"/>
      <c r="AL739" s="255"/>
    </row>
    <row r="740" spans="11:38" ht="12.75" customHeight="1" x14ac:dyDescent="0.25"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  <c r="AA740" s="255"/>
      <c r="AB740" s="255"/>
      <c r="AC740" s="255"/>
      <c r="AD740" s="255"/>
      <c r="AE740" s="255"/>
      <c r="AF740" s="255"/>
      <c r="AG740" s="255"/>
      <c r="AH740" s="255"/>
      <c r="AI740" s="255"/>
      <c r="AJ740" s="255"/>
      <c r="AK740" s="255"/>
      <c r="AL740" s="255"/>
    </row>
    <row r="741" spans="11:38" ht="12.75" customHeight="1" x14ac:dyDescent="0.25"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  <c r="AA741" s="255"/>
      <c r="AB741" s="255"/>
      <c r="AC741" s="255"/>
      <c r="AD741" s="255"/>
      <c r="AE741" s="255"/>
      <c r="AF741" s="255"/>
      <c r="AG741" s="255"/>
      <c r="AH741" s="255"/>
      <c r="AI741" s="255"/>
      <c r="AJ741" s="255"/>
      <c r="AK741" s="255"/>
      <c r="AL741" s="255"/>
    </row>
    <row r="742" spans="11:38" ht="12.75" customHeight="1" x14ac:dyDescent="0.25"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  <c r="AA742" s="255"/>
      <c r="AB742" s="255"/>
      <c r="AC742" s="255"/>
      <c r="AD742" s="255"/>
      <c r="AE742" s="255"/>
      <c r="AF742" s="255"/>
      <c r="AG742" s="255"/>
      <c r="AH742" s="255"/>
      <c r="AI742" s="255"/>
      <c r="AJ742" s="255"/>
      <c r="AK742" s="255"/>
      <c r="AL742" s="255"/>
    </row>
    <row r="743" spans="11:38" ht="12.75" customHeight="1" x14ac:dyDescent="0.25"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  <c r="AA743" s="255"/>
      <c r="AB743" s="255"/>
      <c r="AC743" s="255"/>
      <c r="AD743" s="255"/>
      <c r="AE743" s="255"/>
      <c r="AF743" s="255"/>
      <c r="AG743" s="255"/>
      <c r="AH743" s="255"/>
      <c r="AI743" s="255"/>
      <c r="AJ743" s="255"/>
      <c r="AK743" s="255"/>
      <c r="AL743" s="255"/>
    </row>
    <row r="744" spans="11:38" ht="12.75" customHeight="1" x14ac:dyDescent="0.25"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  <c r="AA744" s="255"/>
      <c r="AB744" s="255"/>
      <c r="AC744" s="255"/>
      <c r="AD744" s="255"/>
      <c r="AE744" s="255"/>
      <c r="AF744" s="255"/>
      <c r="AG744" s="255"/>
      <c r="AH744" s="255"/>
      <c r="AI744" s="255"/>
      <c r="AJ744" s="255"/>
      <c r="AK744" s="255"/>
      <c r="AL744" s="255"/>
    </row>
    <row r="745" spans="11:38" ht="12.75" customHeight="1" x14ac:dyDescent="0.25"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  <c r="AA745" s="255"/>
      <c r="AB745" s="255"/>
      <c r="AC745" s="255"/>
      <c r="AD745" s="255"/>
      <c r="AE745" s="255"/>
      <c r="AF745" s="255"/>
      <c r="AG745" s="255"/>
      <c r="AH745" s="255"/>
      <c r="AI745" s="255"/>
      <c r="AJ745" s="255"/>
      <c r="AK745" s="255"/>
      <c r="AL745" s="255"/>
    </row>
    <row r="746" spans="11:38" ht="12.75" customHeight="1" x14ac:dyDescent="0.25"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  <c r="AA746" s="255"/>
      <c r="AB746" s="255"/>
      <c r="AC746" s="255"/>
      <c r="AD746" s="255"/>
      <c r="AE746" s="255"/>
      <c r="AF746" s="255"/>
      <c r="AG746" s="255"/>
      <c r="AH746" s="255"/>
      <c r="AI746" s="255"/>
      <c r="AJ746" s="255"/>
      <c r="AK746" s="255"/>
      <c r="AL746" s="255"/>
    </row>
    <row r="747" spans="11:38" ht="12.75" customHeight="1" x14ac:dyDescent="0.25"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  <c r="AA747" s="255"/>
      <c r="AB747" s="255"/>
      <c r="AC747" s="255"/>
      <c r="AD747" s="255"/>
      <c r="AE747" s="255"/>
      <c r="AF747" s="255"/>
      <c r="AG747" s="255"/>
      <c r="AH747" s="255"/>
      <c r="AI747" s="255"/>
      <c r="AJ747" s="255"/>
      <c r="AK747" s="255"/>
      <c r="AL747" s="255"/>
    </row>
    <row r="748" spans="11:38" ht="12.75" customHeight="1" x14ac:dyDescent="0.25"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  <c r="AA748" s="255"/>
      <c r="AB748" s="255"/>
      <c r="AC748" s="255"/>
      <c r="AD748" s="255"/>
      <c r="AE748" s="255"/>
      <c r="AF748" s="255"/>
      <c r="AG748" s="255"/>
      <c r="AH748" s="255"/>
      <c r="AI748" s="255"/>
      <c r="AJ748" s="255"/>
      <c r="AK748" s="255"/>
      <c r="AL748" s="255"/>
    </row>
    <row r="749" spans="11:38" ht="12.75" customHeight="1" x14ac:dyDescent="0.25"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  <c r="AA749" s="255"/>
      <c r="AB749" s="255"/>
      <c r="AC749" s="255"/>
      <c r="AD749" s="255"/>
      <c r="AE749" s="255"/>
      <c r="AF749" s="255"/>
      <c r="AG749" s="255"/>
      <c r="AH749" s="255"/>
      <c r="AI749" s="255"/>
      <c r="AJ749" s="255"/>
      <c r="AK749" s="255"/>
      <c r="AL749" s="255"/>
    </row>
    <row r="750" spans="11:38" ht="12.75" customHeight="1" x14ac:dyDescent="0.25"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  <c r="AA750" s="255"/>
      <c r="AB750" s="255"/>
      <c r="AC750" s="255"/>
      <c r="AD750" s="255"/>
      <c r="AE750" s="255"/>
      <c r="AF750" s="255"/>
      <c r="AG750" s="255"/>
      <c r="AH750" s="255"/>
      <c r="AI750" s="255"/>
      <c r="AJ750" s="255"/>
      <c r="AK750" s="255"/>
      <c r="AL750" s="255"/>
    </row>
    <row r="751" spans="11:38" ht="12.75" customHeight="1" x14ac:dyDescent="0.25"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  <c r="AA751" s="255"/>
      <c r="AB751" s="255"/>
      <c r="AC751" s="255"/>
      <c r="AD751" s="255"/>
      <c r="AE751" s="255"/>
      <c r="AF751" s="255"/>
      <c r="AG751" s="255"/>
      <c r="AH751" s="255"/>
      <c r="AI751" s="255"/>
      <c r="AJ751" s="255"/>
      <c r="AK751" s="255"/>
      <c r="AL751" s="255"/>
    </row>
    <row r="752" spans="11:38" ht="12.75" customHeight="1" x14ac:dyDescent="0.25"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  <c r="AA752" s="255"/>
      <c r="AB752" s="255"/>
      <c r="AC752" s="255"/>
      <c r="AD752" s="255"/>
      <c r="AE752" s="255"/>
      <c r="AF752" s="255"/>
      <c r="AG752" s="255"/>
      <c r="AH752" s="255"/>
      <c r="AI752" s="255"/>
      <c r="AJ752" s="255"/>
      <c r="AK752" s="255"/>
      <c r="AL752" s="255"/>
    </row>
    <row r="753" spans="11:38" ht="12.75" customHeight="1" x14ac:dyDescent="0.25"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  <c r="AA753" s="255"/>
      <c r="AB753" s="255"/>
      <c r="AC753" s="255"/>
      <c r="AD753" s="255"/>
      <c r="AE753" s="255"/>
      <c r="AF753" s="255"/>
      <c r="AG753" s="255"/>
      <c r="AH753" s="255"/>
      <c r="AI753" s="255"/>
      <c r="AJ753" s="255"/>
      <c r="AK753" s="255"/>
      <c r="AL753" s="255"/>
    </row>
    <row r="754" spans="11:38" ht="12.75" customHeight="1" x14ac:dyDescent="0.25"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  <c r="AA754" s="255"/>
      <c r="AB754" s="255"/>
      <c r="AC754" s="255"/>
      <c r="AD754" s="255"/>
      <c r="AE754" s="255"/>
      <c r="AF754" s="255"/>
      <c r="AG754" s="255"/>
      <c r="AH754" s="255"/>
      <c r="AI754" s="255"/>
      <c r="AJ754" s="255"/>
      <c r="AK754" s="255"/>
      <c r="AL754" s="255"/>
    </row>
    <row r="755" spans="11:38" ht="12.75" customHeight="1" x14ac:dyDescent="0.25"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  <c r="AA755" s="255"/>
      <c r="AB755" s="255"/>
      <c r="AC755" s="255"/>
      <c r="AD755" s="255"/>
      <c r="AE755" s="255"/>
      <c r="AF755" s="255"/>
      <c r="AG755" s="255"/>
      <c r="AH755" s="255"/>
      <c r="AI755" s="255"/>
      <c r="AJ755" s="255"/>
      <c r="AK755" s="255"/>
      <c r="AL755" s="255"/>
    </row>
    <row r="756" spans="11:38" ht="12.75" customHeight="1" x14ac:dyDescent="0.25"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  <c r="AA756" s="255"/>
      <c r="AB756" s="255"/>
      <c r="AC756" s="255"/>
      <c r="AD756" s="255"/>
      <c r="AE756" s="255"/>
      <c r="AF756" s="255"/>
      <c r="AG756" s="255"/>
      <c r="AH756" s="255"/>
      <c r="AI756" s="255"/>
      <c r="AJ756" s="255"/>
      <c r="AK756" s="255"/>
      <c r="AL756" s="255"/>
    </row>
    <row r="757" spans="11:38" ht="12.75" customHeight="1" x14ac:dyDescent="0.25"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  <c r="AA757" s="255"/>
      <c r="AB757" s="255"/>
      <c r="AC757" s="255"/>
      <c r="AD757" s="255"/>
      <c r="AE757" s="255"/>
      <c r="AF757" s="255"/>
      <c r="AG757" s="255"/>
      <c r="AH757" s="255"/>
      <c r="AI757" s="255"/>
      <c r="AJ757" s="255"/>
      <c r="AK757" s="255"/>
      <c r="AL757" s="255"/>
    </row>
    <row r="758" spans="11:38" ht="12.75" customHeight="1" x14ac:dyDescent="0.25"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  <c r="AA758" s="255"/>
      <c r="AB758" s="255"/>
      <c r="AC758" s="255"/>
      <c r="AD758" s="255"/>
      <c r="AE758" s="255"/>
      <c r="AF758" s="255"/>
      <c r="AG758" s="255"/>
      <c r="AH758" s="255"/>
      <c r="AI758" s="255"/>
      <c r="AJ758" s="255"/>
      <c r="AK758" s="255"/>
      <c r="AL758" s="255"/>
    </row>
    <row r="759" spans="11:38" ht="12.75" customHeight="1" x14ac:dyDescent="0.25"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  <c r="AA759" s="255"/>
      <c r="AB759" s="255"/>
      <c r="AC759" s="255"/>
      <c r="AD759" s="255"/>
      <c r="AE759" s="255"/>
      <c r="AF759" s="255"/>
      <c r="AG759" s="255"/>
      <c r="AH759" s="255"/>
      <c r="AI759" s="255"/>
      <c r="AJ759" s="255"/>
      <c r="AK759" s="255"/>
      <c r="AL759" s="255"/>
    </row>
    <row r="760" spans="11:38" ht="12.75" customHeight="1" x14ac:dyDescent="0.25"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  <c r="AA760" s="255"/>
      <c r="AB760" s="255"/>
      <c r="AC760" s="255"/>
      <c r="AD760" s="255"/>
      <c r="AE760" s="255"/>
      <c r="AF760" s="255"/>
      <c r="AG760" s="255"/>
      <c r="AH760" s="255"/>
      <c r="AI760" s="255"/>
      <c r="AJ760" s="255"/>
      <c r="AK760" s="255"/>
      <c r="AL760" s="255"/>
    </row>
    <row r="761" spans="11:38" ht="12.75" customHeight="1" x14ac:dyDescent="0.25"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  <c r="AA761" s="255"/>
      <c r="AB761" s="255"/>
      <c r="AC761" s="255"/>
      <c r="AD761" s="255"/>
      <c r="AE761" s="255"/>
      <c r="AF761" s="255"/>
      <c r="AG761" s="255"/>
      <c r="AH761" s="255"/>
      <c r="AI761" s="255"/>
      <c r="AJ761" s="255"/>
      <c r="AK761" s="255"/>
      <c r="AL761" s="255"/>
    </row>
    <row r="762" spans="11:38" ht="12.75" customHeight="1" x14ac:dyDescent="0.25"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  <c r="AA762" s="255"/>
      <c r="AB762" s="255"/>
      <c r="AC762" s="255"/>
      <c r="AD762" s="255"/>
      <c r="AE762" s="255"/>
      <c r="AF762" s="255"/>
      <c r="AG762" s="255"/>
      <c r="AH762" s="255"/>
      <c r="AI762" s="255"/>
      <c r="AJ762" s="255"/>
      <c r="AK762" s="255"/>
      <c r="AL762" s="255"/>
    </row>
    <row r="763" spans="11:38" ht="12.75" customHeight="1" x14ac:dyDescent="0.25"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  <c r="AA763" s="255"/>
      <c r="AB763" s="255"/>
      <c r="AC763" s="255"/>
      <c r="AD763" s="255"/>
      <c r="AE763" s="255"/>
      <c r="AF763" s="255"/>
      <c r="AG763" s="255"/>
      <c r="AH763" s="255"/>
      <c r="AI763" s="255"/>
      <c r="AJ763" s="255"/>
      <c r="AK763" s="255"/>
      <c r="AL763" s="255"/>
    </row>
    <row r="764" spans="11:38" ht="12.75" customHeight="1" x14ac:dyDescent="0.25"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  <c r="AA764" s="255"/>
      <c r="AB764" s="255"/>
      <c r="AC764" s="255"/>
      <c r="AD764" s="255"/>
      <c r="AE764" s="255"/>
      <c r="AF764" s="255"/>
      <c r="AG764" s="255"/>
      <c r="AH764" s="255"/>
      <c r="AI764" s="255"/>
      <c r="AJ764" s="255"/>
      <c r="AK764" s="255"/>
      <c r="AL764" s="255"/>
    </row>
    <row r="765" spans="11:38" ht="12.75" customHeight="1" x14ac:dyDescent="0.25"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  <c r="AA765" s="255"/>
      <c r="AB765" s="255"/>
      <c r="AC765" s="255"/>
      <c r="AD765" s="255"/>
      <c r="AE765" s="255"/>
      <c r="AF765" s="255"/>
      <c r="AG765" s="255"/>
      <c r="AH765" s="255"/>
      <c r="AI765" s="255"/>
      <c r="AJ765" s="255"/>
      <c r="AK765" s="255"/>
      <c r="AL765" s="255"/>
    </row>
    <row r="766" spans="11:38" ht="12.75" customHeight="1" x14ac:dyDescent="0.25"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  <c r="AA766" s="255"/>
      <c r="AB766" s="255"/>
      <c r="AC766" s="255"/>
      <c r="AD766" s="255"/>
      <c r="AE766" s="255"/>
      <c r="AF766" s="255"/>
      <c r="AG766" s="255"/>
      <c r="AH766" s="255"/>
      <c r="AI766" s="255"/>
      <c r="AJ766" s="255"/>
      <c r="AK766" s="255"/>
      <c r="AL766" s="255"/>
    </row>
    <row r="767" spans="11:38" ht="12.75" customHeight="1" x14ac:dyDescent="0.25"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  <c r="AA767" s="255"/>
      <c r="AB767" s="255"/>
      <c r="AC767" s="255"/>
      <c r="AD767" s="255"/>
      <c r="AE767" s="255"/>
      <c r="AF767" s="255"/>
      <c r="AG767" s="255"/>
      <c r="AH767" s="255"/>
      <c r="AI767" s="255"/>
      <c r="AJ767" s="255"/>
      <c r="AK767" s="255"/>
      <c r="AL767" s="255"/>
    </row>
    <row r="768" spans="11:38" ht="12.75" customHeight="1" x14ac:dyDescent="0.25"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  <c r="AA768" s="255"/>
      <c r="AB768" s="255"/>
      <c r="AC768" s="255"/>
      <c r="AD768" s="255"/>
      <c r="AE768" s="255"/>
      <c r="AF768" s="255"/>
      <c r="AG768" s="255"/>
      <c r="AH768" s="255"/>
      <c r="AI768" s="255"/>
      <c r="AJ768" s="255"/>
      <c r="AK768" s="255"/>
      <c r="AL768" s="255"/>
    </row>
    <row r="769" spans="11:38" ht="12.75" customHeight="1" x14ac:dyDescent="0.25"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  <c r="AA769" s="255"/>
      <c r="AB769" s="255"/>
      <c r="AC769" s="255"/>
      <c r="AD769" s="255"/>
      <c r="AE769" s="255"/>
      <c r="AF769" s="255"/>
      <c r="AG769" s="255"/>
      <c r="AH769" s="255"/>
      <c r="AI769" s="255"/>
      <c r="AJ769" s="255"/>
      <c r="AK769" s="255"/>
      <c r="AL769" s="255"/>
    </row>
    <row r="770" spans="11:38" ht="12.75" customHeight="1" x14ac:dyDescent="0.25"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  <c r="AA770" s="255"/>
      <c r="AB770" s="255"/>
      <c r="AC770" s="255"/>
      <c r="AD770" s="255"/>
      <c r="AE770" s="255"/>
      <c r="AF770" s="255"/>
      <c r="AG770" s="255"/>
      <c r="AH770" s="255"/>
      <c r="AI770" s="255"/>
      <c r="AJ770" s="255"/>
      <c r="AK770" s="255"/>
      <c r="AL770" s="255"/>
    </row>
    <row r="771" spans="11:38" ht="12.75" customHeight="1" x14ac:dyDescent="0.25"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  <c r="AA771" s="255"/>
      <c r="AB771" s="255"/>
      <c r="AC771" s="255"/>
      <c r="AD771" s="255"/>
      <c r="AE771" s="255"/>
      <c r="AF771" s="255"/>
      <c r="AG771" s="255"/>
      <c r="AH771" s="255"/>
      <c r="AI771" s="255"/>
      <c r="AJ771" s="255"/>
      <c r="AK771" s="255"/>
      <c r="AL771" s="255"/>
    </row>
    <row r="772" spans="11:38" ht="12.75" customHeight="1" x14ac:dyDescent="0.25"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  <c r="AA772" s="255"/>
      <c r="AB772" s="255"/>
      <c r="AC772" s="255"/>
      <c r="AD772" s="255"/>
      <c r="AE772" s="255"/>
      <c r="AF772" s="255"/>
      <c r="AG772" s="255"/>
      <c r="AH772" s="255"/>
      <c r="AI772" s="255"/>
      <c r="AJ772" s="255"/>
      <c r="AK772" s="255"/>
      <c r="AL772" s="255"/>
    </row>
    <row r="773" spans="11:38" ht="12.75" customHeight="1" x14ac:dyDescent="0.25"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  <c r="AA773" s="255"/>
      <c r="AB773" s="255"/>
      <c r="AC773" s="255"/>
      <c r="AD773" s="255"/>
      <c r="AE773" s="255"/>
      <c r="AF773" s="255"/>
      <c r="AG773" s="255"/>
      <c r="AH773" s="255"/>
      <c r="AI773" s="255"/>
      <c r="AJ773" s="255"/>
      <c r="AK773" s="255"/>
      <c r="AL773" s="255"/>
    </row>
    <row r="774" spans="11:38" ht="12.75" customHeight="1" x14ac:dyDescent="0.25"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  <c r="AA774" s="255"/>
      <c r="AB774" s="255"/>
      <c r="AC774" s="255"/>
      <c r="AD774" s="255"/>
      <c r="AE774" s="255"/>
      <c r="AF774" s="255"/>
      <c r="AG774" s="255"/>
      <c r="AH774" s="255"/>
      <c r="AI774" s="255"/>
      <c r="AJ774" s="255"/>
      <c r="AK774" s="255"/>
      <c r="AL774" s="255"/>
    </row>
    <row r="775" spans="11:38" ht="12.75" customHeight="1" x14ac:dyDescent="0.25"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  <c r="AA775" s="255"/>
      <c r="AB775" s="255"/>
      <c r="AC775" s="255"/>
      <c r="AD775" s="255"/>
      <c r="AE775" s="255"/>
      <c r="AF775" s="255"/>
      <c r="AG775" s="255"/>
      <c r="AH775" s="255"/>
      <c r="AI775" s="255"/>
      <c r="AJ775" s="255"/>
      <c r="AK775" s="255"/>
      <c r="AL775" s="255"/>
    </row>
    <row r="776" spans="11:38" ht="12.75" customHeight="1" x14ac:dyDescent="0.25"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  <c r="AA776" s="255"/>
      <c r="AB776" s="255"/>
      <c r="AC776" s="255"/>
      <c r="AD776" s="255"/>
      <c r="AE776" s="255"/>
      <c r="AF776" s="255"/>
      <c r="AG776" s="255"/>
      <c r="AH776" s="255"/>
      <c r="AI776" s="255"/>
      <c r="AJ776" s="255"/>
      <c r="AK776" s="255"/>
      <c r="AL776" s="255"/>
    </row>
    <row r="777" spans="11:38" ht="12.75" customHeight="1" x14ac:dyDescent="0.25"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  <c r="AA777" s="255"/>
      <c r="AB777" s="255"/>
      <c r="AC777" s="255"/>
      <c r="AD777" s="255"/>
      <c r="AE777" s="255"/>
      <c r="AF777" s="255"/>
      <c r="AG777" s="255"/>
      <c r="AH777" s="255"/>
      <c r="AI777" s="255"/>
      <c r="AJ777" s="255"/>
      <c r="AK777" s="255"/>
      <c r="AL777" s="255"/>
    </row>
    <row r="778" spans="11:38" ht="12.75" customHeight="1" x14ac:dyDescent="0.25"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  <c r="AA778" s="255"/>
      <c r="AB778" s="255"/>
      <c r="AC778" s="255"/>
      <c r="AD778" s="255"/>
      <c r="AE778" s="255"/>
      <c r="AF778" s="255"/>
      <c r="AG778" s="255"/>
      <c r="AH778" s="255"/>
      <c r="AI778" s="255"/>
      <c r="AJ778" s="255"/>
      <c r="AK778" s="255"/>
      <c r="AL778" s="255"/>
    </row>
    <row r="779" spans="11:38" ht="12.75" customHeight="1" x14ac:dyDescent="0.25"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  <c r="AA779" s="255"/>
      <c r="AB779" s="255"/>
      <c r="AC779" s="255"/>
      <c r="AD779" s="255"/>
      <c r="AE779" s="255"/>
      <c r="AF779" s="255"/>
      <c r="AG779" s="255"/>
      <c r="AH779" s="255"/>
      <c r="AI779" s="255"/>
      <c r="AJ779" s="255"/>
      <c r="AK779" s="255"/>
      <c r="AL779" s="255"/>
    </row>
    <row r="780" spans="11:38" ht="12.75" customHeight="1" x14ac:dyDescent="0.25"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  <c r="AA780" s="255"/>
      <c r="AB780" s="255"/>
      <c r="AC780" s="255"/>
      <c r="AD780" s="255"/>
      <c r="AE780" s="255"/>
      <c r="AF780" s="255"/>
      <c r="AG780" s="255"/>
      <c r="AH780" s="255"/>
      <c r="AI780" s="255"/>
      <c r="AJ780" s="255"/>
      <c r="AK780" s="255"/>
      <c r="AL780" s="255"/>
    </row>
    <row r="781" spans="11:38" ht="12.75" customHeight="1" x14ac:dyDescent="0.25"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  <c r="AA781" s="255"/>
      <c r="AB781" s="255"/>
      <c r="AC781" s="255"/>
      <c r="AD781" s="255"/>
      <c r="AE781" s="255"/>
      <c r="AF781" s="255"/>
      <c r="AG781" s="255"/>
      <c r="AH781" s="255"/>
      <c r="AI781" s="255"/>
      <c r="AJ781" s="255"/>
      <c r="AK781" s="255"/>
      <c r="AL781" s="255"/>
    </row>
    <row r="782" spans="11:38" ht="12.75" customHeight="1" x14ac:dyDescent="0.25"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  <c r="AA782" s="255"/>
      <c r="AB782" s="255"/>
      <c r="AC782" s="255"/>
      <c r="AD782" s="255"/>
      <c r="AE782" s="255"/>
      <c r="AF782" s="255"/>
      <c r="AG782" s="255"/>
      <c r="AH782" s="255"/>
      <c r="AI782" s="255"/>
      <c r="AJ782" s="255"/>
      <c r="AK782" s="255"/>
      <c r="AL782" s="255"/>
    </row>
    <row r="783" spans="11:38" ht="12.75" customHeight="1" x14ac:dyDescent="0.25"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  <c r="AA783" s="255"/>
      <c r="AB783" s="255"/>
      <c r="AC783" s="255"/>
      <c r="AD783" s="255"/>
      <c r="AE783" s="255"/>
      <c r="AF783" s="255"/>
      <c r="AG783" s="255"/>
      <c r="AH783" s="255"/>
      <c r="AI783" s="255"/>
      <c r="AJ783" s="255"/>
      <c r="AK783" s="255"/>
      <c r="AL783" s="255"/>
    </row>
    <row r="784" spans="11:38" ht="12.75" customHeight="1" x14ac:dyDescent="0.25"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  <c r="AA784" s="255"/>
      <c r="AB784" s="255"/>
      <c r="AC784" s="255"/>
      <c r="AD784" s="255"/>
      <c r="AE784" s="255"/>
      <c r="AF784" s="255"/>
      <c r="AG784" s="255"/>
      <c r="AH784" s="255"/>
      <c r="AI784" s="255"/>
      <c r="AJ784" s="255"/>
      <c r="AK784" s="255"/>
      <c r="AL784" s="255"/>
    </row>
    <row r="785" spans="11:38" ht="12.75" customHeight="1" x14ac:dyDescent="0.25"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  <c r="AA785" s="255"/>
      <c r="AB785" s="255"/>
      <c r="AC785" s="255"/>
      <c r="AD785" s="255"/>
      <c r="AE785" s="255"/>
      <c r="AF785" s="255"/>
      <c r="AG785" s="255"/>
      <c r="AH785" s="255"/>
      <c r="AI785" s="255"/>
      <c r="AJ785" s="255"/>
      <c r="AK785" s="255"/>
      <c r="AL785" s="255"/>
    </row>
    <row r="786" spans="11:38" ht="12.75" customHeight="1" x14ac:dyDescent="0.25"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  <c r="AA786" s="255"/>
      <c r="AB786" s="255"/>
      <c r="AC786" s="255"/>
      <c r="AD786" s="255"/>
      <c r="AE786" s="255"/>
      <c r="AF786" s="255"/>
      <c r="AG786" s="255"/>
      <c r="AH786" s="255"/>
      <c r="AI786" s="255"/>
      <c r="AJ786" s="255"/>
      <c r="AK786" s="255"/>
      <c r="AL786" s="255"/>
    </row>
    <row r="787" spans="11:38" ht="12.75" customHeight="1" x14ac:dyDescent="0.25"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  <c r="AA787" s="255"/>
      <c r="AB787" s="255"/>
      <c r="AC787" s="255"/>
      <c r="AD787" s="255"/>
      <c r="AE787" s="255"/>
      <c r="AF787" s="255"/>
      <c r="AG787" s="255"/>
      <c r="AH787" s="255"/>
      <c r="AI787" s="255"/>
      <c r="AJ787" s="255"/>
      <c r="AK787" s="255"/>
      <c r="AL787" s="255"/>
    </row>
    <row r="788" spans="11:38" ht="12.75" customHeight="1" x14ac:dyDescent="0.25"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  <c r="AA788" s="255"/>
      <c r="AB788" s="255"/>
      <c r="AC788" s="255"/>
      <c r="AD788" s="255"/>
      <c r="AE788" s="255"/>
      <c r="AF788" s="255"/>
      <c r="AG788" s="255"/>
      <c r="AH788" s="255"/>
      <c r="AI788" s="255"/>
      <c r="AJ788" s="255"/>
      <c r="AK788" s="255"/>
      <c r="AL788" s="255"/>
    </row>
    <row r="789" spans="11:38" ht="12.75" customHeight="1" x14ac:dyDescent="0.25"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  <c r="AA789" s="255"/>
      <c r="AB789" s="255"/>
      <c r="AC789" s="255"/>
      <c r="AD789" s="255"/>
      <c r="AE789" s="255"/>
      <c r="AF789" s="255"/>
      <c r="AG789" s="255"/>
      <c r="AH789" s="255"/>
      <c r="AI789" s="255"/>
      <c r="AJ789" s="255"/>
      <c r="AK789" s="255"/>
      <c r="AL789" s="255"/>
    </row>
    <row r="790" spans="11:38" ht="12.75" customHeight="1" x14ac:dyDescent="0.25"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  <c r="AA790" s="255"/>
      <c r="AB790" s="255"/>
      <c r="AC790" s="255"/>
      <c r="AD790" s="255"/>
      <c r="AE790" s="255"/>
      <c r="AF790" s="255"/>
      <c r="AG790" s="255"/>
      <c r="AH790" s="255"/>
      <c r="AI790" s="255"/>
      <c r="AJ790" s="255"/>
      <c r="AK790" s="255"/>
      <c r="AL790" s="255"/>
    </row>
    <row r="791" spans="11:38" ht="12.75" customHeight="1" x14ac:dyDescent="0.25"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  <c r="AA791" s="255"/>
      <c r="AB791" s="255"/>
      <c r="AC791" s="255"/>
      <c r="AD791" s="255"/>
      <c r="AE791" s="255"/>
      <c r="AF791" s="255"/>
      <c r="AG791" s="255"/>
      <c r="AH791" s="255"/>
      <c r="AI791" s="255"/>
      <c r="AJ791" s="255"/>
      <c r="AK791" s="255"/>
      <c r="AL791" s="255"/>
    </row>
    <row r="792" spans="11:38" ht="12.75" customHeight="1" x14ac:dyDescent="0.25"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  <c r="AA792" s="255"/>
      <c r="AB792" s="255"/>
      <c r="AC792" s="255"/>
      <c r="AD792" s="255"/>
      <c r="AE792" s="255"/>
      <c r="AF792" s="255"/>
      <c r="AG792" s="255"/>
      <c r="AH792" s="255"/>
      <c r="AI792" s="255"/>
      <c r="AJ792" s="255"/>
      <c r="AK792" s="255"/>
      <c r="AL792" s="255"/>
    </row>
    <row r="793" spans="11:38" ht="12.75" customHeight="1" x14ac:dyDescent="0.25"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  <c r="AA793" s="255"/>
      <c r="AB793" s="255"/>
      <c r="AC793" s="255"/>
      <c r="AD793" s="255"/>
      <c r="AE793" s="255"/>
      <c r="AF793" s="255"/>
      <c r="AG793" s="255"/>
      <c r="AH793" s="255"/>
      <c r="AI793" s="255"/>
      <c r="AJ793" s="255"/>
      <c r="AK793" s="255"/>
      <c r="AL793" s="255"/>
    </row>
    <row r="794" spans="11:38" ht="12.75" customHeight="1" x14ac:dyDescent="0.25"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  <c r="AA794" s="255"/>
      <c r="AB794" s="255"/>
      <c r="AC794" s="255"/>
      <c r="AD794" s="255"/>
      <c r="AE794" s="255"/>
      <c r="AF794" s="255"/>
      <c r="AG794" s="255"/>
      <c r="AH794" s="255"/>
      <c r="AI794" s="255"/>
      <c r="AJ794" s="255"/>
      <c r="AK794" s="255"/>
      <c r="AL794" s="255"/>
    </row>
    <row r="795" spans="11:38" ht="12.75" customHeight="1" x14ac:dyDescent="0.25"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  <c r="AA795" s="255"/>
      <c r="AB795" s="255"/>
      <c r="AC795" s="255"/>
      <c r="AD795" s="255"/>
      <c r="AE795" s="255"/>
      <c r="AF795" s="255"/>
      <c r="AG795" s="255"/>
      <c r="AH795" s="255"/>
      <c r="AI795" s="255"/>
      <c r="AJ795" s="255"/>
      <c r="AK795" s="255"/>
      <c r="AL795" s="255"/>
    </row>
    <row r="796" spans="11:38" ht="12.75" customHeight="1" x14ac:dyDescent="0.25"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  <c r="AA796" s="255"/>
      <c r="AB796" s="255"/>
      <c r="AC796" s="255"/>
      <c r="AD796" s="255"/>
      <c r="AE796" s="255"/>
      <c r="AF796" s="255"/>
      <c r="AG796" s="255"/>
      <c r="AH796" s="255"/>
      <c r="AI796" s="255"/>
      <c r="AJ796" s="255"/>
      <c r="AK796" s="255"/>
      <c r="AL796" s="255"/>
    </row>
    <row r="797" spans="11:38" ht="12.75" customHeight="1" x14ac:dyDescent="0.25"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  <c r="AA797" s="255"/>
      <c r="AB797" s="255"/>
      <c r="AC797" s="255"/>
      <c r="AD797" s="255"/>
      <c r="AE797" s="255"/>
      <c r="AF797" s="255"/>
      <c r="AG797" s="255"/>
      <c r="AH797" s="255"/>
      <c r="AI797" s="255"/>
      <c r="AJ797" s="255"/>
      <c r="AK797" s="255"/>
      <c r="AL797" s="255"/>
    </row>
    <row r="798" spans="11:38" ht="12.75" customHeight="1" x14ac:dyDescent="0.25"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  <c r="AA798" s="255"/>
      <c r="AB798" s="255"/>
      <c r="AC798" s="255"/>
      <c r="AD798" s="255"/>
      <c r="AE798" s="255"/>
      <c r="AF798" s="255"/>
      <c r="AG798" s="255"/>
      <c r="AH798" s="255"/>
      <c r="AI798" s="255"/>
      <c r="AJ798" s="255"/>
      <c r="AK798" s="255"/>
      <c r="AL798" s="255"/>
    </row>
    <row r="799" spans="11:38" ht="12.75" customHeight="1" x14ac:dyDescent="0.25"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  <c r="AA799" s="255"/>
      <c r="AB799" s="255"/>
      <c r="AC799" s="255"/>
      <c r="AD799" s="255"/>
      <c r="AE799" s="255"/>
      <c r="AF799" s="255"/>
      <c r="AG799" s="255"/>
      <c r="AH799" s="255"/>
      <c r="AI799" s="255"/>
      <c r="AJ799" s="255"/>
      <c r="AK799" s="255"/>
      <c r="AL799" s="255"/>
    </row>
    <row r="800" spans="11:38" ht="12.75" customHeight="1" x14ac:dyDescent="0.25"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  <c r="AA800" s="255"/>
      <c r="AB800" s="255"/>
      <c r="AC800" s="255"/>
      <c r="AD800" s="255"/>
      <c r="AE800" s="255"/>
      <c r="AF800" s="255"/>
      <c r="AG800" s="255"/>
      <c r="AH800" s="255"/>
      <c r="AI800" s="255"/>
      <c r="AJ800" s="255"/>
      <c r="AK800" s="255"/>
      <c r="AL800" s="255"/>
    </row>
    <row r="801" spans="11:38" ht="12.75" customHeight="1" x14ac:dyDescent="0.25"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  <c r="AA801" s="255"/>
      <c r="AB801" s="255"/>
      <c r="AC801" s="255"/>
      <c r="AD801" s="255"/>
      <c r="AE801" s="255"/>
      <c r="AF801" s="255"/>
      <c r="AG801" s="255"/>
      <c r="AH801" s="255"/>
      <c r="AI801" s="255"/>
      <c r="AJ801" s="255"/>
      <c r="AK801" s="255"/>
      <c r="AL801" s="255"/>
    </row>
    <row r="802" spans="11:38" ht="12.75" customHeight="1" x14ac:dyDescent="0.25"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  <c r="AA802" s="255"/>
      <c r="AB802" s="255"/>
      <c r="AC802" s="255"/>
      <c r="AD802" s="255"/>
      <c r="AE802" s="255"/>
      <c r="AF802" s="255"/>
      <c r="AG802" s="255"/>
      <c r="AH802" s="255"/>
      <c r="AI802" s="255"/>
      <c r="AJ802" s="255"/>
      <c r="AK802" s="255"/>
      <c r="AL802" s="255"/>
    </row>
    <row r="803" spans="11:38" ht="12.75" customHeight="1" x14ac:dyDescent="0.25"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  <c r="AA803" s="255"/>
      <c r="AB803" s="255"/>
      <c r="AC803" s="255"/>
      <c r="AD803" s="255"/>
      <c r="AE803" s="255"/>
      <c r="AF803" s="255"/>
      <c r="AG803" s="255"/>
      <c r="AH803" s="255"/>
      <c r="AI803" s="255"/>
      <c r="AJ803" s="255"/>
      <c r="AK803" s="255"/>
      <c r="AL803" s="255"/>
    </row>
    <row r="804" spans="11:38" ht="12.75" customHeight="1" x14ac:dyDescent="0.25"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  <c r="AA804" s="255"/>
      <c r="AB804" s="255"/>
      <c r="AC804" s="255"/>
      <c r="AD804" s="255"/>
      <c r="AE804" s="255"/>
      <c r="AF804" s="255"/>
      <c r="AG804" s="255"/>
      <c r="AH804" s="255"/>
      <c r="AI804" s="255"/>
      <c r="AJ804" s="255"/>
      <c r="AK804" s="255"/>
      <c r="AL804" s="255"/>
    </row>
    <row r="805" spans="11:38" ht="12.75" customHeight="1" x14ac:dyDescent="0.25"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  <c r="AA805" s="255"/>
      <c r="AB805" s="255"/>
      <c r="AC805" s="255"/>
      <c r="AD805" s="255"/>
      <c r="AE805" s="255"/>
      <c r="AF805" s="255"/>
      <c r="AG805" s="255"/>
      <c r="AH805" s="255"/>
      <c r="AI805" s="255"/>
      <c r="AJ805" s="255"/>
      <c r="AK805" s="255"/>
      <c r="AL805" s="255"/>
    </row>
    <row r="806" spans="11:38" ht="12.75" customHeight="1" x14ac:dyDescent="0.25"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  <c r="AA806" s="255"/>
      <c r="AB806" s="255"/>
      <c r="AC806" s="255"/>
      <c r="AD806" s="255"/>
      <c r="AE806" s="255"/>
      <c r="AF806" s="255"/>
      <c r="AG806" s="255"/>
      <c r="AH806" s="255"/>
      <c r="AI806" s="255"/>
      <c r="AJ806" s="255"/>
      <c r="AK806" s="255"/>
      <c r="AL806" s="255"/>
    </row>
    <row r="807" spans="11:38" ht="12.75" customHeight="1" x14ac:dyDescent="0.25"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  <c r="AA807" s="255"/>
      <c r="AB807" s="255"/>
      <c r="AC807" s="255"/>
      <c r="AD807" s="255"/>
      <c r="AE807" s="255"/>
      <c r="AF807" s="255"/>
      <c r="AG807" s="255"/>
      <c r="AH807" s="255"/>
      <c r="AI807" s="255"/>
      <c r="AJ807" s="255"/>
      <c r="AK807" s="255"/>
      <c r="AL807" s="255"/>
    </row>
    <row r="808" spans="11:38" ht="12.75" customHeight="1" x14ac:dyDescent="0.25"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  <c r="AA808" s="255"/>
      <c r="AB808" s="255"/>
      <c r="AC808" s="255"/>
      <c r="AD808" s="255"/>
      <c r="AE808" s="255"/>
      <c r="AF808" s="255"/>
      <c r="AG808" s="255"/>
      <c r="AH808" s="255"/>
      <c r="AI808" s="255"/>
      <c r="AJ808" s="255"/>
      <c r="AK808" s="255"/>
      <c r="AL808" s="255"/>
    </row>
    <row r="809" spans="11:38" ht="12.75" customHeight="1" x14ac:dyDescent="0.25"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  <c r="AA809" s="255"/>
      <c r="AB809" s="255"/>
      <c r="AC809" s="255"/>
      <c r="AD809" s="255"/>
      <c r="AE809" s="255"/>
      <c r="AF809" s="255"/>
      <c r="AG809" s="255"/>
      <c r="AH809" s="255"/>
      <c r="AI809" s="255"/>
      <c r="AJ809" s="255"/>
      <c r="AK809" s="255"/>
      <c r="AL809" s="255"/>
    </row>
    <row r="810" spans="11:38" ht="12.75" customHeight="1" x14ac:dyDescent="0.25"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  <c r="AA810" s="255"/>
      <c r="AB810" s="255"/>
      <c r="AC810" s="255"/>
      <c r="AD810" s="255"/>
      <c r="AE810" s="255"/>
      <c r="AF810" s="255"/>
      <c r="AG810" s="255"/>
      <c r="AH810" s="255"/>
      <c r="AI810" s="255"/>
      <c r="AJ810" s="255"/>
      <c r="AK810" s="255"/>
      <c r="AL810" s="255"/>
    </row>
    <row r="811" spans="11:38" ht="12.75" customHeight="1" x14ac:dyDescent="0.25"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  <c r="AA811" s="255"/>
      <c r="AB811" s="255"/>
      <c r="AC811" s="255"/>
      <c r="AD811" s="255"/>
      <c r="AE811" s="255"/>
      <c r="AF811" s="255"/>
      <c r="AG811" s="255"/>
      <c r="AH811" s="255"/>
      <c r="AI811" s="255"/>
      <c r="AJ811" s="255"/>
      <c r="AK811" s="255"/>
      <c r="AL811" s="255"/>
    </row>
    <row r="812" spans="11:38" ht="12.75" customHeight="1" x14ac:dyDescent="0.25"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  <c r="AA812" s="255"/>
      <c r="AB812" s="255"/>
      <c r="AC812" s="255"/>
      <c r="AD812" s="255"/>
      <c r="AE812" s="255"/>
      <c r="AF812" s="255"/>
      <c r="AG812" s="255"/>
      <c r="AH812" s="255"/>
      <c r="AI812" s="255"/>
      <c r="AJ812" s="255"/>
      <c r="AK812" s="255"/>
      <c r="AL812" s="255"/>
    </row>
    <row r="813" spans="11:38" ht="12.75" customHeight="1" x14ac:dyDescent="0.25"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  <c r="AA813" s="255"/>
      <c r="AB813" s="255"/>
      <c r="AC813" s="255"/>
      <c r="AD813" s="255"/>
      <c r="AE813" s="255"/>
      <c r="AF813" s="255"/>
      <c r="AG813" s="255"/>
      <c r="AH813" s="255"/>
      <c r="AI813" s="255"/>
      <c r="AJ813" s="255"/>
      <c r="AK813" s="255"/>
      <c r="AL813" s="255"/>
    </row>
    <row r="814" spans="11:38" ht="12.75" customHeight="1" x14ac:dyDescent="0.25"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  <c r="AA814" s="255"/>
      <c r="AB814" s="255"/>
      <c r="AC814" s="255"/>
      <c r="AD814" s="255"/>
      <c r="AE814" s="255"/>
      <c r="AF814" s="255"/>
      <c r="AG814" s="255"/>
      <c r="AH814" s="255"/>
      <c r="AI814" s="255"/>
      <c r="AJ814" s="255"/>
      <c r="AK814" s="255"/>
      <c r="AL814" s="255"/>
    </row>
    <row r="815" spans="11:38" ht="12.75" customHeight="1" x14ac:dyDescent="0.25"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  <c r="AA815" s="255"/>
      <c r="AB815" s="255"/>
      <c r="AC815" s="255"/>
      <c r="AD815" s="255"/>
      <c r="AE815" s="255"/>
      <c r="AF815" s="255"/>
      <c r="AG815" s="255"/>
      <c r="AH815" s="255"/>
      <c r="AI815" s="255"/>
      <c r="AJ815" s="255"/>
      <c r="AK815" s="255"/>
      <c r="AL815" s="255"/>
    </row>
    <row r="816" spans="11:38" ht="12.75" customHeight="1" x14ac:dyDescent="0.25"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  <c r="AA816" s="255"/>
      <c r="AB816" s="255"/>
      <c r="AC816" s="255"/>
      <c r="AD816" s="255"/>
      <c r="AE816" s="255"/>
      <c r="AF816" s="255"/>
      <c r="AG816" s="255"/>
      <c r="AH816" s="255"/>
      <c r="AI816" s="255"/>
      <c r="AJ816" s="255"/>
      <c r="AK816" s="255"/>
      <c r="AL816" s="255"/>
    </row>
    <row r="817" spans="11:38" ht="12.75" customHeight="1" x14ac:dyDescent="0.25"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  <c r="AA817" s="255"/>
      <c r="AB817" s="255"/>
      <c r="AC817" s="255"/>
      <c r="AD817" s="255"/>
      <c r="AE817" s="255"/>
      <c r="AF817" s="255"/>
      <c r="AG817" s="255"/>
      <c r="AH817" s="255"/>
      <c r="AI817" s="255"/>
      <c r="AJ817" s="255"/>
      <c r="AK817" s="255"/>
      <c r="AL817" s="255"/>
    </row>
    <row r="818" spans="11:38" ht="12.75" customHeight="1" x14ac:dyDescent="0.25"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  <c r="AA818" s="255"/>
      <c r="AB818" s="255"/>
      <c r="AC818" s="255"/>
      <c r="AD818" s="255"/>
      <c r="AE818" s="255"/>
      <c r="AF818" s="255"/>
      <c r="AG818" s="255"/>
      <c r="AH818" s="255"/>
      <c r="AI818" s="255"/>
      <c r="AJ818" s="255"/>
      <c r="AK818" s="255"/>
      <c r="AL818" s="255"/>
    </row>
    <row r="819" spans="11:38" ht="12.75" customHeight="1" x14ac:dyDescent="0.25"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  <c r="AA819" s="255"/>
      <c r="AB819" s="255"/>
      <c r="AC819" s="255"/>
      <c r="AD819" s="255"/>
      <c r="AE819" s="255"/>
      <c r="AF819" s="255"/>
      <c r="AG819" s="255"/>
      <c r="AH819" s="255"/>
      <c r="AI819" s="255"/>
      <c r="AJ819" s="255"/>
      <c r="AK819" s="255"/>
      <c r="AL819" s="255"/>
    </row>
    <row r="820" spans="11:38" ht="12.75" customHeight="1" x14ac:dyDescent="0.25"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  <c r="AA820" s="255"/>
      <c r="AB820" s="255"/>
      <c r="AC820" s="255"/>
      <c r="AD820" s="255"/>
      <c r="AE820" s="255"/>
      <c r="AF820" s="255"/>
      <c r="AG820" s="255"/>
      <c r="AH820" s="255"/>
      <c r="AI820" s="255"/>
      <c r="AJ820" s="255"/>
      <c r="AK820" s="255"/>
      <c r="AL820" s="255"/>
    </row>
    <row r="821" spans="11:38" ht="12.75" customHeight="1" x14ac:dyDescent="0.25"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  <c r="AA821" s="255"/>
      <c r="AB821" s="255"/>
      <c r="AC821" s="255"/>
      <c r="AD821" s="255"/>
      <c r="AE821" s="255"/>
      <c r="AF821" s="255"/>
      <c r="AG821" s="255"/>
      <c r="AH821" s="255"/>
      <c r="AI821" s="255"/>
      <c r="AJ821" s="255"/>
      <c r="AK821" s="255"/>
      <c r="AL821" s="255"/>
    </row>
    <row r="822" spans="11:38" ht="12.75" customHeight="1" x14ac:dyDescent="0.25"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  <c r="AA822" s="255"/>
      <c r="AB822" s="255"/>
      <c r="AC822" s="255"/>
      <c r="AD822" s="255"/>
      <c r="AE822" s="255"/>
      <c r="AF822" s="255"/>
      <c r="AG822" s="255"/>
      <c r="AH822" s="255"/>
      <c r="AI822" s="255"/>
      <c r="AJ822" s="255"/>
      <c r="AK822" s="255"/>
      <c r="AL822" s="255"/>
    </row>
    <row r="823" spans="11:38" ht="12.75" customHeight="1" x14ac:dyDescent="0.25"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  <c r="AA823" s="255"/>
      <c r="AB823" s="255"/>
      <c r="AC823" s="255"/>
      <c r="AD823" s="255"/>
      <c r="AE823" s="255"/>
      <c r="AF823" s="255"/>
      <c r="AG823" s="255"/>
      <c r="AH823" s="255"/>
      <c r="AI823" s="255"/>
      <c r="AJ823" s="255"/>
      <c r="AK823" s="255"/>
      <c r="AL823" s="255"/>
    </row>
    <row r="824" spans="11:38" ht="12.75" customHeight="1" x14ac:dyDescent="0.25"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  <c r="AA824" s="255"/>
      <c r="AB824" s="255"/>
      <c r="AC824" s="255"/>
      <c r="AD824" s="255"/>
      <c r="AE824" s="255"/>
      <c r="AF824" s="255"/>
      <c r="AG824" s="255"/>
      <c r="AH824" s="255"/>
      <c r="AI824" s="255"/>
      <c r="AJ824" s="255"/>
      <c r="AK824" s="255"/>
      <c r="AL824" s="255"/>
    </row>
    <row r="825" spans="11:38" ht="12.75" customHeight="1" x14ac:dyDescent="0.25"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  <c r="AA825" s="255"/>
      <c r="AB825" s="255"/>
      <c r="AC825" s="255"/>
      <c r="AD825" s="255"/>
      <c r="AE825" s="255"/>
      <c r="AF825" s="255"/>
      <c r="AG825" s="255"/>
      <c r="AH825" s="255"/>
      <c r="AI825" s="255"/>
      <c r="AJ825" s="255"/>
      <c r="AK825" s="255"/>
      <c r="AL825" s="255"/>
    </row>
    <row r="826" spans="11:38" ht="12.75" customHeight="1" x14ac:dyDescent="0.25"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  <c r="AA826" s="255"/>
      <c r="AB826" s="255"/>
      <c r="AC826" s="255"/>
      <c r="AD826" s="255"/>
      <c r="AE826" s="255"/>
      <c r="AF826" s="255"/>
      <c r="AG826" s="255"/>
      <c r="AH826" s="255"/>
      <c r="AI826" s="255"/>
      <c r="AJ826" s="255"/>
      <c r="AK826" s="255"/>
      <c r="AL826" s="255"/>
    </row>
    <row r="827" spans="11:38" ht="12.75" customHeight="1" x14ac:dyDescent="0.25"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  <c r="AA827" s="255"/>
      <c r="AB827" s="255"/>
      <c r="AC827" s="255"/>
      <c r="AD827" s="255"/>
      <c r="AE827" s="255"/>
      <c r="AF827" s="255"/>
      <c r="AG827" s="255"/>
      <c r="AH827" s="255"/>
      <c r="AI827" s="255"/>
      <c r="AJ827" s="255"/>
      <c r="AK827" s="255"/>
      <c r="AL827" s="255"/>
    </row>
    <row r="828" spans="11:38" ht="12.75" customHeight="1" x14ac:dyDescent="0.25"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  <c r="AA828" s="255"/>
      <c r="AB828" s="255"/>
      <c r="AC828" s="255"/>
      <c r="AD828" s="255"/>
      <c r="AE828" s="255"/>
      <c r="AF828" s="255"/>
      <c r="AG828" s="255"/>
      <c r="AH828" s="255"/>
      <c r="AI828" s="255"/>
      <c r="AJ828" s="255"/>
      <c r="AK828" s="255"/>
      <c r="AL828" s="255"/>
    </row>
    <row r="829" spans="11:38" ht="12.75" customHeight="1" x14ac:dyDescent="0.25"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  <c r="AA829" s="255"/>
      <c r="AB829" s="255"/>
      <c r="AC829" s="255"/>
      <c r="AD829" s="255"/>
      <c r="AE829" s="255"/>
      <c r="AF829" s="255"/>
      <c r="AG829" s="255"/>
      <c r="AH829" s="255"/>
      <c r="AI829" s="255"/>
      <c r="AJ829" s="255"/>
      <c r="AK829" s="255"/>
      <c r="AL829" s="255"/>
    </row>
    <row r="830" spans="11:38" ht="12.75" customHeight="1" x14ac:dyDescent="0.25"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  <c r="AA830" s="255"/>
      <c r="AB830" s="255"/>
      <c r="AC830" s="255"/>
      <c r="AD830" s="255"/>
      <c r="AE830" s="255"/>
      <c r="AF830" s="255"/>
      <c r="AG830" s="255"/>
      <c r="AH830" s="255"/>
      <c r="AI830" s="255"/>
      <c r="AJ830" s="255"/>
      <c r="AK830" s="255"/>
      <c r="AL830" s="255"/>
    </row>
    <row r="831" spans="11:38" ht="12.75" customHeight="1" x14ac:dyDescent="0.25"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  <c r="AA831" s="255"/>
      <c r="AB831" s="255"/>
      <c r="AC831" s="255"/>
      <c r="AD831" s="255"/>
      <c r="AE831" s="255"/>
      <c r="AF831" s="255"/>
      <c r="AG831" s="255"/>
      <c r="AH831" s="255"/>
      <c r="AI831" s="255"/>
      <c r="AJ831" s="255"/>
      <c r="AK831" s="255"/>
      <c r="AL831" s="255"/>
    </row>
    <row r="832" spans="11:38" ht="12.75" customHeight="1" x14ac:dyDescent="0.25"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  <c r="AA832" s="255"/>
      <c r="AB832" s="255"/>
      <c r="AC832" s="255"/>
      <c r="AD832" s="255"/>
      <c r="AE832" s="255"/>
      <c r="AF832" s="255"/>
      <c r="AG832" s="255"/>
      <c r="AH832" s="255"/>
      <c r="AI832" s="255"/>
      <c r="AJ832" s="255"/>
      <c r="AK832" s="255"/>
      <c r="AL832" s="255"/>
    </row>
    <row r="833" spans="11:38" ht="12.75" customHeight="1" x14ac:dyDescent="0.25"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  <c r="AA833" s="255"/>
      <c r="AB833" s="255"/>
      <c r="AC833" s="255"/>
      <c r="AD833" s="255"/>
      <c r="AE833" s="255"/>
      <c r="AF833" s="255"/>
      <c r="AG833" s="255"/>
      <c r="AH833" s="255"/>
      <c r="AI833" s="255"/>
      <c r="AJ833" s="255"/>
      <c r="AK833" s="255"/>
      <c r="AL833" s="255"/>
    </row>
    <row r="834" spans="11:38" ht="12.75" customHeight="1" x14ac:dyDescent="0.25"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  <c r="AA834" s="255"/>
      <c r="AB834" s="255"/>
      <c r="AC834" s="255"/>
      <c r="AD834" s="255"/>
      <c r="AE834" s="255"/>
      <c r="AF834" s="255"/>
      <c r="AG834" s="255"/>
      <c r="AH834" s="255"/>
      <c r="AI834" s="255"/>
      <c r="AJ834" s="255"/>
      <c r="AK834" s="255"/>
      <c r="AL834" s="255"/>
    </row>
    <row r="835" spans="11:38" ht="12.75" customHeight="1" x14ac:dyDescent="0.25"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  <c r="AA835" s="255"/>
      <c r="AB835" s="255"/>
      <c r="AC835" s="255"/>
      <c r="AD835" s="255"/>
      <c r="AE835" s="255"/>
      <c r="AF835" s="255"/>
      <c r="AG835" s="255"/>
      <c r="AH835" s="255"/>
      <c r="AI835" s="255"/>
      <c r="AJ835" s="255"/>
      <c r="AK835" s="255"/>
      <c r="AL835" s="255"/>
    </row>
    <row r="836" spans="11:38" ht="12.75" customHeight="1" x14ac:dyDescent="0.25"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  <c r="AA836" s="255"/>
      <c r="AB836" s="255"/>
      <c r="AC836" s="255"/>
      <c r="AD836" s="255"/>
      <c r="AE836" s="255"/>
      <c r="AF836" s="255"/>
      <c r="AG836" s="255"/>
      <c r="AH836" s="255"/>
      <c r="AI836" s="255"/>
      <c r="AJ836" s="255"/>
      <c r="AK836" s="255"/>
      <c r="AL836" s="255"/>
    </row>
    <row r="837" spans="11:38" ht="12.75" customHeight="1" x14ac:dyDescent="0.25"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  <c r="AA837" s="255"/>
      <c r="AB837" s="255"/>
      <c r="AC837" s="255"/>
      <c r="AD837" s="255"/>
      <c r="AE837" s="255"/>
      <c r="AF837" s="255"/>
      <c r="AG837" s="255"/>
      <c r="AH837" s="255"/>
      <c r="AI837" s="255"/>
      <c r="AJ837" s="255"/>
      <c r="AK837" s="255"/>
      <c r="AL837" s="255"/>
    </row>
    <row r="838" spans="11:38" ht="12.75" customHeight="1" x14ac:dyDescent="0.25"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  <c r="AA838" s="255"/>
      <c r="AB838" s="255"/>
      <c r="AC838" s="255"/>
      <c r="AD838" s="255"/>
      <c r="AE838" s="255"/>
      <c r="AF838" s="255"/>
      <c r="AG838" s="255"/>
      <c r="AH838" s="255"/>
      <c r="AI838" s="255"/>
      <c r="AJ838" s="255"/>
      <c r="AK838" s="255"/>
      <c r="AL838" s="255"/>
    </row>
    <row r="839" spans="11:38" ht="12.75" customHeight="1" x14ac:dyDescent="0.25"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  <c r="AA839" s="255"/>
      <c r="AB839" s="255"/>
      <c r="AC839" s="255"/>
      <c r="AD839" s="255"/>
      <c r="AE839" s="255"/>
      <c r="AF839" s="255"/>
      <c r="AG839" s="255"/>
      <c r="AH839" s="255"/>
      <c r="AI839" s="255"/>
      <c r="AJ839" s="255"/>
      <c r="AK839" s="255"/>
      <c r="AL839" s="255"/>
    </row>
    <row r="840" spans="11:38" ht="12.75" customHeight="1" x14ac:dyDescent="0.25"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  <c r="AA840" s="255"/>
      <c r="AB840" s="255"/>
      <c r="AC840" s="255"/>
      <c r="AD840" s="255"/>
      <c r="AE840" s="255"/>
      <c r="AF840" s="255"/>
      <c r="AG840" s="255"/>
      <c r="AH840" s="255"/>
      <c r="AI840" s="255"/>
      <c r="AJ840" s="255"/>
      <c r="AK840" s="255"/>
      <c r="AL840" s="255"/>
    </row>
    <row r="841" spans="11:38" ht="12.75" customHeight="1" x14ac:dyDescent="0.25"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  <c r="AA841" s="255"/>
      <c r="AB841" s="255"/>
      <c r="AC841" s="255"/>
      <c r="AD841" s="255"/>
      <c r="AE841" s="255"/>
      <c r="AF841" s="255"/>
      <c r="AG841" s="255"/>
      <c r="AH841" s="255"/>
      <c r="AI841" s="255"/>
      <c r="AJ841" s="255"/>
      <c r="AK841" s="255"/>
      <c r="AL841" s="255"/>
    </row>
    <row r="842" spans="11:38" ht="12.75" customHeight="1" x14ac:dyDescent="0.25"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  <c r="AA842" s="255"/>
      <c r="AB842" s="255"/>
      <c r="AC842" s="255"/>
      <c r="AD842" s="255"/>
      <c r="AE842" s="255"/>
      <c r="AF842" s="255"/>
      <c r="AG842" s="255"/>
      <c r="AH842" s="255"/>
      <c r="AI842" s="255"/>
      <c r="AJ842" s="255"/>
      <c r="AK842" s="255"/>
      <c r="AL842" s="255"/>
    </row>
    <row r="843" spans="11:38" ht="12.75" customHeight="1" x14ac:dyDescent="0.25"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  <c r="AA843" s="255"/>
      <c r="AB843" s="255"/>
      <c r="AC843" s="255"/>
      <c r="AD843" s="255"/>
      <c r="AE843" s="255"/>
      <c r="AF843" s="255"/>
      <c r="AG843" s="255"/>
      <c r="AH843" s="255"/>
      <c r="AI843" s="255"/>
      <c r="AJ843" s="255"/>
      <c r="AK843" s="255"/>
      <c r="AL843" s="255"/>
    </row>
    <row r="844" spans="11:38" ht="12.75" customHeight="1" x14ac:dyDescent="0.25"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  <c r="AA844" s="255"/>
      <c r="AB844" s="255"/>
      <c r="AC844" s="255"/>
      <c r="AD844" s="255"/>
      <c r="AE844" s="255"/>
      <c r="AF844" s="255"/>
      <c r="AG844" s="255"/>
      <c r="AH844" s="255"/>
      <c r="AI844" s="255"/>
      <c r="AJ844" s="255"/>
      <c r="AK844" s="255"/>
      <c r="AL844" s="255"/>
    </row>
    <row r="845" spans="11:38" ht="12.75" customHeight="1" x14ac:dyDescent="0.25"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  <c r="AA845" s="255"/>
      <c r="AB845" s="255"/>
      <c r="AC845" s="255"/>
      <c r="AD845" s="255"/>
      <c r="AE845" s="255"/>
      <c r="AF845" s="255"/>
      <c r="AG845" s="255"/>
      <c r="AH845" s="255"/>
      <c r="AI845" s="255"/>
      <c r="AJ845" s="255"/>
      <c r="AK845" s="255"/>
      <c r="AL845" s="255"/>
    </row>
    <row r="846" spans="11:38" ht="12.75" customHeight="1" x14ac:dyDescent="0.25"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  <c r="AA846" s="255"/>
      <c r="AB846" s="255"/>
      <c r="AC846" s="255"/>
      <c r="AD846" s="255"/>
      <c r="AE846" s="255"/>
      <c r="AF846" s="255"/>
      <c r="AG846" s="255"/>
      <c r="AH846" s="255"/>
      <c r="AI846" s="255"/>
      <c r="AJ846" s="255"/>
      <c r="AK846" s="255"/>
      <c r="AL846" s="255"/>
    </row>
    <row r="847" spans="11:38" ht="12.75" customHeight="1" x14ac:dyDescent="0.25"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  <c r="AA847" s="255"/>
      <c r="AB847" s="255"/>
      <c r="AC847" s="255"/>
      <c r="AD847" s="255"/>
      <c r="AE847" s="255"/>
      <c r="AF847" s="255"/>
      <c r="AG847" s="255"/>
      <c r="AH847" s="255"/>
      <c r="AI847" s="255"/>
      <c r="AJ847" s="255"/>
      <c r="AK847" s="255"/>
      <c r="AL847" s="255"/>
    </row>
    <row r="848" spans="11:38" ht="12.75" customHeight="1" x14ac:dyDescent="0.25"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  <c r="AA848" s="255"/>
      <c r="AB848" s="255"/>
      <c r="AC848" s="255"/>
      <c r="AD848" s="255"/>
      <c r="AE848" s="255"/>
      <c r="AF848" s="255"/>
      <c r="AG848" s="255"/>
      <c r="AH848" s="255"/>
      <c r="AI848" s="255"/>
      <c r="AJ848" s="255"/>
      <c r="AK848" s="255"/>
      <c r="AL848" s="255"/>
    </row>
    <row r="849" spans="11:38" ht="12.75" customHeight="1" x14ac:dyDescent="0.25"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  <c r="AA849" s="255"/>
      <c r="AB849" s="255"/>
      <c r="AC849" s="255"/>
      <c r="AD849" s="255"/>
      <c r="AE849" s="255"/>
      <c r="AF849" s="255"/>
      <c r="AG849" s="255"/>
      <c r="AH849" s="255"/>
      <c r="AI849" s="255"/>
      <c r="AJ849" s="255"/>
      <c r="AK849" s="255"/>
      <c r="AL849" s="255"/>
    </row>
    <row r="850" spans="11:38" ht="12.75" customHeight="1" x14ac:dyDescent="0.25"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  <c r="AA850" s="255"/>
      <c r="AB850" s="255"/>
      <c r="AC850" s="255"/>
      <c r="AD850" s="255"/>
      <c r="AE850" s="255"/>
      <c r="AF850" s="255"/>
      <c r="AG850" s="255"/>
      <c r="AH850" s="255"/>
      <c r="AI850" s="255"/>
      <c r="AJ850" s="255"/>
      <c r="AK850" s="255"/>
      <c r="AL850" s="255"/>
    </row>
    <row r="851" spans="11:38" ht="12.75" customHeight="1" x14ac:dyDescent="0.25"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  <c r="AA851" s="255"/>
      <c r="AB851" s="255"/>
      <c r="AC851" s="255"/>
      <c r="AD851" s="255"/>
      <c r="AE851" s="255"/>
      <c r="AF851" s="255"/>
      <c r="AG851" s="255"/>
      <c r="AH851" s="255"/>
      <c r="AI851" s="255"/>
      <c r="AJ851" s="255"/>
      <c r="AK851" s="255"/>
      <c r="AL851" s="255"/>
    </row>
    <row r="852" spans="11:38" ht="12.75" customHeight="1" x14ac:dyDescent="0.25"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  <c r="AA852" s="255"/>
      <c r="AB852" s="255"/>
      <c r="AC852" s="255"/>
      <c r="AD852" s="255"/>
      <c r="AE852" s="255"/>
      <c r="AF852" s="255"/>
      <c r="AG852" s="255"/>
      <c r="AH852" s="255"/>
      <c r="AI852" s="255"/>
      <c r="AJ852" s="255"/>
      <c r="AK852" s="255"/>
      <c r="AL852" s="255"/>
    </row>
    <row r="853" spans="11:38" ht="12.75" customHeight="1" x14ac:dyDescent="0.25"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  <c r="AA853" s="255"/>
      <c r="AB853" s="255"/>
      <c r="AC853" s="255"/>
      <c r="AD853" s="255"/>
      <c r="AE853" s="255"/>
      <c r="AF853" s="255"/>
      <c r="AG853" s="255"/>
      <c r="AH853" s="255"/>
      <c r="AI853" s="255"/>
      <c r="AJ853" s="255"/>
      <c r="AK853" s="255"/>
      <c r="AL853" s="255"/>
    </row>
    <row r="854" spans="11:38" ht="12.75" customHeight="1" x14ac:dyDescent="0.25"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  <c r="AA854" s="255"/>
      <c r="AB854" s="255"/>
      <c r="AC854" s="255"/>
      <c r="AD854" s="255"/>
      <c r="AE854" s="255"/>
      <c r="AF854" s="255"/>
      <c r="AG854" s="255"/>
      <c r="AH854" s="255"/>
      <c r="AI854" s="255"/>
      <c r="AJ854" s="255"/>
      <c r="AK854" s="255"/>
      <c r="AL854" s="255"/>
    </row>
    <row r="855" spans="11:38" ht="12.75" customHeight="1" x14ac:dyDescent="0.25"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  <c r="AA855" s="255"/>
      <c r="AB855" s="255"/>
      <c r="AC855" s="255"/>
      <c r="AD855" s="255"/>
      <c r="AE855" s="255"/>
      <c r="AF855" s="255"/>
      <c r="AG855" s="255"/>
      <c r="AH855" s="255"/>
      <c r="AI855" s="255"/>
      <c r="AJ855" s="255"/>
      <c r="AK855" s="255"/>
      <c r="AL855" s="255"/>
    </row>
    <row r="856" spans="11:38" ht="12.75" customHeight="1" x14ac:dyDescent="0.25"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  <c r="AA856" s="255"/>
      <c r="AB856" s="255"/>
      <c r="AC856" s="255"/>
      <c r="AD856" s="255"/>
      <c r="AE856" s="255"/>
      <c r="AF856" s="255"/>
      <c r="AG856" s="255"/>
      <c r="AH856" s="255"/>
      <c r="AI856" s="255"/>
      <c r="AJ856" s="255"/>
      <c r="AK856" s="255"/>
      <c r="AL856" s="255"/>
    </row>
    <row r="857" spans="11:38" ht="12.75" customHeight="1" x14ac:dyDescent="0.25"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  <c r="AA857" s="255"/>
      <c r="AB857" s="255"/>
      <c r="AC857" s="255"/>
      <c r="AD857" s="255"/>
      <c r="AE857" s="255"/>
      <c r="AF857" s="255"/>
      <c r="AG857" s="255"/>
      <c r="AH857" s="255"/>
      <c r="AI857" s="255"/>
      <c r="AJ857" s="255"/>
      <c r="AK857" s="255"/>
      <c r="AL857" s="255"/>
    </row>
    <row r="858" spans="11:38" ht="12.75" customHeight="1" x14ac:dyDescent="0.25"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  <c r="AA858" s="255"/>
      <c r="AB858" s="255"/>
      <c r="AC858" s="255"/>
      <c r="AD858" s="255"/>
      <c r="AE858" s="255"/>
      <c r="AF858" s="255"/>
      <c r="AG858" s="255"/>
      <c r="AH858" s="255"/>
      <c r="AI858" s="255"/>
      <c r="AJ858" s="255"/>
      <c r="AK858" s="255"/>
      <c r="AL858" s="255"/>
    </row>
    <row r="859" spans="11:38" ht="12.75" customHeight="1" x14ac:dyDescent="0.25"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  <c r="AA859" s="255"/>
      <c r="AB859" s="255"/>
      <c r="AC859" s="255"/>
      <c r="AD859" s="255"/>
      <c r="AE859" s="255"/>
      <c r="AF859" s="255"/>
      <c r="AG859" s="255"/>
      <c r="AH859" s="255"/>
      <c r="AI859" s="255"/>
      <c r="AJ859" s="255"/>
      <c r="AK859" s="255"/>
      <c r="AL859" s="255"/>
    </row>
    <row r="860" spans="11:38" ht="12.75" customHeight="1" x14ac:dyDescent="0.25"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  <c r="AA860" s="255"/>
      <c r="AB860" s="255"/>
      <c r="AC860" s="255"/>
      <c r="AD860" s="255"/>
      <c r="AE860" s="255"/>
      <c r="AF860" s="255"/>
      <c r="AG860" s="255"/>
      <c r="AH860" s="255"/>
      <c r="AI860" s="255"/>
      <c r="AJ860" s="255"/>
      <c r="AK860" s="255"/>
      <c r="AL860" s="255"/>
    </row>
    <row r="861" spans="11:38" ht="12.75" customHeight="1" x14ac:dyDescent="0.25"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  <c r="AA861" s="255"/>
      <c r="AB861" s="255"/>
      <c r="AC861" s="255"/>
      <c r="AD861" s="255"/>
      <c r="AE861" s="255"/>
      <c r="AF861" s="255"/>
      <c r="AG861" s="255"/>
      <c r="AH861" s="255"/>
      <c r="AI861" s="255"/>
      <c r="AJ861" s="255"/>
      <c r="AK861" s="255"/>
      <c r="AL861" s="255"/>
    </row>
    <row r="862" spans="11:38" ht="12.75" customHeight="1" x14ac:dyDescent="0.25"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  <c r="AA862" s="255"/>
      <c r="AB862" s="255"/>
      <c r="AC862" s="255"/>
      <c r="AD862" s="255"/>
      <c r="AE862" s="255"/>
      <c r="AF862" s="255"/>
      <c r="AG862" s="255"/>
      <c r="AH862" s="255"/>
      <c r="AI862" s="255"/>
      <c r="AJ862" s="255"/>
      <c r="AK862" s="255"/>
      <c r="AL862" s="255"/>
    </row>
    <row r="863" spans="11:38" ht="12.75" customHeight="1" x14ac:dyDescent="0.25"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  <c r="AA863" s="255"/>
      <c r="AB863" s="255"/>
      <c r="AC863" s="255"/>
      <c r="AD863" s="255"/>
      <c r="AE863" s="255"/>
      <c r="AF863" s="255"/>
      <c r="AG863" s="255"/>
      <c r="AH863" s="255"/>
      <c r="AI863" s="255"/>
      <c r="AJ863" s="255"/>
      <c r="AK863" s="255"/>
      <c r="AL863" s="255"/>
    </row>
    <row r="864" spans="11:38" ht="12.75" customHeight="1" x14ac:dyDescent="0.25"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  <c r="AA864" s="255"/>
      <c r="AB864" s="255"/>
      <c r="AC864" s="255"/>
      <c r="AD864" s="255"/>
      <c r="AE864" s="255"/>
      <c r="AF864" s="255"/>
      <c r="AG864" s="255"/>
      <c r="AH864" s="255"/>
      <c r="AI864" s="255"/>
      <c r="AJ864" s="255"/>
      <c r="AK864" s="255"/>
      <c r="AL864" s="255"/>
    </row>
    <row r="865" spans="11:38" ht="12.75" customHeight="1" x14ac:dyDescent="0.25"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  <c r="AA865" s="255"/>
      <c r="AB865" s="255"/>
      <c r="AC865" s="255"/>
      <c r="AD865" s="255"/>
      <c r="AE865" s="255"/>
      <c r="AF865" s="255"/>
      <c r="AG865" s="255"/>
      <c r="AH865" s="255"/>
      <c r="AI865" s="255"/>
      <c r="AJ865" s="255"/>
      <c r="AK865" s="255"/>
      <c r="AL865" s="255"/>
    </row>
    <row r="866" spans="11:38" ht="12.75" customHeight="1" x14ac:dyDescent="0.25"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  <c r="AA866" s="255"/>
      <c r="AB866" s="255"/>
      <c r="AC866" s="255"/>
      <c r="AD866" s="255"/>
      <c r="AE866" s="255"/>
      <c r="AF866" s="255"/>
      <c r="AG866" s="255"/>
      <c r="AH866" s="255"/>
      <c r="AI866" s="255"/>
      <c r="AJ866" s="255"/>
      <c r="AK866" s="255"/>
      <c r="AL866" s="255"/>
    </row>
    <row r="867" spans="11:38" ht="12.75" customHeight="1" x14ac:dyDescent="0.25"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  <c r="AA867" s="255"/>
      <c r="AB867" s="255"/>
      <c r="AC867" s="255"/>
      <c r="AD867" s="255"/>
      <c r="AE867" s="255"/>
      <c r="AF867" s="255"/>
      <c r="AG867" s="255"/>
      <c r="AH867" s="255"/>
      <c r="AI867" s="255"/>
      <c r="AJ867" s="255"/>
      <c r="AK867" s="255"/>
      <c r="AL867" s="255"/>
    </row>
    <row r="868" spans="11:38" ht="12.75" customHeight="1" x14ac:dyDescent="0.25"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  <c r="AA868" s="255"/>
      <c r="AB868" s="255"/>
      <c r="AC868" s="255"/>
      <c r="AD868" s="255"/>
      <c r="AE868" s="255"/>
      <c r="AF868" s="255"/>
      <c r="AG868" s="255"/>
      <c r="AH868" s="255"/>
      <c r="AI868" s="255"/>
      <c r="AJ868" s="255"/>
      <c r="AK868" s="255"/>
      <c r="AL868" s="255"/>
    </row>
    <row r="869" spans="11:38" ht="12.75" customHeight="1" x14ac:dyDescent="0.25"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  <c r="AA869" s="255"/>
      <c r="AB869" s="255"/>
      <c r="AC869" s="255"/>
      <c r="AD869" s="255"/>
      <c r="AE869" s="255"/>
      <c r="AF869" s="255"/>
      <c r="AG869" s="255"/>
      <c r="AH869" s="255"/>
      <c r="AI869" s="255"/>
      <c r="AJ869" s="255"/>
      <c r="AK869" s="255"/>
      <c r="AL869" s="255"/>
    </row>
    <row r="870" spans="11:38" ht="12.75" customHeight="1" x14ac:dyDescent="0.25"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  <c r="AA870" s="255"/>
      <c r="AB870" s="255"/>
      <c r="AC870" s="255"/>
      <c r="AD870" s="255"/>
      <c r="AE870" s="255"/>
      <c r="AF870" s="255"/>
      <c r="AG870" s="255"/>
      <c r="AH870" s="255"/>
      <c r="AI870" s="255"/>
      <c r="AJ870" s="255"/>
      <c r="AK870" s="255"/>
      <c r="AL870" s="255"/>
    </row>
    <row r="871" spans="11:38" ht="12.75" customHeight="1" x14ac:dyDescent="0.25"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  <c r="AA871" s="255"/>
      <c r="AB871" s="255"/>
      <c r="AC871" s="255"/>
      <c r="AD871" s="255"/>
      <c r="AE871" s="255"/>
      <c r="AF871" s="255"/>
      <c r="AG871" s="255"/>
      <c r="AH871" s="255"/>
      <c r="AI871" s="255"/>
      <c r="AJ871" s="255"/>
      <c r="AK871" s="255"/>
      <c r="AL871" s="255"/>
    </row>
    <row r="872" spans="11:38" ht="12.75" customHeight="1" x14ac:dyDescent="0.25"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  <c r="AA872" s="255"/>
      <c r="AB872" s="255"/>
      <c r="AC872" s="255"/>
      <c r="AD872" s="255"/>
      <c r="AE872" s="255"/>
      <c r="AF872" s="255"/>
      <c r="AG872" s="255"/>
      <c r="AH872" s="255"/>
      <c r="AI872" s="255"/>
      <c r="AJ872" s="255"/>
      <c r="AK872" s="255"/>
      <c r="AL872" s="255"/>
    </row>
    <row r="873" spans="11:38" ht="12.75" customHeight="1" x14ac:dyDescent="0.25"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  <c r="AA873" s="255"/>
      <c r="AB873" s="255"/>
      <c r="AC873" s="255"/>
      <c r="AD873" s="255"/>
      <c r="AE873" s="255"/>
      <c r="AF873" s="255"/>
      <c r="AG873" s="255"/>
      <c r="AH873" s="255"/>
      <c r="AI873" s="255"/>
      <c r="AJ873" s="255"/>
      <c r="AK873" s="255"/>
      <c r="AL873" s="255"/>
    </row>
    <row r="874" spans="11:38" ht="12.75" customHeight="1" x14ac:dyDescent="0.25"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  <c r="AA874" s="255"/>
      <c r="AB874" s="255"/>
      <c r="AC874" s="255"/>
      <c r="AD874" s="255"/>
      <c r="AE874" s="255"/>
      <c r="AF874" s="255"/>
      <c r="AG874" s="255"/>
      <c r="AH874" s="255"/>
      <c r="AI874" s="255"/>
      <c r="AJ874" s="255"/>
      <c r="AK874" s="255"/>
      <c r="AL874" s="255"/>
    </row>
    <row r="875" spans="11:38" ht="12.75" customHeight="1" x14ac:dyDescent="0.25"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  <c r="AA875" s="255"/>
      <c r="AB875" s="255"/>
      <c r="AC875" s="255"/>
      <c r="AD875" s="255"/>
      <c r="AE875" s="255"/>
      <c r="AF875" s="255"/>
      <c r="AG875" s="255"/>
      <c r="AH875" s="255"/>
      <c r="AI875" s="255"/>
      <c r="AJ875" s="255"/>
      <c r="AK875" s="255"/>
      <c r="AL875" s="255"/>
    </row>
    <row r="876" spans="11:38" ht="12.75" customHeight="1" x14ac:dyDescent="0.25"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  <c r="AA876" s="255"/>
      <c r="AB876" s="255"/>
      <c r="AC876" s="255"/>
      <c r="AD876" s="255"/>
      <c r="AE876" s="255"/>
      <c r="AF876" s="255"/>
      <c r="AG876" s="255"/>
      <c r="AH876" s="255"/>
      <c r="AI876" s="255"/>
      <c r="AJ876" s="255"/>
      <c r="AK876" s="255"/>
      <c r="AL876" s="255"/>
    </row>
    <row r="877" spans="11:38" ht="12.75" customHeight="1" x14ac:dyDescent="0.25"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  <c r="AA877" s="255"/>
      <c r="AB877" s="255"/>
      <c r="AC877" s="255"/>
      <c r="AD877" s="255"/>
      <c r="AE877" s="255"/>
      <c r="AF877" s="255"/>
      <c r="AG877" s="255"/>
      <c r="AH877" s="255"/>
      <c r="AI877" s="255"/>
      <c r="AJ877" s="255"/>
      <c r="AK877" s="255"/>
      <c r="AL877" s="255"/>
    </row>
    <row r="878" spans="11:38" ht="12.75" customHeight="1" x14ac:dyDescent="0.25"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  <c r="AA878" s="255"/>
      <c r="AB878" s="255"/>
      <c r="AC878" s="255"/>
      <c r="AD878" s="255"/>
      <c r="AE878" s="255"/>
      <c r="AF878" s="255"/>
      <c r="AG878" s="255"/>
      <c r="AH878" s="255"/>
      <c r="AI878" s="255"/>
      <c r="AJ878" s="255"/>
      <c r="AK878" s="255"/>
      <c r="AL878" s="255"/>
    </row>
    <row r="879" spans="11:38" ht="12.75" customHeight="1" x14ac:dyDescent="0.25"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  <c r="AA879" s="255"/>
      <c r="AB879" s="255"/>
      <c r="AC879" s="255"/>
      <c r="AD879" s="255"/>
      <c r="AE879" s="255"/>
      <c r="AF879" s="255"/>
      <c r="AG879" s="255"/>
      <c r="AH879" s="255"/>
      <c r="AI879" s="255"/>
      <c r="AJ879" s="255"/>
      <c r="AK879" s="255"/>
      <c r="AL879" s="255"/>
    </row>
    <row r="880" spans="11:38" ht="12.75" customHeight="1" x14ac:dyDescent="0.25"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  <c r="AA880" s="255"/>
      <c r="AB880" s="255"/>
      <c r="AC880" s="255"/>
      <c r="AD880" s="255"/>
      <c r="AE880" s="255"/>
      <c r="AF880" s="255"/>
      <c r="AG880" s="255"/>
      <c r="AH880" s="255"/>
      <c r="AI880" s="255"/>
      <c r="AJ880" s="255"/>
      <c r="AK880" s="255"/>
      <c r="AL880" s="255"/>
    </row>
    <row r="881" spans="11:38" ht="12.75" customHeight="1" x14ac:dyDescent="0.25"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  <c r="AA881" s="255"/>
      <c r="AB881" s="255"/>
      <c r="AC881" s="255"/>
      <c r="AD881" s="255"/>
      <c r="AE881" s="255"/>
      <c r="AF881" s="255"/>
      <c r="AG881" s="255"/>
      <c r="AH881" s="255"/>
      <c r="AI881" s="255"/>
      <c r="AJ881" s="255"/>
      <c r="AK881" s="255"/>
      <c r="AL881" s="255"/>
    </row>
    <row r="882" spans="11:38" ht="12.75" customHeight="1" x14ac:dyDescent="0.25"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  <c r="AA882" s="255"/>
      <c r="AB882" s="255"/>
      <c r="AC882" s="255"/>
      <c r="AD882" s="255"/>
      <c r="AE882" s="255"/>
      <c r="AF882" s="255"/>
      <c r="AG882" s="255"/>
      <c r="AH882" s="255"/>
      <c r="AI882" s="255"/>
      <c r="AJ882" s="255"/>
      <c r="AK882" s="255"/>
      <c r="AL882" s="255"/>
    </row>
    <row r="883" spans="11:38" ht="12.75" customHeight="1" x14ac:dyDescent="0.25"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  <c r="AA883" s="255"/>
      <c r="AB883" s="255"/>
      <c r="AC883" s="255"/>
      <c r="AD883" s="255"/>
      <c r="AE883" s="255"/>
      <c r="AF883" s="255"/>
      <c r="AG883" s="255"/>
      <c r="AH883" s="255"/>
      <c r="AI883" s="255"/>
      <c r="AJ883" s="255"/>
      <c r="AK883" s="255"/>
      <c r="AL883" s="255"/>
    </row>
    <row r="884" spans="11:38" ht="12.75" customHeight="1" x14ac:dyDescent="0.25"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  <c r="AA884" s="255"/>
      <c r="AB884" s="255"/>
      <c r="AC884" s="255"/>
      <c r="AD884" s="255"/>
      <c r="AE884" s="255"/>
      <c r="AF884" s="255"/>
      <c r="AG884" s="255"/>
      <c r="AH884" s="255"/>
      <c r="AI884" s="255"/>
      <c r="AJ884" s="255"/>
      <c r="AK884" s="255"/>
      <c r="AL884" s="255"/>
    </row>
    <row r="885" spans="11:38" ht="12.75" customHeight="1" x14ac:dyDescent="0.25"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  <c r="AA885" s="255"/>
      <c r="AB885" s="255"/>
      <c r="AC885" s="255"/>
      <c r="AD885" s="255"/>
      <c r="AE885" s="255"/>
      <c r="AF885" s="255"/>
      <c r="AG885" s="255"/>
      <c r="AH885" s="255"/>
      <c r="AI885" s="255"/>
      <c r="AJ885" s="255"/>
      <c r="AK885" s="255"/>
      <c r="AL885" s="255"/>
    </row>
    <row r="886" spans="11:38" ht="12.75" customHeight="1" x14ac:dyDescent="0.25"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  <c r="AA886" s="255"/>
      <c r="AB886" s="255"/>
      <c r="AC886" s="255"/>
      <c r="AD886" s="255"/>
      <c r="AE886" s="255"/>
      <c r="AF886" s="255"/>
      <c r="AG886" s="255"/>
      <c r="AH886" s="255"/>
      <c r="AI886" s="255"/>
      <c r="AJ886" s="255"/>
      <c r="AK886" s="255"/>
      <c r="AL886" s="255"/>
    </row>
    <row r="887" spans="11:38" ht="12.75" customHeight="1" x14ac:dyDescent="0.25"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  <c r="AA887" s="255"/>
      <c r="AB887" s="255"/>
      <c r="AC887" s="255"/>
      <c r="AD887" s="255"/>
      <c r="AE887" s="255"/>
      <c r="AF887" s="255"/>
      <c r="AG887" s="255"/>
      <c r="AH887" s="255"/>
      <c r="AI887" s="255"/>
      <c r="AJ887" s="255"/>
      <c r="AK887" s="255"/>
      <c r="AL887" s="255"/>
    </row>
    <row r="888" spans="11:38" ht="12.75" customHeight="1" x14ac:dyDescent="0.25"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  <c r="AA888" s="255"/>
      <c r="AB888" s="255"/>
      <c r="AC888" s="255"/>
      <c r="AD888" s="255"/>
      <c r="AE888" s="255"/>
      <c r="AF888" s="255"/>
      <c r="AG888" s="255"/>
      <c r="AH888" s="255"/>
      <c r="AI888" s="255"/>
      <c r="AJ888" s="255"/>
      <c r="AK888" s="255"/>
      <c r="AL888" s="255"/>
    </row>
    <row r="889" spans="11:38" ht="12.75" customHeight="1" x14ac:dyDescent="0.25"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  <c r="AA889" s="255"/>
      <c r="AB889" s="255"/>
      <c r="AC889" s="255"/>
      <c r="AD889" s="255"/>
      <c r="AE889" s="255"/>
      <c r="AF889" s="255"/>
      <c r="AG889" s="255"/>
      <c r="AH889" s="255"/>
      <c r="AI889" s="255"/>
      <c r="AJ889" s="255"/>
      <c r="AK889" s="255"/>
      <c r="AL889" s="255"/>
    </row>
    <row r="890" spans="11:38" ht="12.75" customHeight="1" x14ac:dyDescent="0.25"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  <c r="AA890" s="255"/>
      <c r="AB890" s="255"/>
      <c r="AC890" s="255"/>
      <c r="AD890" s="255"/>
      <c r="AE890" s="255"/>
      <c r="AF890" s="255"/>
      <c r="AG890" s="255"/>
      <c r="AH890" s="255"/>
      <c r="AI890" s="255"/>
      <c r="AJ890" s="255"/>
      <c r="AK890" s="255"/>
      <c r="AL890" s="255"/>
    </row>
    <row r="891" spans="11:38" ht="12.75" customHeight="1" x14ac:dyDescent="0.25"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  <c r="AA891" s="255"/>
      <c r="AB891" s="255"/>
      <c r="AC891" s="255"/>
      <c r="AD891" s="255"/>
      <c r="AE891" s="255"/>
      <c r="AF891" s="255"/>
      <c r="AG891" s="255"/>
      <c r="AH891" s="255"/>
      <c r="AI891" s="255"/>
      <c r="AJ891" s="255"/>
      <c r="AK891" s="255"/>
      <c r="AL891" s="255"/>
    </row>
    <row r="892" spans="11:38" ht="12.75" customHeight="1" x14ac:dyDescent="0.25"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  <c r="AA892" s="255"/>
      <c r="AB892" s="255"/>
      <c r="AC892" s="255"/>
      <c r="AD892" s="255"/>
      <c r="AE892" s="255"/>
      <c r="AF892" s="255"/>
      <c r="AG892" s="255"/>
      <c r="AH892" s="255"/>
      <c r="AI892" s="255"/>
      <c r="AJ892" s="255"/>
      <c r="AK892" s="255"/>
      <c r="AL892" s="255"/>
    </row>
    <row r="893" spans="11:38" ht="12.75" customHeight="1" x14ac:dyDescent="0.25"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  <c r="AA893" s="255"/>
      <c r="AB893" s="255"/>
      <c r="AC893" s="255"/>
      <c r="AD893" s="255"/>
      <c r="AE893" s="255"/>
      <c r="AF893" s="255"/>
      <c r="AG893" s="255"/>
      <c r="AH893" s="255"/>
      <c r="AI893" s="255"/>
      <c r="AJ893" s="255"/>
      <c r="AK893" s="255"/>
      <c r="AL893" s="255"/>
    </row>
    <row r="894" spans="11:38" ht="12.75" customHeight="1" x14ac:dyDescent="0.25"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  <c r="AA894" s="255"/>
      <c r="AB894" s="255"/>
      <c r="AC894" s="255"/>
      <c r="AD894" s="255"/>
      <c r="AE894" s="255"/>
      <c r="AF894" s="255"/>
      <c r="AG894" s="255"/>
      <c r="AH894" s="255"/>
      <c r="AI894" s="255"/>
      <c r="AJ894" s="255"/>
      <c r="AK894" s="255"/>
      <c r="AL894" s="255"/>
    </row>
    <row r="895" spans="11:38" ht="12.75" customHeight="1" x14ac:dyDescent="0.25"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  <c r="AA895" s="255"/>
      <c r="AB895" s="255"/>
      <c r="AC895" s="255"/>
      <c r="AD895" s="255"/>
      <c r="AE895" s="255"/>
      <c r="AF895" s="255"/>
      <c r="AG895" s="255"/>
      <c r="AH895" s="255"/>
      <c r="AI895" s="255"/>
      <c r="AJ895" s="255"/>
      <c r="AK895" s="255"/>
      <c r="AL895" s="255"/>
    </row>
    <row r="896" spans="11:38" ht="12.75" customHeight="1" x14ac:dyDescent="0.25"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  <c r="AA896" s="255"/>
      <c r="AB896" s="255"/>
      <c r="AC896" s="255"/>
      <c r="AD896" s="255"/>
      <c r="AE896" s="255"/>
      <c r="AF896" s="255"/>
      <c r="AG896" s="255"/>
      <c r="AH896" s="255"/>
      <c r="AI896" s="255"/>
      <c r="AJ896" s="255"/>
      <c r="AK896" s="255"/>
      <c r="AL896" s="255"/>
    </row>
    <row r="897" spans="11:38" ht="12.75" customHeight="1" x14ac:dyDescent="0.25"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  <c r="AA897" s="255"/>
      <c r="AB897" s="255"/>
      <c r="AC897" s="255"/>
      <c r="AD897" s="255"/>
      <c r="AE897" s="255"/>
      <c r="AF897" s="255"/>
      <c r="AG897" s="255"/>
      <c r="AH897" s="255"/>
      <c r="AI897" s="255"/>
      <c r="AJ897" s="255"/>
      <c r="AK897" s="255"/>
      <c r="AL897" s="255"/>
    </row>
    <row r="898" spans="11:38" ht="12.75" customHeight="1" x14ac:dyDescent="0.25"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  <c r="AA898" s="255"/>
      <c r="AB898" s="255"/>
      <c r="AC898" s="255"/>
      <c r="AD898" s="255"/>
      <c r="AE898" s="255"/>
      <c r="AF898" s="255"/>
      <c r="AG898" s="255"/>
      <c r="AH898" s="255"/>
      <c r="AI898" s="255"/>
      <c r="AJ898" s="255"/>
      <c r="AK898" s="255"/>
      <c r="AL898" s="255"/>
    </row>
    <row r="899" spans="11:38" ht="12.75" customHeight="1" x14ac:dyDescent="0.25"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  <c r="AA899" s="255"/>
      <c r="AB899" s="255"/>
      <c r="AC899" s="255"/>
      <c r="AD899" s="255"/>
      <c r="AE899" s="255"/>
      <c r="AF899" s="255"/>
      <c r="AG899" s="255"/>
      <c r="AH899" s="255"/>
      <c r="AI899" s="255"/>
      <c r="AJ899" s="255"/>
      <c r="AK899" s="255"/>
      <c r="AL899" s="255"/>
    </row>
    <row r="900" spans="11:38" ht="12.75" customHeight="1" x14ac:dyDescent="0.25"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  <c r="AA900" s="255"/>
      <c r="AB900" s="255"/>
      <c r="AC900" s="255"/>
      <c r="AD900" s="255"/>
      <c r="AE900" s="255"/>
      <c r="AF900" s="255"/>
      <c r="AG900" s="255"/>
      <c r="AH900" s="255"/>
      <c r="AI900" s="255"/>
      <c r="AJ900" s="255"/>
      <c r="AK900" s="255"/>
      <c r="AL900" s="255"/>
    </row>
    <row r="901" spans="11:38" ht="12.75" customHeight="1" x14ac:dyDescent="0.25"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  <c r="AA901" s="255"/>
      <c r="AB901" s="255"/>
      <c r="AC901" s="255"/>
      <c r="AD901" s="255"/>
      <c r="AE901" s="255"/>
      <c r="AF901" s="255"/>
      <c r="AG901" s="255"/>
      <c r="AH901" s="255"/>
      <c r="AI901" s="255"/>
      <c r="AJ901" s="255"/>
      <c r="AK901" s="255"/>
      <c r="AL901" s="255"/>
    </row>
    <row r="902" spans="11:38" ht="12.75" customHeight="1" x14ac:dyDescent="0.25"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  <c r="AA902" s="255"/>
      <c r="AB902" s="255"/>
      <c r="AC902" s="255"/>
      <c r="AD902" s="255"/>
      <c r="AE902" s="255"/>
      <c r="AF902" s="255"/>
      <c r="AG902" s="255"/>
      <c r="AH902" s="255"/>
      <c r="AI902" s="255"/>
      <c r="AJ902" s="255"/>
      <c r="AK902" s="255"/>
      <c r="AL902" s="255"/>
    </row>
    <row r="903" spans="11:38" ht="12.75" customHeight="1" x14ac:dyDescent="0.25"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  <c r="AA903" s="255"/>
      <c r="AB903" s="255"/>
      <c r="AC903" s="255"/>
      <c r="AD903" s="255"/>
      <c r="AE903" s="255"/>
      <c r="AF903" s="255"/>
      <c r="AG903" s="255"/>
      <c r="AH903" s="255"/>
      <c r="AI903" s="255"/>
      <c r="AJ903" s="255"/>
      <c r="AK903" s="255"/>
      <c r="AL903" s="255"/>
    </row>
    <row r="904" spans="11:38" ht="12.75" customHeight="1" x14ac:dyDescent="0.25"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  <c r="AA904" s="255"/>
      <c r="AB904" s="255"/>
      <c r="AC904" s="255"/>
      <c r="AD904" s="255"/>
      <c r="AE904" s="255"/>
      <c r="AF904" s="255"/>
      <c r="AG904" s="255"/>
      <c r="AH904" s="255"/>
      <c r="AI904" s="255"/>
      <c r="AJ904" s="255"/>
      <c r="AK904" s="255"/>
      <c r="AL904" s="255"/>
    </row>
    <row r="905" spans="11:38" ht="12.75" customHeight="1" x14ac:dyDescent="0.25"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  <c r="AA905" s="255"/>
      <c r="AB905" s="255"/>
      <c r="AC905" s="255"/>
      <c r="AD905" s="255"/>
      <c r="AE905" s="255"/>
      <c r="AF905" s="255"/>
      <c r="AG905" s="255"/>
      <c r="AH905" s="255"/>
      <c r="AI905" s="255"/>
      <c r="AJ905" s="255"/>
      <c r="AK905" s="255"/>
      <c r="AL905" s="255"/>
    </row>
    <row r="906" spans="11:38" ht="12.75" customHeight="1" x14ac:dyDescent="0.25"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  <c r="AA906" s="255"/>
      <c r="AB906" s="255"/>
      <c r="AC906" s="255"/>
      <c r="AD906" s="255"/>
      <c r="AE906" s="255"/>
      <c r="AF906" s="255"/>
      <c r="AG906" s="255"/>
      <c r="AH906" s="255"/>
      <c r="AI906" s="255"/>
      <c r="AJ906" s="255"/>
      <c r="AK906" s="255"/>
      <c r="AL906" s="255"/>
    </row>
    <row r="907" spans="11:38" ht="12.75" customHeight="1" x14ac:dyDescent="0.25"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  <c r="AA907" s="255"/>
      <c r="AB907" s="255"/>
      <c r="AC907" s="255"/>
      <c r="AD907" s="255"/>
      <c r="AE907" s="255"/>
      <c r="AF907" s="255"/>
      <c r="AG907" s="255"/>
      <c r="AH907" s="255"/>
      <c r="AI907" s="255"/>
      <c r="AJ907" s="255"/>
      <c r="AK907" s="255"/>
      <c r="AL907" s="255"/>
    </row>
    <row r="908" spans="11:38" ht="12.75" customHeight="1" x14ac:dyDescent="0.25"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  <c r="AA908" s="255"/>
      <c r="AB908" s="255"/>
      <c r="AC908" s="255"/>
      <c r="AD908" s="255"/>
      <c r="AE908" s="255"/>
      <c r="AF908" s="255"/>
      <c r="AG908" s="255"/>
      <c r="AH908" s="255"/>
      <c r="AI908" s="255"/>
      <c r="AJ908" s="255"/>
      <c r="AK908" s="255"/>
      <c r="AL908" s="255"/>
    </row>
    <row r="909" spans="11:38" ht="12.75" customHeight="1" x14ac:dyDescent="0.25"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  <c r="AA909" s="255"/>
      <c r="AB909" s="255"/>
      <c r="AC909" s="255"/>
      <c r="AD909" s="255"/>
      <c r="AE909" s="255"/>
      <c r="AF909" s="255"/>
      <c r="AG909" s="255"/>
      <c r="AH909" s="255"/>
      <c r="AI909" s="255"/>
      <c r="AJ909" s="255"/>
      <c r="AK909" s="255"/>
      <c r="AL909" s="255"/>
    </row>
    <row r="910" spans="11:38" ht="12.75" customHeight="1" x14ac:dyDescent="0.25"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  <c r="AA910" s="255"/>
      <c r="AB910" s="255"/>
      <c r="AC910" s="255"/>
      <c r="AD910" s="255"/>
      <c r="AE910" s="255"/>
      <c r="AF910" s="255"/>
      <c r="AG910" s="255"/>
      <c r="AH910" s="255"/>
      <c r="AI910" s="255"/>
      <c r="AJ910" s="255"/>
      <c r="AK910" s="255"/>
      <c r="AL910" s="255"/>
    </row>
    <row r="911" spans="11:38" ht="12.75" customHeight="1" x14ac:dyDescent="0.25"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  <c r="AA911" s="255"/>
      <c r="AB911" s="255"/>
      <c r="AC911" s="255"/>
      <c r="AD911" s="255"/>
      <c r="AE911" s="255"/>
      <c r="AF911" s="255"/>
      <c r="AG911" s="255"/>
      <c r="AH911" s="255"/>
      <c r="AI911" s="255"/>
      <c r="AJ911" s="255"/>
      <c r="AK911" s="255"/>
      <c r="AL911" s="255"/>
    </row>
    <row r="912" spans="11:38" ht="12.75" customHeight="1" x14ac:dyDescent="0.25"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  <c r="AA912" s="255"/>
      <c r="AB912" s="255"/>
      <c r="AC912" s="255"/>
      <c r="AD912" s="255"/>
      <c r="AE912" s="255"/>
      <c r="AF912" s="255"/>
      <c r="AG912" s="255"/>
      <c r="AH912" s="255"/>
      <c r="AI912" s="255"/>
      <c r="AJ912" s="255"/>
      <c r="AK912" s="255"/>
      <c r="AL912" s="255"/>
    </row>
    <row r="913" spans="11:38" ht="12.75" customHeight="1" x14ac:dyDescent="0.25"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  <c r="AA913" s="255"/>
      <c r="AB913" s="255"/>
      <c r="AC913" s="255"/>
      <c r="AD913" s="255"/>
      <c r="AE913" s="255"/>
      <c r="AF913" s="255"/>
      <c r="AG913" s="255"/>
      <c r="AH913" s="255"/>
      <c r="AI913" s="255"/>
      <c r="AJ913" s="255"/>
      <c r="AK913" s="255"/>
      <c r="AL913" s="255"/>
    </row>
    <row r="914" spans="11:38" ht="12.75" customHeight="1" x14ac:dyDescent="0.25"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  <c r="AA914" s="255"/>
      <c r="AB914" s="255"/>
      <c r="AC914" s="255"/>
      <c r="AD914" s="255"/>
      <c r="AE914" s="255"/>
      <c r="AF914" s="255"/>
      <c r="AG914" s="255"/>
      <c r="AH914" s="255"/>
      <c r="AI914" s="255"/>
      <c r="AJ914" s="255"/>
      <c r="AK914" s="255"/>
      <c r="AL914" s="255"/>
    </row>
    <row r="915" spans="11:38" ht="12.75" customHeight="1" x14ac:dyDescent="0.25"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  <c r="AA915" s="255"/>
      <c r="AB915" s="255"/>
      <c r="AC915" s="255"/>
      <c r="AD915" s="255"/>
      <c r="AE915" s="255"/>
      <c r="AF915" s="255"/>
      <c r="AG915" s="255"/>
      <c r="AH915" s="255"/>
      <c r="AI915" s="255"/>
      <c r="AJ915" s="255"/>
      <c r="AK915" s="255"/>
      <c r="AL915" s="255"/>
    </row>
    <row r="916" spans="11:38" ht="12.75" customHeight="1" x14ac:dyDescent="0.25"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  <c r="AA916" s="255"/>
      <c r="AB916" s="255"/>
      <c r="AC916" s="255"/>
      <c r="AD916" s="255"/>
      <c r="AE916" s="255"/>
      <c r="AF916" s="255"/>
      <c r="AG916" s="255"/>
      <c r="AH916" s="255"/>
      <c r="AI916" s="255"/>
      <c r="AJ916" s="255"/>
      <c r="AK916" s="255"/>
      <c r="AL916" s="255"/>
    </row>
    <row r="917" spans="11:38" ht="12.75" customHeight="1" x14ac:dyDescent="0.25"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  <c r="AA917" s="255"/>
      <c r="AB917" s="255"/>
      <c r="AC917" s="255"/>
      <c r="AD917" s="255"/>
      <c r="AE917" s="255"/>
      <c r="AF917" s="255"/>
      <c r="AG917" s="255"/>
      <c r="AH917" s="255"/>
      <c r="AI917" s="255"/>
      <c r="AJ917" s="255"/>
      <c r="AK917" s="255"/>
      <c r="AL917" s="255"/>
    </row>
    <row r="918" spans="11:38" ht="12.75" customHeight="1" x14ac:dyDescent="0.25"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  <c r="AA918" s="255"/>
      <c r="AB918" s="255"/>
      <c r="AC918" s="255"/>
      <c r="AD918" s="255"/>
      <c r="AE918" s="255"/>
      <c r="AF918" s="255"/>
      <c r="AG918" s="255"/>
      <c r="AH918" s="255"/>
      <c r="AI918" s="255"/>
      <c r="AJ918" s="255"/>
      <c r="AK918" s="255"/>
      <c r="AL918" s="255"/>
    </row>
    <row r="919" spans="11:38" ht="12.75" customHeight="1" x14ac:dyDescent="0.25"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  <c r="AA919" s="255"/>
      <c r="AB919" s="255"/>
      <c r="AC919" s="255"/>
      <c r="AD919" s="255"/>
      <c r="AE919" s="255"/>
      <c r="AF919" s="255"/>
      <c r="AG919" s="255"/>
      <c r="AH919" s="255"/>
      <c r="AI919" s="255"/>
      <c r="AJ919" s="255"/>
      <c r="AK919" s="255"/>
      <c r="AL919" s="255"/>
    </row>
    <row r="920" spans="11:38" ht="12.75" customHeight="1" x14ac:dyDescent="0.25"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  <c r="AA920" s="255"/>
      <c r="AB920" s="255"/>
      <c r="AC920" s="255"/>
      <c r="AD920" s="255"/>
      <c r="AE920" s="255"/>
      <c r="AF920" s="255"/>
      <c r="AG920" s="255"/>
      <c r="AH920" s="255"/>
      <c r="AI920" s="255"/>
      <c r="AJ920" s="255"/>
      <c r="AK920" s="255"/>
      <c r="AL920" s="255"/>
    </row>
    <row r="921" spans="11:38" ht="12.75" customHeight="1" x14ac:dyDescent="0.25"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  <c r="AA921" s="255"/>
      <c r="AB921" s="255"/>
      <c r="AC921" s="255"/>
      <c r="AD921" s="255"/>
      <c r="AE921" s="255"/>
      <c r="AF921" s="255"/>
      <c r="AG921" s="255"/>
      <c r="AH921" s="255"/>
      <c r="AI921" s="255"/>
      <c r="AJ921" s="255"/>
      <c r="AK921" s="255"/>
      <c r="AL921" s="255"/>
    </row>
    <row r="922" spans="11:38" ht="12.75" customHeight="1" x14ac:dyDescent="0.25"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  <c r="AA922" s="255"/>
      <c r="AB922" s="255"/>
      <c r="AC922" s="255"/>
      <c r="AD922" s="255"/>
      <c r="AE922" s="255"/>
      <c r="AF922" s="255"/>
      <c r="AG922" s="255"/>
      <c r="AH922" s="255"/>
      <c r="AI922" s="255"/>
      <c r="AJ922" s="255"/>
      <c r="AK922" s="255"/>
      <c r="AL922" s="255"/>
    </row>
    <row r="923" spans="11:38" ht="12.75" customHeight="1" x14ac:dyDescent="0.25"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  <c r="AA923" s="255"/>
      <c r="AB923" s="255"/>
      <c r="AC923" s="255"/>
      <c r="AD923" s="255"/>
      <c r="AE923" s="255"/>
      <c r="AF923" s="255"/>
      <c r="AG923" s="255"/>
      <c r="AH923" s="255"/>
      <c r="AI923" s="255"/>
      <c r="AJ923" s="255"/>
      <c r="AK923" s="255"/>
      <c r="AL923" s="255"/>
    </row>
    <row r="924" spans="11:38" ht="12.75" customHeight="1" x14ac:dyDescent="0.25"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  <c r="AA924" s="255"/>
      <c r="AB924" s="255"/>
      <c r="AC924" s="255"/>
      <c r="AD924" s="255"/>
      <c r="AE924" s="255"/>
      <c r="AF924" s="255"/>
      <c r="AG924" s="255"/>
      <c r="AH924" s="255"/>
      <c r="AI924" s="255"/>
      <c r="AJ924" s="255"/>
      <c r="AK924" s="255"/>
      <c r="AL924" s="255"/>
    </row>
    <row r="925" spans="11:38" ht="12.75" customHeight="1" x14ac:dyDescent="0.25"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  <c r="AA925" s="255"/>
      <c r="AB925" s="255"/>
      <c r="AC925" s="255"/>
      <c r="AD925" s="255"/>
      <c r="AE925" s="255"/>
      <c r="AF925" s="255"/>
      <c r="AG925" s="255"/>
      <c r="AH925" s="255"/>
      <c r="AI925" s="255"/>
      <c r="AJ925" s="255"/>
      <c r="AK925" s="255"/>
      <c r="AL925" s="255"/>
    </row>
    <row r="926" spans="11:38" ht="12.75" customHeight="1" x14ac:dyDescent="0.25"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  <c r="AA926" s="255"/>
      <c r="AB926" s="255"/>
      <c r="AC926" s="255"/>
      <c r="AD926" s="255"/>
      <c r="AE926" s="255"/>
      <c r="AF926" s="255"/>
      <c r="AG926" s="255"/>
      <c r="AH926" s="255"/>
      <c r="AI926" s="255"/>
      <c r="AJ926" s="255"/>
      <c r="AK926" s="255"/>
      <c r="AL926" s="255"/>
    </row>
    <row r="927" spans="11:38" ht="12.75" customHeight="1" x14ac:dyDescent="0.25"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  <c r="AA927" s="255"/>
      <c r="AB927" s="255"/>
      <c r="AC927" s="255"/>
      <c r="AD927" s="255"/>
      <c r="AE927" s="255"/>
      <c r="AF927" s="255"/>
      <c r="AG927" s="255"/>
      <c r="AH927" s="255"/>
      <c r="AI927" s="255"/>
      <c r="AJ927" s="255"/>
      <c r="AK927" s="255"/>
      <c r="AL927" s="255"/>
    </row>
    <row r="928" spans="11:38" ht="12.75" customHeight="1" x14ac:dyDescent="0.25"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  <c r="AA928" s="255"/>
      <c r="AB928" s="255"/>
      <c r="AC928" s="255"/>
      <c r="AD928" s="255"/>
      <c r="AE928" s="255"/>
      <c r="AF928" s="255"/>
      <c r="AG928" s="255"/>
      <c r="AH928" s="255"/>
      <c r="AI928" s="255"/>
      <c r="AJ928" s="255"/>
      <c r="AK928" s="255"/>
      <c r="AL928" s="255"/>
    </row>
    <row r="929" spans="11:38" ht="12.75" customHeight="1" x14ac:dyDescent="0.25"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  <c r="AA929" s="255"/>
      <c r="AB929" s="255"/>
      <c r="AC929" s="255"/>
      <c r="AD929" s="255"/>
      <c r="AE929" s="255"/>
      <c r="AF929" s="255"/>
      <c r="AG929" s="255"/>
      <c r="AH929" s="255"/>
      <c r="AI929" s="255"/>
      <c r="AJ929" s="255"/>
      <c r="AK929" s="255"/>
      <c r="AL929" s="255"/>
    </row>
    <row r="930" spans="11:38" ht="12.75" customHeight="1" x14ac:dyDescent="0.25"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  <c r="AA930" s="255"/>
      <c r="AB930" s="255"/>
      <c r="AC930" s="255"/>
      <c r="AD930" s="255"/>
      <c r="AE930" s="255"/>
      <c r="AF930" s="255"/>
      <c r="AG930" s="255"/>
      <c r="AH930" s="255"/>
      <c r="AI930" s="255"/>
      <c r="AJ930" s="255"/>
      <c r="AK930" s="255"/>
      <c r="AL930" s="255"/>
    </row>
    <row r="931" spans="11:38" ht="12.75" customHeight="1" x14ac:dyDescent="0.25"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  <c r="AA931" s="255"/>
      <c r="AB931" s="255"/>
      <c r="AC931" s="255"/>
      <c r="AD931" s="255"/>
      <c r="AE931" s="255"/>
      <c r="AF931" s="255"/>
      <c r="AG931" s="255"/>
      <c r="AH931" s="255"/>
      <c r="AI931" s="255"/>
      <c r="AJ931" s="255"/>
      <c r="AK931" s="255"/>
      <c r="AL931" s="255"/>
    </row>
    <row r="932" spans="11:38" ht="12.75" customHeight="1" x14ac:dyDescent="0.25"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  <c r="AA932" s="255"/>
      <c r="AB932" s="255"/>
      <c r="AC932" s="255"/>
      <c r="AD932" s="255"/>
      <c r="AE932" s="255"/>
      <c r="AF932" s="255"/>
      <c r="AG932" s="255"/>
      <c r="AH932" s="255"/>
      <c r="AI932" s="255"/>
      <c r="AJ932" s="255"/>
      <c r="AK932" s="255"/>
      <c r="AL932" s="255"/>
    </row>
    <row r="933" spans="11:38" ht="12.75" customHeight="1" x14ac:dyDescent="0.25"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  <c r="AA933" s="255"/>
      <c r="AB933" s="255"/>
      <c r="AC933" s="255"/>
      <c r="AD933" s="255"/>
      <c r="AE933" s="255"/>
      <c r="AF933" s="255"/>
      <c r="AG933" s="255"/>
      <c r="AH933" s="255"/>
      <c r="AI933" s="255"/>
      <c r="AJ933" s="255"/>
      <c r="AK933" s="255"/>
      <c r="AL933" s="255"/>
    </row>
    <row r="934" spans="11:38" ht="12.75" customHeight="1" x14ac:dyDescent="0.25"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  <c r="AA934" s="255"/>
      <c r="AB934" s="255"/>
      <c r="AC934" s="255"/>
      <c r="AD934" s="255"/>
      <c r="AE934" s="255"/>
      <c r="AF934" s="255"/>
      <c r="AG934" s="255"/>
      <c r="AH934" s="255"/>
      <c r="AI934" s="255"/>
      <c r="AJ934" s="255"/>
      <c r="AK934" s="255"/>
      <c r="AL934" s="255"/>
    </row>
    <row r="935" spans="11:38" ht="12.75" customHeight="1" x14ac:dyDescent="0.25"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  <c r="AA935" s="255"/>
      <c r="AB935" s="255"/>
      <c r="AC935" s="255"/>
      <c r="AD935" s="255"/>
      <c r="AE935" s="255"/>
      <c r="AF935" s="255"/>
      <c r="AG935" s="255"/>
      <c r="AH935" s="255"/>
      <c r="AI935" s="255"/>
      <c r="AJ935" s="255"/>
      <c r="AK935" s="255"/>
      <c r="AL935" s="255"/>
    </row>
    <row r="936" spans="11:38" ht="12.75" customHeight="1" x14ac:dyDescent="0.25"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  <c r="AA936" s="255"/>
      <c r="AB936" s="255"/>
      <c r="AC936" s="255"/>
      <c r="AD936" s="255"/>
      <c r="AE936" s="255"/>
      <c r="AF936" s="255"/>
      <c r="AG936" s="255"/>
      <c r="AH936" s="255"/>
      <c r="AI936" s="255"/>
      <c r="AJ936" s="255"/>
      <c r="AK936" s="255"/>
      <c r="AL936" s="255"/>
    </row>
    <row r="937" spans="11:38" ht="12.75" customHeight="1" x14ac:dyDescent="0.25"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  <c r="AA937" s="255"/>
      <c r="AB937" s="255"/>
      <c r="AC937" s="255"/>
      <c r="AD937" s="255"/>
      <c r="AE937" s="255"/>
      <c r="AF937" s="255"/>
      <c r="AG937" s="255"/>
      <c r="AH937" s="255"/>
      <c r="AI937" s="255"/>
      <c r="AJ937" s="255"/>
      <c r="AK937" s="255"/>
      <c r="AL937" s="255"/>
    </row>
    <row r="938" spans="11:38" ht="12.75" customHeight="1" x14ac:dyDescent="0.25"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  <c r="AA938" s="255"/>
      <c r="AB938" s="255"/>
      <c r="AC938" s="255"/>
      <c r="AD938" s="255"/>
      <c r="AE938" s="255"/>
      <c r="AF938" s="255"/>
      <c r="AG938" s="255"/>
      <c r="AH938" s="255"/>
      <c r="AI938" s="255"/>
      <c r="AJ938" s="255"/>
      <c r="AK938" s="255"/>
      <c r="AL938" s="255"/>
    </row>
    <row r="939" spans="11:38" ht="12.75" customHeight="1" x14ac:dyDescent="0.25"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  <c r="AA939" s="255"/>
      <c r="AB939" s="255"/>
      <c r="AC939" s="255"/>
      <c r="AD939" s="255"/>
      <c r="AE939" s="255"/>
      <c r="AF939" s="255"/>
      <c r="AG939" s="255"/>
      <c r="AH939" s="255"/>
      <c r="AI939" s="255"/>
      <c r="AJ939" s="255"/>
      <c r="AK939" s="255"/>
      <c r="AL939" s="255"/>
    </row>
    <row r="940" spans="11:38" ht="12.75" customHeight="1" x14ac:dyDescent="0.25"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  <c r="AA940" s="255"/>
      <c r="AB940" s="255"/>
      <c r="AC940" s="255"/>
      <c r="AD940" s="255"/>
      <c r="AE940" s="255"/>
      <c r="AF940" s="255"/>
      <c r="AG940" s="255"/>
      <c r="AH940" s="255"/>
      <c r="AI940" s="255"/>
      <c r="AJ940" s="255"/>
      <c r="AK940" s="255"/>
      <c r="AL940" s="255"/>
    </row>
    <row r="941" spans="11:38" ht="12.75" customHeight="1" x14ac:dyDescent="0.25"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  <c r="AA941" s="255"/>
      <c r="AB941" s="255"/>
      <c r="AC941" s="255"/>
      <c r="AD941" s="255"/>
      <c r="AE941" s="255"/>
      <c r="AF941" s="255"/>
      <c r="AG941" s="255"/>
      <c r="AH941" s="255"/>
      <c r="AI941" s="255"/>
      <c r="AJ941" s="255"/>
      <c r="AK941" s="255"/>
      <c r="AL941" s="255"/>
    </row>
    <row r="942" spans="11:38" ht="12.75" customHeight="1" x14ac:dyDescent="0.25"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  <c r="AA942" s="255"/>
      <c r="AB942" s="255"/>
      <c r="AC942" s="255"/>
      <c r="AD942" s="255"/>
      <c r="AE942" s="255"/>
      <c r="AF942" s="255"/>
      <c r="AG942" s="255"/>
      <c r="AH942" s="255"/>
      <c r="AI942" s="255"/>
      <c r="AJ942" s="255"/>
      <c r="AK942" s="255"/>
      <c r="AL942" s="255"/>
    </row>
    <row r="943" spans="11:38" ht="12.75" customHeight="1" x14ac:dyDescent="0.25"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  <c r="AA943" s="255"/>
      <c r="AB943" s="255"/>
      <c r="AC943" s="255"/>
      <c r="AD943" s="255"/>
      <c r="AE943" s="255"/>
      <c r="AF943" s="255"/>
      <c r="AG943" s="255"/>
      <c r="AH943" s="255"/>
      <c r="AI943" s="255"/>
      <c r="AJ943" s="255"/>
      <c r="AK943" s="255"/>
      <c r="AL943" s="255"/>
    </row>
    <row r="944" spans="11:38" ht="12.75" customHeight="1" x14ac:dyDescent="0.25"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  <c r="AA944" s="255"/>
      <c r="AB944" s="255"/>
      <c r="AC944" s="255"/>
      <c r="AD944" s="255"/>
      <c r="AE944" s="255"/>
      <c r="AF944" s="255"/>
      <c r="AG944" s="255"/>
      <c r="AH944" s="255"/>
      <c r="AI944" s="255"/>
      <c r="AJ944" s="255"/>
      <c r="AK944" s="255"/>
      <c r="AL944" s="255"/>
    </row>
    <row r="945" spans="11:38" ht="12.75" customHeight="1" x14ac:dyDescent="0.25"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  <c r="AA945" s="255"/>
      <c r="AB945" s="255"/>
      <c r="AC945" s="255"/>
      <c r="AD945" s="255"/>
      <c r="AE945" s="255"/>
      <c r="AF945" s="255"/>
      <c r="AG945" s="255"/>
      <c r="AH945" s="255"/>
      <c r="AI945" s="255"/>
      <c r="AJ945" s="255"/>
      <c r="AK945" s="255"/>
      <c r="AL945" s="255"/>
    </row>
    <row r="946" spans="11:38" ht="12.75" customHeight="1" x14ac:dyDescent="0.25"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  <c r="AA946" s="255"/>
      <c r="AB946" s="255"/>
      <c r="AC946" s="255"/>
      <c r="AD946" s="255"/>
      <c r="AE946" s="255"/>
      <c r="AF946" s="255"/>
      <c r="AG946" s="255"/>
      <c r="AH946" s="255"/>
      <c r="AI946" s="255"/>
      <c r="AJ946" s="255"/>
      <c r="AK946" s="255"/>
      <c r="AL946" s="255"/>
    </row>
    <row r="947" spans="11:38" ht="12.75" customHeight="1" x14ac:dyDescent="0.25"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  <c r="AA947" s="255"/>
      <c r="AB947" s="255"/>
      <c r="AC947" s="255"/>
      <c r="AD947" s="255"/>
      <c r="AE947" s="255"/>
      <c r="AF947" s="255"/>
      <c r="AG947" s="255"/>
      <c r="AH947" s="255"/>
      <c r="AI947" s="255"/>
      <c r="AJ947" s="255"/>
      <c r="AK947" s="255"/>
      <c r="AL947" s="255"/>
    </row>
    <row r="948" spans="11:38" ht="12.75" customHeight="1" x14ac:dyDescent="0.25"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  <c r="AA948" s="255"/>
      <c r="AB948" s="255"/>
      <c r="AC948" s="255"/>
      <c r="AD948" s="255"/>
      <c r="AE948" s="255"/>
      <c r="AF948" s="255"/>
      <c r="AG948" s="255"/>
      <c r="AH948" s="255"/>
      <c r="AI948" s="255"/>
      <c r="AJ948" s="255"/>
      <c r="AK948" s="255"/>
      <c r="AL948" s="255"/>
    </row>
    <row r="949" spans="11:38" ht="12.75" customHeight="1" x14ac:dyDescent="0.25"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  <c r="AA949" s="255"/>
      <c r="AB949" s="255"/>
      <c r="AC949" s="255"/>
      <c r="AD949" s="255"/>
      <c r="AE949" s="255"/>
      <c r="AF949" s="255"/>
      <c r="AG949" s="255"/>
      <c r="AH949" s="255"/>
      <c r="AI949" s="255"/>
      <c r="AJ949" s="255"/>
      <c r="AK949" s="255"/>
      <c r="AL949" s="255"/>
    </row>
    <row r="950" spans="11:38" ht="12.75" customHeight="1" x14ac:dyDescent="0.25"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  <c r="AA950" s="255"/>
      <c r="AB950" s="255"/>
      <c r="AC950" s="255"/>
      <c r="AD950" s="255"/>
      <c r="AE950" s="255"/>
      <c r="AF950" s="255"/>
      <c r="AG950" s="255"/>
      <c r="AH950" s="255"/>
      <c r="AI950" s="255"/>
      <c r="AJ950" s="255"/>
      <c r="AK950" s="255"/>
      <c r="AL950" s="255"/>
    </row>
    <row r="951" spans="11:38" ht="12.75" customHeight="1" x14ac:dyDescent="0.25"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  <c r="AA951" s="255"/>
      <c r="AB951" s="255"/>
      <c r="AC951" s="255"/>
      <c r="AD951" s="255"/>
      <c r="AE951" s="255"/>
      <c r="AF951" s="255"/>
      <c r="AG951" s="255"/>
      <c r="AH951" s="255"/>
      <c r="AI951" s="255"/>
      <c r="AJ951" s="255"/>
      <c r="AK951" s="255"/>
      <c r="AL951" s="255"/>
    </row>
    <row r="952" spans="11:38" ht="12.75" customHeight="1" x14ac:dyDescent="0.25"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  <c r="AA952" s="255"/>
      <c r="AB952" s="255"/>
      <c r="AC952" s="255"/>
      <c r="AD952" s="255"/>
      <c r="AE952" s="255"/>
      <c r="AF952" s="255"/>
      <c r="AG952" s="255"/>
      <c r="AH952" s="255"/>
      <c r="AI952" s="255"/>
      <c r="AJ952" s="255"/>
      <c r="AK952" s="255"/>
      <c r="AL952" s="255"/>
    </row>
    <row r="953" spans="11:38" ht="12.75" customHeight="1" x14ac:dyDescent="0.25"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  <c r="AA953" s="255"/>
      <c r="AB953" s="255"/>
      <c r="AC953" s="255"/>
      <c r="AD953" s="255"/>
      <c r="AE953" s="255"/>
      <c r="AF953" s="255"/>
      <c r="AG953" s="255"/>
      <c r="AH953" s="255"/>
      <c r="AI953" s="255"/>
      <c r="AJ953" s="255"/>
      <c r="AK953" s="255"/>
      <c r="AL953" s="255"/>
    </row>
    <row r="954" spans="11:38" ht="12.75" customHeight="1" x14ac:dyDescent="0.25"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  <c r="AA954" s="255"/>
      <c r="AB954" s="255"/>
      <c r="AC954" s="255"/>
      <c r="AD954" s="255"/>
      <c r="AE954" s="255"/>
      <c r="AF954" s="255"/>
      <c r="AG954" s="255"/>
      <c r="AH954" s="255"/>
      <c r="AI954" s="255"/>
      <c r="AJ954" s="255"/>
      <c r="AK954" s="255"/>
      <c r="AL954" s="255"/>
    </row>
    <row r="955" spans="11:38" ht="12.75" customHeight="1" x14ac:dyDescent="0.25"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  <c r="AA955" s="255"/>
      <c r="AB955" s="255"/>
      <c r="AC955" s="255"/>
      <c r="AD955" s="255"/>
      <c r="AE955" s="255"/>
      <c r="AF955" s="255"/>
      <c r="AG955" s="255"/>
      <c r="AH955" s="255"/>
      <c r="AI955" s="255"/>
      <c r="AJ955" s="255"/>
      <c r="AK955" s="255"/>
      <c r="AL955" s="255"/>
    </row>
    <row r="956" spans="11:38" ht="12.75" customHeight="1" x14ac:dyDescent="0.25"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  <c r="AA956" s="255"/>
      <c r="AB956" s="255"/>
      <c r="AC956" s="255"/>
      <c r="AD956" s="255"/>
      <c r="AE956" s="255"/>
      <c r="AF956" s="255"/>
      <c r="AG956" s="255"/>
      <c r="AH956" s="255"/>
      <c r="AI956" s="255"/>
      <c r="AJ956" s="255"/>
      <c r="AK956" s="255"/>
      <c r="AL956" s="255"/>
    </row>
    <row r="957" spans="11:38" ht="12.75" customHeight="1" x14ac:dyDescent="0.25"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  <c r="AA957" s="255"/>
      <c r="AB957" s="255"/>
      <c r="AC957" s="255"/>
      <c r="AD957" s="255"/>
      <c r="AE957" s="255"/>
      <c r="AF957" s="255"/>
      <c r="AG957" s="255"/>
      <c r="AH957" s="255"/>
      <c r="AI957" s="255"/>
      <c r="AJ957" s="255"/>
      <c r="AK957" s="255"/>
      <c r="AL957" s="255"/>
    </row>
    <row r="958" spans="11:38" ht="12.75" customHeight="1" x14ac:dyDescent="0.25"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  <c r="AA958" s="255"/>
      <c r="AB958" s="255"/>
      <c r="AC958" s="255"/>
      <c r="AD958" s="255"/>
      <c r="AE958" s="255"/>
      <c r="AF958" s="255"/>
      <c r="AG958" s="255"/>
      <c r="AH958" s="255"/>
      <c r="AI958" s="255"/>
      <c r="AJ958" s="255"/>
      <c r="AK958" s="255"/>
      <c r="AL958" s="255"/>
    </row>
    <row r="959" spans="11:38" ht="12.75" customHeight="1" x14ac:dyDescent="0.25"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  <c r="AA959" s="255"/>
      <c r="AB959" s="255"/>
      <c r="AC959" s="255"/>
      <c r="AD959" s="255"/>
      <c r="AE959" s="255"/>
      <c r="AF959" s="255"/>
      <c r="AG959" s="255"/>
      <c r="AH959" s="255"/>
      <c r="AI959" s="255"/>
      <c r="AJ959" s="255"/>
      <c r="AK959" s="255"/>
      <c r="AL959" s="255"/>
    </row>
    <row r="960" spans="11:38" ht="12.75" customHeight="1" x14ac:dyDescent="0.25"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  <c r="AA960" s="255"/>
      <c r="AB960" s="255"/>
      <c r="AC960" s="255"/>
      <c r="AD960" s="255"/>
      <c r="AE960" s="255"/>
      <c r="AF960" s="255"/>
      <c r="AG960" s="255"/>
      <c r="AH960" s="255"/>
      <c r="AI960" s="255"/>
      <c r="AJ960" s="255"/>
      <c r="AK960" s="255"/>
      <c r="AL960" s="255"/>
    </row>
    <row r="961" spans="11:38" ht="12.75" customHeight="1" x14ac:dyDescent="0.25"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  <c r="AA961" s="255"/>
      <c r="AB961" s="255"/>
      <c r="AC961" s="255"/>
      <c r="AD961" s="255"/>
      <c r="AE961" s="255"/>
      <c r="AF961" s="255"/>
      <c r="AG961" s="255"/>
      <c r="AH961" s="255"/>
      <c r="AI961" s="255"/>
      <c r="AJ961" s="255"/>
      <c r="AK961" s="255"/>
      <c r="AL961" s="255"/>
    </row>
    <row r="962" spans="11:38" ht="12.75" customHeight="1" x14ac:dyDescent="0.25"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  <c r="AA962" s="255"/>
      <c r="AB962" s="255"/>
      <c r="AC962" s="255"/>
      <c r="AD962" s="255"/>
      <c r="AE962" s="255"/>
      <c r="AF962" s="255"/>
      <c r="AG962" s="255"/>
      <c r="AH962" s="255"/>
      <c r="AI962" s="255"/>
      <c r="AJ962" s="255"/>
      <c r="AK962" s="255"/>
      <c r="AL962" s="255"/>
    </row>
    <row r="963" spans="11:38" ht="12.75" customHeight="1" x14ac:dyDescent="0.25"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  <c r="AA963" s="255"/>
      <c r="AB963" s="255"/>
      <c r="AC963" s="255"/>
      <c r="AD963" s="255"/>
      <c r="AE963" s="255"/>
      <c r="AF963" s="255"/>
      <c r="AG963" s="255"/>
      <c r="AH963" s="255"/>
      <c r="AI963" s="255"/>
      <c r="AJ963" s="255"/>
      <c r="AK963" s="255"/>
      <c r="AL963" s="255"/>
    </row>
    <row r="964" spans="11:38" ht="12.75" customHeight="1" x14ac:dyDescent="0.25"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  <c r="AA964" s="255"/>
      <c r="AB964" s="255"/>
      <c r="AC964" s="255"/>
      <c r="AD964" s="255"/>
      <c r="AE964" s="255"/>
      <c r="AF964" s="255"/>
      <c r="AG964" s="255"/>
      <c r="AH964" s="255"/>
      <c r="AI964" s="255"/>
      <c r="AJ964" s="255"/>
      <c r="AK964" s="255"/>
      <c r="AL964" s="255"/>
    </row>
    <row r="965" spans="11:38" ht="12.75" customHeight="1" x14ac:dyDescent="0.25"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  <c r="AA965" s="255"/>
      <c r="AB965" s="255"/>
      <c r="AC965" s="255"/>
      <c r="AD965" s="255"/>
      <c r="AE965" s="255"/>
      <c r="AF965" s="255"/>
      <c r="AG965" s="255"/>
      <c r="AH965" s="255"/>
      <c r="AI965" s="255"/>
      <c r="AJ965" s="255"/>
      <c r="AK965" s="255"/>
      <c r="AL965" s="255"/>
    </row>
    <row r="966" spans="11:38" ht="12.75" customHeight="1" x14ac:dyDescent="0.25"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  <c r="AA966" s="255"/>
      <c r="AB966" s="255"/>
      <c r="AC966" s="255"/>
      <c r="AD966" s="255"/>
      <c r="AE966" s="255"/>
      <c r="AF966" s="255"/>
      <c r="AG966" s="255"/>
      <c r="AH966" s="255"/>
      <c r="AI966" s="255"/>
      <c r="AJ966" s="255"/>
      <c r="AK966" s="255"/>
      <c r="AL966" s="255"/>
    </row>
    <row r="967" spans="11:38" ht="12.75" customHeight="1" x14ac:dyDescent="0.25"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  <c r="AA967" s="255"/>
      <c r="AB967" s="255"/>
      <c r="AC967" s="255"/>
      <c r="AD967" s="255"/>
      <c r="AE967" s="255"/>
      <c r="AF967" s="255"/>
      <c r="AG967" s="255"/>
      <c r="AH967" s="255"/>
      <c r="AI967" s="255"/>
      <c r="AJ967" s="255"/>
      <c r="AK967" s="255"/>
      <c r="AL967" s="255"/>
    </row>
    <row r="968" spans="11:38" ht="12.75" customHeight="1" x14ac:dyDescent="0.25"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  <c r="AA968" s="255"/>
      <c r="AB968" s="255"/>
      <c r="AC968" s="255"/>
      <c r="AD968" s="255"/>
      <c r="AE968" s="255"/>
      <c r="AF968" s="255"/>
      <c r="AG968" s="255"/>
      <c r="AH968" s="255"/>
      <c r="AI968" s="255"/>
      <c r="AJ968" s="255"/>
      <c r="AK968" s="255"/>
      <c r="AL968" s="255"/>
    </row>
    <row r="969" spans="11:38" ht="12.75" customHeight="1" x14ac:dyDescent="0.25"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  <c r="AA969" s="255"/>
      <c r="AB969" s="255"/>
      <c r="AC969" s="255"/>
      <c r="AD969" s="255"/>
      <c r="AE969" s="255"/>
      <c r="AF969" s="255"/>
      <c r="AG969" s="255"/>
      <c r="AH969" s="255"/>
      <c r="AI969" s="255"/>
      <c r="AJ969" s="255"/>
      <c r="AK969" s="255"/>
      <c r="AL969" s="255"/>
    </row>
    <row r="970" spans="11:38" ht="12.75" customHeight="1" x14ac:dyDescent="0.25"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  <c r="AA970" s="255"/>
      <c r="AB970" s="255"/>
      <c r="AC970" s="255"/>
      <c r="AD970" s="255"/>
      <c r="AE970" s="255"/>
      <c r="AF970" s="255"/>
      <c r="AG970" s="255"/>
      <c r="AH970" s="255"/>
      <c r="AI970" s="255"/>
      <c r="AJ970" s="255"/>
      <c r="AK970" s="255"/>
      <c r="AL970" s="255"/>
    </row>
    <row r="971" spans="11:38" ht="12.75" customHeight="1" x14ac:dyDescent="0.25"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  <c r="AA971" s="255"/>
      <c r="AB971" s="255"/>
      <c r="AC971" s="255"/>
      <c r="AD971" s="255"/>
      <c r="AE971" s="255"/>
      <c r="AF971" s="255"/>
      <c r="AG971" s="255"/>
      <c r="AH971" s="255"/>
      <c r="AI971" s="255"/>
      <c r="AJ971" s="255"/>
      <c r="AK971" s="255"/>
      <c r="AL971" s="255"/>
    </row>
    <row r="972" spans="11:38" ht="12.75" customHeight="1" x14ac:dyDescent="0.25"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  <c r="AA972" s="255"/>
      <c r="AB972" s="255"/>
      <c r="AC972" s="255"/>
      <c r="AD972" s="255"/>
      <c r="AE972" s="255"/>
      <c r="AF972" s="255"/>
      <c r="AG972" s="255"/>
      <c r="AH972" s="255"/>
      <c r="AI972" s="255"/>
      <c r="AJ972" s="255"/>
      <c r="AK972" s="255"/>
      <c r="AL972" s="255"/>
    </row>
    <row r="973" spans="11:38" ht="12.75" customHeight="1" x14ac:dyDescent="0.25"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  <c r="AA973" s="255"/>
      <c r="AB973" s="255"/>
      <c r="AC973" s="255"/>
      <c r="AD973" s="255"/>
      <c r="AE973" s="255"/>
      <c r="AF973" s="255"/>
      <c r="AG973" s="255"/>
      <c r="AH973" s="255"/>
      <c r="AI973" s="255"/>
      <c r="AJ973" s="255"/>
      <c r="AK973" s="255"/>
      <c r="AL973" s="255"/>
    </row>
    <row r="974" spans="11:38" ht="12.75" customHeight="1" x14ac:dyDescent="0.25"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  <c r="AA974" s="255"/>
      <c r="AB974" s="255"/>
      <c r="AC974" s="255"/>
      <c r="AD974" s="255"/>
      <c r="AE974" s="255"/>
      <c r="AF974" s="255"/>
      <c r="AG974" s="255"/>
      <c r="AH974" s="255"/>
      <c r="AI974" s="255"/>
      <c r="AJ974" s="255"/>
      <c r="AK974" s="255"/>
      <c r="AL974" s="255"/>
    </row>
    <row r="975" spans="11:38" ht="12.75" customHeight="1" x14ac:dyDescent="0.25"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  <c r="AA975" s="255"/>
      <c r="AB975" s="255"/>
      <c r="AC975" s="255"/>
      <c r="AD975" s="255"/>
      <c r="AE975" s="255"/>
      <c r="AF975" s="255"/>
      <c r="AG975" s="255"/>
      <c r="AH975" s="255"/>
      <c r="AI975" s="255"/>
      <c r="AJ975" s="255"/>
      <c r="AK975" s="255"/>
      <c r="AL975" s="255"/>
    </row>
    <row r="976" spans="11:38" ht="12.75" customHeight="1" x14ac:dyDescent="0.25"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  <c r="AA976" s="255"/>
      <c r="AB976" s="255"/>
      <c r="AC976" s="255"/>
      <c r="AD976" s="255"/>
      <c r="AE976" s="255"/>
      <c r="AF976" s="255"/>
      <c r="AG976" s="255"/>
      <c r="AH976" s="255"/>
      <c r="AI976" s="255"/>
      <c r="AJ976" s="255"/>
      <c r="AK976" s="255"/>
      <c r="AL976" s="255"/>
    </row>
    <row r="977" spans="11:38" ht="12.75" customHeight="1" x14ac:dyDescent="0.25"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  <c r="AA977" s="255"/>
      <c r="AB977" s="255"/>
      <c r="AC977" s="255"/>
      <c r="AD977" s="255"/>
      <c r="AE977" s="255"/>
      <c r="AF977" s="255"/>
      <c r="AG977" s="255"/>
      <c r="AH977" s="255"/>
      <c r="AI977" s="255"/>
      <c r="AJ977" s="255"/>
      <c r="AK977" s="255"/>
      <c r="AL977" s="255"/>
    </row>
    <row r="978" spans="11:38" ht="12.75" customHeight="1" x14ac:dyDescent="0.25"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  <c r="AA978" s="255"/>
      <c r="AB978" s="255"/>
      <c r="AC978" s="255"/>
      <c r="AD978" s="255"/>
      <c r="AE978" s="255"/>
      <c r="AF978" s="255"/>
      <c r="AG978" s="255"/>
      <c r="AH978" s="255"/>
      <c r="AI978" s="255"/>
      <c r="AJ978" s="255"/>
      <c r="AK978" s="255"/>
      <c r="AL978" s="255"/>
    </row>
    <row r="979" spans="11:38" ht="12.75" customHeight="1" x14ac:dyDescent="0.25"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  <c r="AA979" s="255"/>
      <c r="AB979" s="255"/>
      <c r="AC979" s="255"/>
      <c r="AD979" s="255"/>
      <c r="AE979" s="255"/>
      <c r="AF979" s="255"/>
      <c r="AG979" s="255"/>
      <c r="AH979" s="255"/>
      <c r="AI979" s="255"/>
      <c r="AJ979" s="255"/>
      <c r="AK979" s="255"/>
      <c r="AL979" s="255"/>
    </row>
    <row r="980" spans="11:38" ht="12.75" customHeight="1" x14ac:dyDescent="0.25"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  <c r="AA980" s="255"/>
      <c r="AB980" s="255"/>
      <c r="AC980" s="255"/>
      <c r="AD980" s="255"/>
      <c r="AE980" s="255"/>
      <c r="AF980" s="255"/>
      <c r="AG980" s="255"/>
      <c r="AH980" s="255"/>
      <c r="AI980" s="255"/>
      <c r="AJ980" s="255"/>
      <c r="AK980" s="255"/>
      <c r="AL980" s="255"/>
    </row>
    <row r="981" spans="11:38" ht="12.75" customHeight="1" x14ac:dyDescent="0.25"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  <c r="AA981" s="255"/>
      <c r="AB981" s="255"/>
      <c r="AC981" s="255"/>
      <c r="AD981" s="255"/>
      <c r="AE981" s="255"/>
      <c r="AF981" s="255"/>
      <c r="AG981" s="255"/>
      <c r="AH981" s="255"/>
      <c r="AI981" s="255"/>
      <c r="AJ981" s="255"/>
      <c r="AK981" s="255"/>
      <c r="AL981" s="255"/>
    </row>
    <row r="982" spans="11:38" ht="12.75" customHeight="1" x14ac:dyDescent="0.25"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  <c r="AA982" s="255"/>
      <c r="AB982" s="255"/>
      <c r="AC982" s="255"/>
      <c r="AD982" s="255"/>
      <c r="AE982" s="255"/>
      <c r="AF982" s="255"/>
      <c r="AG982" s="255"/>
      <c r="AH982" s="255"/>
      <c r="AI982" s="255"/>
      <c r="AJ982" s="255"/>
      <c r="AK982" s="255"/>
      <c r="AL982" s="255"/>
    </row>
    <row r="983" spans="11:38" ht="12.75" customHeight="1" x14ac:dyDescent="0.25"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  <c r="AA983" s="255"/>
      <c r="AB983" s="255"/>
      <c r="AC983" s="255"/>
      <c r="AD983" s="255"/>
      <c r="AE983" s="255"/>
      <c r="AF983" s="255"/>
      <c r="AG983" s="255"/>
      <c r="AH983" s="255"/>
      <c r="AI983" s="255"/>
      <c r="AJ983" s="255"/>
      <c r="AK983" s="255"/>
      <c r="AL983" s="255"/>
    </row>
    <row r="984" spans="11:38" ht="12.75" customHeight="1" x14ac:dyDescent="0.25"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  <c r="AA984" s="255"/>
      <c r="AB984" s="255"/>
      <c r="AC984" s="255"/>
      <c r="AD984" s="255"/>
      <c r="AE984" s="255"/>
      <c r="AF984" s="255"/>
      <c r="AG984" s="255"/>
      <c r="AH984" s="255"/>
      <c r="AI984" s="255"/>
      <c r="AJ984" s="255"/>
      <c r="AK984" s="255"/>
      <c r="AL984" s="255"/>
    </row>
    <row r="985" spans="11:38" ht="12.75" customHeight="1" x14ac:dyDescent="0.25"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  <c r="AA985" s="255"/>
      <c r="AB985" s="255"/>
      <c r="AC985" s="255"/>
      <c r="AD985" s="255"/>
      <c r="AE985" s="255"/>
      <c r="AF985" s="255"/>
      <c r="AG985" s="255"/>
      <c r="AH985" s="255"/>
      <c r="AI985" s="255"/>
      <c r="AJ985" s="255"/>
      <c r="AK985" s="255"/>
      <c r="AL985" s="255"/>
    </row>
    <row r="986" spans="11:38" ht="12.75" customHeight="1" x14ac:dyDescent="0.25"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  <c r="AA986" s="255"/>
      <c r="AB986" s="255"/>
      <c r="AC986" s="255"/>
      <c r="AD986" s="255"/>
      <c r="AE986" s="255"/>
      <c r="AF986" s="255"/>
      <c r="AG986" s="255"/>
      <c r="AH986" s="255"/>
      <c r="AI986" s="255"/>
      <c r="AJ986" s="255"/>
      <c r="AK986" s="255"/>
      <c r="AL986" s="255"/>
    </row>
    <row r="987" spans="11:38" ht="12.75" customHeight="1" x14ac:dyDescent="0.25"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  <c r="AA987" s="255"/>
      <c r="AB987" s="255"/>
      <c r="AC987" s="255"/>
      <c r="AD987" s="255"/>
      <c r="AE987" s="255"/>
      <c r="AF987" s="255"/>
      <c r="AG987" s="255"/>
      <c r="AH987" s="255"/>
      <c r="AI987" s="255"/>
      <c r="AJ987" s="255"/>
      <c r="AK987" s="255"/>
      <c r="AL987" s="255"/>
    </row>
    <row r="988" spans="11:38" ht="12.75" customHeight="1" x14ac:dyDescent="0.25"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  <c r="AA988" s="255"/>
      <c r="AB988" s="255"/>
      <c r="AC988" s="255"/>
      <c r="AD988" s="255"/>
      <c r="AE988" s="255"/>
      <c r="AF988" s="255"/>
      <c r="AG988" s="255"/>
      <c r="AH988" s="255"/>
      <c r="AI988" s="255"/>
      <c r="AJ988" s="255"/>
      <c r="AK988" s="255"/>
      <c r="AL988" s="255"/>
    </row>
    <row r="989" spans="11:38" ht="12.75" customHeight="1" x14ac:dyDescent="0.25"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  <c r="AA989" s="255"/>
      <c r="AB989" s="255"/>
      <c r="AC989" s="255"/>
      <c r="AD989" s="255"/>
      <c r="AE989" s="255"/>
      <c r="AF989" s="255"/>
      <c r="AG989" s="255"/>
      <c r="AH989" s="255"/>
      <c r="AI989" s="255"/>
      <c r="AJ989" s="255"/>
      <c r="AK989" s="255"/>
      <c r="AL989" s="255"/>
    </row>
    <row r="990" spans="11:38" ht="12.75" customHeight="1" x14ac:dyDescent="0.25"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  <c r="AA990" s="255"/>
      <c r="AB990" s="255"/>
      <c r="AC990" s="255"/>
      <c r="AD990" s="255"/>
      <c r="AE990" s="255"/>
      <c r="AF990" s="255"/>
      <c r="AG990" s="255"/>
      <c r="AH990" s="255"/>
      <c r="AI990" s="255"/>
      <c r="AJ990" s="255"/>
      <c r="AK990" s="255"/>
      <c r="AL990" s="255"/>
    </row>
    <row r="991" spans="11:38" ht="12.75" customHeight="1" x14ac:dyDescent="0.25"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  <c r="AA991" s="255"/>
      <c r="AB991" s="255"/>
      <c r="AC991" s="255"/>
      <c r="AD991" s="255"/>
      <c r="AE991" s="255"/>
      <c r="AF991" s="255"/>
      <c r="AG991" s="255"/>
      <c r="AH991" s="255"/>
      <c r="AI991" s="255"/>
      <c r="AJ991" s="255"/>
      <c r="AK991" s="255"/>
      <c r="AL991" s="255"/>
    </row>
    <row r="992" spans="11:38" ht="12.75" customHeight="1" x14ac:dyDescent="0.25"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  <c r="AA992" s="255"/>
      <c r="AB992" s="255"/>
      <c r="AC992" s="255"/>
      <c r="AD992" s="255"/>
      <c r="AE992" s="255"/>
      <c r="AF992" s="255"/>
      <c r="AG992" s="255"/>
      <c r="AH992" s="255"/>
      <c r="AI992" s="255"/>
      <c r="AJ992" s="255"/>
      <c r="AK992" s="255"/>
      <c r="AL992" s="255"/>
    </row>
    <row r="993" spans="11:38" ht="12.75" customHeight="1" x14ac:dyDescent="0.25"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  <c r="AA993" s="255"/>
      <c r="AB993" s="255"/>
      <c r="AC993" s="255"/>
      <c r="AD993" s="255"/>
      <c r="AE993" s="255"/>
      <c r="AF993" s="255"/>
      <c r="AG993" s="255"/>
      <c r="AH993" s="255"/>
      <c r="AI993" s="255"/>
      <c r="AJ993" s="255"/>
      <c r="AK993" s="255"/>
      <c r="AL993" s="255"/>
    </row>
    <row r="994" spans="11:38" ht="12.75" customHeight="1" x14ac:dyDescent="0.25"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  <c r="AA994" s="255"/>
      <c r="AB994" s="255"/>
      <c r="AC994" s="255"/>
      <c r="AD994" s="255"/>
      <c r="AE994" s="255"/>
      <c r="AF994" s="255"/>
      <c r="AG994" s="255"/>
      <c r="AH994" s="255"/>
      <c r="AI994" s="255"/>
      <c r="AJ994" s="255"/>
      <c r="AK994" s="255"/>
      <c r="AL994" s="255"/>
    </row>
    <row r="995" spans="11:38" ht="12.75" customHeight="1" x14ac:dyDescent="0.25"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  <c r="AA995" s="255"/>
      <c r="AB995" s="255"/>
      <c r="AC995" s="255"/>
      <c r="AD995" s="255"/>
      <c r="AE995" s="255"/>
      <c r="AF995" s="255"/>
      <c r="AG995" s="255"/>
      <c r="AH995" s="255"/>
      <c r="AI995" s="255"/>
      <c r="AJ995" s="255"/>
      <c r="AK995" s="255"/>
      <c r="AL995" s="255"/>
    </row>
    <row r="996" spans="11:38" ht="12.75" customHeight="1" x14ac:dyDescent="0.25"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  <c r="AA996" s="255"/>
      <c r="AB996" s="255"/>
      <c r="AC996" s="255"/>
      <c r="AD996" s="255"/>
      <c r="AE996" s="255"/>
      <c r="AF996" s="255"/>
      <c r="AG996" s="255"/>
      <c r="AH996" s="255"/>
      <c r="AI996" s="255"/>
      <c r="AJ996" s="255"/>
      <c r="AK996" s="255"/>
      <c r="AL996" s="255"/>
    </row>
    <row r="997" spans="11:38" ht="12.75" customHeight="1" x14ac:dyDescent="0.25"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  <c r="AA997" s="255"/>
      <c r="AB997" s="255"/>
      <c r="AC997" s="255"/>
      <c r="AD997" s="255"/>
      <c r="AE997" s="255"/>
      <c r="AF997" s="255"/>
      <c r="AG997" s="255"/>
      <c r="AH997" s="255"/>
      <c r="AI997" s="255"/>
      <c r="AJ997" s="255"/>
      <c r="AK997" s="255"/>
      <c r="AL997" s="255"/>
    </row>
    <row r="998" spans="11:38" ht="12.75" customHeight="1" x14ac:dyDescent="0.25"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  <c r="AA998" s="255"/>
      <c r="AB998" s="255"/>
      <c r="AC998" s="255"/>
      <c r="AD998" s="255"/>
      <c r="AE998" s="255"/>
      <c r="AF998" s="255"/>
      <c r="AG998" s="255"/>
      <c r="AH998" s="255"/>
      <c r="AI998" s="255"/>
      <c r="AJ998" s="255"/>
      <c r="AK998" s="255"/>
      <c r="AL998" s="255"/>
    </row>
    <row r="999" spans="11:38" ht="12.75" customHeight="1" x14ac:dyDescent="0.25"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  <c r="AA999" s="255"/>
      <c r="AB999" s="255"/>
      <c r="AC999" s="255"/>
      <c r="AD999" s="255"/>
      <c r="AE999" s="255"/>
      <c r="AF999" s="255"/>
      <c r="AG999" s="255"/>
      <c r="AH999" s="255"/>
      <c r="AI999" s="255"/>
      <c r="AJ999" s="255"/>
      <c r="AK999" s="255"/>
      <c r="AL999" s="255"/>
    </row>
    <row r="1000" spans="11:38" ht="12.75" customHeight="1" x14ac:dyDescent="0.25">
      <c r="K1000" s="255"/>
      <c r="L1000" s="255"/>
      <c r="M1000" s="255"/>
      <c r="N1000" s="255"/>
      <c r="O1000" s="255"/>
      <c r="P1000" s="255"/>
      <c r="Q1000" s="255"/>
      <c r="R1000" s="255"/>
      <c r="S1000" s="255"/>
      <c r="T1000" s="255"/>
      <c r="U1000" s="255"/>
      <c r="V1000" s="255"/>
      <c r="W1000" s="255"/>
      <c r="X1000" s="255"/>
      <c r="Y1000" s="255"/>
      <c r="Z1000" s="255"/>
      <c r="AA1000" s="255"/>
      <c r="AB1000" s="255"/>
      <c r="AC1000" s="255"/>
      <c r="AD1000" s="255"/>
      <c r="AE1000" s="255"/>
      <c r="AF1000" s="255"/>
      <c r="AG1000" s="255"/>
      <c r="AH1000" s="255"/>
      <c r="AI1000" s="255"/>
      <c r="AJ1000" s="255"/>
      <c r="AK1000" s="255"/>
      <c r="AL1000" s="255"/>
    </row>
    <row r="1001" spans="11:38" ht="12.75" customHeight="1" x14ac:dyDescent="0.25">
      <c r="K1001" s="255"/>
      <c r="L1001" s="255"/>
      <c r="M1001" s="255"/>
      <c r="N1001" s="255"/>
      <c r="O1001" s="255"/>
      <c r="P1001" s="255"/>
      <c r="Q1001" s="255"/>
      <c r="R1001" s="255"/>
      <c r="S1001" s="255"/>
      <c r="T1001" s="255"/>
      <c r="U1001" s="255"/>
      <c r="V1001" s="255"/>
      <c r="W1001" s="255"/>
      <c r="X1001" s="255"/>
      <c r="Y1001" s="255"/>
      <c r="Z1001" s="255"/>
      <c r="AA1001" s="255"/>
      <c r="AB1001" s="255"/>
      <c r="AC1001" s="255"/>
      <c r="AD1001" s="255"/>
      <c r="AE1001" s="255"/>
      <c r="AF1001" s="255"/>
      <c r="AG1001" s="255"/>
      <c r="AH1001" s="255"/>
      <c r="AI1001" s="255"/>
      <c r="AJ1001" s="255"/>
      <c r="AK1001" s="255"/>
      <c r="AL1001" s="255"/>
    </row>
    <row r="1002" spans="11:38" ht="12.75" customHeight="1" x14ac:dyDescent="0.25">
      <c r="K1002" s="255"/>
      <c r="L1002" s="255"/>
      <c r="M1002" s="255"/>
      <c r="N1002" s="255"/>
      <c r="O1002" s="255"/>
      <c r="P1002" s="255"/>
      <c r="Q1002" s="255"/>
      <c r="R1002" s="255"/>
      <c r="S1002" s="255"/>
      <c r="T1002" s="255"/>
      <c r="U1002" s="255"/>
      <c r="V1002" s="255"/>
      <c r="W1002" s="255"/>
      <c r="X1002" s="255"/>
      <c r="Y1002" s="255"/>
      <c r="Z1002" s="255"/>
      <c r="AA1002" s="255"/>
      <c r="AB1002" s="255"/>
      <c r="AC1002" s="255"/>
      <c r="AD1002" s="255"/>
      <c r="AE1002" s="255"/>
      <c r="AF1002" s="255"/>
      <c r="AG1002" s="255"/>
      <c r="AH1002" s="255"/>
      <c r="AI1002" s="255"/>
      <c r="AJ1002" s="255"/>
      <c r="AK1002" s="255"/>
      <c r="AL1002" s="255"/>
    </row>
    <row r="1003" spans="11:38" ht="12.75" customHeight="1" x14ac:dyDescent="0.25">
      <c r="K1003" s="255"/>
      <c r="L1003" s="255"/>
      <c r="M1003" s="255"/>
      <c r="N1003" s="255"/>
      <c r="O1003" s="255"/>
      <c r="P1003" s="255"/>
      <c r="Q1003" s="255"/>
      <c r="R1003" s="255"/>
      <c r="S1003" s="255"/>
      <c r="T1003" s="255"/>
      <c r="U1003" s="255"/>
      <c r="V1003" s="255"/>
      <c r="W1003" s="255"/>
      <c r="X1003" s="255"/>
      <c r="Y1003" s="255"/>
      <c r="Z1003" s="255"/>
      <c r="AA1003" s="255"/>
      <c r="AB1003" s="255"/>
      <c r="AC1003" s="255"/>
      <c r="AD1003" s="255"/>
      <c r="AE1003" s="255"/>
      <c r="AF1003" s="255"/>
      <c r="AG1003" s="255"/>
      <c r="AH1003" s="255"/>
      <c r="AI1003" s="255"/>
      <c r="AJ1003" s="255"/>
      <c r="AK1003" s="255"/>
      <c r="AL1003" s="255"/>
    </row>
    <row r="1004" spans="11:38" ht="12.75" customHeight="1" x14ac:dyDescent="0.25">
      <c r="K1004" s="255"/>
      <c r="L1004" s="255"/>
      <c r="M1004" s="255"/>
      <c r="N1004" s="255"/>
      <c r="O1004" s="255"/>
      <c r="P1004" s="255"/>
      <c r="Q1004" s="255"/>
      <c r="R1004" s="255"/>
      <c r="S1004" s="255"/>
      <c r="T1004" s="255"/>
      <c r="U1004" s="255"/>
      <c r="V1004" s="255"/>
      <c r="W1004" s="255"/>
      <c r="X1004" s="255"/>
      <c r="Y1004" s="255"/>
      <c r="Z1004" s="255"/>
      <c r="AA1004" s="255"/>
      <c r="AB1004" s="255"/>
      <c r="AC1004" s="255"/>
      <c r="AD1004" s="255"/>
      <c r="AE1004" s="255"/>
      <c r="AF1004" s="255"/>
      <c r="AG1004" s="255"/>
      <c r="AH1004" s="255"/>
      <c r="AI1004" s="255"/>
      <c r="AJ1004" s="255"/>
      <c r="AK1004" s="255"/>
      <c r="AL1004" s="255"/>
    </row>
    <row r="1005" spans="11:38" ht="12.75" customHeight="1" x14ac:dyDescent="0.25">
      <c r="K1005" s="255"/>
      <c r="L1005" s="255"/>
      <c r="M1005" s="255"/>
      <c r="N1005" s="255"/>
      <c r="O1005" s="255"/>
      <c r="P1005" s="255"/>
      <c r="Q1005" s="255"/>
      <c r="R1005" s="255"/>
      <c r="S1005" s="255"/>
      <c r="T1005" s="255"/>
      <c r="U1005" s="255"/>
      <c r="V1005" s="255"/>
      <c r="W1005" s="255"/>
      <c r="X1005" s="255"/>
      <c r="Y1005" s="255"/>
      <c r="Z1005" s="255"/>
      <c r="AA1005" s="255"/>
      <c r="AB1005" s="255"/>
      <c r="AC1005" s="255"/>
      <c r="AD1005" s="255"/>
      <c r="AE1005" s="255"/>
      <c r="AF1005" s="255"/>
      <c r="AG1005" s="255"/>
      <c r="AH1005" s="255"/>
      <c r="AI1005" s="255"/>
      <c r="AJ1005" s="255"/>
      <c r="AK1005" s="255"/>
      <c r="AL1005" s="255"/>
    </row>
    <row r="1006" spans="11:38" ht="12.75" customHeight="1" x14ac:dyDescent="0.25">
      <c r="K1006" s="255"/>
      <c r="L1006" s="255"/>
      <c r="M1006" s="255"/>
      <c r="N1006" s="255"/>
      <c r="O1006" s="255"/>
      <c r="P1006" s="255"/>
      <c r="Q1006" s="255"/>
      <c r="R1006" s="255"/>
      <c r="S1006" s="255"/>
      <c r="T1006" s="255"/>
      <c r="U1006" s="255"/>
      <c r="V1006" s="255"/>
      <c r="W1006" s="255"/>
      <c r="X1006" s="255"/>
      <c r="Y1006" s="255"/>
      <c r="Z1006" s="255"/>
      <c r="AA1006" s="255"/>
      <c r="AB1006" s="255"/>
      <c r="AC1006" s="255"/>
      <c r="AD1006" s="255"/>
      <c r="AE1006" s="255"/>
      <c r="AF1006" s="255"/>
      <c r="AG1006" s="255"/>
      <c r="AH1006" s="255"/>
      <c r="AI1006" s="255"/>
      <c r="AJ1006" s="255"/>
      <c r="AK1006" s="255"/>
      <c r="AL1006" s="255"/>
    </row>
    <row r="1007" spans="11:38" ht="12.75" customHeight="1" x14ac:dyDescent="0.25">
      <c r="K1007" s="255"/>
      <c r="L1007" s="255"/>
      <c r="M1007" s="255"/>
      <c r="N1007" s="255"/>
      <c r="O1007" s="255"/>
      <c r="P1007" s="255"/>
      <c r="Q1007" s="255"/>
      <c r="R1007" s="255"/>
      <c r="S1007" s="255"/>
      <c r="T1007" s="255"/>
      <c r="U1007" s="255"/>
      <c r="V1007" s="255"/>
      <c r="W1007" s="255"/>
      <c r="X1007" s="255"/>
      <c r="Y1007" s="255"/>
      <c r="Z1007" s="255"/>
      <c r="AA1007" s="255"/>
      <c r="AB1007" s="255"/>
      <c r="AC1007" s="255"/>
      <c r="AD1007" s="255"/>
      <c r="AE1007" s="255"/>
      <c r="AF1007" s="255"/>
      <c r="AG1007" s="255"/>
      <c r="AH1007" s="255"/>
      <c r="AI1007" s="255"/>
      <c r="AJ1007" s="255"/>
      <c r="AK1007" s="255"/>
      <c r="AL1007" s="255"/>
    </row>
    <row r="1008" spans="11:38" ht="12.75" customHeight="1" x14ac:dyDescent="0.25">
      <c r="K1008" s="255"/>
      <c r="L1008" s="255"/>
      <c r="M1008" s="255"/>
      <c r="N1008" s="255"/>
      <c r="O1008" s="255"/>
      <c r="P1008" s="255"/>
      <c r="Q1008" s="255"/>
      <c r="R1008" s="255"/>
      <c r="S1008" s="255"/>
      <c r="T1008" s="255"/>
      <c r="U1008" s="255"/>
      <c r="V1008" s="255"/>
      <c r="W1008" s="255"/>
      <c r="X1008" s="255"/>
      <c r="Y1008" s="255"/>
      <c r="Z1008" s="255"/>
      <c r="AA1008" s="255"/>
      <c r="AB1008" s="255"/>
      <c r="AC1008" s="255"/>
      <c r="AD1008" s="255"/>
      <c r="AE1008" s="255"/>
      <c r="AF1008" s="255"/>
      <c r="AG1008" s="255"/>
      <c r="AH1008" s="255"/>
      <c r="AI1008" s="255"/>
      <c r="AJ1008" s="255"/>
      <c r="AK1008" s="255"/>
      <c r="AL1008" s="255"/>
    </row>
    <row r="1009" spans="11:38" ht="12.75" customHeight="1" x14ac:dyDescent="0.25">
      <c r="K1009" s="255"/>
      <c r="L1009" s="255"/>
      <c r="M1009" s="255"/>
      <c r="N1009" s="255"/>
      <c r="O1009" s="255"/>
      <c r="P1009" s="255"/>
      <c r="Q1009" s="255"/>
      <c r="R1009" s="255"/>
      <c r="S1009" s="255"/>
      <c r="T1009" s="255"/>
      <c r="U1009" s="255"/>
      <c r="V1009" s="255"/>
      <c r="W1009" s="255"/>
      <c r="X1009" s="255"/>
      <c r="Y1009" s="255"/>
      <c r="Z1009" s="255"/>
      <c r="AA1009" s="255"/>
      <c r="AB1009" s="255"/>
      <c r="AC1009" s="255"/>
      <c r="AD1009" s="255"/>
      <c r="AE1009" s="255"/>
      <c r="AF1009" s="255"/>
      <c r="AG1009" s="255"/>
      <c r="AH1009" s="255"/>
      <c r="AI1009" s="255"/>
      <c r="AJ1009" s="255"/>
      <c r="AK1009" s="255"/>
      <c r="AL1009" s="255"/>
    </row>
    <row r="1010" spans="11:38" ht="12.75" customHeight="1" x14ac:dyDescent="0.25">
      <c r="K1010" s="255"/>
      <c r="L1010" s="255"/>
      <c r="M1010" s="255"/>
      <c r="N1010" s="255"/>
      <c r="O1010" s="255"/>
      <c r="P1010" s="255"/>
      <c r="Q1010" s="255"/>
      <c r="R1010" s="255"/>
      <c r="S1010" s="255"/>
      <c r="T1010" s="255"/>
      <c r="U1010" s="255"/>
      <c r="V1010" s="255"/>
      <c r="W1010" s="255"/>
      <c r="X1010" s="255"/>
      <c r="Y1010" s="255"/>
      <c r="Z1010" s="255"/>
      <c r="AA1010" s="255"/>
      <c r="AB1010" s="255"/>
      <c r="AC1010" s="255"/>
      <c r="AD1010" s="255"/>
      <c r="AE1010" s="255"/>
      <c r="AF1010" s="255"/>
      <c r="AG1010" s="255"/>
      <c r="AH1010" s="255"/>
      <c r="AI1010" s="255"/>
      <c r="AJ1010" s="255"/>
      <c r="AK1010" s="255"/>
      <c r="AL1010" s="255"/>
    </row>
    <row r="1011" spans="11:38" ht="12.75" customHeight="1" x14ac:dyDescent="0.25">
      <c r="K1011" s="255"/>
      <c r="L1011" s="255"/>
      <c r="M1011" s="255"/>
      <c r="N1011" s="255"/>
      <c r="O1011" s="255"/>
      <c r="P1011" s="255"/>
      <c r="Q1011" s="255"/>
      <c r="R1011" s="255"/>
      <c r="S1011" s="255"/>
      <c r="T1011" s="255"/>
      <c r="U1011" s="255"/>
      <c r="V1011" s="255"/>
      <c r="W1011" s="255"/>
      <c r="X1011" s="255"/>
      <c r="Y1011" s="255"/>
      <c r="Z1011" s="255"/>
      <c r="AA1011" s="255"/>
      <c r="AB1011" s="255"/>
      <c r="AC1011" s="255"/>
      <c r="AD1011" s="255"/>
      <c r="AE1011" s="255"/>
      <c r="AF1011" s="255"/>
      <c r="AG1011" s="255"/>
      <c r="AH1011" s="255"/>
      <c r="AI1011" s="255"/>
      <c r="AJ1011" s="255"/>
      <c r="AK1011" s="255"/>
      <c r="AL1011" s="255"/>
    </row>
    <row r="1012" spans="11:38" ht="12.75" customHeight="1" x14ac:dyDescent="0.25">
      <c r="K1012" s="255"/>
      <c r="L1012" s="255"/>
      <c r="M1012" s="255"/>
      <c r="N1012" s="255"/>
      <c r="O1012" s="255"/>
      <c r="P1012" s="255"/>
      <c r="Q1012" s="255"/>
      <c r="R1012" s="255"/>
      <c r="S1012" s="255"/>
      <c r="T1012" s="255"/>
      <c r="U1012" s="255"/>
      <c r="V1012" s="255"/>
      <c r="W1012" s="255"/>
      <c r="X1012" s="255"/>
      <c r="Y1012" s="255"/>
      <c r="Z1012" s="255"/>
      <c r="AA1012" s="255"/>
      <c r="AB1012" s="255"/>
      <c r="AC1012" s="255"/>
      <c r="AD1012" s="255"/>
      <c r="AE1012" s="255"/>
      <c r="AF1012" s="255"/>
      <c r="AG1012" s="255"/>
      <c r="AH1012" s="255"/>
      <c r="AI1012" s="255"/>
      <c r="AJ1012" s="255"/>
      <c r="AK1012" s="255"/>
      <c r="AL1012" s="255"/>
    </row>
    <row r="1013" spans="11:38" ht="12.75" customHeight="1" x14ac:dyDescent="0.25">
      <c r="K1013" s="255"/>
      <c r="L1013" s="255"/>
      <c r="M1013" s="255"/>
      <c r="N1013" s="255"/>
      <c r="O1013" s="255"/>
      <c r="P1013" s="255"/>
      <c r="Q1013" s="255"/>
      <c r="R1013" s="255"/>
      <c r="S1013" s="255"/>
      <c r="T1013" s="255"/>
      <c r="U1013" s="255"/>
      <c r="V1013" s="255"/>
      <c r="W1013" s="255"/>
      <c r="X1013" s="255"/>
      <c r="Y1013" s="255"/>
      <c r="Z1013" s="255"/>
      <c r="AA1013" s="255"/>
      <c r="AB1013" s="255"/>
      <c r="AC1013" s="255"/>
      <c r="AD1013" s="255"/>
      <c r="AE1013" s="255"/>
      <c r="AF1013" s="255"/>
      <c r="AG1013" s="255"/>
      <c r="AH1013" s="255"/>
      <c r="AI1013" s="255"/>
      <c r="AJ1013" s="255"/>
      <c r="AK1013" s="255"/>
      <c r="AL1013" s="255"/>
    </row>
    <row r="1014" spans="11:38" ht="12.75" customHeight="1" x14ac:dyDescent="0.25">
      <c r="K1014" s="255"/>
      <c r="L1014" s="255"/>
      <c r="M1014" s="255"/>
      <c r="N1014" s="255"/>
      <c r="O1014" s="255"/>
      <c r="P1014" s="255"/>
      <c r="Q1014" s="255"/>
      <c r="R1014" s="255"/>
      <c r="S1014" s="255"/>
      <c r="T1014" s="255"/>
      <c r="U1014" s="255"/>
      <c r="V1014" s="255"/>
      <c r="W1014" s="255"/>
      <c r="X1014" s="255"/>
      <c r="Y1014" s="255"/>
      <c r="Z1014" s="255"/>
      <c r="AA1014" s="255"/>
      <c r="AB1014" s="255"/>
      <c r="AC1014" s="255"/>
      <c r="AD1014" s="255"/>
      <c r="AE1014" s="255"/>
      <c r="AF1014" s="255"/>
      <c r="AG1014" s="255"/>
      <c r="AH1014" s="255"/>
      <c r="AI1014" s="255"/>
      <c r="AJ1014" s="255"/>
      <c r="AK1014" s="255"/>
      <c r="AL1014" s="255"/>
    </row>
    <row r="1015" spans="11:38" ht="12.75" customHeight="1" x14ac:dyDescent="0.25">
      <c r="K1015" s="255"/>
      <c r="L1015" s="255"/>
      <c r="M1015" s="255"/>
      <c r="N1015" s="255"/>
      <c r="O1015" s="255"/>
      <c r="P1015" s="255"/>
      <c r="Q1015" s="255"/>
      <c r="R1015" s="255"/>
      <c r="S1015" s="255"/>
      <c r="T1015" s="255"/>
      <c r="U1015" s="255"/>
      <c r="V1015" s="255"/>
      <c r="W1015" s="255"/>
      <c r="X1015" s="255"/>
      <c r="Y1015" s="255"/>
      <c r="Z1015" s="255"/>
      <c r="AA1015" s="255"/>
      <c r="AB1015" s="255"/>
      <c r="AC1015" s="255"/>
      <c r="AD1015" s="255"/>
      <c r="AE1015" s="255"/>
      <c r="AF1015" s="255"/>
      <c r="AG1015" s="255"/>
      <c r="AH1015" s="255"/>
      <c r="AI1015" s="255"/>
      <c r="AJ1015" s="255"/>
      <c r="AK1015" s="255"/>
      <c r="AL1015" s="255"/>
    </row>
    <row r="1016" spans="11:38" ht="12.75" customHeight="1" x14ac:dyDescent="0.25">
      <c r="K1016" s="255"/>
      <c r="L1016" s="255"/>
      <c r="M1016" s="255"/>
      <c r="N1016" s="255"/>
      <c r="O1016" s="255"/>
      <c r="P1016" s="255"/>
      <c r="Q1016" s="255"/>
      <c r="R1016" s="255"/>
      <c r="S1016" s="255"/>
      <c r="T1016" s="255"/>
      <c r="U1016" s="255"/>
      <c r="V1016" s="255"/>
      <c r="W1016" s="255"/>
      <c r="X1016" s="255"/>
      <c r="Y1016" s="255"/>
      <c r="Z1016" s="255"/>
      <c r="AA1016" s="255"/>
      <c r="AB1016" s="255"/>
      <c r="AC1016" s="255"/>
      <c r="AD1016" s="255"/>
      <c r="AE1016" s="255"/>
      <c r="AF1016" s="255"/>
      <c r="AG1016" s="255"/>
      <c r="AH1016" s="255"/>
      <c r="AI1016" s="255"/>
      <c r="AJ1016" s="255"/>
      <c r="AK1016" s="255"/>
      <c r="AL1016" s="255"/>
    </row>
    <row r="1017" spans="11:38" ht="12.75" customHeight="1" x14ac:dyDescent="0.25">
      <c r="K1017" s="255"/>
      <c r="L1017" s="255"/>
      <c r="M1017" s="255"/>
      <c r="N1017" s="255"/>
      <c r="O1017" s="255"/>
      <c r="P1017" s="255"/>
      <c r="Q1017" s="255"/>
      <c r="R1017" s="255"/>
      <c r="S1017" s="255"/>
      <c r="T1017" s="255"/>
      <c r="U1017" s="255"/>
      <c r="V1017" s="255"/>
      <c r="W1017" s="255"/>
      <c r="X1017" s="255"/>
      <c r="Y1017" s="255"/>
      <c r="Z1017" s="255"/>
      <c r="AA1017" s="255"/>
      <c r="AB1017" s="255"/>
      <c r="AC1017" s="255"/>
      <c r="AD1017" s="255"/>
      <c r="AE1017" s="255"/>
      <c r="AF1017" s="255"/>
      <c r="AG1017" s="255"/>
      <c r="AH1017" s="255"/>
      <c r="AI1017" s="255"/>
      <c r="AJ1017" s="255"/>
      <c r="AK1017" s="255"/>
      <c r="AL1017" s="255"/>
    </row>
    <row r="1018" spans="11:38" ht="12.75" customHeight="1" x14ac:dyDescent="0.25">
      <c r="K1018" s="255"/>
      <c r="L1018" s="255"/>
      <c r="M1018" s="255"/>
      <c r="N1018" s="255"/>
      <c r="O1018" s="255"/>
      <c r="P1018" s="255"/>
      <c r="Q1018" s="255"/>
      <c r="R1018" s="255"/>
      <c r="S1018" s="255"/>
      <c r="T1018" s="255"/>
      <c r="U1018" s="255"/>
      <c r="V1018" s="255"/>
      <c r="W1018" s="255"/>
      <c r="X1018" s="255"/>
      <c r="Y1018" s="255"/>
      <c r="Z1018" s="255"/>
      <c r="AA1018" s="255"/>
      <c r="AB1018" s="255"/>
      <c r="AC1018" s="255"/>
      <c r="AD1018" s="255"/>
      <c r="AE1018" s="255"/>
      <c r="AF1018" s="255"/>
      <c r="AG1018" s="255"/>
      <c r="AH1018" s="255"/>
      <c r="AI1018" s="255"/>
      <c r="AJ1018" s="255"/>
      <c r="AK1018" s="255"/>
      <c r="AL1018" s="255"/>
    </row>
    <row r="1019" spans="11:38" ht="12.75" customHeight="1" x14ac:dyDescent="0.25">
      <c r="K1019" s="255"/>
      <c r="L1019" s="255"/>
      <c r="M1019" s="255"/>
      <c r="N1019" s="255"/>
      <c r="O1019" s="255"/>
      <c r="P1019" s="255"/>
      <c r="Q1019" s="255"/>
      <c r="R1019" s="255"/>
      <c r="S1019" s="255"/>
      <c r="T1019" s="255"/>
      <c r="U1019" s="255"/>
      <c r="V1019" s="255"/>
      <c r="W1019" s="255"/>
      <c r="X1019" s="255"/>
      <c r="Y1019" s="255"/>
      <c r="Z1019" s="255"/>
      <c r="AA1019" s="255"/>
      <c r="AB1019" s="255"/>
      <c r="AC1019" s="255"/>
      <c r="AD1019" s="255"/>
      <c r="AE1019" s="255"/>
      <c r="AF1019" s="255"/>
      <c r="AG1019" s="255"/>
      <c r="AH1019" s="255"/>
      <c r="AI1019" s="255"/>
      <c r="AJ1019" s="255"/>
      <c r="AK1019" s="255"/>
      <c r="AL1019" s="255"/>
    </row>
    <row r="1020" spans="11:38" ht="12.75" customHeight="1" x14ac:dyDescent="0.25">
      <c r="K1020" s="255"/>
      <c r="L1020" s="255"/>
      <c r="M1020" s="255"/>
      <c r="N1020" s="255"/>
      <c r="O1020" s="255"/>
      <c r="P1020" s="255"/>
      <c r="Q1020" s="255"/>
      <c r="R1020" s="255"/>
      <c r="S1020" s="255"/>
      <c r="T1020" s="255"/>
      <c r="U1020" s="255"/>
      <c r="V1020" s="255"/>
      <c r="W1020" s="255"/>
      <c r="X1020" s="255"/>
      <c r="Y1020" s="255"/>
      <c r="Z1020" s="255"/>
      <c r="AA1020" s="255"/>
      <c r="AB1020" s="255"/>
      <c r="AC1020" s="255"/>
      <c r="AD1020" s="255"/>
      <c r="AE1020" s="255"/>
      <c r="AF1020" s="255"/>
      <c r="AG1020" s="255"/>
      <c r="AH1020" s="255"/>
      <c r="AI1020" s="255"/>
      <c r="AJ1020" s="255"/>
      <c r="AK1020" s="255"/>
      <c r="AL1020" s="255"/>
    </row>
    <row r="1021" spans="11:38" ht="12.75" customHeight="1" x14ac:dyDescent="0.25">
      <c r="K1021" s="255"/>
      <c r="L1021" s="255"/>
      <c r="M1021" s="255"/>
      <c r="N1021" s="255"/>
      <c r="O1021" s="255"/>
      <c r="P1021" s="255"/>
      <c r="Q1021" s="255"/>
      <c r="R1021" s="255"/>
      <c r="S1021" s="255"/>
      <c r="T1021" s="255"/>
      <c r="U1021" s="255"/>
      <c r="V1021" s="255"/>
      <c r="W1021" s="255"/>
      <c r="X1021" s="255"/>
      <c r="Y1021" s="255"/>
      <c r="Z1021" s="255"/>
      <c r="AA1021" s="255"/>
      <c r="AB1021" s="255"/>
      <c r="AC1021" s="255"/>
      <c r="AD1021" s="255"/>
      <c r="AE1021" s="255"/>
      <c r="AF1021" s="255"/>
      <c r="AG1021" s="255"/>
      <c r="AH1021" s="255"/>
      <c r="AI1021" s="255"/>
      <c r="AJ1021" s="255"/>
      <c r="AK1021" s="255"/>
      <c r="AL1021" s="255"/>
    </row>
    <row r="1022" spans="11:38" ht="12.75" customHeight="1" x14ac:dyDescent="0.25">
      <c r="K1022" s="255"/>
      <c r="L1022" s="255"/>
      <c r="M1022" s="255"/>
      <c r="N1022" s="255"/>
      <c r="O1022" s="255"/>
      <c r="P1022" s="255"/>
      <c r="Q1022" s="255"/>
      <c r="R1022" s="255"/>
      <c r="S1022" s="255"/>
      <c r="T1022" s="255"/>
      <c r="U1022" s="255"/>
      <c r="V1022" s="255"/>
      <c r="W1022" s="255"/>
      <c r="X1022" s="255"/>
      <c r="Y1022" s="255"/>
      <c r="Z1022" s="255"/>
      <c r="AA1022" s="255"/>
      <c r="AB1022" s="255"/>
      <c r="AC1022" s="255"/>
      <c r="AD1022" s="255"/>
      <c r="AE1022" s="255"/>
      <c r="AF1022" s="255"/>
      <c r="AG1022" s="255"/>
      <c r="AH1022" s="255"/>
      <c r="AI1022" s="255"/>
      <c r="AJ1022" s="255"/>
      <c r="AK1022" s="255"/>
      <c r="AL1022" s="255"/>
    </row>
    <row r="1023" spans="11:38" ht="12.75" customHeight="1" x14ac:dyDescent="0.25">
      <c r="K1023" s="255"/>
      <c r="L1023" s="255"/>
      <c r="M1023" s="255"/>
      <c r="N1023" s="255"/>
      <c r="O1023" s="255"/>
      <c r="P1023" s="255"/>
      <c r="Q1023" s="255"/>
      <c r="R1023" s="255"/>
      <c r="S1023" s="255"/>
      <c r="T1023" s="255"/>
      <c r="U1023" s="255"/>
      <c r="V1023" s="255"/>
      <c r="W1023" s="255"/>
      <c r="X1023" s="255"/>
      <c r="Y1023" s="255"/>
      <c r="Z1023" s="255"/>
      <c r="AA1023" s="255"/>
      <c r="AB1023" s="255"/>
      <c r="AC1023" s="255"/>
      <c r="AD1023" s="255"/>
      <c r="AE1023" s="255"/>
      <c r="AF1023" s="255"/>
      <c r="AG1023" s="255"/>
      <c r="AH1023" s="255"/>
      <c r="AI1023" s="255"/>
      <c r="AJ1023" s="255"/>
      <c r="AK1023" s="255"/>
      <c r="AL1023" s="255"/>
    </row>
    <row r="1024" spans="11:38" ht="12.75" customHeight="1" x14ac:dyDescent="0.25">
      <c r="K1024" s="255"/>
      <c r="L1024" s="255"/>
      <c r="M1024" s="255"/>
      <c r="N1024" s="255"/>
      <c r="O1024" s="255"/>
      <c r="P1024" s="255"/>
      <c r="Q1024" s="255"/>
      <c r="R1024" s="255"/>
      <c r="S1024" s="255"/>
      <c r="T1024" s="255"/>
      <c r="U1024" s="255"/>
      <c r="V1024" s="255"/>
      <c r="W1024" s="255"/>
      <c r="X1024" s="255"/>
      <c r="Y1024" s="255"/>
      <c r="Z1024" s="255"/>
      <c r="AA1024" s="255"/>
      <c r="AB1024" s="255"/>
      <c r="AC1024" s="255"/>
      <c r="AD1024" s="255"/>
      <c r="AE1024" s="255"/>
      <c r="AF1024" s="255"/>
      <c r="AG1024" s="255"/>
      <c r="AH1024" s="255"/>
      <c r="AI1024" s="255"/>
      <c r="AJ1024" s="255"/>
      <c r="AK1024" s="255"/>
      <c r="AL1024" s="255"/>
    </row>
    <row r="1025" spans="11:38" ht="12.75" customHeight="1" x14ac:dyDescent="0.25">
      <c r="K1025" s="255"/>
      <c r="L1025" s="255"/>
      <c r="M1025" s="255"/>
      <c r="N1025" s="255"/>
      <c r="O1025" s="255"/>
      <c r="P1025" s="255"/>
      <c r="Q1025" s="255"/>
      <c r="R1025" s="255"/>
      <c r="S1025" s="255"/>
      <c r="T1025" s="255"/>
      <c r="U1025" s="255"/>
      <c r="V1025" s="255"/>
      <c r="W1025" s="255"/>
      <c r="X1025" s="255"/>
      <c r="Y1025" s="255"/>
      <c r="Z1025" s="255"/>
      <c r="AA1025" s="255"/>
      <c r="AB1025" s="255"/>
      <c r="AC1025" s="255"/>
      <c r="AD1025" s="255"/>
      <c r="AE1025" s="255"/>
      <c r="AF1025" s="255"/>
      <c r="AG1025" s="255"/>
      <c r="AH1025" s="255"/>
      <c r="AI1025" s="255"/>
      <c r="AJ1025" s="255"/>
      <c r="AK1025" s="255"/>
      <c r="AL1025" s="255"/>
    </row>
  </sheetData>
  <sheetProtection sheet="1" objects="1" scenarios="1"/>
  <mergeCells count="9">
    <mergeCell ref="U67:AB67"/>
    <mergeCell ref="C154:D154"/>
    <mergeCell ref="D1:J4"/>
    <mergeCell ref="K67:R67"/>
    <mergeCell ref="H156:I156"/>
    <mergeCell ref="F156:G156"/>
    <mergeCell ref="C156:D156"/>
    <mergeCell ref="H154:I154"/>
    <mergeCell ref="F154:G154"/>
  </mergeCells>
  <pageMargins left="0.7" right="0.7" top="0.75" bottom="0.75" header="0.3" footer="0.3"/>
  <pageSetup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74"/>
  <sheetViews>
    <sheetView workbookViewId="0">
      <selection activeCell="F9" sqref="F9"/>
    </sheetView>
  </sheetViews>
  <sheetFormatPr baseColWidth="10" defaultColWidth="12.5546875" defaultRowHeight="13.2" x14ac:dyDescent="0.25"/>
  <cols>
    <col min="1" max="1" width="3.6640625" style="814" customWidth="1"/>
    <col min="2" max="2" width="10.5546875" style="814" customWidth="1"/>
    <col min="3" max="3" width="14.88671875" style="814" customWidth="1"/>
    <col min="4" max="10" width="10.5546875" style="814" customWidth="1"/>
    <col min="11" max="11" width="5.33203125" style="814" customWidth="1"/>
    <col min="12" max="26" width="10.5546875" style="814" customWidth="1"/>
    <col min="27" max="29" width="12.5546875" style="814" customWidth="1"/>
    <col min="30" max="16384" width="12.5546875" style="814"/>
  </cols>
  <sheetData>
    <row r="1" spans="1:19" ht="12.75" customHeight="1" x14ac:dyDescent="0.25">
      <c r="A1" s="255"/>
      <c r="B1" s="255"/>
      <c r="C1" s="255"/>
      <c r="D1" s="255"/>
      <c r="E1" s="255"/>
      <c r="F1" s="255"/>
      <c r="G1" s="255"/>
      <c r="H1" s="255"/>
      <c r="I1" s="255"/>
      <c r="J1" s="255"/>
      <c r="K1" s="255"/>
    </row>
    <row r="2" spans="1:19" ht="12.75" customHeight="1" x14ac:dyDescent="0.25">
      <c r="A2" s="255"/>
      <c r="B2" s="970" t="s">
        <v>415</v>
      </c>
      <c r="C2" s="960"/>
      <c r="D2" s="960"/>
      <c r="E2" s="960"/>
      <c r="F2" s="960"/>
      <c r="G2" s="960"/>
      <c r="H2" s="255"/>
      <c r="I2" s="255"/>
      <c r="J2" s="255"/>
      <c r="K2" s="255"/>
      <c r="N2" s="384" t="s">
        <v>415</v>
      </c>
      <c r="O2" s="385"/>
      <c r="P2" s="385"/>
      <c r="Q2" s="370"/>
      <c r="R2" s="370"/>
      <c r="S2" s="370"/>
    </row>
    <row r="3" spans="1:19" ht="12.75" customHeight="1" x14ac:dyDescent="0.25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O3" s="370"/>
      <c r="P3" s="370"/>
      <c r="Q3" s="370"/>
      <c r="R3" s="370"/>
      <c r="S3" s="370"/>
    </row>
    <row r="4" spans="1:19" ht="12.75" customHeight="1" x14ac:dyDescent="0.25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  <c r="O4" s="370"/>
      <c r="P4" s="370"/>
      <c r="Q4" s="370"/>
      <c r="R4" s="370"/>
      <c r="S4" s="370"/>
    </row>
    <row r="5" spans="1:19" ht="12.75" customHeight="1" x14ac:dyDescent="0.25">
      <c r="A5" s="255"/>
      <c r="B5" s="255"/>
      <c r="C5" s="255"/>
      <c r="D5" s="255"/>
      <c r="E5" s="255"/>
      <c r="F5" s="255"/>
      <c r="G5" s="255"/>
      <c r="H5" s="255"/>
      <c r="I5" s="255"/>
      <c r="J5" s="255"/>
      <c r="K5" s="255"/>
      <c r="O5" s="370"/>
      <c r="P5" s="370"/>
      <c r="Q5" s="370"/>
      <c r="R5" s="370"/>
      <c r="S5" s="370"/>
    </row>
    <row r="6" spans="1:19" ht="12.75" customHeight="1" x14ac:dyDescent="0.25">
      <c r="A6" s="255"/>
      <c r="B6" s="255"/>
      <c r="C6" s="255"/>
      <c r="D6" s="255"/>
      <c r="E6" s="255"/>
      <c r="F6" s="255"/>
      <c r="G6" s="255"/>
      <c r="H6" s="255"/>
      <c r="I6" s="973"/>
      <c r="J6" s="960"/>
      <c r="K6" s="255"/>
      <c r="O6" s="370"/>
      <c r="P6" s="370"/>
      <c r="Q6" s="370"/>
      <c r="R6" s="370"/>
      <c r="S6" s="370"/>
    </row>
    <row r="7" spans="1:19" ht="12.75" customHeight="1" x14ac:dyDescent="0.25">
      <c r="A7" s="255"/>
      <c r="B7" s="267" t="s">
        <v>416</v>
      </c>
      <c r="C7" s="569">
        <v>-1.4899999999999999E-6</v>
      </c>
      <c r="D7" s="255"/>
      <c r="E7" s="255"/>
      <c r="F7" s="255"/>
      <c r="G7" s="255"/>
      <c r="H7" s="255"/>
      <c r="I7" s="816"/>
      <c r="J7" s="816"/>
      <c r="K7" s="255"/>
      <c r="L7" s="671" t="s">
        <v>417</v>
      </c>
      <c r="M7" s="372">
        <v>-3.2899999999999998E-6</v>
      </c>
      <c r="N7" s="370"/>
      <c r="O7" s="370"/>
      <c r="Q7" s="370"/>
      <c r="R7" s="370"/>
      <c r="S7" s="370"/>
    </row>
    <row r="8" spans="1:19" ht="12.75" customHeight="1" x14ac:dyDescent="0.25">
      <c r="A8" s="255"/>
      <c r="B8" s="268" t="s">
        <v>418</v>
      </c>
      <c r="C8" s="816">
        <v>1.1399999999999999</v>
      </c>
      <c r="D8" s="570">
        <v>2.4800000000000002E-10</v>
      </c>
      <c r="E8" s="255"/>
      <c r="F8" s="255"/>
      <c r="G8" s="255"/>
      <c r="H8" s="255"/>
      <c r="I8" s="255"/>
      <c r="J8" s="255"/>
      <c r="K8" s="255"/>
      <c r="L8" s="672" t="s">
        <v>418</v>
      </c>
      <c r="M8" s="371">
        <v>4.1599999999999996E-3</v>
      </c>
      <c r="N8" s="372">
        <v>2.4299999999999999E-10</v>
      </c>
      <c r="O8" s="370"/>
      <c r="Q8" s="370"/>
      <c r="R8" s="370"/>
      <c r="S8" s="370"/>
    </row>
    <row r="9" spans="1:19" ht="12.75" customHeight="1" x14ac:dyDescent="0.25">
      <c r="A9" s="255"/>
      <c r="B9" s="268" t="s">
        <v>419</v>
      </c>
      <c r="C9" s="269" t="s">
        <v>420</v>
      </c>
      <c r="D9" s="270"/>
      <c r="E9" s="255"/>
      <c r="F9" s="816"/>
      <c r="G9" s="255"/>
      <c r="H9" s="255"/>
      <c r="I9" s="255"/>
      <c r="J9" s="255"/>
      <c r="K9" s="255"/>
      <c r="L9" s="672" t="s">
        <v>421</v>
      </c>
      <c r="M9" s="373" t="s">
        <v>422</v>
      </c>
      <c r="N9" s="371"/>
      <c r="O9" s="370"/>
      <c r="Q9" s="370"/>
      <c r="R9" s="370"/>
      <c r="S9" s="370"/>
    </row>
    <row r="10" spans="1:19" ht="12.75" customHeight="1" x14ac:dyDescent="0.25">
      <c r="A10" s="255"/>
      <c r="B10" s="268" t="s">
        <v>423</v>
      </c>
      <c r="C10" s="270">
        <v>1</v>
      </c>
      <c r="D10" s="270" t="s">
        <v>22</v>
      </c>
      <c r="E10" s="255"/>
      <c r="F10" s="255"/>
      <c r="G10" s="255"/>
      <c r="H10" s="255"/>
      <c r="I10" s="255"/>
      <c r="J10" s="255"/>
      <c r="K10" s="255"/>
      <c r="L10" s="672" t="s">
        <v>365</v>
      </c>
      <c r="M10" s="373">
        <v>0.1</v>
      </c>
      <c r="N10" s="371" t="s">
        <v>22</v>
      </c>
      <c r="Q10" s="370"/>
      <c r="R10" s="370"/>
      <c r="S10" s="370"/>
    </row>
    <row r="11" spans="1:19" ht="12.75" customHeight="1" x14ac:dyDescent="0.25">
      <c r="A11" s="255"/>
      <c r="B11" s="268" t="s">
        <v>424</v>
      </c>
      <c r="C11" s="270" t="s">
        <v>425</v>
      </c>
      <c r="D11" s="255"/>
      <c r="E11" s="255"/>
      <c r="F11" s="255"/>
      <c r="G11" s="255"/>
      <c r="H11" s="255"/>
      <c r="I11" s="255"/>
      <c r="J11" s="255"/>
      <c r="K11" s="255"/>
      <c r="L11" s="672" t="s">
        <v>426</v>
      </c>
      <c r="M11" s="371" t="s">
        <v>427</v>
      </c>
      <c r="N11" s="370"/>
      <c r="Q11" s="370"/>
      <c r="R11" s="370"/>
      <c r="S11" s="370"/>
    </row>
    <row r="12" spans="1:19" ht="12.75" customHeight="1" x14ac:dyDescent="0.25">
      <c r="A12" s="255"/>
      <c r="B12" s="381" t="s">
        <v>428</v>
      </c>
      <c r="C12" s="382"/>
      <c r="D12" s="673">
        <v>46160</v>
      </c>
      <c r="E12" s="255"/>
      <c r="F12" s="255"/>
      <c r="G12" s="255"/>
      <c r="H12" s="255"/>
      <c r="I12" s="255"/>
      <c r="J12" s="255"/>
      <c r="K12" s="255"/>
      <c r="L12" s="672" t="s">
        <v>429</v>
      </c>
      <c r="N12" s="673"/>
      <c r="O12" s="673">
        <v>46132</v>
      </c>
      <c r="S12" s="370"/>
    </row>
    <row r="13" spans="1:19" ht="12.75" customHeight="1" x14ac:dyDescent="0.25">
      <c r="A13" s="255"/>
      <c r="B13" s="271" t="s">
        <v>430</v>
      </c>
      <c r="C13" s="272" t="s">
        <v>431</v>
      </c>
      <c r="D13" s="375">
        <v>500</v>
      </c>
      <c r="E13" s="375">
        <v>1000</v>
      </c>
      <c r="F13" s="375">
        <v>5000</v>
      </c>
      <c r="G13" s="375">
        <v>10000</v>
      </c>
      <c r="H13" s="375">
        <v>15000</v>
      </c>
      <c r="I13" s="273">
        <v>20000</v>
      </c>
      <c r="J13" s="273"/>
      <c r="K13" s="255"/>
      <c r="L13" s="271" t="s">
        <v>430</v>
      </c>
      <c r="M13" s="272" t="s">
        <v>431</v>
      </c>
      <c r="N13" s="375">
        <v>200</v>
      </c>
      <c r="O13" s="375">
        <v>500</v>
      </c>
      <c r="P13" s="375">
        <v>1000</v>
      </c>
      <c r="Q13" s="375">
        <v>5000</v>
      </c>
      <c r="R13" s="375">
        <v>10000</v>
      </c>
      <c r="S13" s="370"/>
    </row>
    <row r="14" spans="1:19" ht="12.75" customHeight="1" x14ac:dyDescent="0.25">
      <c r="A14" s="255"/>
      <c r="B14" s="600"/>
      <c r="C14" s="274"/>
      <c r="D14" s="275"/>
      <c r="E14" s="275"/>
      <c r="F14" s="275"/>
      <c r="G14" s="275"/>
      <c r="H14" s="275"/>
      <c r="I14" s="275"/>
      <c r="J14" s="276"/>
      <c r="K14" s="255"/>
      <c r="L14" s="600"/>
      <c r="M14" s="274"/>
      <c r="N14" s="376"/>
      <c r="O14" s="376"/>
      <c r="P14" s="376"/>
      <c r="Q14" s="376"/>
      <c r="R14" s="376"/>
      <c r="S14" s="370"/>
    </row>
    <row r="15" spans="1:19" ht="12.75" customHeight="1" x14ac:dyDescent="0.25">
      <c r="A15" s="255"/>
      <c r="B15" s="600"/>
      <c r="C15" s="274"/>
      <c r="D15" s="275"/>
      <c r="E15" s="275"/>
      <c r="F15" s="275"/>
      <c r="G15" s="275"/>
      <c r="H15" s="275"/>
      <c r="I15" s="276"/>
      <c r="J15" s="276"/>
      <c r="K15" s="255"/>
      <c r="L15" s="600"/>
      <c r="M15" s="274"/>
      <c r="N15" s="376"/>
      <c r="O15" s="376"/>
      <c r="P15" s="376"/>
      <c r="Q15" s="376"/>
      <c r="R15" s="376"/>
      <c r="S15" s="370"/>
    </row>
    <row r="16" spans="1:19" ht="12.75" customHeight="1" x14ac:dyDescent="0.25">
      <c r="A16" s="255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370"/>
      <c r="M16" s="370"/>
      <c r="N16" s="377"/>
      <c r="O16" s="377"/>
      <c r="P16" s="377"/>
      <c r="Q16" s="377"/>
      <c r="R16" s="377"/>
      <c r="S16" s="370"/>
    </row>
    <row r="17" spans="1:19" ht="12.75" customHeight="1" x14ac:dyDescent="0.25">
      <c r="A17" s="255"/>
      <c r="B17" s="277"/>
      <c r="C17" s="278" t="s">
        <v>432</v>
      </c>
      <c r="D17" s="279">
        <v>0</v>
      </c>
      <c r="E17" s="279">
        <v>0</v>
      </c>
      <c r="F17" s="279">
        <v>0</v>
      </c>
      <c r="G17" s="279">
        <v>0</v>
      </c>
      <c r="H17" s="279">
        <v>0</v>
      </c>
      <c r="I17" s="279">
        <v>0</v>
      </c>
      <c r="J17" s="279"/>
      <c r="K17" s="255"/>
      <c r="L17" s="378"/>
      <c r="M17" s="374" t="s">
        <v>432</v>
      </c>
      <c r="N17" s="379">
        <v>0</v>
      </c>
      <c r="O17" s="379">
        <v>0</v>
      </c>
      <c r="P17" s="379">
        <v>0</v>
      </c>
      <c r="Q17" s="379">
        <v>0</v>
      </c>
      <c r="R17" s="379">
        <v>0</v>
      </c>
      <c r="S17" s="370"/>
    </row>
    <row r="18" spans="1:19" ht="12.75" customHeight="1" x14ac:dyDescent="0.25">
      <c r="A18" s="255"/>
      <c r="B18" s="816"/>
      <c r="C18" s="268"/>
      <c r="D18" s="280"/>
      <c r="E18" s="280"/>
      <c r="F18" s="280"/>
      <c r="G18" s="280"/>
      <c r="H18" s="280"/>
      <c r="I18" s="280"/>
      <c r="J18" s="280"/>
      <c r="K18" s="255"/>
      <c r="L18" s="370"/>
      <c r="M18" s="370"/>
      <c r="N18" s="370"/>
      <c r="O18" s="370"/>
      <c r="P18" s="370"/>
      <c r="Q18" s="370"/>
      <c r="R18" s="370"/>
      <c r="S18" s="370"/>
    </row>
    <row r="19" spans="1:19" ht="12.75" customHeight="1" x14ac:dyDescent="0.25">
      <c r="A19" s="255"/>
      <c r="B19" s="281" t="s">
        <v>433</v>
      </c>
      <c r="C19" s="281"/>
      <c r="D19" s="281"/>
      <c r="E19" s="281"/>
      <c r="F19" s="255"/>
      <c r="G19" s="255"/>
      <c r="H19" s="255"/>
      <c r="I19" s="255"/>
      <c r="J19" s="255"/>
      <c r="K19" s="255"/>
      <c r="L19" s="385" t="s">
        <v>433</v>
      </c>
      <c r="N19" s="385"/>
      <c r="O19" s="385"/>
      <c r="P19" s="385"/>
      <c r="Q19" s="385"/>
      <c r="R19" s="385"/>
      <c r="S19" s="370"/>
    </row>
    <row r="20" spans="1:19" ht="12.75" customHeight="1" x14ac:dyDescent="0.25">
      <c r="A20" s="255"/>
      <c r="B20" s="255"/>
      <c r="C20" s="255"/>
      <c r="D20" s="273">
        <f>+D13</f>
        <v>500</v>
      </c>
      <c r="E20" s="273">
        <f>+E13</f>
        <v>1000</v>
      </c>
      <c r="F20" s="273">
        <f>+F13</f>
        <v>5000</v>
      </c>
      <c r="G20" s="273">
        <f>+G13</f>
        <v>10000</v>
      </c>
      <c r="H20" s="273">
        <f>+H13</f>
        <v>15000</v>
      </c>
      <c r="I20" s="273">
        <v>20000</v>
      </c>
      <c r="J20" s="273"/>
      <c r="K20" s="255"/>
      <c r="L20" s="370"/>
      <c r="M20" s="370"/>
      <c r="N20" s="370"/>
      <c r="O20" s="370"/>
      <c r="P20" s="370"/>
      <c r="Q20" s="370"/>
      <c r="R20" s="370"/>
      <c r="S20" s="370"/>
    </row>
    <row r="21" spans="1:19" ht="12.75" customHeight="1" x14ac:dyDescent="0.25">
      <c r="A21" s="255"/>
      <c r="B21" s="255"/>
      <c r="C21" s="255"/>
      <c r="D21" s="279">
        <f t="shared" ref="D21:I21" si="0">D17</f>
        <v>0</v>
      </c>
      <c r="E21" s="279">
        <f t="shared" si="0"/>
        <v>0</v>
      </c>
      <c r="F21" s="279">
        <f t="shared" si="0"/>
        <v>0</v>
      </c>
      <c r="G21" s="279">
        <f t="shared" si="0"/>
        <v>0</v>
      </c>
      <c r="H21" s="279">
        <f t="shared" si="0"/>
        <v>0</v>
      </c>
      <c r="I21" s="279">
        <f t="shared" si="0"/>
        <v>0</v>
      </c>
      <c r="J21" s="279"/>
      <c r="K21" s="255"/>
      <c r="L21" s="370"/>
      <c r="M21" s="370"/>
      <c r="N21" s="378">
        <f>+N13</f>
        <v>200</v>
      </c>
      <c r="O21" s="378">
        <f>+O13</f>
        <v>500</v>
      </c>
      <c r="P21" s="378">
        <f>+P13</f>
        <v>1000</v>
      </c>
      <c r="Q21" s="378">
        <f>+Q13</f>
        <v>5000</v>
      </c>
      <c r="R21" s="378">
        <f>+R13</f>
        <v>10000</v>
      </c>
      <c r="S21" s="370"/>
    </row>
    <row r="22" spans="1:19" ht="12.75" customHeight="1" x14ac:dyDescent="0.25">
      <c r="A22" s="255"/>
      <c r="B22" s="258"/>
      <c r="C22" s="258"/>
      <c r="D22" s="255"/>
      <c r="E22" s="255"/>
      <c r="F22" s="255"/>
      <c r="G22" s="255"/>
      <c r="H22" s="255"/>
      <c r="I22" s="255"/>
      <c r="J22" s="255"/>
      <c r="K22" s="255"/>
      <c r="L22" s="370"/>
      <c r="M22" s="370"/>
      <c r="N22" s="379">
        <f>N17</f>
        <v>0</v>
      </c>
      <c r="O22" s="379">
        <f>O17</f>
        <v>0</v>
      </c>
      <c r="P22" s="379">
        <f>P17</f>
        <v>0</v>
      </c>
      <c r="Q22" s="379">
        <f>Q17</f>
        <v>0</v>
      </c>
      <c r="R22" s="379">
        <f>R17</f>
        <v>0</v>
      </c>
      <c r="S22" s="370"/>
    </row>
    <row r="23" spans="1:19" ht="12.75" customHeight="1" x14ac:dyDescent="0.25">
      <c r="A23" s="255"/>
      <c r="B23" s="282" t="s">
        <v>434</v>
      </c>
      <c r="C23" s="258"/>
      <c r="D23" s="255"/>
      <c r="E23" s="255"/>
      <c r="F23" s="255"/>
      <c r="G23" s="255"/>
      <c r="H23" s="255"/>
      <c r="I23" s="255"/>
      <c r="J23" s="255"/>
      <c r="K23" s="255"/>
      <c r="L23" s="282" t="s">
        <v>434</v>
      </c>
      <c r="M23" s="370"/>
      <c r="N23" s="370"/>
      <c r="P23" s="370"/>
      <c r="Q23" s="386"/>
      <c r="R23" s="370"/>
      <c r="S23" s="370"/>
    </row>
    <row r="24" spans="1:19" ht="16.5" customHeight="1" x14ac:dyDescent="0.25">
      <c r="A24" s="255"/>
      <c r="B24" s="971" t="s">
        <v>295</v>
      </c>
      <c r="C24" s="972"/>
      <c r="D24" s="283">
        <f>+DATOS!$E$18</f>
        <v>0</v>
      </c>
      <c r="E24" s="284">
        <f>IF(D24&lt;=$D$20,$D$21,IF(AND(D24&gt;$D$20,D24&lt;=$E$20),$E$21,IF(AND(D24&gt;$E$20,D24&lt;=$F$20),$F$21,IF(AND(D24&gt;$F$20,D24&lt;=$G$20),$G$21,IF(AND(D24&gt;$G$20,D24&lt;=$H$20),$H$21,$H$21)))))</f>
        <v>0</v>
      </c>
      <c r="F24" s="255"/>
      <c r="G24" s="255"/>
      <c r="H24" s="255"/>
      <c r="I24" s="255"/>
      <c r="J24" s="255"/>
      <c r="K24" s="255"/>
      <c r="L24" s="387"/>
      <c r="M24" s="388" t="s">
        <v>435</v>
      </c>
      <c r="N24" s="389"/>
      <c r="O24" s="391">
        <f>+INCERT!M96</f>
        <v>0</v>
      </c>
      <c r="P24" s="392">
        <f>IF(AND(O24&lt;=$R$21,O24&gt;$Q$21),$R$22,IF(AND(O24&lt;=$Q$21,O24&gt;$P$21),$Q$22,IF(AND(O24&lt;=$P$21,O24&gt;$O$21),$P$22,IF(AND(O24&lt;=$O$21,O24&gt;$N$21),$O$22,IF(O24&lt;=$N$21,$N$22)))))</f>
        <v>0</v>
      </c>
      <c r="R24" s="370"/>
      <c r="S24" s="370"/>
    </row>
    <row r="25" spans="1:19" ht="16.5" customHeight="1" x14ac:dyDescent="0.25">
      <c r="B25" s="974" t="s">
        <v>296</v>
      </c>
      <c r="C25" s="972"/>
      <c r="D25" s="383" t="e">
        <f>+DATOS!$E$19</f>
        <v>#N/A</v>
      </c>
      <c r="E25" s="284" t="e">
        <f>IF(D25&lt;=$D$20,$D$21,IF(AND(D25&gt;$D$20,D25&lt;=$E$20),$E$21,IF(AND(D25&gt;$E$20,D25&lt;=$F$20),$F$21,IF(AND(D25&gt;$F$20,D25&lt;=$G$20),$G$21,IF(AND(D25&gt;$G$20,D25&lt;=$H$20),$H$21,$H$21)))))</f>
        <v>#N/A</v>
      </c>
      <c r="F25" s="255"/>
      <c r="G25" s="255"/>
      <c r="H25" s="255"/>
      <c r="I25" s="255"/>
      <c r="J25" s="255"/>
      <c r="K25" s="255"/>
      <c r="L25" s="380"/>
      <c r="M25" s="388" t="s">
        <v>436</v>
      </c>
      <c r="N25" s="389"/>
      <c r="O25" s="391">
        <f>+INCERT!M100</f>
        <v>0</v>
      </c>
      <c r="P25" s="392">
        <f>IF(AND(O25&lt;=$R$21,O25&gt;$Q$21),$R$22,IF(AND(O25&lt;=$Q$21,O25&gt;$P$21),$Q$22,IF(AND(O25&lt;=$P$21,O25&gt;$O$21),$P$22,IF(AND(O25&lt;=$O$21,O25&gt;$N$21),$O$22,IF(O25&lt;=$N$21,$N$22)))))</f>
        <v>0</v>
      </c>
      <c r="R25" s="370"/>
      <c r="S25" s="370"/>
    </row>
    <row r="26" spans="1:19" ht="16.5" customHeight="1" x14ac:dyDescent="0.25">
      <c r="F26" s="255"/>
      <c r="G26" s="255"/>
      <c r="H26" s="255"/>
      <c r="I26" s="255"/>
      <c r="J26" s="255"/>
      <c r="K26" s="255"/>
      <c r="L26" s="380"/>
      <c r="M26" s="390" t="s">
        <v>437</v>
      </c>
      <c r="N26" s="389"/>
      <c r="O26" s="391">
        <f>+INCERT!M104</f>
        <v>0</v>
      </c>
      <c r="P26" s="392">
        <f>IF(AND(O26&lt;=$R$21,O26&gt;$Q$21),$R$22,IF(AND(O26&lt;=$Q$21,O26&gt;$P$21),$Q$22,IF(AND(O26&lt;=$P$21,O26&gt;$O$21),$P$22,IF(AND(O26&lt;=$O$21,O26&gt;$N$21),$O$22,IF(O26&lt;=$N$21,$N$22)))))</f>
        <v>0</v>
      </c>
      <c r="R26" s="370"/>
      <c r="S26" s="370"/>
    </row>
    <row r="27" spans="1:19" ht="16.5" customHeight="1" x14ac:dyDescent="0.25">
      <c r="B27" s="971" t="s">
        <v>295</v>
      </c>
      <c r="C27" s="972"/>
      <c r="D27" s="283">
        <f>+DATOS!$I$18</f>
        <v>0</v>
      </c>
      <c r="E27" s="284">
        <f>IF(D27&lt;=$D$20,$D$21,IF(AND(D27&gt;$D$20,D27&lt;=$E$20),$E$21,IF(AND(D27&gt;$E$20,D27&lt;=$F$20),$F$21,IF(AND(D27&gt;$F$20,D27&lt;=$G$20),$G$21,IF(AND(D27&gt;$G$20,D27&lt;=$H$20),$H$21,$H$21)))))</f>
        <v>0</v>
      </c>
      <c r="L27" s="370"/>
      <c r="N27" s="370"/>
      <c r="O27" s="370"/>
      <c r="P27" s="370"/>
      <c r="Q27" s="370"/>
      <c r="R27" s="370"/>
      <c r="S27" s="370"/>
    </row>
    <row r="28" spans="1:19" ht="16.5" customHeight="1" x14ac:dyDescent="0.25">
      <c r="B28" s="974" t="s">
        <v>296</v>
      </c>
      <c r="C28" s="972"/>
      <c r="D28" s="383" t="e">
        <f>+DATOS!$I$19</f>
        <v>#N/A</v>
      </c>
      <c r="E28" s="284" t="e">
        <f>IF(D28&lt;=$D$20,$D$21,IF(AND(D28&gt;$D$20,D28&lt;=$E$20),$E$21,IF(AND(D28&gt;$E$20,D28&lt;=$F$20),$F$21,IF(AND(D28&gt;$F$20,D28&lt;=$G$20),$G$21,IF(AND(D28&gt;$G$20,D28&lt;=$H$20),$H$21,$H$21)))))</f>
        <v>#N/A</v>
      </c>
      <c r="L28" s="387"/>
      <c r="M28" s="388" t="s">
        <v>435</v>
      </c>
      <c r="N28" s="389"/>
      <c r="O28" s="391">
        <f>+INCERT!W96</f>
        <v>0</v>
      </c>
      <c r="P28" s="392">
        <f>IF(AND(O28&lt;=$R$21,O28&gt;$Q$21),$R$22,IF(AND(O28&lt;=$Q$21,O28&gt;$P$21),$Q$22,IF(AND(O28&lt;=$P$21,O28&gt;$O$21),$P$22,IF(AND(O28&lt;=$O$21,O28&gt;$N$21),$O$22,IF(O28&lt;=$N$21,$N$22)))))</f>
        <v>0</v>
      </c>
    </row>
    <row r="29" spans="1:19" ht="16.5" customHeight="1" x14ac:dyDescent="0.25">
      <c r="L29" s="380"/>
      <c r="M29" s="388" t="s">
        <v>436</v>
      </c>
      <c r="N29" s="389"/>
      <c r="O29" s="391">
        <f>+INCERT!W100</f>
        <v>0</v>
      </c>
      <c r="P29" s="392">
        <f>IF(AND(O29&lt;=$R$21,O29&gt;$Q$21),$R$22,IF(AND(O29&lt;=$Q$21,O29&gt;$P$21),$Q$22,IF(AND(O29&lt;=$P$21,O29&gt;$O$21),$P$22,IF(AND(O29&lt;=$O$21,O29&gt;$N$21),$O$22,IF(O29&lt;=$N$21,$N$22)))))</f>
        <v>0</v>
      </c>
    </row>
    <row r="30" spans="1:19" ht="16.5" customHeight="1" x14ac:dyDescent="0.25">
      <c r="L30" s="380"/>
      <c r="M30" s="390" t="s">
        <v>437</v>
      </c>
      <c r="N30" s="389"/>
      <c r="O30" s="391">
        <f>+INCERT!W104</f>
        <v>0</v>
      </c>
      <c r="P30" s="392">
        <f>IF(AND(O30&lt;=$R$21,O30&gt;$Q$21),$R$22,IF(AND(O30&lt;=$Q$21,O30&gt;$P$21),$Q$22,IF(AND(O30&lt;=$P$21,O30&gt;$O$21),$P$22,IF(AND(O30&lt;=$O$21,O30&gt;$N$21),$O$22,IF(O30&lt;=$N$21,$N$22)))))</f>
        <v>0</v>
      </c>
    </row>
    <row r="31" spans="1:19" ht="12.75" customHeight="1" x14ac:dyDescent="0.25"/>
    <row r="32" spans="1:1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sheetProtection sheet="1" objects="1" scenarios="1"/>
  <mergeCells count="6">
    <mergeCell ref="B2:G2"/>
    <mergeCell ref="B24:C24"/>
    <mergeCell ref="I6:J6"/>
    <mergeCell ref="B25:C25"/>
    <mergeCell ref="B28:C28"/>
    <mergeCell ref="B27:C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44"/>
  <sheetViews>
    <sheetView workbookViewId="0">
      <selection activeCell="E16" sqref="E16"/>
    </sheetView>
  </sheetViews>
  <sheetFormatPr baseColWidth="10" defaultColWidth="12.5546875" defaultRowHeight="13.2" x14ac:dyDescent="0.25"/>
  <cols>
    <col min="1" max="1" width="8.109375" style="593" customWidth="1"/>
    <col min="2" max="2" width="23.88671875" style="593" customWidth="1"/>
    <col min="3" max="8" width="12" style="593" customWidth="1"/>
    <col min="9" max="9" width="36" style="593" customWidth="1"/>
    <col min="10" max="12" width="10.5546875" style="593" customWidth="1"/>
    <col min="13" max="13" width="11" style="593" customWidth="1"/>
    <col min="14" max="15" width="10.5546875" style="593" customWidth="1"/>
    <col min="16" max="18" width="12.5546875" style="593" customWidth="1"/>
    <col min="19" max="16384" width="12.5546875" style="593"/>
  </cols>
  <sheetData>
    <row r="1" spans="1:13" ht="12.75" customHeight="1" x14ac:dyDescent="0.25">
      <c r="A1" s="592"/>
      <c r="B1" s="592"/>
      <c r="C1" s="592"/>
      <c r="D1" s="592"/>
      <c r="E1" s="592"/>
      <c r="F1" s="592"/>
      <c r="G1" s="592"/>
    </row>
    <row r="2" spans="1:13" ht="12.75" customHeight="1" x14ac:dyDescent="0.3">
      <c r="A2" s="592"/>
      <c r="B2" s="594"/>
      <c r="G2" s="592"/>
      <c r="I2" s="594"/>
    </row>
    <row r="3" spans="1:13" ht="12.75" customHeight="1" x14ac:dyDescent="0.25">
      <c r="A3" s="592"/>
      <c r="B3" s="138" t="s">
        <v>438</v>
      </c>
      <c r="G3" s="592"/>
      <c r="I3" s="138" t="s">
        <v>439</v>
      </c>
    </row>
    <row r="4" spans="1:13" ht="12.75" customHeight="1" x14ac:dyDescent="0.25">
      <c r="A4" s="592"/>
      <c r="B4" s="138" t="s">
        <v>440</v>
      </c>
      <c r="C4" s="595">
        <v>45789</v>
      </c>
      <c r="G4" s="592"/>
      <c r="I4" s="138" t="s">
        <v>440</v>
      </c>
      <c r="J4" s="595">
        <v>46064</v>
      </c>
    </row>
    <row r="5" spans="1:13" ht="12.75" customHeight="1" x14ac:dyDescent="0.25">
      <c r="A5" s="592"/>
      <c r="B5" s="138"/>
      <c r="C5" s="596"/>
      <c r="G5" s="592"/>
      <c r="I5" s="138"/>
      <c r="J5" s="596"/>
    </row>
    <row r="6" spans="1:13" ht="12.75" customHeight="1" x14ac:dyDescent="0.3">
      <c r="B6" s="598" t="s">
        <v>441</v>
      </c>
      <c r="C6" s="975">
        <v>2.0257508895880241</v>
      </c>
      <c r="D6" s="824"/>
      <c r="E6" s="818"/>
      <c r="F6" s="597"/>
      <c r="I6" s="598" t="s">
        <v>441</v>
      </c>
      <c r="J6" s="975">
        <v>0.1103026140518291</v>
      </c>
      <c r="K6" s="824"/>
      <c r="L6" s="818"/>
      <c r="M6" s="597"/>
    </row>
    <row r="7" spans="1:13" ht="12.75" customHeight="1" x14ac:dyDescent="0.3">
      <c r="B7" s="598" t="s">
        <v>442</v>
      </c>
      <c r="C7" s="975">
        <v>2.177753684674014</v>
      </c>
      <c r="D7" s="824"/>
      <c r="E7" s="818"/>
      <c r="F7" s="597"/>
      <c r="I7" s="598" t="s">
        <v>442</v>
      </c>
      <c r="J7" s="975">
        <v>0.1137736544392761</v>
      </c>
      <c r="K7" s="824"/>
      <c r="L7" s="818"/>
      <c r="M7" s="597"/>
    </row>
    <row r="8" spans="1:13" ht="12.75" customHeight="1" x14ac:dyDescent="0.25"/>
    <row r="9" spans="1:13" ht="12.75" customHeight="1" x14ac:dyDescent="0.25"/>
    <row r="10" spans="1:13" ht="12.75" customHeight="1" x14ac:dyDescent="0.25"/>
    <row r="11" spans="1:13" ht="12.75" customHeight="1" x14ac:dyDescent="0.25"/>
    <row r="12" spans="1:13" ht="12.75" customHeight="1" x14ac:dyDescent="0.25"/>
    <row r="13" spans="1:13" ht="12.75" customHeight="1" x14ac:dyDescent="0.25"/>
    <row r="14" spans="1:13" ht="12.75" customHeight="1" x14ac:dyDescent="0.25"/>
    <row r="15" spans="1:13" ht="12.75" customHeight="1" x14ac:dyDescent="0.25"/>
    <row r="16" spans="1:1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</sheetData>
  <sheetProtection algorithmName="SHA-512" hashValue="2hVJLd3EcCK1eTh08Bsg8qjn0UdXDpLQfMtay5+xIPdL8vpGardeCiFPJfXYR2wm7sWFecS0MOYG4Ztss/+4jw==" saltValue="xRw421jdjQkreVB8k6HPGw==" spinCount="100000" sheet="1" objects="1" scenarios="1"/>
  <mergeCells count="4">
    <mergeCell ref="J7:L7"/>
    <mergeCell ref="J6:L6"/>
    <mergeCell ref="C7:E7"/>
    <mergeCell ref="C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74"/>
  <sheetViews>
    <sheetView workbookViewId="0">
      <selection activeCell="G3" sqref="G3"/>
    </sheetView>
  </sheetViews>
  <sheetFormatPr baseColWidth="10" defaultColWidth="12.5546875" defaultRowHeight="13.2" x14ac:dyDescent="0.25"/>
  <cols>
    <col min="1" max="1" width="8.109375" style="814" customWidth="1"/>
    <col min="2" max="2" width="23.88671875" style="814" customWidth="1"/>
    <col min="3" max="8" width="12" style="814" customWidth="1"/>
    <col min="9" max="9" width="36" style="814" customWidth="1"/>
    <col min="10" max="12" width="10.5546875" style="814" customWidth="1"/>
    <col min="13" max="13" width="11" style="814" customWidth="1"/>
    <col min="14" max="15" width="10.5546875" style="814" customWidth="1"/>
    <col min="16" max="18" width="12.5546875" style="814" customWidth="1"/>
    <col min="19" max="16384" width="12.5546875" style="814"/>
  </cols>
  <sheetData>
    <row r="1" spans="1:13" ht="12.75" customHeight="1" x14ac:dyDescent="0.25">
      <c r="A1" s="255"/>
      <c r="B1" s="255"/>
      <c r="C1" s="255"/>
      <c r="D1" s="255"/>
      <c r="E1" s="255"/>
      <c r="F1" s="255"/>
      <c r="G1" s="255"/>
    </row>
    <row r="2" spans="1:13" ht="12.75" customHeight="1" x14ac:dyDescent="0.3">
      <c r="A2" s="255"/>
      <c r="B2" s="540" t="s">
        <v>443</v>
      </c>
      <c r="C2" s="266"/>
      <c r="D2" s="266"/>
      <c r="E2" s="266"/>
      <c r="F2" s="266"/>
      <c r="G2" s="255"/>
      <c r="I2" s="540" t="s">
        <v>443</v>
      </c>
      <c r="J2" s="266"/>
      <c r="K2" s="266"/>
      <c r="L2" s="266"/>
      <c r="M2" s="266"/>
    </row>
    <row r="3" spans="1:13" ht="12.75" customHeight="1" x14ac:dyDescent="0.25">
      <c r="A3" s="255"/>
      <c r="B3" s="541" t="s">
        <v>444</v>
      </c>
      <c r="C3" s="266"/>
      <c r="D3" s="266"/>
      <c r="E3" s="266"/>
      <c r="F3" s="266"/>
      <c r="G3" s="255"/>
      <c r="I3" s="541" t="s">
        <v>444</v>
      </c>
      <c r="J3" s="266"/>
      <c r="K3" s="266"/>
      <c r="L3" s="266"/>
      <c r="M3" s="266"/>
    </row>
    <row r="4" spans="1:13" ht="12.75" customHeight="1" x14ac:dyDescent="0.25">
      <c r="A4" s="255"/>
      <c r="B4" s="541" t="s">
        <v>440</v>
      </c>
      <c r="C4" s="542">
        <v>45625</v>
      </c>
      <c r="D4" s="266"/>
      <c r="E4" s="266"/>
      <c r="F4" s="266"/>
      <c r="G4" s="255"/>
      <c r="I4" s="541" t="s">
        <v>440</v>
      </c>
      <c r="J4" s="542">
        <v>45625</v>
      </c>
      <c r="K4" s="266"/>
      <c r="L4" s="266"/>
      <c r="M4" s="266"/>
    </row>
    <row r="5" spans="1:13" ht="12.75" customHeight="1" x14ac:dyDescent="0.25">
      <c r="A5" s="255"/>
      <c r="B5" s="541"/>
      <c r="C5" s="393"/>
      <c r="D5" s="266"/>
      <c r="E5" s="266"/>
      <c r="F5" s="266"/>
      <c r="G5" s="255"/>
      <c r="I5" s="541"/>
      <c r="J5" s="393"/>
      <c r="K5" s="266"/>
      <c r="L5" s="266"/>
      <c r="M5" s="266"/>
    </row>
    <row r="6" spans="1:13" ht="12.75" customHeight="1" x14ac:dyDescent="0.3">
      <c r="A6" s="255"/>
      <c r="B6" s="540" t="s">
        <v>445</v>
      </c>
      <c r="C6" s="266"/>
      <c r="D6" s="266"/>
      <c r="E6" s="540"/>
      <c r="F6" s="266"/>
      <c r="G6" s="255"/>
      <c r="I6" s="540" t="s">
        <v>445</v>
      </c>
      <c r="J6" s="266"/>
      <c r="K6" s="266"/>
      <c r="L6" s="540"/>
      <c r="M6" s="266"/>
    </row>
    <row r="7" spans="1:13" ht="12.75" customHeight="1" x14ac:dyDescent="0.25">
      <c r="B7" s="543" t="s">
        <v>446</v>
      </c>
      <c r="C7" s="544" t="s">
        <v>447</v>
      </c>
      <c r="D7" s="362"/>
      <c r="E7" s="362" t="s">
        <v>448</v>
      </c>
      <c r="F7" s="362"/>
      <c r="I7" s="543" t="s">
        <v>446</v>
      </c>
      <c r="J7" s="544" t="s">
        <v>449</v>
      </c>
      <c r="K7" s="362"/>
      <c r="L7" s="362" t="s">
        <v>450</v>
      </c>
      <c r="M7" s="362"/>
    </row>
    <row r="8" spans="1:13" ht="12.75" customHeight="1" x14ac:dyDescent="0.25">
      <c r="B8" s="979" t="s">
        <v>451</v>
      </c>
      <c r="C8" s="285">
        <v>40.950000000000003</v>
      </c>
      <c r="D8" s="285"/>
      <c r="E8" s="285">
        <v>12.92</v>
      </c>
      <c r="F8" s="285"/>
      <c r="I8" s="979" t="s">
        <v>451</v>
      </c>
      <c r="J8" s="285">
        <v>22.3</v>
      </c>
      <c r="K8" s="285"/>
      <c r="L8" s="285">
        <v>7.6</v>
      </c>
      <c r="M8" s="285"/>
    </row>
    <row r="9" spans="1:13" ht="12.75" customHeight="1" x14ac:dyDescent="0.25">
      <c r="B9" s="828"/>
      <c r="C9" s="285">
        <v>41.17</v>
      </c>
      <c r="D9" s="285"/>
      <c r="E9" s="285">
        <v>13.74</v>
      </c>
      <c r="F9" s="285"/>
      <c r="I9" s="828"/>
      <c r="J9" s="285">
        <v>22.3</v>
      </c>
      <c r="K9" s="285"/>
      <c r="L9" s="285">
        <v>7.8</v>
      </c>
      <c r="M9" s="285"/>
    </row>
    <row r="10" spans="1:13" ht="12.75" customHeight="1" x14ac:dyDescent="0.25">
      <c r="B10" s="828"/>
      <c r="C10" s="285">
        <v>39.67</v>
      </c>
      <c r="D10" s="285"/>
      <c r="E10" s="285">
        <v>13.68</v>
      </c>
      <c r="F10" s="285"/>
      <c r="I10" s="828"/>
      <c r="J10" s="285">
        <v>22.9</v>
      </c>
      <c r="K10" s="285"/>
      <c r="L10" s="285">
        <v>7.7</v>
      </c>
      <c r="M10" s="285"/>
    </row>
    <row r="11" spans="1:13" ht="12.75" customHeight="1" x14ac:dyDescent="0.25">
      <c r="B11" s="828"/>
      <c r="C11" s="394">
        <v>38.6</v>
      </c>
      <c r="D11" s="394"/>
      <c r="E11" s="394">
        <v>12.95</v>
      </c>
      <c r="F11" s="394"/>
      <c r="I11" s="828"/>
      <c r="J11" s="394">
        <v>22.2</v>
      </c>
      <c r="K11" s="394"/>
      <c r="L11" s="394">
        <v>7.6</v>
      </c>
      <c r="M11" s="394"/>
    </row>
    <row r="12" spans="1:13" ht="12.75" customHeight="1" x14ac:dyDescent="0.25">
      <c r="B12" s="828"/>
      <c r="C12" s="394">
        <v>38.9</v>
      </c>
      <c r="D12" s="394"/>
      <c r="E12" s="394">
        <v>12.73</v>
      </c>
      <c r="F12" s="394"/>
      <c r="I12" s="828"/>
      <c r="J12" s="394">
        <v>22.6</v>
      </c>
      <c r="K12" s="394"/>
      <c r="L12" s="394">
        <v>7.5</v>
      </c>
      <c r="M12" s="394"/>
    </row>
    <row r="13" spans="1:13" ht="12.75" customHeight="1" x14ac:dyDescent="0.25">
      <c r="B13" s="828"/>
      <c r="C13" s="394">
        <v>38.909999999999997</v>
      </c>
      <c r="D13" s="394"/>
      <c r="E13" s="394">
        <v>13.52</v>
      </c>
      <c r="F13" s="394"/>
      <c r="I13" s="828"/>
      <c r="J13" s="394">
        <v>22.4</v>
      </c>
      <c r="K13" s="394"/>
      <c r="L13" s="394">
        <v>7.8</v>
      </c>
      <c r="M13" s="394"/>
    </row>
    <row r="14" spans="1:13" ht="12.75" customHeight="1" x14ac:dyDescent="0.25">
      <c r="B14" s="828"/>
      <c r="C14" s="544"/>
      <c r="D14" s="544"/>
      <c r="E14" s="545"/>
      <c r="F14" s="545"/>
      <c r="I14" s="828"/>
      <c r="J14" s="544"/>
      <c r="K14" s="544"/>
      <c r="L14" s="545"/>
      <c r="M14" s="545"/>
    </row>
    <row r="15" spans="1:13" ht="12.75" customHeight="1" x14ac:dyDescent="0.25">
      <c r="B15" s="828"/>
      <c r="C15" s="544"/>
      <c r="D15" s="544"/>
      <c r="E15" s="545"/>
      <c r="F15" s="545"/>
      <c r="I15" s="828"/>
      <c r="J15" s="544"/>
      <c r="K15" s="544"/>
      <c r="L15" s="545"/>
      <c r="M15" s="545"/>
    </row>
    <row r="16" spans="1:13" ht="12.75" customHeight="1" x14ac:dyDescent="0.25">
      <c r="B16" s="828"/>
      <c r="C16" s="544"/>
      <c r="D16" s="544"/>
      <c r="E16" s="545"/>
      <c r="F16" s="545"/>
      <c r="I16" s="828"/>
      <c r="J16" s="544"/>
      <c r="K16" s="544"/>
      <c r="L16" s="545"/>
      <c r="M16" s="545"/>
    </row>
    <row r="17" spans="2:13" ht="12.75" customHeight="1" x14ac:dyDescent="0.25">
      <c r="B17" s="828"/>
      <c r="C17" s="546"/>
      <c r="D17" s="544"/>
      <c r="E17" s="545"/>
      <c r="F17" s="545"/>
      <c r="I17" s="828"/>
      <c r="J17" s="546"/>
      <c r="K17" s="544"/>
      <c r="L17" s="545"/>
      <c r="M17" s="545"/>
    </row>
    <row r="18" spans="2:13" ht="12.75" customHeight="1" x14ac:dyDescent="0.25">
      <c r="B18" s="828"/>
      <c r="C18" s="546"/>
      <c r="D18" s="544"/>
      <c r="E18" s="545"/>
      <c r="F18" s="545"/>
      <c r="I18" s="828"/>
      <c r="J18" s="546"/>
      <c r="K18" s="544"/>
      <c r="L18" s="545"/>
      <c r="M18" s="545"/>
    </row>
    <row r="19" spans="2:13" ht="12.75" customHeight="1" x14ac:dyDescent="0.25">
      <c r="B19" s="829"/>
      <c r="C19" s="546"/>
      <c r="D19" s="544"/>
      <c r="E19" s="545"/>
      <c r="F19" s="545"/>
      <c r="I19" s="829"/>
      <c r="J19" s="546"/>
      <c r="K19" s="544"/>
      <c r="L19" s="545"/>
      <c r="M19" s="545"/>
    </row>
    <row r="20" spans="2:13" ht="21.75" customHeight="1" x14ac:dyDescent="0.3">
      <c r="B20" s="395" t="s">
        <v>452</v>
      </c>
      <c r="C20" s="396">
        <f>COUNT(C8:C19)</f>
        <v>6</v>
      </c>
      <c r="D20" s="547"/>
      <c r="E20" s="548"/>
      <c r="F20" s="549"/>
      <c r="I20" s="395" t="s">
        <v>452</v>
      </c>
      <c r="J20" s="396">
        <f>COUNT(J8:J19)</f>
        <v>6</v>
      </c>
      <c r="K20" s="547"/>
      <c r="L20" s="548"/>
      <c r="M20" s="549"/>
    </row>
    <row r="21" spans="2:13" ht="21.75" customHeight="1" x14ac:dyDescent="0.3">
      <c r="B21" s="395" t="s">
        <v>453</v>
      </c>
      <c r="C21" s="395">
        <f>COUNTA(C7:F7)</f>
        <v>2</v>
      </c>
      <c r="D21" s="547"/>
      <c r="E21" s="548"/>
      <c r="F21" s="549"/>
      <c r="I21" s="395" t="s">
        <v>453</v>
      </c>
      <c r="J21" s="395">
        <f>COUNTA(J7:M7)</f>
        <v>2</v>
      </c>
      <c r="K21" s="547"/>
      <c r="L21" s="548"/>
      <c r="M21" s="549"/>
    </row>
    <row r="22" spans="2:13" ht="21.75" customHeight="1" x14ac:dyDescent="0.3">
      <c r="B22" s="397"/>
      <c r="C22" s="338"/>
      <c r="D22" s="338"/>
      <c r="E22" s="398"/>
      <c r="F22" s="549"/>
      <c r="I22" s="397"/>
      <c r="J22" s="338"/>
      <c r="K22" s="338"/>
      <c r="L22" s="398"/>
      <c r="M22" s="549"/>
    </row>
    <row r="23" spans="2:13" ht="12.75" customHeight="1" x14ac:dyDescent="0.25">
      <c r="B23" s="399" t="s">
        <v>454</v>
      </c>
      <c r="C23" s="369">
        <f>COUNT(C8:C19)</f>
        <v>6</v>
      </c>
      <c r="D23" s="369">
        <f>COUNT(D8:D19)</f>
        <v>0</v>
      </c>
      <c r="E23" s="369">
        <f>COUNT(E8:E19)</f>
        <v>6</v>
      </c>
      <c r="F23" s="369">
        <f>COUNT(F8:F19)</f>
        <v>0</v>
      </c>
      <c r="I23" s="399" t="s">
        <v>454</v>
      </c>
      <c r="J23" s="369">
        <f>COUNT(J8:J19)</f>
        <v>6</v>
      </c>
      <c r="K23" s="369">
        <f>COUNT(K8:K19)</f>
        <v>0</v>
      </c>
      <c r="L23" s="369">
        <f>COUNT(L8:L19)</f>
        <v>6</v>
      </c>
      <c r="M23" s="369">
        <f>COUNT(M8:M19)</f>
        <v>0</v>
      </c>
    </row>
    <row r="24" spans="2:13" ht="12.75" customHeight="1" x14ac:dyDescent="0.25">
      <c r="B24" s="399" t="s">
        <v>455</v>
      </c>
      <c r="C24" s="400">
        <f>AVERAGE(C8:C19)</f>
        <v>39.700000000000003</v>
      </c>
      <c r="D24" s="400"/>
      <c r="E24" s="400">
        <f>AVERAGE(E8:E19)</f>
        <v>13.256666666666668</v>
      </c>
      <c r="F24" s="400"/>
      <c r="I24" s="399" t="s">
        <v>455</v>
      </c>
      <c r="J24" s="400">
        <f>AVERAGE(J8:J19)</f>
        <v>22.450000000000003</v>
      </c>
      <c r="K24" s="400"/>
      <c r="L24" s="400">
        <f>AVERAGE(L8:L19)</f>
        <v>7.6666666666666652</v>
      </c>
      <c r="M24" s="400"/>
    </row>
    <row r="25" spans="2:13" ht="12.75" customHeight="1" x14ac:dyDescent="0.25">
      <c r="B25" s="399" t="s">
        <v>456</v>
      </c>
      <c r="C25" s="400">
        <f>STDEV(C8:C19)</f>
        <v>1.1134091790532372</v>
      </c>
      <c r="D25" s="400"/>
      <c r="E25" s="400">
        <f>STDEV(E8:E19)</f>
        <v>0.43975750893721716</v>
      </c>
      <c r="F25" s="400"/>
      <c r="I25" s="399" t="s">
        <v>456</v>
      </c>
      <c r="J25" s="400">
        <f>STDEV(J8:J19)</f>
        <v>0.25884358211089542</v>
      </c>
      <c r="K25" s="400"/>
      <c r="L25" s="400">
        <f>STDEV(L8:L19)</f>
        <v>0.12110601416389968</v>
      </c>
      <c r="M25" s="400"/>
    </row>
    <row r="26" spans="2:13" ht="12.75" customHeight="1" x14ac:dyDescent="0.25">
      <c r="B26" s="399" t="s">
        <v>457</v>
      </c>
      <c r="C26" s="400">
        <f>VAR(C8:C19)</f>
        <v>1.2396800000000034</v>
      </c>
      <c r="D26" s="400"/>
      <c r="E26" s="400">
        <f>VAR(E8:E19)</f>
        <v>0.19338666666666662</v>
      </c>
      <c r="F26" s="400"/>
      <c r="I26" s="399" t="s">
        <v>457</v>
      </c>
      <c r="J26" s="400">
        <f>VAR(J8:J19)</f>
        <v>6.6999999999999851E-2</v>
      </c>
      <c r="K26" s="400"/>
      <c r="L26" s="400">
        <f>VAR(L8:L19)</f>
        <v>1.466666666666667E-2</v>
      </c>
      <c r="M26" s="400"/>
    </row>
    <row r="27" spans="2:13" ht="12.75" customHeight="1" x14ac:dyDescent="0.3">
      <c r="B27" s="550"/>
      <c r="C27" s="550"/>
      <c r="D27" s="550"/>
      <c r="E27" s="550"/>
      <c r="F27" s="549"/>
      <c r="I27" s="550"/>
      <c r="J27" s="550"/>
      <c r="K27" s="550"/>
      <c r="L27" s="550"/>
      <c r="M27" s="549"/>
    </row>
    <row r="28" spans="2:13" ht="12.75" customHeight="1" x14ac:dyDescent="0.3">
      <c r="B28" s="551" t="s">
        <v>458</v>
      </c>
      <c r="C28" s="976">
        <f>+C23*C24+D23*D24+E23*E24+F23*F24</f>
        <v>317.74</v>
      </c>
      <c r="D28" s="824"/>
      <c r="E28" s="818"/>
      <c r="F28" s="549"/>
      <c r="I28" s="551" t="s">
        <v>458</v>
      </c>
      <c r="J28" s="976">
        <f>+J23*J24+K23*K24+L23*L24+M23*M24</f>
        <v>180.70000000000002</v>
      </c>
      <c r="K28" s="824"/>
      <c r="L28" s="818"/>
      <c r="M28" s="549"/>
    </row>
    <row r="29" spans="2:13" ht="12.75" customHeight="1" x14ac:dyDescent="0.3">
      <c r="B29" s="551" t="s">
        <v>459</v>
      </c>
      <c r="C29" s="980">
        <f>+C23*POWER(C24,2)+D23*POWER(D24,2)+E23*POWER(E24,2)+F23*POWER(F24,2)</f>
        <v>10510.975266666668</v>
      </c>
      <c r="D29" s="824"/>
      <c r="E29" s="818"/>
      <c r="F29" s="549"/>
      <c r="I29" s="551" t="s">
        <v>459</v>
      </c>
      <c r="J29" s="980">
        <f>+J23*POWER(J24,2)+K23*POWER(K24,2)+L23*POWER(L24,2)+M23*POWER(M24,2)</f>
        <v>3376.6816666666673</v>
      </c>
      <c r="K29" s="824"/>
      <c r="L29" s="818"/>
      <c r="M29" s="549"/>
    </row>
    <row r="30" spans="2:13" ht="12.75" customHeight="1" x14ac:dyDescent="0.3">
      <c r="B30" s="551" t="s">
        <v>460</v>
      </c>
      <c r="C30" s="980">
        <f>+SUM(C23:F23)</f>
        <v>12</v>
      </c>
      <c r="D30" s="824"/>
      <c r="E30" s="818"/>
      <c r="F30" s="549"/>
      <c r="I30" s="551" t="s">
        <v>460</v>
      </c>
      <c r="J30" s="980">
        <f>+SUM(J23:M23)</f>
        <v>12</v>
      </c>
      <c r="K30" s="824"/>
      <c r="L30" s="818"/>
      <c r="M30" s="549"/>
    </row>
    <row r="31" spans="2:13" ht="12.75" customHeight="1" x14ac:dyDescent="0.3">
      <c r="B31" s="551" t="s">
        <v>461</v>
      </c>
      <c r="C31" s="980">
        <f>+POWER(C23,2)+POWER(D23,2)+POWER(E23,2)+POWER(F23,2)</f>
        <v>72</v>
      </c>
      <c r="D31" s="824"/>
      <c r="E31" s="818"/>
      <c r="F31" s="549"/>
      <c r="I31" s="551" t="s">
        <v>461</v>
      </c>
      <c r="J31" s="980">
        <f>+POWER(J23,2)+POWER(K23,2)+POWER(L23,2)+POWER(M23,2)</f>
        <v>72</v>
      </c>
      <c r="K31" s="824"/>
      <c r="L31" s="818"/>
      <c r="M31" s="549"/>
    </row>
    <row r="32" spans="2:13" ht="12.75" customHeight="1" x14ac:dyDescent="0.3">
      <c r="B32" s="551" t="s">
        <v>462</v>
      </c>
      <c r="C32" s="982">
        <f>(C20-1)*SUM(C26:F26)</f>
        <v>7.1653333333333507</v>
      </c>
      <c r="D32" s="824"/>
      <c r="E32" s="818"/>
      <c r="F32" s="549"/>
      <c r="I32" s="551" t="s">
        <v>462</v>
      </c>
      <c r="J32" s="982">
        <f>(J20-1)*SUM(J26:M26)</f>
        <v>0.40833333333333266</v>
      </c>
      <c r="K32" s="824"/>
      <c r="L32" s="818"/>
      <c r="M32" s="549"/>
    </row>
    <row r="33" spans="2:13" ht="12.75" customHeight="1" x14ac:dyDescent="0.3">
      <c r="B33" s="399" t="s">
        <v>463</v>
      </c>
      <c r="C33" s="977">
        <f>ABS((C32/(C30-C21)))</f>
        <v>0.71653333333333502</v>
      </c>
      <c r="D33" s="824"/>
      <c r="E33" s="818"/>
      <c r="F33" s="549"/>
      <c r="I33" s="399" t="s">
        <v>463</v>
      </c>
      <c r="J33" s="977">
        <f>ABS((J32/(J30-J21)))</f>
        <v>4.0833333333333263E-2</v>
      </c>
      <c r="K33" s="824"/>
      <c r="L33" s="818"/>
      <c r="M33" s="549"/>
    </row>
    <row r="34" spans="2:13" ht="12.75" customHeight="1" x14ac:dyDescent="0.3">
      <c r="B34" s="399" t="s">
        <v>464</v>
      </c>
      <c r="C34" s="981">
        <f>ABS((((C29*C30-(C28^2))/(C30*(C21-1)))-(C33))*((C30*(C21-1))/((C30^2)-C31)))</f>
        <v>349.50551666666684</v>
      </c>
      <c r="D34" s="824"/>
      <c r="E34" s="818"/>
      <c r="F34" s="549"/>
      <c r="I34" s="399" t="s">
        <v>464</v>
      </c>
      <c r="J34" s="981">
        <f>ABS((((J29*J30-(J28^2))/(J30*(J21-1)))-(J33))*((J30*(J21-1))/((J30^2)-J31)))</f>
        <v>109.26666666666668</v>
      </c>
      <c r="K34" s="824"/>
      <c r="L34" s="818"/>
      <c r="M34" s="549"/>
    </row>
    <row r="35" spans="2:13" ht="12.75" customHeight="1" x14ac:dyDescent="0.3">
      <c r="B35" s="399" t="s">
        <v>465</v>
      </c>
      <c r="C35" s="978">
        <f>(C33+C34)/1000000</f>
        <v>3.502220500000002E-4</v>
      </c>
      <c r="D35" s="824"/>
      <c r="E35" s="818"/>
      <c r="F35" s="549"/>
      <c r="I35" s="399" t="s">
        <v>465</v>
      </c>
      <c r="J35" s="978">
        <f>(J33+J34)/1000000</f>
        <v>1.0930750000000002E-4</v>
      </c>
      <c r="K35" s="824"/>
      <c r="L35" s="818"/>
      <c r="M35" s="549"/>
    </row>
    <row r="36" spans="2:13" ht="12.75" customHeight="1" x14ac:dyDescent="0.3">
      <c r="B36" s="399" t="s">
        <v>441</v>
      </c>
      <c r="C36" s="978">
        <f>SQRT(C33)</f>
        <v>0.84648291969379685</v>
      </c>
      <c r="D36" s="824"/>
      <c r="E36" s="818"/>
      <c r="F36" s="549"/>
      <c r="I36" s="399" t="s">
        <v>441</v>
      </c>
      <c r="J36" s="978">
        <f>SQRT(J33)</f>
        <v>0.20207259421636883</v>
      </c>
      <c r="K36" s="824"/>
      <c r="L36" s="818"/>
      <c r="M36" s="549"/>
    </row>
    <row r="37" spans="2:13" ht="12.75" customHeight="1" x14ac:dyDescent="0.3">
      <c r="B37" s="399" t="s">
        <v>442</v>
      </c>
      <c r="C37" s="978">
        <f>+SQRT(C33+C34)</f>
        <v>18.714220528785059</v>
      </c>
      <c r="D37" s="824"/>
      <c r="E37" s="818"/>
      <c r="F37" s="549"/>
      <c r="I37" s="399" t="s">
        <v>442</v>
      </c>
      <c r="J37" s="978">
        <f>+SQRT(J33+J34)</f>
        <v>10.455022716378958</v>
      </c>
      <c r="K37" s="824"/>
      <c r="L37" s="818"/>
      <c r="M37" s="549"/>
    </row>
    <row r="38" spans="2:13" ht="12.75" customHeight="1" x14ac:dyDescent="0.25"/>
    <row r="39" spans="2:13" ht="12.75" customHeight="1" x14ac:dyDescent="0.25"/>
    <row r="40" spans="2:13" ht="12.75" customHeight="1" x14ac:dyDescent="0.25"/>
    <row r="41" spans="2:13" ht="12.75" customHeight="1" x14ac:dyDescent="0.25"/>
    <row r="42" spans="2:13" ht="12.75" customHeight="1" x14ac:dyDescent="0.25"/>
    <row r="43" spans="2:13" ht="12.75" customHeight="1" x14ac:dyDescent="0.25"/>
    <row r="44" spans="2:13" ht="12.75" customHeight="1" x14ac:dyDescent="0.25"/>
    <row r="45" spans="2:13" ht="12.75" customHeight="1" x14ac:dyDescent="0.25"/>
    <row r="46" spans="2:13" ht="12.75" customHeight="1" x14ac:dyDescent="0.25"/>
    <row r="47" spans="2:13" ht="12.75" customHeight="1" x14ac:dyDescent="0.25"/>
    <row r="48" spans="2:13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sheetProtection algorithmName="SHA-512" hashValue="Umv8UEqzAZgK0xxb86rngF0vAVMs4IOyZjIF8AllMquYYUpeJEroDCbfiBdq6wTDMu9ghALiNaicaOW9dKcmhA==" saltValue="YXD9G6D2O3dlstjdnZIH9g==" spinCount="100000" sheet="1" objects="1" scenarios="1"/>
  <mergeCells count="22">
    <mergeCell ref="J36:L36"/>
    <mergeCell ref="J35:L35"/>
    <mergeCell ref="C36:E36"/>
    <mergeCell ref="J32:L32"/>
    <mergeCell ref="J31:L31"/>
    <mergeCell ref="C32:E32"/>
    <mergeCell ref="C28:E28"/>
    <mergeCell ref="J33:L33"/>
    <mergeCell ref="C37:E37"/>
    <mergeCell ref="B8:B19"/>
    <mergeCell ref="C30:E30"/>
    <mergeCell ref="C34:E34"/>
    <mergeCell ref="J29:L29"/>
    <mergeCell ref="C33:E33"/>
    <mergeCell ref="J28:L28"/>
    <mergeCell ref="J37:L37"/>
    <mergeCell ref="I8:I19"/>
    <mergeCell ref="J34:L34"/>
    <mergeCell ref="C35:E35"/>
    <mergeCell ref="J30:L30"/>
    <mergeCell ref="C29:E29"/>
    <mergeCell ref="C31:E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6"/>
  <sheetViews>
    <sheetView workbookViewId="0"/>
  </sheetViews>
  <sheetFormatPr baseColWidth="10" defaultColWidth="8.88671875" defaultRowHeight="13.2" x14ac:dyDescent="0.25"/>
  <sheetData>
    <row r="1" spans="1:1" x14ac:dyDescent="0.25">
      <c r="A1">
        <v>1</v>
      </c>
    </row>
    <row r="2" spans="1:1" x14ac:dyDescent="0.25">
      <c r="A2">
        <v>1</v>
      </c>
    </row>
    <row r="29" spans="19:27" x14ac:dyDescent="0.25">
      <c r="S29">
        <v>3.057248501192761</v>
      </c>
      <c r="T29">
        <v>0</v>
      </c>
      <c r="V29">
        <v>4.4910604508071206</v>
      </c>
      <c r="W29">
        <v>0</v>
      </c>
      <c r="Z29">
        <v>0</v>
      </c>
      <c r="AA29">
        <v>4.4910604508071206</v>
      </c>
    </row>
    <row r="30" spans="19:27" x14ac:dyDescent="0.25">
      <c r="S30">
        <v>3.057248501192761</v>
      </c>
      <c r="T30">
        <v>1.9319999999999999</v>
      </c>
      <c r="V30">
        <v>4.4910604508071206</v>
      </c>
      <c r="W30">
        <v>1.9319999999999999</v>
      </c>
      <c r="Z30">
        <v>1.9319999999999999</v>
      </c>
      <c r="AA30">
        <v>1.9319999999999999</v>
      </c>
    </row>
    <row r="32" spans="19:27" x14ac:dyDescent="0.25">
      <c r="S32">
        <v>2.983590648201544</v>
      </c>
      <c r="T32">
        <v>0</v>
      </c>
      <c r="V32">
        <v>4.0982100679275506</v>
      </c>
      <c r="W32">
        <v>0</v>
      </c>
      <c r="Z32">
        <v>0</v>
      </c>
      <c r="AA32">
        <v>4.0982100679275506</v>
      </c>
    </row>
    <row r="33" spans="10:27" x14ac:dyDescent="0.25">
      <c r="S33">
        <v>2.983590648201544</v>
      </c>
      <c r="T33">
        <v>1.8353999999999999</v>
      </c>
      <c r="V33">
        <v>4.0982100679275506</v>
      </c>
      <c r="W33">
        <v>1.8353999999999999</v>
      </c>
      <c r="Z33">
        <v>1.8353999999999999</v>
      </c>
      <c r="AA33">
        <v>1.8353999999999999</v>
      </c>
    </row>
    <row r="41" spans="10:27" x14ac:dyDescent="0.25">
      <c r="J41">
        <v>0</v>
      </c>
      <c r="K41">
        <v>2.983590648201544</v>
      </c>
    </row>
    <row r="43" spans="10:27" x14ac:dyDescent="0.25">
      <c r="J43">
        <v>1.8353999999999999</v>
      </c>
      <c r="K43">
        <v>1.8353999999999999</v>
      </c>
    </row>
    <row r="44" spans="10:27" x14ac:dyDescent="0.25">
      <c r="J44">
        <v>0</v>
      </c>
      <c r="K44">
        <v>0</v>
      </c>
    </row>
    <row r="46" spans="10:27" x14ac:dyDescent="0.25">
      <c r="J46">
        <v>1.7387999999999999</v>
      </c>
      <c r="K46">
        <v>1.7387999999999999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FORMATO</vt:lpstr>
      <vt:lpstr>INFORME-1</vt:lpstr>
      <vt:lpstr>INFORME-2</vt:lpstr>
      <vt:lpstr>DATOS</vt:lpstr>
      <vt:lpstr>INCERT</vt:lpstr>
      <vt:lpstr>Balanza</vt:lpstr>
      <vt:lpstr>PRECISION</vt:lpstr>
      <vt:lpstr>PRECISION (2)</vt:lpstr>
      <vt:lpstr>cbr graficos</vt:lpstr>
      <vt:lpstr>FORMATO!Área_de_impresión</vt:lpstr>
      <vt:lpstr>'INFORME-1'!Área_de_impresión</vt:lpstr>
      <vt:lpstr>'INFORME-2'!Área_de_impresión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LENOVO</cp:lastModifiedBy>
  <cp:lastPrinted>2026-08-03T19:34:56Z</cp:lastPrinted>
  <dcterms:created xsi:type="dcterms:W3CDTF">2001-07-17T22:05:44Z</dcterms:created>
  <dcterms:modified xsi:type="dcterms:W3CDTF">2026-08-03T19:35:20Z</dcterms:modified>
</cp:coreProperties>
</file>