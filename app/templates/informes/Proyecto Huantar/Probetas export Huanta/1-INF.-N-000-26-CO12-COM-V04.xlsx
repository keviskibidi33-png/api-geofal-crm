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drawings/drawing3.xml" ContentType="application/vnd.openxmlformats-officedocument.drawing+xml"/>
  <Override PartName="/xl/comments2.xml" ContentType="application/vnd.openxmlformats-officedocument.spreadsheetml.comments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G:\Mi unidad\1.1 Trabajos 2026\19. CONTROL E INFORME MAKIBER\1. FORMATO\PROBETAS\"/>
    </mc:Choice>
  </mc:AlternateContent>
  <xr:revisionPtr revIDLastSave="0" documentId="13_ncr:1_{B92DAF9C-75AD-4971-8257-31F4723DFB54}" xr6:coauthVersionLast="47" xr6:coauthVersionMax="47" xr10:uidLastSave="{00000000-0000-0000-0000-000000000000}"/>
  <bookViews>
    <workbookView xWindow="-108" yWindow="-108" windowWidth="23256" windowHeight="12456" tabRatio="563" xr2:uid="{B55599B3-DE8F-4104-884B-70398044C85C}"/>
  </bookViews>
  <sheets>
    <sheet name="Resumen" sheetId="97" r:id="rId1"/>
    <sheet name="COMPRESION" sheetId="91" r:id="rId2"/>
    <sheet name="Hoja2" sheetId="93" state="hidden" r:id="rId3"/>
    <sheet name="DATOS" sheetId="92" r:id="rId4"/>
    <sheet name="Hoja1" sheetId="49" state="hidden" r:id="rId5"/>
  </sheets>
  <definedNames>
    <definedName name="_xlnm.Print_Area" localSheetId="1">COMPRESION!$A$2:$M$44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6" i="91" l="1"/>
  <c r="C7" i="91"/>
  <c r="C8" i="91"/>
  <c r="C5" i="91"/>
  <c r="I20" i="92" l="1"/>
  <c r="J20" i="92"/>
  <c r="I21" i="92"/>
  <c r="J21" i="92"/>
  <c r="I22" i="92"/>
  <c r="J22" i="92"/>
  <c r="E20" i="92"/>
  <c r="F20" i="92"/>
  <c r="G20" i="92"/>
  <c r="H20" i="92"/>
  <c r="E21" i="92"/>
  <c r="F21" i="92"/>
  <c r="G21" i="92"/>
  <c r="H21" i="92"/>
  <c r="E22" i="92"/>
  <c r="F22" i="92"/>
  <c r="G22" i="92"/>
  <c r="H22" i="92"/>
  <c r="D21" i="92"/>
  <c r="D22" i="92"/>
  <c r="D20" i="92"/>
  <c r="B21" i="92"/>
  <c r="B22" i="92"/>
  <c r="B20" i="92"/>
  <c r="C13" i="92"/>
  <c r="C11" i="92"/>
  <c r="C10" i="92"/>
  <c r="C9" i="92"/>
  <c r="C17" i="91"/>
  <c r="C16" i="91"/>
  <c r="E6" i="92" l="1"/>
  <c r="F51" i="92"/>
  <c r="G51" i="92" s="1"/>
  <c r="F47" i="92"/>
  <c r="G47" i="92" s="1"/>
  <c r="F43" i="92"/>
  <c r="H43" i="92" s="1"/>
  <c r="B51" i="92"/>
  <c r="D51" i="92" s="1"/>
  <c r="B47" i="92"/>
  <c r="C47" i="92" s="1"/>
  <c r="B43" i="92"/>
  <c r="C43" i="92" s="1"/>
  <c r="A22" i="91"/>
  <c r="E10" i="92"/>
  <c r="L17" i="91"/>
  <c r="L16" i="91"/>
  <c r="B3" i="49"/>
  <c r="C3" i="49" s="1"/>
  <c r="J3" i="49"/>
  <c r="K3" i="49" s="1"/>
  <c r="L3" i="49" s="1"/>
  <c r="C4" i="49"/>
  <c r="J4" i="49"/>
  <c r="K4" i="49" s="1"/>
  <c r="L4" i="49" s="1"/>
  <c r="J5" i="49"/>
  <c r="K5" i="49" s="1"/>
  <c r="L5" i="49" s="1"/>
  <c r="C6" i="49"/>
  <c r="J6" i="49"/>
  <c r="K6" i="49" s="1"/>
  <c r="L6" i="49" s="1"/>
  <c r="J7" i="49"/>
  <c r="K7" i="49" s="1"/>
  <c r="L7" i="49" s="1"/>
  <c r="C8" i="49"/>
  <c r="J8" i="49"/>
  <c r="K8" i="49" s="1"/>
  <c r="L8" i="49" s="1"/>
  <c r="C6" i="92"/>
  <c r="C15" i="92"/>
  <c r="L18" i="91" s="1"/>
  <c r="L20" i="92"/>
  <c r="A23" i="91"/>
  <c r="L21" i="92"/>
  <c r="L22" i="92"/>
  <c r="G36" i="92"/>
  <c r="H22" i="91" s="1"/>
  <c r="I36" i="92"/>
  <c r="K22" i="91" s="1"/>
  <c r="G37" i="92"/>
  <c r="H23" i="91" s="1"/>
  <c r="I37" i="92"/>
  <c r="K23" i="91" s="1"/>
  <c r="G38" i="92"/>
  <c r="I38" i="92"/>
  <c r="K24" i="91" s="1"/>
  <c r="H5" i="93"/>
  <c r="C18" i="91"/>
  <c r="A24" i="91"/>
  <c r="A5" i="49" l="1"/>
  <c r="B5" i="49" s="1"/>
  <c r="A7" i="49" s="1"/>
  <c r="B7" i="49" s="1"/>
  <c r="C7" i="49" s="1"/>
  <c r="H24" i="91"/>
  <c r="D43" i="92"/>
  <c r="F48" i="92"/>
  <c r="H47" i="92"/>
  <c r="H51" i="92"/>
  <c r="D47" i="92"/>
  <c r="F52" i="92"/>
  <c r="F44" i="92"/>
  <c r="B52" i="92"/>
  <c r="C51" i="92"/>
  <c r="G43" i="92"/>
  <c r="B48" i="92"/>
  <c r="B44" i="92"/>
  <c r="C44" i="92" s="1"/>
  <c r="C5" i="49" l="1"/>
  <c r="H44" i="92"/>
  <c r="G44" i="92"/>
  <c r="C52" i="92"/>
  <c r="D52" i="92"/>
  <c r="D44" i="92"/>
  <c r="C48" i="92"/>
  <c r="D48" i="92"/>
  <c r="G52" i="92"/>
  <c r="H52" i="92"/>
  <c r="H48" i="92"/>
  <c r="G48" i="92"/>
  <c r="D53" i="92" l="1"/>
  <c r="D54" i="92"/>
  <c r="D49" i="92"/>
  <c r="H54" i="92"/>
  <c r="H53" i="92"/>
  <c r="H45" i="92"/>
  <c r="D50" i="92"/>
  <c r="H49" i="92"/>
  <c r="D45" i="92"/>
  <c r="D46" i="92"/>
  <c r="H50" i="92"/>
  <c r="H46" i="92"/>
  <c r="D26" i="92" l="1"/>
  <c r="D32" i="92" s="1"/>
  <c r="F26" i="92"/>
  <c r="F32" i="92" s="1"/>
  <c r="E25" i="92"/>
  <c r="E31" i="92" s="1"/>
  <c r="F24" i="92"/>
  <c r="F30" i="92" s="1"/>
  <c r="H26" i="92"/>
  <c r="H32" i="92" s="1"/>
  <c r="G26" i="92"/>
  <c r="G32" i="92" s="1"/>
  <c r="H24" i="92"/>
  <c r="H30" i="92" s="1"/>
  <c r="D25" i="92"/>
  <c r="D31" i="92" s="1"/>
  <c r="D24" i="92"/>
  <c r="D30" i="92" s="1"/>
  <c r="E24" i="92"/>
  <c r="E30" i="92" s="1"/>
  <c r="H25" i="92"/>
  <c r="H31" i="92" s="1"/>
  <c r="G25" i="92"/>
  <c r="G31" i="92" s="1"/>
  <c r="G24" i="92"/>
  <c r="G30" i="92" s="1"/>
  <c r="F25" i="92"/>
  <c r="F31" i="92" s="1"/>
  <c r="E26" i="92"/>
  <c r="E32" i="92" s="1"/>
  <c r="E38" i="92" l="1"/>
  <c r="D36" i="92"/>
  <c r="D37" i="92"/>
  <c r="F37" i="92" s="1"/>
  <c r="G23" i="91" s="1"/>
  <c r="E37" i="92"/>
  <c r="E36" i="92"/>
  <c r="D38" i="92"/>
  <c r="F23" i="91" l="1"/>
  <c r="J37" i="92"/>
  <c r="F24" i="91"/>
  <c r="J38" i="92"/>
  <c r="D22" i="91"/>
  <c r="J36" i="92"/>
  <c r="D23" i="91"/>
  <c r="F36" i="92"/>
  <c r="G22" i="91" s="1"/>
  <c r="K30" i="92"/>
  <c r="L30" i="92" s="1"/>
  <c r="H36" i="92" s="1"/>
  <c r="L36" i="92" s="1"/>
  <c r="M30" i="92" s="1"/>
  <c r="K31" i="92"/>
  <c r="L31" i="92" s="1"/>
  <c r="H37" i="92" s="1"/>
  <c r="M21" i="92" s="1"/>
  <c r="F22" i="91"/>
  <c r="F38" i="92"/>
  <c r="G24" i="91" s="1"/>
  <c r="D24" i="91"/>
  <c r="K32" i="92"/>
  <c r="L32" i="92" s="1"/>
  <c r="H38" i="92" s="1"/>
  <c r="R28" i="92" l="1"/>
  <c r="I22" i="91"/>
  <c r="J22" i="91" s="1"/>
  <c r="M20" i="92"/>
  <c r="I23" i="91"/>
  <c r="J23" i="91" s="1"/>
  <c r="L37" i="92"/>
  <c r="M31" i="92" s="1"/>
  <c r="M22" i="92"/>
  <c r="I24" i="91"/>
  <c r="J24" i="91" s="1"/>
  <c r="L38" i="92"/>
  <c r="M32" i="9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HP</author>
  </authors>
  <commentList>
    <comment ref="K13" authorId="0" shapeId="0" xr:uid="{1332D1C9-4099-462E-BCD4-2B7CFBACF8E9}">
      <text>
        <r>
          <rPr>
            <sz val="11"/>
            <color theme="1"/>
            <rFont val="Calibri"/>
            <family val="2"/>
            <scheme val="minor"/>
          </rPr>
          <t>6.1.3.6. La carga indicada no debe ser corregida por cualquier calculo matematico o uso de calibración, Ello al mantenr la exactitud dentro del 1%.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Equipo</author>
    <author>LENOVO</author>
    <author>HP</author>
  </authors>
  <commentList>
    <comment ref="E10" authorId="0" shapeId="0" xr:uid="{E5C3364F-32C4-469C-9E4F-8564AD8ABC14}">
      <text>
        <r>
          <rPr>
            <b/>
            <sz val="9"/>
            <color indexed="81"/>
            <rFont val="Tahoma"/>
            <family val="2"/>
          </rPr>
          <t>Equipo:</t>
        </r>
        <r>
          <rPr>
            <sz val="9"/>
            <color indexed="81"/>
            <rFont val="Tahoma"/>
            <family val="2"/>
          </rPr>
          <t xml:space="preserve">
Mpa</t>
        </r>
      </text>
    </comment>
    <comment ref="C12" authorId="0" shapeId="0" xr:uid="{E630B57C-A28A-4E9C-B17E-830CA8175AAF}">
      <text>
        <r>
          <rPr>
            <b/>
            <sz val="9"/>
            <color indexed="81"/>
            <rFont val="Tahoma"/>
            <family val="2"/>
          </rPr>
          <t>si se coloca en hora esta debera eliminarse la parte la fecha</t>
        </r>
      </text>
    </comment>
    <comment ref="C14" authorId="0" shapeId="0" xr:uid="{527C94E1-8D1E-4EC3-968B-A18A90532196}">
      <text>
        <r>
          <rPr>
            <b/>
            <sz val="9"/>
            <color indexed="81"/>
            <rFont val="Tahoma"/>
            <family val="2"/>
          </rPr>
          <t>Equipo:</t>
        </r>
        <r>
          <rPr>
            <sz val="9"/>
            <color indexed="81"/>
            <rFont val="Tahoma"/>
            <family val="2"/>
          </rPr>
          <t xml:space="preserve">
si se coloca en hora se debe eliminar la parte de fecha</t>
        </r>
      </text>
    </comment>
    <comment ref="C15" authorId="1" shapeId="0" xr:uid="{CAE0261E-1FEE-4B0C-8CE3-25D9BBEFE413}">
      <text>
        <r>
          <rPr>
            <b/>
            <sz val="9"/>
            <color indexed="81"/>
            <rFont val="Tahoma"/>
            <family val="2"/>
          </rPr>
          <t>LENOVO:</t>
        </r>
        <r>
          <rPr>
            <sz val="9"/>
            <color indexed="81"/>
            <rFont val="Tahoma"/>
            <family val="2"/>
          </rPr>
          <t xml:space="preserve">
SI ES MENOR A 3 DIAS SE REPORTARA EN HORAS
</t>
        </r>
      </text>
    </comment>
    <comment ref="I19" authorId="2" shapeId="0" xr:uid="{4F90DC09-21BA-4170-B9DB-9983BD15AEC1}">
      <text>
        <r>
          <rPr>
            <b/>
            <sz val="9"/>
            <color indexed="81"/>
            <rFont val="Tahoma"/>
            <family val="2"/>
          </rPr>
          <t>6.1.3.6. La carga indicada no debe ser corregida por cualquier calculo matematico o uso de calibración, Ello al mantenr la exactitud dentro del 1%.
50KN A 800KN</t>
        </r>
      </text>
    </comment>
    <comment ref="O28" authorId="1" shapeId="0" xr:uid="{52A25414-6B08-414B-A894-39188F6C6B44}">
      <text>
        <r>
          <rPr>
            <b/>
            <sz val="9"/>
            <color indexed="81"/>
            <rFont val="Tahoma"/>
            <family val="2"/>
          </rPr>
          <t>LENOVO:</t>
        </r>
        <r>
          <rPr>
            <sz val="9"/>
            <color indexed="81"/>
            <rFont val="Tahoma"/>
            <family val="2"/>
          </rPr>
          <t xml:space="preserve">
Para probetas de concreto FC siempre sera 1.
Para diamantina y corte de probetas FC se tiene que actualizar</t>
        </r>
      </text>
    </comment>
    <comment ref="G34" authorId="2" shapeId="0" xr:uid="{58AD2C8D-70AE-4AF8-9D31-4D8085FD53B0}">
      <text>
        <r>
          <rPr>
            <b/>
            <sz val="9"/>
            <color indexed="81"/>
            <rFont val="Tahoma"/>
            <family val="2"/>
          </rPr>
          <t>6.1.3.6. La carga indicada no debe ser corregida por cualquier calculo matematico o uso de calibración, Ello al mantenr la exactitud dentro del 1%.</t>
        </r>
      </text>
    </comment>
  </commentList>
</comments>
</file>

<file path=xl/sharedStrings.xml><?xml version="1.0" encoding="utf-8"?>
<sst xmlns="http://schemas.openxmlformats.org/spreadsheetml/2006/main" count="208" uniqueCount="155">
  <si>
    <t>:</t>
  </si>
  <si>
    <t>FC</t>
  </si>
  <si>
    <t>F. MOLDEO</t>
  </si>
  <si>
    <t>DESCRIPCION</t>
  </si>
  <si>
    <t>DIA</t>
  </si>
  <si>
    <t>DIAMETRO</t>
  </si>
  <si>
    <t>AREA</t>
  </si>
  <si>
    <t>CARGA</t>
  </si>
  <si>
    <t>RESIS. CONCRETO</t>
  </si>
  <si>
    <t>% RESIS</t>
  </si>
  <si>
    <t>CODIGO</t>
  </si>
  <si>
    <t>CONCATENADOS</t>
  </si>
  <si>
    <t>TIPO DE FALLA</t>
  </si>
  <si>
    <t>E</t>
  </si>
  <si>
    <t>F</t>
  </si>
  <si>
    <t>Columnas C-9;5-3/G.H</t>
  </si>
  <si>
    <t>F'C</t>
  </si>
  <si>
    <t>Resistencia Compresión   (Mpa)</t>
  </si>
  <si>
    <t>LABORATORIO DE ENSAYO DE MATERIALES</t>
  </si>
  <si>
    <t>Página 1 de 1</t>
  </si>
  <si>
    <t>CLIENTE</t>
  </si>
  <si>
    <t>PROYECTO **</t>
  </si>
  <si>
    <t>UBICACIÓN **</t>
  </si>
  <si>
    <t>CÓDIGO</t>
  </si>
  <si>
    <t>Fin del Documento</t>
  </si>
  <si>
    <t>Observaciones:</t>
  </si>
  <si>
    <t>kg/cm2</t>
  </si>
  <si>
    <t>FECHA EMISIÓN</t>
  </si>
  <si>
    <t>Código muestra                 LEM</t>
  </si>
  <si>
    <t>Estructura</t>
  </si>
  <si>
    <t>Diámetro promedio (mm)</t>
  </si>
  <si>
    <t>Longitud promedio (mm)</t>
  </si>
  <si>
    <t>Área sección transversal (mm2)</t>
  </si>
  <si>
    <t xml:space="preserve">Carga                      Máxima                  (kN)              </t>
  </si>
  <si>
    <t>Tipo                   fractura</t>
  </si>
  <si>
    <t>L/D</t>
  </si>
  <si>
    <t>Factor correccion</t>
  </si>
  <si>
    <t>Densidad                      muestra (kg/m3)</t>
  </si>
  <si>
    <t>Mpa</t>
  </si>
  <si>
    <t>Diametro                1</t>
  </si>
  <si>
    <t>Diametro             2</t>
  </si>
  <si>
    <t>Longitud           1</t>
  </si>
  <si>
    <t>Longitud                   2</t>
  </si>
  <si>
    <t>Longitud                   3</t>
  </si>
  <si>
    <t>Factor</t>
  </si>
  <si>
    <t>Fecha Moldeo</t>
  </si>
  <si>
    <t>Fecha Rotura</t>
  </si>
  <si>
    <t>Edad muestra</t>
  </si>
  <si>
    <t>IDENTIFICACION DE LA MUESTRA</t>
  </si>
  <si>
    <t>Parametro Diametro</t>
  </si>
  <si>
    <t>Código cliente</t>
  </si>
  <si>
    <t>PROMEDIO</t>
  </si>
  <si>
    <t>Correccion</t>
  </si>
  <si>
    <t xml:space="preserve">STANDARD TEST METHOD FOR COMPRESSIVE STRENGTH OF CYLINDRICAL CONCRETE SPECIMENS1     </t>
  </si>
  <si>
    <t>Valor</t>
  </si>
  <si>
    <t>C</t>
  </si>
  <si>
    <t>mm</t>
  </si>
  <si>
    <t>Masa muestra aire (g)</t>
  </si>
  <si>
    <t>ITEM</t>
  </si>
  <si>
    <r>
      <t>Área sección transversal (mm</t>
    </r>
    <r>
      <rPr>
        <b/>
        <vertAlign val="superscript"/>
        <sz val="8"/>
        <rFont val="Arial"/>
        <family val="2"/>
      </rPr>
      <t>2</t>
    </r>
    <r>
      <rPr>
        <b/>
        <sz val="8"/>
        <rFont val="Arial"/>
        <family val="2"/>
      </rPr>
      <t>)</t>
    </r>
  </si>
  <si>
    <t>Resistencia Compresión   (MPa)</t>
  </si>
  <si>
    <t>Hora de ensayo</t>
  </si>
  <si>
    <t>Obligatorio &lt;3d</t>
  </si>
  <si>
    <t>Hora de Moldeo</t>
  </si>
  <si>
    <t>-</t>
  </si>
  <si>
    <t>Defecto de muestra</t>
  </si>
  <si>
    <t>ASTM C39/C39M-24</t>
  </si>
  <si>
    <t>**Datos proporcionados y de responsabilidad del cliente</t>
  </si>
  <si>
    <t>Fecha Moldeo**</t>
  </si>
  <si>
    <t>CORRECCION DIAMETRO</t>
  </si>
  <si>
    <t>Diametro  1</t>
  </si>
  <si>
    <t>Diametro  2</t>
  </si>
  <si>
    <t>CORRECCION LONGITUD</t>
  </si>
  <si>
    <t>Longitud 1</t>
  </si>
  <si>
    <t>Longitud 2</t>
  </si>
  <si>
    <t>Longitud 3</t>
  </si>
  <si>
    <t>CORRECION MASA</t>
  </si>
  <si>
    <t>Masa aire (g)</t>
  </si>
  <si>
    <t>Masa  aire (kg)</t>
  </si>
  <si>
    <t xml:space="preserve">Carga                      Máxima            (kN)              </t>
  </si>
  <si>
    <t>Solo para &lt;3dias</t>
  </si>
  <si>
    <t>Densidad</t>
  </si>
  <si>
    <t>Resistencia concreto</t>
  </si>
  <si>
    <t>F. correc. Compresion</t>
  </si>
  <si>
    <t>Certificado de Calibración: balanza 30kg precisión 1g</t>
  </si>
  <si>
    <t>IDENTIFICACIÓN DE LA MUESTRA</t>
  </si>
  <si>
    <t>Evaluación del defecto de muestra</t>
  </si>
  <si>
    <t>Presencia de grandes huecos de aire</t>
  </si>
  <si>
    <t>Evidencia de segregación</t>
  </si>
  <si>
    <t>Las fracturas pasan predominantemente alrededor de la particula gruesa</t>
  </si>
  <si>
    <t>Las fracturas pasan a travez del agregado grueso</t>
  </si>
  <si>
    <t>EVALUACIÓN DE DEFECTO DE LA MUESTRA</t>
  </si>
  <si>
    <t>Desprendimiento tapa adherida</t>
  </si>
  <si>
    <t>SI ES MAYOR &gt; 1.75</t>
  </si>
  <si>
    <r>
      <t xml:space="preserve">LUGAR DE ENSAYO: </t>
    </r>
    <r>
      <rPr>
        <sz val="8"/>
        <rFont val="Arial"/>
        <family val="2"/>
      </rPr>
      <t>Laboratorio de ensayo de materiales</t>
    </r>
  </si>
  <si>
    <t>REALIZADO POR:</t>
  </si>
  <si>
    <t>pendiente</t>
  </si>
  <si>
    <t>intercepto</t>
  </si>
  <si>
    <t>F.C. COMPRESION</t>
  </si>
  <si>
    <t>Certificado de Calibración: Pie de rey precisión 0.01mm</t>
  </si>
  <si>
    <t>STANDARD TEST METHOD FOR COMPRESSIVE STRENGTH OF CYLINDRICAL CONCRETE SPECIMENS</t>
  </si>
  <si>
    <t>F-LEM-P-CO-12.02</t>
  </si>
  <si>
    <t>Error</t>
  </si>
  <si>
    <t>NO MOVER</t>
  </si>
  <si>
    <t>A</t>
  </si>
  <si>
    <t>B</t>
  </si>
  <si>
    <t xml:space="preserve">D </t>
  </si>
  <si>
    <t>F´c (kg/cm2)</t>
  </si>
  <si>
    <r>
      <t>F´c (Kg/cm</t>
    </r>
    <r>
      <rPr>
        <b/>
        <vertAlign val="superscript"/>
        <sz val="8"/>
        <rFont val="Arial"/>
        <family val="2"/>
      </rPr>
      <t>2</t>
    </r>
    <r>
      <rPr>
        <b/>
        <sz val="8"/>
        <rFont val="Arial"/>
        <family val="2"/>
      </rPr>
      <t xml:space="preserve">) **     </t>
    </r>
  </si>
  <si>
    <r>
      <t>Resistencia Compresión   (Kg/cm</t>
    </r>
    <r>
      <rPr>
        <b/>
        <vertAlign val="superscript"/>
        <sz val="8"/>
        <rFont val="Arial"/>
        <family val="2"/>
      </rPr>
      <t>2</t>
    </r>
    <r>
      <rPr>
        <b/>
        <sz val="8"/>
        <rFont val="Arial"/>
        <family val="2"/>
      </rPr>
      <t>)</t>
    </r>
  </si>
  <si>
    <t>Resistencia Compresión   (kg/cm2)</t>
  </si>
  <si>
    <t>Tipo muestra</t>
  </si>
  <si>
    <t>Cilindros Moldeados</t>
  </si>
  <si>
    <t>ASTM C39/C39M-25</t>
  </si>
  <si>
    <t>F.calibracion</t>
  </si>
  <si>
    <t>Código muestra LEM</t>
  </si>
  <si>
    <t>Tipo  fractura</t>
  </si>
  <si>
    <t>FORMATO RESUMEN N° F-LEM-P-CO-12.03</t>
  </si>
  <si>
    <t>F'c                             (kg/cm2)</t>
  </si>
  <si>
    <t>Carga                      Máxima            (kN)</t>
  </si>
  <si>
    <t xml:space="preserve">Carga Máxima             (kN)              </t>
  </si>
  <si>
    <t>dias</t>
  </si>
  <si>
    <t>Edad muestra (Dias)</t>
  </si>
  <si>
    <t>MAKIBER S. A. SUCURSAL PERÚ</t>
  </si>
  <si>
    <t xml:space="preserve"> MEJORAMIENTO Y AMPLIACION DE LOS SERVICIOS DE SALUD DEL HOSPITAL DE APOYO DE HUANTA DANIEL ALCIDES CARRIÓN, DISTRITO DE HUANTA, PROVINCIA DE HUANTA, DEPARTAMENTO DE AYACUCHO</t>
  </si>
  <si>
    <t>SOLICITANTE</t>
  </si>
  <si>
    <t>SOLICITANTE **</t>
  </si>
  <si>
    <t>WILLIAM BEDRIÑANA CARRASCO</t>
  </si>
  <si>
    <t>JR. JULIO CESAR TELLO, DISTRITO DE HUANTA, PROVINCIA DE HUANTA, DEPARTAMENTO DE AYACUCHO</t>
  </si>
  <si>
    <t>Versión: 05 (07-07-2026)</t>
  </si>
  <si>
    <t xml:space="preserve">Elemento**     </t>
  </si>
  <si>
    <t>No. Serie</t>
  </si>
  <si>
    <t>N°Certificado</t>
  </si>
  <si>
    <t>Identificaión</t>
  </si>
  <si>
    <t>Nombre</t>
  </si>
  <si>
    <t>Marca</t>
  </si>
  <si>
    <t>Modelo</t>
  </si>
  <si>
    <t>EQP-0153</t>
  </si>
  <si>
    <t>Prensa</t>
  </si>
  <si>
    <t>ELE Intenational</t>
  </si>
  <si>
    <t>36-0690/06</t>
  </si>
  <si>
    <t>36-0690-06-1029</t>
  </si>
  <si>
    <t>LF-A-093-2026</t>
  </si>
  <si>
    <t>Equipos Utilizados en el ensayo:</t>
  </si>
  <si>
    <t>CODIGO MUESTRA LEM</t>
  </si>
  <si>
    <t>HHTA-MURO PERIMETRAL-(EJE-D-N @ 09"-10")-210-459</t>
  </si>
  <si>
    <t>HHTA-LOSA PAVIMENTACION TRAMO I Y II-(EJE-D-N @ 09"-10")-210-460</t>
  </si>
  <si>
    <t>HHTA-LOSA PAVIMENTACION TRAMO I Y II-(EJE-D-N @ 09"-10")-210-461</t>
  </si>
  <si>
    <t>ELEMENTO</t>
  </si>
  <si>
    <t>MURO PERIMETRAL</t>
  </si>
  <si>
    <t>LOSA PAVIMENTACION TRAMO I Y II</t>
  </si>
  <si>
    <t>FECHA MOLDEO</t>
  </si>
  <si>
    <t>FECHA ROTURA</t>
  </si>
  <si>
    <t>CONTROL DE PROBETAS</t>
  </si>
  <si>
    <t>FORMATO COMPRESION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</si>
</sst>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164" formatCode="0.0"/>
    <numFmt numFmtId="165" formatCode="\L\ \-\ 0000"/>
    <numFmt numFmtId="166" formatCode="dd\-mmm\-yyyy"/>
    <numFmt numFmtId="167" formatCode="dd/mm/yyyy;@"/>
    <numFmt numFmtId="168" formatCode="0\ &quot;/ CO-06&quot;"/>
    <numFmt numFmtId="169" formatCode="dd\-mm\-yy;@"/>
    <numFmt numFmtId="170" formatCode="0.0000"/>
    <numFmt numFmtId="171" formatCode="0.000"/>
    <numFmt numFmtId="172" formatCode="0.0\ &quot;MPa&quot;"/>
    <numFmt numFmtId="173" formatCode="h:mm:ss;@"/>
    <numFmt numFmtId="174" formatCode="yyyy\-mm\-dd;@"/>
    <numFmt numFmtId="175" formatCode="&quot;INFORME DE ENSAYO N°&quot;000&quot;-26 CO12&quot;"/>
    <numFmt numFmtId="176" formatCode="000\-&quot;CO-26&quot;"/>
    <numFmt numFmtId="177" formatCode="000\-&quot;26&quot;"/>
    <numFmt numFmtId="178" formatCode="&quot;CERTIFICADO N°&quot;000&quot;-20 AG06&quot;"/>
    <numFmt numFmtId="179" formatCode="000&quot;-MKB-&quot;000"/>
    <numFmt numFmtId="180" formatCode="dd/mm/yy;@"/>
  </numFmts>
  <fonts count="41" x14ac:knownFonts="1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b/>
      <sz val="11"/>
      <name val="Times New Roman"/>
      <family val="1"/>
    </font>
    <font>
      <sz val="11"/>
      <name val="Times New Roman"/>
      <family val="1"/>
    </font>
    <font>
      <b/>
      <sz val="10"/>
      <name val="Times New Roman"/>
      <family val="1"/>
    </font>
    <font>
      <sz val="10"/>
      <name val="Times New Roman"/>
      <family val="1"/>
    </font>
    <font>
      <sz val="9"/>
      <name val="Times New Roman"/>
      <family val="1"/>
    </font>
    <font>
      <sz val="8"/>
      <name val="Arial"/>
      <family val="2"/>
    </font>
    <font>
      <b/>
      <sz val="8"/>
      <name val="Times New Roman"/>
      <family val="1"/>
    </font>
    <font>
      <sz val="9"/>
      <name val="Arial"/>
      <family val="2"/>
    </font>
    <font>
      <b/>
      <u/>
      <sz val="11"/>
      <name val="Arial"/>
      <family val="2"/>
    </font>
    <font>
      <b/>
      <sz val="8"/>
      <name val="Arial"/>
      <family val="2"/>
    </font>
    <font>
      <sz val="11"/>
      <name val="Arial"/>
      <family val="2"/>
    </font>
    <font>
      <b/>
      <sz val="9"/>
      <name val="Arial"/>
      <family val="2"/>
    </font>
    <font>
      <b/>
      <u/>
      <sz val="9"/>
      <name val="Arial"/>
      <family val="2"/>
    </font>
    <font>
      <b/>
      <u/>
      <sz val="8"/>
      <name val="Arial"/>
      <family val="2"/>
    </font>
    <font>
      <u/>
      <sz val="10"/>
      <name val="Arial"/>
      <family val="2"/>
    </font>
    <font>
      <b/>
      <vertAlign val="superscript"/>
      <sz val="8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theme="1"/>
      <name val="Calibri"/>
      <family val="2"/>
      <scheme val="minor"/>
    </font>
    <font>
      <sz val="10"/>
      <color rgb="FF0070C0"/>
      <name val="Arial"/>
      <family val="2"/>
    </font>
    <font>
      <b/>
      <sz val="10"/>
      <color rgb="FF0070C0"/>
      <name val="Times New Roman"/>
      <family val="1"/>
    </font>
    <font>
      <sz val="9"/>
      <color rgb="FFFF0000"/>
      <name val="Arial"/>
      <family val="2"/>
    </font>
    <font>
      <sz val="9"/>
      <color theme="1"/>
      <name val="Arial"/>
      <family val="2"/>
    </font>
    <font>
      <sz val="9"/>
      <color rgb="FF00B0F0"/>
      <name val="Arial"/>
      <family val="2"/>
    </font>
    <font>
      <i/>
      <sz val="9"/>
      <color rgb="FF0070C0"/>
      <name val="Arial"/>
      <family val="2"/>
    </font>
    <font>
      <b/>
      <sz val="9"/>
      <color rgb="FF0070C0"/>
      <name val="Arial"/>
      <family val="2"/>
    </font>
    <font>
      <i/>
      <sz val="9"/>
      <color theme="4" tint="-0.249977111117893"/>
      <name val="Arial"/>
      <family val="2"/>
    </font>
    <font>
      <sz val="9"/>
      <color theme="4" tint="-0.249977111117893"/>
      <name val="Arial"/>
      <family val="2"/>
    </font>
    <font>
      <b/>
      <sz val="8"/>
      <color rgb="FFFF0000"/>
      <name val="Arial"/>
      <family val="2"/>
    </font>
    <font>
      <sz val="8"/>
      <color rgb="FFFF0000"/>
      <name val="Arial"/>
      <family val="2"/>
    </font>
    <font>
      <b/>
      <i/>
      <u/>
      <sz val="9"/>
      <color theme="1"/>
      <name val="Arial"/>
      <family val="2"/>
    </font>
    <font>
      <sz val="9"/>
      <color rgb="FF0070C0"/>
      <name val="Arial"/>
      <family val="2"/>
    </font>
    <font>
      <b/>
      <sz val="9"/>
      <name val="Times New Roman"/>
      <family val="1"/>
    </font>
    <font>
      <b/>
      <sz val="10"/>
      <color theme="1"/>
      <name val="Arial"/>
      <family val="2"/>
    </font>
    <font>
      <sz val="8"/>
      <name val="Arial"/>
      <family val="2"/>
    </font>
    <font>
      <sz val="7"/>
      <name val="Arial"/>
      <family val="2"/>
    </font>
    <font>
      <b/>
      <sz val="7"/>
      <name val="Arial"/>
      <family val="2"/>
    </font>
    <font>
      <b/>
      <sz val="9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6">
    <xf numFmtId="0" fontId="0" fillId="0" borderId="0"/>
    <xf numFmtId="0" fontId="1" fillId="0" borderId="0"/>
    <xf numFmtId="0" fontId="1" fillId="0" borderId="0"/>
    <xf numFmtId="0" fontId="21" fillId="0" borderId="0"/>
    <xf numFmtId="0" fontId="7" fillId="0" borderId="0"/>
    <xf numFmtId="0" fontId="1" fillId="0" borderId="0"/>
  </cellStyleXfs>
  <cellXfs count="273">
    <xf numFmtId="0" fontId="0" fillId="0" borderId="0" xfId="0"/>
    <xf numFmtId="0" fontId="0" fillId="0" borderId="1" xfId="0" applyBorder="1"/>
    <xf numFmtId="2" fontId="6" fillId="2" borderId="1" xfId="0" applyNumberFormat="1" applyFont="1" applyFill="1" applyBorder="1" applyAlignment="1">
      <alignment vertical="center" wrapText="1"/>
    </xf>
    <xf numFmtId="10" fontId="7" fillId="2" borderId="1" xfId="0" applyNumberFormat="1" applyFont="1" applyFill="1" applyBorder="1" applyAlignment="1">
      <alignment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/>
    <xf numFmtId="0" fontId="8" fillId="0" borderId="1" xfId="0" applyFont="1" applyBorder="1" applyAlignment="1">
      <alignment horizontal="center"/>
    </xf>
    <xf numFmtId="0" fontId="22" fillId="0" borderId="1" xfId="0" applyFont="1" applyBorder="1"/>
    <xf numFmtId="16" fontId="22" fillId="0" borderId="1" xfId="0" applyNumberFormat="1" applyFont="1" applyBorder="1"/>
    <xf numFmtId="2" fontId="22" fillId="0" borderId="1" xfId="0" applyNumberFormat="1" applyFont="1" applyBorder="1"/>
    <xf numFmtId="2" fontId="23" fillId="2" borderId="1" xfId="0" applyNumberFormat="1" applyFont="1" applyFill="1" applyBorder="1" applyAlignment="1">
      <alignment vertical="center" wrapText="1"/>
    </xf>
    <xf numFmtId="168" fontId="8" fillId="0" borderId="1" xfId="0" applyNumberFormat="1" applyFont="1" applyBorder="1" applyAlignment="1">
      <alignment horizontal="center"/>
    </xf>
    <xf numFmtId="0" fontId="22" fillId="0" borderId="1" xfId="0" applyFont="1" applyBorder="1" applyAlignment="1">
      <alignment horizontal="center"/>
    </xf>
    <xf numFmtId="2" fontId="10" fillId="0" borderId="1" xfId="0" applyNumberFormat="1" applyFont="1" applyBorder="1" applyAlignment="1">
      <alignment horizontal="center" vertical="center"/>
    </xf>
    <xf numFmtId="0" fontId="1" fillId="0" borderId="0" xfId="0" applyFont="1"/>
    <xf numFmtId="0" fontId="0" fillId="0" borderId="0" xfId="0" applyAlignment="1">
      <alignment wrapText="1"/>
    </xf>
    <xf numFmtId="0" fontId="0" fillId="0" borderId="0" xfId="0" applyAlignment="1">
      <alignment horizontal="center" vertical="center" wrapText="1"/>
    </xf>
    <xf numFmtId="0" fontId="10" fillId="2" borderId="0" xfId="0" applyFont="1" applyFill="1"/>
    <xf numFmtId="0" fontId="0" fillId="2" borderId="0" xfId="0" applyFill="1"/>
    <xf numFmtId="2" fontId="10" fillId="2" borderId="1" xfId="0" applyNumberFormat="1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vertical="center"/>
    </xf>
    <xf numFmtId="0" fontId="10" fillId="2" borderId="1" xfId="5" applyFont="1" applyFill="1" applyBorder="1" applyAlignment="1">
      <alignment vertical="center"/>
    </xf>
    <xf numFmtId="0" fontId="1" fillId="2" borderId="0" xfId="0" applyFont="1" applyFill="1"/>
    <xf numFmtId="0" fontId="8" fillId="2" borderId="0" xfId="0" applyFont="1" applyFill="1" applyAlignment="1">
      <alignment vertical="center"/>
    </xf>
    <xf numFmtId="0" fontId="10" fillId="2" borderId="1" xfId="0" applyFont="1" applyFill="1" applyBorder="1"/>
    <xf numFmtId="0" fontId="10" fillId="2" borderId="3" xfId="0" applyFont="1" applyFill="1" applyBorder="1"/>
    <xf numFmtId="0" fontId="0" fillId="2" borderId="4" xfId="0" applyFill="1" applyBorder="1"/>
    <xf numFmtId="170" fontId="10" fillId="2" borderId="1" xfId="0" applyNumberFormat="1" applyFont="1" applyFill="1" applyBorder="1" applyAlignment="1">
      <alignment horizontal="center" vertical="center"/>
    </xf>
    <xf numFmtId="0" fontId="10" fillId="2" borderId="0" xfId="0" applyFont="1" applyFill="1" applyAlignment="1">
      <alignment horizontal="center" vertical="center"/>
    </xf>
    <xf numFmtId="0" fontId="10" fillId="2" borderId="0" xfId="0" applyFont="1" applyFill="1" applyAlignment="1">
      <alignment horizontal="center"/>
    </xf>
    <xf numFmtId="0" fontId="10" fillId="2" borderId="6" xfId="0" applyFont="1" applyFill="1" applyBorder="1"/>
    <xf numFmtId="0" fontId="10" fillId="2" borderId="1" xfId="0" applyFont="1" applyFill="1" applyBorder="1" applyAlignment="1">
      <alignment horizontal="center" vertical="center" wrapText="1"/>
    </xf>
    <xf numFmtId="2" fontId="10" fillId="2" borderId="1" xfId="4" applyNumberFormat="1" applyFont="1" applyFill="1" applyBorder="1" applyAlignment="1" applyProtection="1">
      <alignment horizontal="center" vertical="center"/>
      <protection locked="0"/>
    </xf>
    <xf numFmtId="10" fontId="10" fillId="2" borderId="1" xfId="0" applyNumberFormat="1" applyFont="1" applyFill="1" applyBorder="1" applyAlignment="1">
      <alignment horizontal="center" vertical="center"/>
    </xf>
    <xf numFmtId="0" fontId="14" fillId="0" borderId="1" xfId="0" applyFont="1" applyBorder="1" applyAlignment="1">
      <alignment horizontal="center" vertical="center" wrapText="1"/>
    </xf>
    <xf numFmtId="0" fontId="14" fillId="0" borderId="7" xfId="0" applyFont="1" applyBorder="1" applyAlignment="1">
      <alignment horizontal="center" vertical="center" wrapText="1"/>
    </xf>
    <xf numFmtId="0" fontId="10" fillId="2" borderId="4" xfId="0" applyFont="1" applyFill="1" applyBorder="1"/>
    <xf numFmtId="0" fontId="14" fillId="0" borderId="1" xfId="0" applyFont="1" applyBorder="1" applyAlignment="1" applyProtection="1">
      <alignment horizontal="center" vertical="center" wrapText="1"/>
      <protection locked="0"/>
    </xf>
    <xf numFmtId="0" fontId="14" fillId="2" borderId="0" xfId="0" applyFont="1" applyFill="1" applyAlignment="1">
      <alignment vertical="center" wrapText="1"/>
    </xf>
    <xf numFmtId="0" fontId="14" fillId="2" borderId="0" xfId="0" applyFont="1" applyFill="1" applyAlignment="1">
      <alignment vertical="center"/>
    </xf>
    <xf numFmtId="0" fontId="14" fillId="2" borderId="0" xfId="5" applyFont="1" applyFill="1" applyAlignment="1">
      <alignment vertical="center"/>
    </xf>
    <xf numFmtId="0" fontId="10" fillId="2" borderId="13" xfId="0" applyFont="1" applyFill="1" applyBorder="1"/>
    <xf numFmtId="0" fontId="10" fillId="2" borderId="11" xfId="0" applyFont="1" applyFill="1" applyBorder="1"/>
    <xf numFmtId="0" fontId="26" fillId="2" borderId="0" xfId="0" applyFont="1" applyFill="1"/>
    <xf numFmtId="0" fontId="10" fillId="2" borderId="9" xfId="0" applyFont="1" applyFill="1" applyBorder="1"/>
    <xf numFmtId="0" fontId="10" fillId="2" borderId="14" xfId="0" applyFont="1" applyFill="1" applyBorder="1"/>
    <xf numFmtId="0" fontId="10" fillId="2" borderId="10" xfId="0" applyFont="1" applyFill="1" applyBorder="1"/>
    <xf numFmtId="2" fontId="27" fillId="0" borderId="1" xfId="0" applyNumberFormat="1" applyFont="1" applyBorder="1" applyAlignment="1">
      <alignment horizontal="center" vertical="center" wrapText="1"/>
    </xf>
    <xf numFmtId="0" fontId="10" fillId="2" borderId="1" xfId="0" applyFont="1" applyFill="1" applyBorder="1" applyAlignment="1" applyProtection="1">
      <alignment horizontal="center" vertical="center" wrapText="1"/>
      <protection locked="0"/>
    </xf>
    <xf numFmtId="0" fontId="10" fillId="2" borderId="1" xfId="0" applyFont="1" applyFill="1" applyBorder="1" applyAlignment="1">
      <alignment horizontal="center" vertical="center"/>
    </xf>
    <xf numFmtId="164" fontId="24" fillId="2" borderId="0" xfId="0" applyNumberFormat="1" applyFont="1" applyFill="1"/>
    <xf numFmtId="0" fontId="10" fillId="0" borderId="1" xfId="0" applyFont="1" applyBorder="1" applyAlignment="1">
      <alignment horizontal="center" vertical="center"/>
    </xf>
    <xf numFmtId="0" fontId="10" fillId="2" borderId="2" xfId="0" applyFont="1" applyFill="1" applyBorder="1"/>
    <xf numFmtId="164" fontId="10" fillId="2" borderId="1" xfId="0" applyNumberFormat="1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left" vertical="center"/>
    </xf>
    <xf numFmtId="0" fontId="10" fillId="2" borderId="5" xfId="1" applyFont="1" applyFill="1" applyBorder="1" applyAlignment="1">
      <alignment vertical="center"/>
    </xf>
    <xf numFmtId="0" fontId="10" fillId="2" borderId="13" xfId="1" applyFont="1" applyFill="1" applyBorder="1" applyAlignment="1">
      <alignment vertical="center"/>
    </xf>
    <xf numFmtId="0" fontId="10" fillId="2" borderId="6" xfId="1" applyFont="1" applyFill="1" applyBorder="1" applyAlignment="1">
      <alignment vertical="center"/>
    </xf>
    <xf numFmtId="0" fontId="10" fillId="2" borderId="9" xfId="1" applyFont="1" applyFill="1" applyBorder="1" applyAlignment="1">
      <alignment vertical="center"/>
    </xf>
    <xf numFmtId="0" fontId="10" fillId="2" borderId="14" xfId="1" applyFont="1" applyFill="1" applyBorder="1" applyAlignment="1">
      <alignment vertical="center"/>
    </xf>
    <xf numFmtId="0" fontId="10" fillId="2" borderId="10" xfId="1" applyFont="1" applyFill="1" applyBorder="1" applyAlignment="1">
      <alignment vertical="center"/>
    </xf>
    <xf numFmtId="0" fontId="10" fillId="2" borderId="9" xfId="1" applyFont="1" applyFill="1" applyBorder="1" applyAlignment="1" applyProtection="1">
      <alignment vertical="center"/>
      <protection locked="0"/>
    </xf>
    <xf numFmtId="171" fontId="10" fillId="2" borderId="14" xfId="1" applyNumberFormat="1" applyFont="1" applyFill="1" applyBorder="1" applyAlignment="1">
      <alignment horizontal="center" vertical="center"/>
    </xf>
    <xf numFmtId="0" fontId="24" fillId="2" borderId="0" xfId="0" applyFont="1" applyFill="1"/>
    <xf numFmtId="1" fontId="14" fillId="0" borderId="1" xfId="0" applyNumberFormat="1" applyFont="1" applyBorder="1" applyAlignment="1">
      <alignment horizontal="center" vertical="center" wrapText="1"/>
    </xf>
    <xf numFmtId="0" fontId="14" fillId="2" borderId="2" xfId="0" applyFont="1" applyFill="1" applyBorder="1" applyAlignment="1">
      <alignment vertical="center"/>
    </xf>
    <xf numFmtId="0" fontId="14" fillId="2" borderId="3" xfId="0" applyFont="1" applyFill="1" applyBorder="1" applyAlignment="1">
      <alignment vertical="center"/>
    </xf>
    <xf numFmtId="0" fontId="14" fillId="2" borderId="4" xfId="0" applyFont="1" applyFill="1" applyBorder="1" applyAlignment="1">
      <alignment vertical="center"/>
    </xf>
    <xf numFmtId="0" fontId="15" fillId="2" borderId="2" xfId="0" applyFont="1" applyFill="1" applyBorder="1" applyAlignment="1">
      <alignment vertical="center"/>
    </xf>
    <xf numFmtId="2" fontId="28" fillId="3" borderId="1" xfId="0" applyNumberFormat="1" applyFont="1" applyFill="1" applyBorder="1" applyAlignment="1">
      <alignment horizontal="center" vertical="center"/>
    </xf>
    <xf numFmtId="2" fontId="29" fillId="0" borderId="1" xfId="0" applyNumberFormat="1" applyFont="1" applyBorder="1" applyAlignment="1">
      <alignment horizontal="center" vertical="center" wrapText="1"/>
    </xf>
    <xf numFmtId="0" fontId="30" fillId="2" borderId="0" xfId="0" applyFont="1" applyFill="1"/>
    <xf numFmtId="0" fontId="8" fillId="2" borderId="2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vertical="center"/>
    </xf>
    <xf numFmtId="0" fontId="4" fillId="2" borderId="0" xfId="0" applyFont="1" applyFill="1" applyProtection="1">
      <protection locked="0"/>
    </xf>
    <xf numFmtId="0" fontId="3" fillId="2" borderId="0" xfId="0" applyFont="1" applyFill="1" applyAlignment="1" applyProtection="1">
      <alignment horizontal="center" vertical="center"/>
      <protection locked="0"/>
    </xf>
    <xf numFmtId="0" fontId="12" fillId="2" borderId="0" xfId="5" applyFont="1" applyFill="1" applyAlignment="1">
      <alignment vertical="center"/>
    </xf>
    <xf numFmtId="0" fontId="12" fillId="2" borderId="0" xfId="5" applyFont="1" applyFill="1" applyAlignment="1">
      <alignment horizontal="center" vertical="center"/>
    </xf>
    <xf numFmtId="0" fontId="8" fillId="2" borderId="0" xfId="0" applyFont="1" applyFill="1" applyAlignment="1" applyProtection="1">
      <alignment vertical="center"/>
      <protection locked="0"/>
    </xf>
    <xf numFmtId="0" fontId="13" fillId="2" borderId="0" xfId="0" applyFont="1" applyFill="1" applyProtection="1">
      <protection locked="0"/>
    </xf>
    <xf numFmtId="0" fontId="12" fillId="2" borderId="0" xfId="0" applyFont="1" applyFill="1" applyAlignment="1">
      <alignment horizontal="right" vertical="center"/>
    </xf>
    <xf numFmtId="0" fontId="12" fillId="2" borderId="0" xfId="0" applyFont="1" applyFill="1" applyAlignment="1">
      <alignment horizontal="center" vertical="center"/>
    </xf>
    <xf numFmtId="0" fontId="6" fillId="2" borderId="0" xfId="0" applyFont="1" applyFill="1" applyProtection="1">
      <protection locked="0"/>
    </xf>
    <xf numFmtId="0" fontId="12" fillId="2" borderId="0" xfId="5" applyFont="1" applyFill="1" applyAlignment="1">
      <alignment horizontal="right" vertical="center"/>
    </xf>
    <xf numFmtId="0" fontId="4" fillId="2" borderId="0" xfId="5" applyFont="1" applyFill="1" applyProtection="1">
      <protection locked="0"/>
    </xf>
    <xf numFmtId="0" fontId="4" fillId="2" borderId="0" xfId="0" applyFont="1" applyFill="1" applyAlignment="1" applyProtection="1">
      <alignment horizontal="left"/>
      <protection locked="0"/>
    </xf>
    <xf numFmtId="165" fontId="4" fillId="2" borderId="0" xfId="0" applyNumberFormat="1" applyFont="1" applyFill="1" applyAlignment="1" applyProtection="1">
      <alignment horizontal="left" vertical="center"/>
      <protection locked="0"/>
    </xf>
    <xf numFmtId="0" fontId="8" fillId="2" borderId="0" xfId="1" applyFont="1" applyFill="1"/>
    <xf numFmtId="0" fontId="4" fillId="2" borderId="0" xfId="0" applyFont="1" applyFill="1"/>
    <xf numFmtId="0" fontId="12" fillId="2" borderId="0" xfId="5" applyFont="1" applyFill="1" applyAlignment="1" applyProtection="1">
      <alignment horizontal="center" vertical="center"/>
      <protection locked="0"/>
    </xf>
    <xf numFmtId="0" fontId="8" fillId="2" borderId="14" xfId="1" applyFont="1" applyFill="1" applyBorder="1"/>
    <xf numFmtId="0" fontId="4" fillId="2" borderId="14" xfId="0" applyFont="1" applyFill="1" applyBorder="1"/>
    <xf numFmtId="0" fontId="12" fillId="2" borderId="14" xfId="5" applyFont="1" applyFill="1" applyBorder="1" applyAlignment="1" applyProtection="1">
      <alignment horizontal="center" vertical="center"/>
      <protection locked="0"/>
    </xf>
    <xf numFmtId="0" fontId="13" fillId="2" borderId="14" xfId="0" applyFont="1" applyFill="1" applyBorder="1" applyProtection="1">
      <protection locked="0"/>
    </xf>
    <xf numFmtId="0" fontId="8" fillId="2" borderId="14" xfId="0" applyFont="1" applyFill="1" applyBorder="1" applyAlignment="1" applyProtection="1">
      <alignment vertical="center"/>
      <protection locked="0"/>
    </xf>
    <xf numFmtId="167" fontId="4" fillId="2" borderId="0" xfId="0" applyNumberFormat="1" applyFont="1" applyFill="1" applyAlignment="1" applyProtection="1">
      <alignment horizontal="left"/>
      <protection locked="0"/>
    </xf>
    <xf numFmtId="0" fontId="12" fillId="2" borderId="8" xfId="0" applyFont="1" applyFill="1" applyBorder="1" applyAlignment="1">
      <alignment horizontal="left" vertical="center"/>
    </xf>
    <xf numFmtId="0" fontId="9" fillId="2" borderId="0" xfId="5" applyFont="1" applyFill="1" applyAlignment="1" applyProtection="1">
      <alignment vertical="center"/>
      <protection locked="0"/>
    </xf>
    <xf numFmtId="0" fontId="12" fillId="2" borderId="8" xfId="5" applyFont="1" applyFill="1" applyBorder="1" applyAlignment="1">
      <alignment horizontal="left" vertical="center"/>
    </xf>
    <xf numFmtId="0" fontId="12" fillId="2" borderId="9" xfId="0" applyFont="1" applyFill="1" applyBorder="1" applyAlignment="1">
      <alignment horizontal="center" vertical="center" wrapText="1"/>
    </xf>
    <xf numFmtId="0" fontId="12" fillId="2" borderId="14" xfId="0" applyFont="1" applyFill="1" applyBorder="1" applyAlignment="1" applyProtection="1">
      <alignment horizontal="center" vertical="center" wrapText="1"/>
      <protection locked="0"/>
    </xf>
    <xf numFmtId="0" fontId="12" fillId="2" borderId="14" xfId="0" applyFont="1" applyFill="1" applyBorder="1" applyAlignment="1">
      <alignment horizontal="center" vertical="center" wrapText="1"/>
    </xf>
    <xf numFmtId="0" fontId="12" fillId="2" borderId="1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vertical="center"/>
    </xf>
    <xf numFmtId="0" fontId="17" fillId="2" borderId="0" xfId="0" applyFont="1" applyFill="1" applyAlignment="1">
      <alignment vertical="center"/>
    </xf>
    <xf numFmtId="0" fontId="6" fillId="2" borderId="0" xfId="0" applyFont="1" applyFill="1" applyAlignment="1">
      <alignment horizontal="center" vertical="center"/>
    </xf>
    <xf numFmtId="0" fontId="12" fillId="2" borderId="0" xfId="0" applyFont="1" applyFill="1"/>
    <xf numFmtId="0" fontId="12" fillId="2" borderId="0" xfId="0" applyFont="1" applyFill="1" applyAlignment="1">
      <alignment vertical="center"/>
    </xf>
    <xf numFmtId="0" fontId="2" fillId="2" borderId="0" xfId="0" applyFont="1" applyFill="1" applyAlignment="1">
      <alignment vertical="center"/>
    </xf>
    <xf numFmtId="0" fontId="25" fillId="2" borderId="0" xfId="1" quotePrefix="1" applyFont="1" applyFill="1" applyAlignment="1">
      <alignment horizontal="left" vertical="center"/>
    </xf>
    <xf numFmtId="0" fontId="8" fillId="2" borderId="0" xfId="0" applyFont="1" applyFill="1"/>
    <xf numFmtId="0" fontId="1" fillId="2" borderId="0" xfId="0" applyFont="1" applyFill="1" applyAlignment="1">
      <alignment horizontal="left" indent="1"/>
    </xf>
    <xf numFmtId="0" fontId="8" fillId="2" borderId="0" xfId="0" applyFont="1" applyFill="1" applyAlignment="1">
      <alignment horizontal="left" indent="1"/>
    </xf>
    <xf numFmtId="0" fontId="15" fillId="2" borderId="0" xfId="0" applyFont="1" applyFill="1" applyAlignment="1">
      <alignment vertical="center"/>
    </xf>
    <xf numFmtId="0" fontId="33" fillId="2" borderId="0" xfId="1" applyFont="1" applyFill="1" applyAlignment="1">
      <alignment horizontal="right" vertical="center"/>
    </xf>
    <xf numFmtId="0" fontId="5" fillId="2" borderId="0" xfId="0" applyFont="1" applyFill="1" applyAlignment="1" applyProtection="1">
      <alignment vertical="center"/>
      <protection locked="0"/>
    </xf>
    <xf numFmtId="11" fontId="10" fillId="2" borderId="14" xfId="1" applyNumberFormat="1" applyFont="1" applyFill="1" applyBorder="1" applyAlignment="1">
      <alignment horizontal="center" vertical="center"/>
    </xf>
    <xf numFmtId="0" fontId="10" fillId="2" borderId="4" xfId="0" applyFont="1" applyFill="1" applyBorder="1" applyAlignment="1">
      <alignment horizontal="right" vertical="center"/>
    </xf>
    <xf numFmtId="164" fontId="0" fillId="2" borderId="0" xfId="0" applyNumberFormat="1" applyFill="1"/>
    <xf numFmtId="1" fontId="0" fillId="2" borderId="0" xfId="0" applyNumberFormat="1" applyFill="1"/>
    <xf numFmtId="170" fontId="10" fillId="2" borderId="0" xfId="0" applyNumberFormat="1" applyFont="1" applyFill="1" applyAlignment="1">
      <alignment horizontal="center" vertical="center"/>
    </xf>
    <xf numFmtId="0" fontId="10" fillId="2" borderId="15" xfId="0" applyFont="1" applyFill="1" applyBorder="1"/>
    <xf numFmtId="170" fontId="10" fillId="2" borderId="15" xfId="0" applyNumberFormat="1" applyFont="1" applyFill="1" applyBorder="1" applyAlignment="1">
      <alignment horizontal="center" vertical="center"/>
    </xf>
    <xf numFmtId="0" fontId="10" fillId="2" borderId="16" xfId="0" applyFont="1" applyFill="1" applyBorder="1"/>
    <xf numFmtId="0" fontId="10" fillId="2" borderId="17" xfId="0" applyFont="1" applyFill="1" applyBorder="1"/>
    <xf numFmtId="0" fontId="10" fillId="2" borderId="18" xfId="0" applyFont="1" applyFill="1" applyBorder="1" applyAlignment="1">
      <alignment horizontal="center" vertical="center"/>
    </xf>
    <xf numFmtId="0" fontId="10" fillId="2" borderId="19" xfId="0" applyFont="1" applyFill="1" applyBorder="1" applyAlignment="1">
      <alignment horizontal="center" vertical="center"/>
    </xf>
    <xf numFmtId="170" fontId="10" fillId="2" borderId="18" xfId="0" applyNumberFormat="1" applyFont="1" applyFill="1" applyBorder="1" applyAlignment="1">
      <alignment horizontal="center" vertical="center"/>
    </xf>
    <xf numFmtId="0" fontId="10" fillId="2" borderId="19" xfId="0" applyFont="1" applyFill="1" applyBorder="1"/>
    <xf numFmtId="0" fontId="10" fillId="2" borderId="20" xfId="0" applyFont="1" applyFill="1" applyBorder="1"/>
    <xf numFmtId="0" fontId="10" fillId="2" borderId="21" xfId="0" applyFont="1" applyFill="1" applyBorder="1"/>
    <xf numFmtId="0" fontId="10" fillId="2" borderId="22" xfId="0" applyFont="1" applyFill="1" applyBorder="1"/>
    <xf numFmtId="0" fontId="10" fillId="2" borderId="23" xfId="0" applyFont="1" applyFill="1" applyBorder="1"/>
    <xf numFmtId="0" fontId="14" fillId="2" borderId="24" xfId="0" applyFont="1" applyFill="1" applyBorder="1" applyAlignment="1">
      <alignment vertical="center"/>
    </xf>
    <xf numFmtId="0" fontId="10" fillId="2" borderId="5" xfId="0" applyFont="1" applyFill="1" applyBorder="1" applyAlignment="1">
      <alignment horizontal="center" vertical="center"/>
    </xf>
    <xf numFmtId="0" fontId="10" fillId="2" borderId="8" xfId="0" applyFont="1" applyFill="1" applyBorder="1" applyAlignment="1">
      <alignment horizontal="center" vertical="center"/>
    </xf>
    <xf numFmtId="2" fontId="10" fillId="3" borderId="1" xfId="0" applyNumberFormat="1" applyFont="1" applyFill="1" applyBorder="1" applyAlignment="1">
      <alignment horizontal="center" vertical="center"/>
    </xf>
    <xf numFmtId="0" fontId="10" fillId="2" borderId="13" xfId="0" applyFont="1" applyFill="1" applyBorder="1" applyAlignment="1">
      <alignment horizontal="left" vertical="center"/>
    </xf>
    <xf numFmtId="0" fontId="10" fillId="2" borderId="0" xfId="0" applyFont="1" applyFill="1" applyAlignment="1">
      <alignment horizontal="left" vertical="center"/>
    </xf>
    <xf numFmtId="0" fontId="10" fillId="2" borderId="0" xfId="0" applyFont="1" applyFill="1" applyAlignment="1">
      <alignment vertical="center"/>
    </xf>
    <xf numFmtId="164" fontId="10" fillId="0" borderId="1" xfId="0" applyNumberFormat="1" applyFont="1" applyBorder="1" applyAlignment="1">
      <alignment horizontal="center" vertical="center"/>
    </xf>
    <xf numFmtId="0" fontId="12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3" fillId="0" borderId="0" xfId="1" applyFont="1" applyAlignment="1">
      <alignment horizontal="right" vertical="center"/>
    </xf>
    <xf numFmtId="1" fontId="10" fillId="2" borderId="1" xfId="4" applyNumberFormat="1" applyFont="1" applyFill="1" applyBorder="1" applyAlignment="1" applyProtection="1">
      <alignment horizontal="center" vertical="center"/>
      <protection locked="0"/>
    </xf>
    <xf numFmtId="164" fontId="10" fillId="2" borderId="0" xfId="0" applyNumberFormat="1" applyFont="1" applyFill="1" applyAlignment="1">
      <alignment horizontal="center" vertical="center"/>
    </xf>
    <xf numFmtId="0" fontId="34" fillId="3" borderId="1" xfId="0" applyFont="1" applyFill="1" applyBorder="1" applyAlignment="1">
      <alignment horizontal="center" vertical="center"/>
    </xf>
    <xf numFmtId="2" fontId="10" fillId="2" borderId="0" xfId="0" applyNumberFormat="1" applyFont="1" applyFill="1"/>
    <xf numFmtId="164" fontId="1" fillId="2" borderId="1" xfId="0" applyNumberFormat="1" applyFont="1" applyFill="1" applyBorder="1" applyAlignment="1">
      <alignment horizontal="center" vertical="center"/>
    </xf>
    <xf numFmtId="164" fontId="10" fillId="2" borderId="1" xfId="0" applyNumberFormat="1" applyFont="1" applyFill="1" applyBorder="1" applyAlignment="1">
      <alignment horizontal="center"/>
    </xf>
    <xf numFmtId="0" fontId="16" fillId="2" borderId="8" xfId="0" applyFont="1" applyFill="1" applyBorder="1" applyAlignment="1">
      <alignment horizontal="left" vertical="center"/>
    </xf>
    <xf numFmtId="172" fontId="14" fillId="2" borderId="0" xfId="0" applyNumberFormat="1" applyFont="1" applyFill="1" applyAlignment="1" applyProtection="1">
      <alignment horizontal="center" vertical="center"/>
      <protection locked="0"/>
    </xf>
    <xf numFmtId="164" fontId="14" fillId="2" borderId="0" xfId="0" applyNumberFormat="1" applyFont="1" applyFill="1" applyAlignment="1" applyProtection="1">
      <alignment horizontal="right" vertical="center"/>
      <protection locked="0"/>
    </xf>
    <xf numFmtId="0" fontId="35" fillId="2" borderId="0" xfId="0" applyFont="1" applyFill="1" applyAlignment="1">
      <alignment horizontal="left" vertical="center"/>
    </xf>
    <xf numFmtId="2" fontId="8" fillId="2" borderId="1" xfId="0" applyNumberFormat="1" applyFont="1" applyFill="1" applyBorder="1" applyAlignment="1" applyProtection="1">
      <alignment horizontal="center" vertical="center"/>
      <protection locked="0"/>
    </xf>
    <xf numFmtId="164" fontId="8" fillId="2" borderId="1" xfId="0" applyNumberFormat="1" applyFont="1" applyFill="1" applyBorder="1" applyAlignment="1" applyProtection="1">
      <alignment horizontal="center" vertical="center"/>
      <protection locked="0"/>
    </xf>
    <xf numFmtId="14" fontId="10" fillId="2" borderId="14" xfId="1" applyNumberFormat="1" applyFont="1" applyFill="1" applyBorder="1" applyAlignment="1">
      <alignment vertical="center"/>
    </xf>
    <xf numFmtId="0" fontId="10" fillId="2" borderId="14" xfId="0" applyFont="1" applyFill="1" applyBorder="1" applyAlignment="1">
      <alignment vertical="center"/>
    </xf>
    <xf numFmtId="0" fontId="0" fillId="2" borderId="2" xfId="0" applyFill="1" applyBorder="1"/>
    <xf numFmtId="0" fontId="0" fillId="2" borderId="3" xfId="0" applyFill="1" applyBorder="1"/>
    <xf numFmtId="0" fontId="0" fillId="2" borderId="3" xfId="0" applyFill="1" applyBorder="1" applyAlignment="1">
      <alignment horizontal="center"/>
    </xf>
    <xf numFmtId="0" fontId="0" fillId="2" borderId="0" xfId="0" applyFill="1" applyAlignment="1">
      <alignment horizontal="center"/>
    </xf>
    <xf numFmtId="174" fontId="8" fillId="2" borderId="0" xfId="0" applyNumberFormat="1" applyFont="1" applyFill="1" applyAlignment="1">
      <alignment horizontal="left" vertical="center"/>
    </xf>
    <xf numFmtId="177" fontId="8" fillId="2" borderId="0" xfId="0" applyNumberFormat="1" applyFont="1" applyFill="1" applyAlignment="1">
      <alignment horizontal="left" vertical="center"/>
    </xf>
    <xf numFmtId="0" fontId="6" fillId="2" borderId="0" xfId="0" applyFont="1" applyFill="1" applyAlignment="1">
      <alignment vertical="top"/>
    </xf>
    <xf numFmtId="2" fontId="28" fillId="2" borderId="1" xfId="0" applyNumberFormat="1" applyFont="1" applyFill="1" applyBorder="1" applyAlignment="1">
      <alignment horizontal="center" vertical="center"/>
    </xf>
    <xf numFmtId="0" fontId="28" fillId="2" borderId="1" xfId="0" applyFont="1" applyFill="1" applyBorder="1" applyAlignment="1">
      <alignment horizontal="center" vertical="center"/>
    </xf>
    <xf numFmtId="0" fontId="10" fillId="2" borderId="0" xfId="0" quotePrefix="1" applyFont="1" applyFill="1" applyAlignment="1">
      <alignment vertical="center" wrapText="1"/>
    </xf>
    <xf numFmtId="0" fontId="25" fillId="2" borderId="0" xfId="1" quotePrefix="1" applyFont="1" applyFill="1" applyAlignment="1">
      <alignment vertical="center" wrapText="1"/>
    </xf>
    <xf numFmtId="0" fontId="36" fillId="2" borderId="25" xfId="0" applyFont="1" applyFill="1" applyBorder="1" applyAlignment="1">
      <alignment horizontal="center" vertical="center"/>
    </xf>
    <xf numFmtId="3" fontId="8" fillId="2" borderId="1" xfId="0" applyNumberFormat="1" applyFont="1" applyFill="1" applyBorder="1" applyAlignment="1">
      <alignment horizontal="center" vertical="center"/>
    </xf>
    <xf numFmtId="176" fontId="28" fillId="3" borderId="5" xfId="0" applyNumberFormat="1" applyFont="1" applyFill="1" applyBorder="1" applyAlignment="1">
      <alignment horizontal="center" vertical="center" wrapText="1"/>
    </xf>
    <xf numFmtId="0" fontId="8" fillId="2" borderId="0" xfId="0" applyFont="1" applyFill="1" applyAlignment="1" applyProtection="1">
      <alignment vertical="center" wrapText="1"/>
      <protection locked="0"/>
    </xf>
    <xf numFmtId="0" fontId="1" fillId="2" borderId="0" xfId="0" applyFont="1" applyFill="1" applyBorder="1" applyAlignment="1">
      <alignment vertical="center"/>
    </xf>
    <xf numFmtId="0" fontId="2" fillId="2" borderId="0" xfId="0" applyFont="1" applyFill="1" applyBorder="1" applyAlignment="1">
      <alignment vertical="center"/>
    </xf>
    <xf numFmtId="0" fontId="38" fillId="2" borderId="1" xfId="0" applyFont="1" applyFill="1" applyBorder="1" applyAlignment="1">
      <alignment horizontal="center" vertical="center"/>
    </xf>
    <xf numFmtId="0" fontId="38" fillId="2" borderId="1" xfId="0" applyFont="1" applyFill="1" applyBorder="1" applyAlignment="1">
      <alignment horizontal="center" vertical="center" wrapText="1"/>
    </xf>
    <xf numFmtId="0" fontId="39" fillId="2" borderId="1" xfId="0" applyFont="1" applyFill="1" applyBorder="1" applyAlignment="1">
      <alignment horizontal="center" vertical="center"/>
    </xf>
    <xf numFmtId="180" fontId="10" fillId="2" borderId="12" xfId="0" applyNumberFormat="1" applyFont="1" applyFill="1" applyBorder="1" applyAlignment="1">
      <alignment horizontal="center" vertical="center" wrapText="1"/>
    </xf>
    <xf numFmtId="1" fontId="10" fillId="2" borderId="1" xfId="0" applyNumberFormat="1" applyFont="1" applyFill="1" applyBorder="1" applyAlignment="1">
      <alignment horizontal="center" vertical="center"/>
    </xf>
    <xf numFmtId="0" fontId="14" fillId="2" borderId="5" xfId="0" applyFont="1" applyFill="1" applyBorder="1" applyAlignment="1">
      <alignment horizontal="center" vertical="center" wrapText="1"/>
    </xf>
    <xf numFmtId="0" fontId="14" fillId="2" borderId="13" xfId="0" applyFont="1" applyFill="1" applyBorder="1" applyAlignment="1">
      <alignment horizontal="center" vertical="center" wrapText="1"/>
    </xf>
    <xf numFmtId="0" fontId="14" fillId="2" borderId="6" xfId="0" applyFont="1" applyFill="1" applyBorder="1" applyAlignment="1">
      <alignment horizontal="center" vertical="center" wrapText="1"/>
    </xf>
    <xf numFmtId="1" fontId="8" fillId="2" borderId="1" xfId="0" applyNumberFormat="1" applyFont="1" applyFill="1" applyBorder="1" applyAlignment="1">
      <alignment horizontal="center" vertical="center"/>
    </xf>
    <xf numFmtId="180" fontId="10" fillId="2" borderId="1" xfId="0" applyNumberFormat="1" applyFont="1" applyFill="1" applyBorder="1" applyAlignment="1">
      <alignment horizontal="center" vertical="center" wrapText="1"/>
    </xf>
    <xf numFmtId="179" fontId="25" fillId="2" borderId="12" xfId="0" applyNumberFormat="1" applyFont="1" applyFill="1" applyBorder="1" applyAlignment="1">
      <alignment horizontal="center" vertical="center" wrapText="1"/>
    </xf>
    <xf numFmtId="1" fontId="10" fillId="2" borderId="12" xfId="0" applyNumberFormat="1" applyFont="1" applyFill="1" applyBorder="1" applyAlignment="1">
      <alignment horizontal="center" vertical="center"/>
    </xf>
    <xf numFmtId="0" fontId="14" fillId="4" borderId="1" xfId="0" applyFont="1" applyFill="1" applyBorder="1" applyAlignment="1">
      <alignment horizontal="center" vertical="center" wrapText="1"/>
    </xf>
    <xf numFmtId="0" fontId="40" fillId="4" borderId="1" xfId="0" applyFont="1" applyFill="1" applyBorder="1" applyAlignment="1">
      <alignment horizontal="center" vertical="center" wrapText="1"/>
    </xf>
    <xf numFmtId="14" fontId="10" fillId="2" borderId="1" xfId="0" applyNumberFormat="1" applyFont="1" applyFill="1" applyBorder="1" applyAlignment="1">
      <alignment horizontal="center" vertical="center" wrapText="1"/>
    </xf>
    <xf numFmtId="2" fontId="10" fillId="2" borderId="1" xfId="0" applyNumberFormat="1" applyFont="1" applyFill="1" applyBorder="1" applyAlignment="1">
      <alignment horizontal="center" vertical="center" wrapText="1"/>
    </xf>
    <xf numFmtId="0" fontId="14" fillId="4" borderId="1" xfId="0" applyFont="1" applyFill="1" applyBorder="1" applyAlignment="1" applyProtection="1">
      <alignment horizontal="center" vertical="center" wrapText="1"/>
      <protection locked="0"/>
    </xf>
    <xf numFmtId="0" fontId="12" fillId="2" borderId="0" xfId="0" applyFont="1" applyFill="1" applyBorder="1" applyAlignment="1">
      <alignment horizontal="center" vertical="center" wrapText="1"/>
    </xf>
    <xf numFmtId="0" fontId="16" fillId="2" borderId="0" xfId="0" applyFont="1" applyFill="1" applyBorder="1" applyAlignment="1">
      <alignment horizontal="left" vertical="center"/>
    </xf>
    <xf numFmtId="0" fontId="2" fillId="2" borderId="0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12" fillId="2" borderId="0" xfId="0" applyFont="1" applyFill="1" applyBorder="1" applyAlignment="1">
      <alignment horizontal="left" vertical="center"/>
    </xf>
    <xf numFmtId="0" fontId="4" fillId="2" borderId="0" xfId="0" applyFont="1" applyFill="1" applyBorder="1" applyProtection="1">
      <protection locked="0"/>
    </xf>
    <xf numFmtId="0" fontId="4" fillId="2" borderId="11" xfId="0" applyFont="1" applyFill="1" applyBorder="1" applyProtection="1">
      <protection locked="0"/>
    </xf>
    <xf numFmtId="0" fontId="12" fillId="2" borderId="0" xfId="0" applyFont="1" applyFill="1" applyBorder="1" applyAlignment="1" applyProtection="1">
      <alignment horizontal="center" vertical="center" wrapText="1"/>
      <protection locked="0"/>
    </xf>
    <xf numFmtId="0" fontId="8" fillId="2" borderId="0" xfId="0" applyFont="1" applyFill="1" applyBorder="1" applyAlignment="1" applyProtection="1">
      <alignment vertical="center"/>
      <protection locked="0"/>
    </xf>
    <xf numFmtId="0" fontId="8" fillId="2" borderId="0" xfId="0" applyFont="1" applyFill="1" applyBorder="1" applyAlignment="1" applyProtection="1">
      <alignment vertical="center" wrapText="1"/>
      <protection locked="0"/>
    </xf>
    <xf numFmtId="0" fontId="8" fillId="2" borderId="0" xfId="0" applyFont="1" applyFill="1" applyBorder="1" applyAlignment="1" applyProtection="1">
      <alignment horizontal="center" vertical="center" wrapText="1"/>
      <protection locked="0"/>
    </xf>
    <xf numFmtId="0" fontId="12" fillId="2" borderId="0" xfId="0" applyFont="1" applyFill="1" applyBorder="1" applyAlignment="1">
      <alignment horizontal="right" vertical="center"/>
    </xf>
    <xf numFmtId="1" fontId="8" fillId="2" borderId="0" xfId="0" applyNumberFormat="1" applyFont="1" applyFill="1" applyBorder="1" applyAlignment="1" applyProtection="1">
      <alignment horizontal="left" vertical="center" wrapText="1"/>
      <protection locked="0"/>
    </xf>
    <xf numFmtId="1" fontId="8" fillId="2" borderId="0" xfId="0" applyNumberFormat="1" applyFont="1" applyFill="1" applyBorder="1" applyAlignment="1" applyProtection="1">
      <alignment vertical="center" wrapText="1"/>
      <protection locked="0"/>
    </xf>
    <xf numFmtId="0" fontId="12" fillId="2" borderId="0" xfId="5" applyFont="1" applyFill="1" applyBorder="1" applyAlignment="1">
      <alignment horizontal="left" vertical="center"/>
    </xf>
    <xf numFmtId="0" fontId="31" fillId="2" borderId="0" xfId="0" applyFont="1" applyFill="1" applyBorder="1" applyAlignment="1" applyProtection="1">
      <alignment horizontal="center" vertical="center" wrapText="1"/>
      <protection locked="0"/>
    </xf>
    <xf numFmtId="16" fontId="32" fillId="2" borderId="0" xfId="0" applyNumberFormat="1" applyFont="1" applyFill="1" applyBorder="1" applyAlignment="1">
      <alignment vertical="center"/>
    </xf>
    <xf numFmtId="0" fontId="12" fillId="2" borderId="11" xfId="0" applyFont="1" applyFill="1" applyBorder="1" applyAlignment="1">
      <alignment horizontal="center" vertical="center" wrapText="1"/>
    </xf>
    <xf numFmtId="0" fontId="12" fillId="2" borderId="8" xfId="5" applyFont="1" applyFill="1" applyBorder="1" applyAlignment="1">
      <alignment horizontal="left"/>
    </xf>
    <xf numFmtId="0" fontId="11" fillId="2" borderId="0" xfId="0" applyFont="1" applyFill="1" applyAlignment="1">
      <alignment horizontal="center" vertical="center"/>
    </xf>
    <xf numFmtId="178" fontId="11" fillId="2" borderId="0" xfId="0" applyNumberFormat="1" applyFont="1" applyFill="1" applyAlignment="1" applyProtection="1">
      <alignment horizontal="center"/>
      <protection hidden="1"/>
    </xf>
    <xf numFmtId="0" fontId="2" fillId="4" borderId="1" xfId="0" applyFont="1" applyFill="1" applyBorder="1" applyAlignment="1">
      <alignment horizontal="center"/>
    </xf>
    <xf numFmtId="0" fontId="12" fillId="2" borderId="1" xfId="0" applyFont="1" applyFill="1" applyBorder="1" applyAlignment="1">
      <alignment horizontal="center" vertical="center"/>
    </xf>
    <xf numFmtId="166" fontId="4" fillId="2" borderId="0" xfId="0" applyNumberFormat="1" applyFont="1" applyFill="1" applyAlignment="1" applyProtection="1">
      <alignment horizontal="left"/>
      <protection locked="0"/>
    </xf>
    <xf numFmtId="167" fontId="4" fillId="2" borderId="0" xfId="0" applyNumberFormat="1" applyFont="1" applyFill="1" applyAlignment="1" applyProtection="1">
      <alignment horizontal="left"/>
      <protection locked="0"/>
    </xf>
    <xf numFmtId="0" fontId="14" fillId="2" borderId="5" xfId="0" applyFont="1" applyFill="1" applyBorder="1" applyAlignment="1">
      <alignment horizontal="center" vertical="center" wrapText="1"/>
    </xf>
    <xf numFmtId="0" fontId="14" fillId="2" borderId="13" xfId="0" applyFont="1" applyFill="1" applyBorder="1" applyAlignment="1">
      <alignment horizontal="center" vertical="center" wrapText="1"/>
    </xf>
    <xf numFmtId="0" fontId="14" fillId="2" borderId="6" xfId="0" applyFont="1" applyFill="1" applyBorder="1" applyAlignment="1">
      <alignment horizontal="center" vertical="center" wrapText="1"/>
    </xf>
    <xf numFmtId="176" fontId="8" fillId="2" borderId="2" xfId="0" applyNumberFormat="1" applyFont="1" applyFill="1" applyBorder="1" applyAlignment="1">
      <alignment horizontal="center" vertical="center" wrapText="1"/>
    </xf>
    <xf numFmtId="176" fontId="8" fillId="2" borderId="3" xfId="0" applyNumberFormat="1" applyFont="1" applyFill="1" applyBorder="1" applyAlignment="1">
      <alignment horizontal="center" vertical="center" wrapText="1"/>
    </xf>
    <xf numFmtId="176" fontId="8" fillId="2" borderId="4" xfId="0" applyNumberFormat="1" applyFont="1" applyFill="1" applyBorder="1" applyAlignment="1">
      <alignment horizontal="center" vertical="center" wrapText="1"/>
    </xf>
    <xf numFmtId="0" fontId="12" fillId="2" borderId="2" xfId="0" applyFont="1" applyFill="1" applyBorder="1" applyAlignment="1">
      <alignment horizontal="center" vertical="center" wrapText="1"/>
    </xf>
    <xf numFmtId="0" fontId="12" fillId="2" borderId="4" xfId="0" applyFont="1" applyFill="1" applyBorder="1" applyAlignment="1">
      <alignment horizontal="center" vertical="center" wrapText="1"/>
    </xf>
    <xf numFmtId="1" fontId="8" fillId="2" borderId="2" xfId="0" applyNumberFormat="1" applyFont="1" applyFill="1" applyBorder="1" applyAlignment="1">
      <alignment horizontal="center" vertical="center"/>
    </xf>
    <xf numFmtId="1" fontId="8" fillId="2" borderId="4" xfId="0" applyNumberFormat="1" applyFont="1" applyFill="1" applyBorder="1" applyAlignment="1">
      <alignment horizontal="center" vertical="center"/>
    </xf>
    <xf numFmtId="174" fontId="8" fillId="2" borderId="0" xfId="0" applyNumberFormat="1" applyFont="1" applyFill="1" applyBorder="1" applyAlignment="1">
      <alignment horizontal="left" vertical="center"/>
    </xf>
    <xf numFmtId="174" fontId="8" fillId="2" borderId="11" xfId="0" applyNumberFormat="1" applyFont="1" applyFill="1" applyBorder="1" applyAlignment="1">
      <alignment horizontal="left" vertical="center"/>
    </xf>
    <xf numFmtId="1" fontId="8" fillId="2" borderId="0" xfId="0" applyNumberFormat="1" applyFont="1" applyFill="1" applyBorder="1" applyAlignment="1" applyProtection="1">
      <alignment horizontal="left" vertical="center"/>
      <protection locked="0"/>
    </xf>
    <xf numFmtId="1" fontId="8" fillId="2" borderId="11" xfId="0" applyNumberFormat="1" applyFont="1" applyFill="1" applyBorder="1" applyAlignment="1" applyProtection="1">
      <alignment horizontal="left" vertical="center"/>
      <protection locked="0"/>
    </xf>
    <xf numFmtId="0" fontId="39" fillId="2" borderId="1" xfId="0" applyFont="1" applyFill="1" applyBorder="1" applyAlignment="1">
      <alignment horizontal="center" vertical="center"/>
    </xf>
    <xf numFmtId="0" fontId="38" fillId="2" borderId="1" xfId="0" applyFont="1" applyFill="1" applyBorder="1" applyAlignment="1">
      <alignment horizontal="center" vertical="center"/>
    </xf>
    <xf numFmtId="175" fontId="11" fillId="2" borderId="0" xfId="0" applyNumberFormat="1" applyFont="1" applyFill="1" applyAlignment="1" applyProtection="1">
      <alignment horizontal="center" vertical="center"/>
      <protection locked="0"/>
    </xf>
    <xf numFmtId="0" fontId="12" fillId="2" borderId="3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 applyProtection="1">
      <alignment horizontal="center" vertical="center"/>
      <protection locked="0"/>
    </xf>
    <xf numFmtId="0" fontId="14" fillId="2" borderId="9" xfId="0" applyFont="1" applyFill="1" applyBorder="1" applyAlignment="1">
      <alignment horizontal="center" vertical="center" wrapText="1"/>
    </xf>
    <xf numFmtId="0" fontId="14" fillId="2" borderId="14" xfId="0" applyFont="1" applyFill="1" applyBorder="1" applyAlignment="1">
      <alignment horizontal="center" vertical="center" wrapText="1"/>
    </xf>
    <xf numFmtId="0" fontId="14" fillId="2" borderId="10" xfId="0" applyFont="1" applyFill="1" applyBorder="1" applyAlignment="1">
      <alignment horizontal="center" vertical="center" wrapText="1"/>
    </xf>
    <xf numFmtId="0" fontId="12" fillId="2" borderId="1" xfId="0" applyFont="1" applyFill="1" applyBorder="1" applyAlignment="1">
      <alignment horizontal="center" vertical="center" wrapText="1"/>
    </xf>
    <xf numFmtId="1" fontId="8" fillId="2" borderId="1" xfId="0" applyNumberFormat="1" applyFont="1" applyFill="1" applyBorder="1" applyAlignment="1">
      <alignment horizontal="center" vertical="center"/>
    </xf>
    <xf numFmtId="0" fontId="8" fillId="2" borderId="0" xfId="0" applyFont="1" applyFill="1" applyAlignment="1" applyProtection="1">
      <alignment horizontal="left" vertical="center" wrapText="1"/>
      <protection locked="0"/>
    </xf>
    <xf numFmtId="174" fontId="8" fillId="2" borderId="0" xfId="0" applyNumberFormat="1" applyFont="1" applyFill="1" applyAlignment="1">
      <alignment horizontal="left" vertical="center"/>
    </xf>
    <xf numFmtId="16" fontId="8" fillId="2" borderId="0" xfId="0" applyNumberFormat="1" applyFont="1" applyFill="1" applyAlignment="1">
      <alignment horizontal="left" vertical="center"/>
    </xf>
    <xf numFmtId="173" fontId="28" fillId="2" borderId="1" xfId="0" applyNumberFormat="1" applyFont="1" applyFill="1" applyBorder="1" applyAlignment="1" applyProtection="1">
      <alignment horizontal="center" vertical="center"/>
      <protection locked="0"/>
    </xf>
    <xf numFmtId="169" fontId="28" fillId="3" borderId="1" xfId="0" applyNumberFormat="1" applyFont="1" applyFill="1" applyBorder="1" applyAlignment="1" applyProtection="1">
      <alignment horizontal="center" vertical="center"/>
      <protection locked="0"/>
    </xf>
    <xf numFmtId="1" fontId="28" fillId="2" borderId="1" xfId="0" applyNumberFormat="1" applyFont="1" applyFill="1" applyBorder="1" applyAlignment="1" applyProtection="1">
      <alignment horizontal="center" vertical="center" wrapText="1"/>
      <protection locked="0"/>
    </xf>
    <xf numFmtId="0" fontId="12" fillId="2" borderId="5" xfId="1" applyFont="1" applyFill="1" applyBorder="1" applyAlignment="1">
      <alignment horizontal="center" vertical="center"/>
    </xf>
    <xf numFmtId="0" fontId="12" fillId="2" borderId="13" xfId="1" applyFont="1" applyFill="1" applyBorder="1" applyAlignment="1">
      <alignment horizontal="center" vertical="center"/>
    </xf>
    <xf numFmtId="0" fontId="12" fillId="2" borderId="6" xfId="1" applyFont="1" applyFill="1" applyBorder="1" applyAlignment="1">
      <alignment horizontal="center" vertical="center"/>
    </xf>
    <xf numFmtId="0" fontId="12" fillId="2" borderId="9" xfId="1" applyFont="1" applyFill="1" applyBorder="1" applyAlignment="1">
      <alignment horizontal="center" vertical="center"/>
    </xf>
    <xf numFmtId="0" fontId="12" fillId="2" borderId="14" xfId="1" applyFont="1" applyFill="1" applyBorder="1" applyAlignment="1">
      <alignment horizontal="center" vertical="center"/>
    </xf>
    <xf numFmtId="0" fontId="12" fillId="2" borderId="10" xfId="1" applyFont="1" applyFill="1" applyBorder="1" applyAlignment="1">
      <alignment horizontal="center" vertical="center"/>
    </xf>
    <xf numFmtId="0" fontId="14" fillId="2" borderId="2" xfId="0" applyFont="1" applyFill="1" applyBorder="1" applyAlignment="1">
      <alignment horizontal="center" vertical="center"/>
    </xf>
    <xf numFmtId="0" fontId="14" fillId="2" borderId="3" xfId="0" applyFont="1" applyFill="1" applyBorder="1" applyAlignment="1">
      <alignment horizontal="center" vertical="center"/>
    </xf>
    <xf numFmtId="0" fontId="14" fillId="2" borderId="4" xfId="0" applyFont="1" applyFill="1" applyBorder="1" applyAlignment="1">
      <alignment horizontal="center" vertical="center"/>
    </xf>
    <xf numFmtId="0" fontId="14" fillId="0" borderId="7" xfId="0" applyFont="1" applyBorder="1" applyAlignment="1">
      <alignment horizontal="center" vertical="center" wrapText="1"/>
    </xf>
    <xf numFmtId="0" fontId="14" fillId="0" borderId="12" xfId="0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164" fontId="28" fillId="3" borderId="1" xfId="0" applyNumberFormat="1" applyFont="1" applyFill="1" applyBorder="1" applyAlignment="1">
      <alignment horizontal="center" vertical="center"/>
    </xf>
    <xf numFmtId="0" fontId="28" fillId="3" borderId="1" xfId="0" applyFont="1" applyFill="1" applyBorder="1" applyAlignment="1">
      <alignment horizontal="center" vertical="center" wrapText="1"/>
    </xf>
    <xf numFmtId="1" fontId="14" fillId="0" borderId="1" xfId="0" applyNumberFormat="1" applyFont="1" applyBorder="1" applyAlignment="1" applyProtection="1">
      <alignment horizontal="center" vertical="center" wrapText="1"/>
      <protection locked="0"/>
    </xf>
    <xf numFmtId="0" fontId="10" fillId="2" borderId="5" xfId="0" applyFont="1" applyFill="1" applyBorder="1" applyAlignment="1">
      <alignment horizontal="center" vertical="center" wrapText="1"/>
    </xf>
    <xf numFmtId="0" fontId="10" fillId="2" borderId="13" xfId="0" applyFont="1" applyFill="1" applyBorder="1" applyAlignment="1">
      <alignment horizontal="center" vertical="center" wrapText="1"/>
    </xf>
    <xf numFmtId="0" fontId="10" fillId="2" borderId="6" xfId="0" applyFont="1" applyFill="1" applyBorder="1" applyAlignment="1">
      <alignment horizontal="center" vertical="center" wrapText="1"/>
    </xf>
    <xf numFmtId="0" fontId="10" fillId="2" borderId="8" xfId="0" applyFont="1" applyFill="1" applyBorder="1" applyAlignment="1">
      <alignment horizontal="center" vertical="center" wrapText="1"/>
    </xf>
    <xf numFmtId="0" fontId="10" fillId="2" borderId="0" xfId="0" applyFont="1" applyFill="1" applyAlignment="1">
      <alignment horizontal="center" vertical="center" wrapText="1"/>
    </xf>
    <xf numFmtId="0" fontId="10" fillId="2" borderId="11" xfId="0" applyFont="1" applyFill="1" applyBorder="1" applyAlignment="1">
      <alignment horizontal="center" vertical="center" wrapText="1"/>
    </xf>
    <xf numFmtId="0" fontId="10" fillId="2" borderId="9" xfId="0" applyFont="1" applyFill="1" applyBorder="1" applyAlignment="1">
      <alignment horizontal="center" vertical="center" wrapText="1"/>
    </xf>
    <xf numFmtId="0" fontId="10" fillId="2" borderId="14" xfId="0" applyFont="1" applyFill="1" applyBorder="1" applyAlignment="1">
      <alignment horizontal="center" vertical="center" wrapText="1"/>
    </xf>
    <xf numFmtId="0" fontId="10" fillId="2" borderId="10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/>
    </xf>
  </cellXfs>
  <cellStyles count="6">
    <cellStyle name="Normal" xfId="0" builtinId="0"/>
    <cellStyle name="Normal 2 2" xfId="1" xr:uid="{9DAD18C5-CA70-449B-936B-B93EDD206E49}"/>
    <cellStyle name="Normal 4" xfId="2" xr:uid="{F1AB9C58-C0EF-4457-B684-ECD76DB27E77}"/>
    <cellStyle name="Normal 6" xfId="3" xr:uid="{3F82C259-7525-4AEC-8E51-FF2051182A69}"/>
    <cellStyle name="Normal_ABG-01" xfId="4" xr:uid="{710D9DC9-24AB-447F-B393-7E4B83825A2C}"/>
    <cellStyle name="Normal_ENSAYOS" xfId="5" xr:uid="{42AD3258-66EC-4822-B13E-460FDFBA5069}"/>
  </cellStyles>
  <dxfs count="2">
    <dxf>
      <font>
        <b/>
        <i val="0"/>
        <color rgb="FFC00000"/>
      </font>
    </dxf>
    <dxf>
      <alignment horizontal="center" vertical="center" textRotation="0" wrapText="1" indent="0" justifyLastLine="0" shrinkToFit="0" readingOrder="0"/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0</xdr:row>
      <xdr:rowOff>19048</xdr:rowOff>
    </xdr:from>
    <xdr:to>
      <xdr:col>6</xdr:col>
      <xdr:colOff>22860</xdr:colOff>
      <xdr:row>0</xdr:row>
      <xdr:rowOff>522291</xdr:rowOff>
    </xdr:to>
    <xdr:pic>
      <xdr:nvPicPr>
        <xdr:cNvPr id="2" name="Imagen 7">
          <a:extLst>
            <a:ext uri="{FF2B5EF4-FFF2-40B4-BE49-F238E27FC236}">
              <a16:creationId xmlns:a16="http://schemas.microsoft.com/office/drawing/2014/main" id="{A86288CB-0B1D-7A9A-137B-EADF444916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19048"/>
          <a:ext cx="716280" cy="5032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530627</xdr:colOff>
      <xdr:row>37</xdr:row>
      <xdr:rowOff>180109</xdr:rowOff>
    </xdr:from>
    <xdr:to>
      <xdr:col>9</xdr:col>
      <xdr:colOff>239042</xdr:colOff>
      <xdr:row>42</xdr:row>
      <xdr:rowOff>88939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AAFBB2CC-7DD4-4B9B-87D5-AC091C25BF2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875" t="14008" r="10875" b="9598"/>
        <a:stretch/>
      </xdr:blipFill>
      <xdr:spPr bwMode="auto">
        <a:xfrm>
          <a:off x="4465318" y="8769927"/>
          <a:ext cx="1100797" cy="10864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209550</xdr:colOff>
      <xdr:row>24</xdr:row>
      <xdr:rowOff>28575</xdr:rowOff>
    </xdr:from>
    <xdr:to>
      <xdr:col>24</xdr:col>
      <xdr:colOff>428625</xdr:colOff>
      <xdr:row>32</xdr:row>
      <xdr:rowOff>171450</xdr:rowOff>
    </xdr:to>
    <xdr:pic>
      <xdr:nvPicPr>
        <xdr:cNvPr id="357785" name="Imagen 1">
          <a:extLst>
            <a:ext uri="{FF2B5EF4-FFF2-40B4-BE49-F238E27FC236}">
              <a16:creationId xmlns:a16="http://schemas.microsoft.com/office/drawing/2014/main" id="{570B3790-B6F9-1A37-0613-1742409EBE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91950" y="4810125"/>
          <a:ext cx="4819650" cy="2066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95250</xdr:colOff>
      <xdr:row>10</xdr:row>
      <xdr:rowOff>114300</xdr:rowOff>
    </xdr:from>
    <xdr:to>
      <xdr:col>8</xdr:col>
      <xdr:colOff>247650</xdr:colOff>
      <xdr:row>22</xdr:row>
      <xdr:rowOff>9525</xdr:rowOff>
    </xdr:to>
    <xdr:pic>
      <xdr:nvPicPr>
        <xdr:cNvPr id="1018925" name="24 Imagen">
          <a:extLst>
            <a:ext uri="{FF2B5EF4-FFF2-40B4-BE49-F238E27FC236}">
              <a16:creationId xmlns:a16="http://schemas.microsoft.com/office/drawing/2014/main" id="{987C3920-20B2-1C6B-B5E2-425FA14AC3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85900" y="2295525"/>
          <a:ext cx="5819775" cy="1838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2A6CA7A-33EE-4750-A146-614242834573}" name="Tabla2" displayName="Tabla2" ref="B3:J4" insertRow="1" totalsRowShown="0" headerRowDxfId="1">
  <autoFilter ref="B3:J4" xr:uid="{05752631-69EB-4334-BBD8-99CE9B5403DA}"/>
  <tableColumns count="9">
    <tableColumn id="1" xr3:uid="{00000000-0010-0000-0100-000001000000}" name="Código muestra                 LEM"/>
    <tableColumn id="2" xr3:uid="{00000000-0010-0000-0100-000002000000}" name="Código cliente"/>
    <tableColumn id="3" xr3:uid="{00000000-0010-0000-0100-000003000000}" name="Diámetro promedio (mm)"/>
    <tableColumn id="4" xr3:uid="{00000000-0010-0000-0100-000004000000}" name="Longitud promedio (mm)"/>
    <tableColumn id="5" xr3:uid="{00000000-0010-0000-0100-000005000000}" name="Área sección transversal (mm2)"/>
    <tableColumn id="6" xr3:uid="{00000000-0010-0000-0100-000006000000}" name="Carga                      Máxima                  (kN)              "/>
    <tableColumn id="7" xr3:uid="{00000000-0010-0000-0100-000007000000}" name="Resistencia Compresión   (Mpa)"/>
    <tableColumn id="8" xr3:uid="{00000000-0010-0000-0100-000008000000}" name="Densidad                      muestra (kg/m3)"/>
    <tableColumn id="9" xr3:uid="{00000000-0010-0000-0100-000009000000}" name="Tipo                   fractura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28575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28575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Relationship Id="rId4" Type="http://schemas.openxmlformats.org/officeDocument/2006/relationships/vmlDrawing" Target="../drawings/vmlDrawing3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78CF61-0E2D-4589-BE67-B20C10249E1E}">
  <dimension ref="A1:L24"/>
  <sheetViews>
    <sheetView tabSelected="1" workbookViewId="0">
      <selection activeCell="L14" sqref="L14"/>
    </sheetView>
  </sheetViews>
  <sheetFormatPr baseColWidth="10" defaultColWidth="11.5546875" defaultRowHeight="13.2" x14ac:dyDescent="0.25"/>
  <cols>
    <col min="1" max="1" width="28.109375" style="18" customWidth="1"/>
    <col min="2" max="2" width="26.109375" style="18" customWidth="1"/>
    <col min="3" max="3" width="10.109375" style="18" customWidth="1"/>
    <col min="4" max="4" width="10.109375" style="161" customWidth="1"/>
    <col min="5" max="5" width="10.6640625" style="161" customWidth="1"/>
    <col min="6" max="12" width="10.109375" style="18" customWidth="1"/>
    <col min="13" max="16384" width="11.5546875" style="18"/>
  </cols>
  <sheetData>
    <row r="1" spans="1:12" ht="43.2" customHeight="1" x14ac:dyDescent="0.25">
      <c r="A1" s="158"/>
      <c r="B1" s="159"/>
      <c r="C1" s="159"/>
      <c r="D1" s="160"/>
      <c r="E1" s="160"/>
      <c r="F1" s="159"/>
      <c r="G1" s="159"/>
      <c r="H1" s="159"/>
      <c r="I1" s="159"/>
      <c r="J1" s="159"/>
      <c r="K1" s="159"/>
      <c r="L1" s="26"/>
    </row>
    <row r="2" spans="1:12" ht="14.4" customHeight="1" x14ac:dyDescent="0.25"/>
    <row r="3" spans="1:12" ht="14.4" customHeight="1" x14ac:dyDescent="0.25">
      <c r="A3" s="211" t="s">
        <v>18</v>
      </c>
      <c r="B3" s="211"/>
      <c r="C3" s="211"/>
      <c r="D3" s="211"/>
      <c r="E3" s="211"/>
      <c r="F3" s="211"/>
      <c r="G3" s="211"/>
      <c r="H3" s="211"/>
      <c r="I3" s="211"/>
      <c r="J3" s="211"/>
      <c r="K3" s="211"/>
      <c r="L3" s="211"/>
    </row>
    <row r="4" spans="1:12" ht="14.4" customHeight="1" x14ac:dyDescent="0.25">
      <c r="A4" s="212" t="s">
        <v>117</v>
      </c>
      <c r="B4" s="212"/>
      <c r="C4" s="212"/>
      <c r="D4" s="212"/>
      <c r="E4" s="212"/>
      <c r="F4" s="212"/>
      <c r="G4" s="212"/>
      <c r="H4" s="212"/>
      <c r="I4" s="212"/>
      <c r="J4" s="212"/>
      <c r="K4" s="212"/>
      <c r="L4" s="212"/>
    </row>
    <row r="5" spans="1:12" ht="14.4" customHeight="1" x14ac:dyDescent="0.25"/>
    <row r="6" spans="1:12" x14ac:dyDescent="0.25">
      <c r="A6" s="76" t="s">
        <v>20</v>
      </c>
      <c r="B6" s="76" t="s">
        <v>123</v>
      </c>
      <c r="L6" s="83"/>
    </row>
    <row r="7" spans="1:12" x14ac:dyDescent="0.25">
      <c r="A7" s="76" t="s">
        <v>125</v>
      </c>
      <c r="B7" s="76" t="s">
        <v>127</v>
      </c>
      <c r="L7" s="83"/>
    </row>
    <row r="8" spans="1:12" x14ac:dyDescent="0.25">
      <c r="A8" s="76" t="s">
        <v>21</v>
      </c>
      <c r="B8" s="76" t="s">
        <v>124</v>
      </c>
    </row>
    <row r="9" spans="1:12" x14ac:dyDescent="0.25">
      <c r="A9" s="76" t="s">
        <v>22</v>
      </c>
      <c r="B9" s="76" t="s">
        <v>128</v>
      </c>
    </row>
    <row r="10" spans="1:12" x14ac:dyDescent="0.25">
      <c r="L10" s="83"/>
    </row>
    <row r="11" spans="1:12" x14ac:dyDescent="0.25">
      <c r="L11" s="80"/>
    </row>
    <row r="12" spans="1:12" x14ac:dyDescent="0.25">
      <c r="A12" s="213" t="s">
        <v>153</v>
      </c>
      <c r="B12" s="213"/>
      <c r="C12" s="213"/>
      <c r="D12" s="213"/>
      <c r="E12" s="213"/>
      <c r="F12" s="213" t="s">
        <v>154</v>
      </c>
      <c r="G12" s="213"/>
      <c r="H12" s="213"/>
      <c r="I12" s="213"/>
      <c r="J12" s="213"/>
      <c r="K12" s="213"/>
      <c r="L12" s="213"/>
    </row>
    <row r="13" spans="1:12" ht="47.4" customHeight="1" x14ac:dyDescent="0.25">
      <c r="A13" s="187" t="s">
        <v>144</v>
      </c>
      <c r="B13" s="187" t="s">
        <v>148</v>
      </c>
      <c r="C13" s="188" t="s">
        <v>118</v>
      </c>
      <c r="D13" s="187" t="s">
        <v>151</v>
      </c>
      <c r="E13" s="187" t="s">
        <v>152</v>
      </c>
      <c r="F13" s="191" t="s">
        <v>39</v>
      </c>
      <c r="G13" s="191" t="s">
        <v>40</v>
      </c>
      <c r="H13" s="187" t="s">
        <v>41</v>
      </c>
      <c r="I13" s="187" t="s">
        <v>42</v>
      </c>
      <c r="J13" s="187" t="s">
        <v>43</v>
      </c>
      <c r="K13" s="187" t="s">
        <v>119</v>
      </c>
      <c r="L13" s="187" t="s">
        <v>34</v>
      </c>
    </row>
    <row r="14" spans="1:12" ht="37.200000000000003" customHeight="1" x14ac:dyDescent="0.25">
      <c r="A14" s="185" t="s">
        <v>145</v>
      </c>
      <c r="B14" s="178" t="s">
        <v>149</v>
      </c>
      <c r="C14" s="186">
        <v>210</v>
      </c>
      <c r="D14" s="178">
        <v>46202</v>
      </c>
      <c r="E14" s="189">
        <v>46209</v>
      </c>
      <c r="F14" s="190">
        <v>150.30000000000001</v>
      </c>
      <c r="G14" s="19">
        <v>150.6</v>
      </c>
      <c r="H14" s="19">
        <v>300.2</v>
      </c>
      <c r="I14" s="19">
        <v>300.60000000000002</v>
      </c>
      <c r="J14" s="19">
        <v>300.2</v>
      </c>
      <c r="K14" s="19">
        <v>392.4</v>
      </c>
      <c r="L14" s="179">
        <v>2</v>
      </c>
    </row>
    <row r="15" spans="1:12" ht="37.200000000000003" customHeight="1" x14ac:dyDescent="0.25">
      <c r="A15" s="185" t="s">
        <v>146</v>
      </c>
      <c r="B15" s="184" t="s">
        <v>150</v>
      </c>
      <c r="C15" s="179">
        <v>210</v>
      </c>
      <c r="D15" s="178">
        <v>46202</v>
      </c>
      <c r="E15" s="189">
        <v>46209</v>
      </c>
      <c r="F15" s="190">
        <v>150.1</v>
      </c>
      <c r="G15" s="19">
        <v>150.30000000000001</v>
      </c>
      <c r="H15" s="19">
        <v>300.39999999999998</v>
      </c>
      <c r="I15" s="19">
        <v>300.39999999999998</v>
      </c>
      <c r="J15" s="19">
        <v>300.7</v>
      </c>
      <c r="K15" s="19">
        <v>397.1</v>
      </c>
      <c r="L15" s="179">
        <v>2</v>
      </c>
    </row>
    <row r="16" spans="1:12" ht="37.200000000000003" customHeight="1" x14ac:dyDescent="0.25">
      <c r="A16" s="185" t="s">
        <v>147</v>
      </c>
      <c r="B16" s="184" t="s">
        <v>150</v>
      </c>
      <c r="C16" s="179">
        <v>210</v>
      </c>
      <c r="D16" s="178">
        <v>46202</v>
      </c>
      <c r="E16" s="189">
        <v>46209</v>
      </c>
      <c r="F16" s="190">
        <v>150.4</v>
      </c>
      <c r="G16" s="19">
        <v>150.19999999999999</v>
      </c>
      <c r="H16" s="19">
        <v>301.2</v>
      </c>
      <c r="I16" s="19">
        <v>301.2</v>
      </c>
      <c r="J16" s="19">
        <v>300.8</v>
      </c>
      <c r="K16" s="19">
        <v>406.2</v>
      </c>
      <c r="L16" s="179">
        <v>3</v>
      </c>
    </row>
    <row r="17" spans="1:12" ht="25.2" customHeight="1" x14ac:dyDescent="0.25">
      <c r="A17" s="169"/>
      <c r="B17" s="169"/>
      <c r="C17" s="169"/>
      <c r="D17" s="169"/>
      <c r="E17" s="169"/>
      <c r="F17" s="169"/>
      <c r="G17" s="169"/>
      <c r="H17" s="169"/>
      <c r="I17" s="169"/>
      <c r="J17" s="169"/>
      <c r="K17" s="169"/>
      <c r="L17" s="169"/>
    </row>
    <row r="18" spans="1:12" ht="25.2" customHeight="1" x14ac:dyDescent="0.25">
      <c r="A18" s="169"/>
      <c r="B18" s="169"/>
      <c r="C18" s="169"/>
      <c r="D18" s="169"/>
      <c r="E18" s="169"/>
      <c r="F18" s="169"/>
      <c r="G18" s="169"/>
      <c r="H18" s="169"/>
      <c r="I18" s="169"/>
      <c r="J18" s="169"/>
      <c r="K18" s="169"/>
      <c r="L18" s="169"/>
    </row>
    <row r="19" spans="1:12" ht="25.2" customHeight="1" x14ac:dyDescent="0.25">
      <c r="A19" s="169"/>
      <c r="B19" s="169"/>
      <c r="C19" s="169"/>
      <c r="D19" s="169"/>
      <c r="E19" s="169"/>
      <c r="F19" s="169"/>
      <c r="G19" s="169"/>
      <c r="H19" s="169"/>
      <c r="I19" s="169"/>
      <c r="J19" s="169"/>
      <c r="K19" s="169"/>
      <c r="L19" s="169"/>
    </row>
    <row r="20" spans="1:12" ht="25.2" customHeight="1" x14ac:dyDescent="0.25">
      <c r="A20" s="169"/>
      <c r="B20" s="169"/>
      <c r="C20" s="169"/>
      <c r="D20" s="169"/>
      <c r="E20" s="169"/>
      <c r="F20" s="169"/>
      <c r="G20" s="169"/>
      <c r="H20" s="169"/>
      <c r="I20" s="169"/>
      <c r="J20" s="169"/>
      <c r="K20" s="169"/>
      <c r="L20" s="169"/>
    </row>
    <row r="21" spans="1:12" ht="25.2" customHeight="1" x14ac:dyDescent="0.25">
      <c r="A21" s="169"/>
      <c r="B21" s="169"/>
      <c r="C21" s="169"/>
      <c r="D21" s="169"/>
      <c r="E21" s="169"/>
      <c r="F21" s="169"/>
      <c r="G21" s="169"/>
      <c r="H21" s="169"/>
      <c r="I21" s="169"/>
      <c r="J21" s="169"/>
      <c r="K21" s="169"/>
      <c r="L21" s="169"/>
    </row>
    <row r="22" spans="1:12" ht="25.2" customHeight="1" x14ac:dyDescent="0.25">
      <c r="A22" s="169"/>
      <c r="B22" s="169"/>
      <c r="C22" s="169"/>
      <c r="D22" s="169"/>
      <c r="E22" s="169"/>
      <c r="F22" s="169"/>
      <c r="G22" s="169"/>
      <c r="H22" s="169"/>
      <c r="I22" s="169"/>
      <c r="J22" s="169"/>
      <c r="K22" s="169"/>
      <c r="L22" s="169"/>
    </row>
    <row r="23" spans="1:12" ht="25.2" customHeight="1" x14ac:dyDescent="0.25">
      <c r="A23" s="169"/>
      <c r="B23" s="169"/>
      <c r="C23" s="169"/>
      <c r="D23" s="169"/>
      <c r="E23" s="169"/>
      <c r="F23" s="169"/>
      <c r="G23" s="169"/>
      <c r="H23" s="169"/>
      <c r="I23" s="169"/>
      <c r="J23" s="169"/>
      <c r="K23" s="169"/>
      <c r="L23" s="169"/>
    </row>
    <row r="24" spans="1:12" ht="25.2" customHeight="1" x14ac:dyDescent="0.25">
      <c r="A24" s="169"/>
      <c r="B24" s="169"/>
      <c r="C24" s="169"/>
      <c r="D24" s="169"/>
      <c r="E24" s="169"/>
      <c r="F24" s="169"/>
      <c r="G24" s="169"/>
      <c r="H24" s="169"/>
      <c r="I24" s="169"/>
      <c r="J24" s="169"/>
      <c r="K24" s="169"/>
      <c r="L24" s="169"/>
    </row>
  </sheetData>
  <mergeCells count="4">
    <mergeCell ref="A3:L3"/>
    <mergeCell ref="A4:L4"/>
    <mergeCell ref="A12:E12"/>
    <mergeCell ref="F12:L12"/>
  </mergeCells>
  <phoneticPr fontId="37" type="noConversion"/>
  <pageMargins left="0.7" right="0.7" top="0.75" bottom="0.75" header="0.3" footer="0.3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857810-F0FF-49F4-B86C-2656A8FFCA3C}">
  <dimension ref="A1:V51"/>
  <sheetViews>
    <sheetView showGridLines="0" zoomScale="110" zoomScaleNormal="110" zoomScaleSheetLayoutView="100" workbookViewId="0">
      <selection activeCell="R7" sqref="R7"/>
    </sheetView>
  </sheetViews>
  <sheetFormatPr baseColWidth="10" defaultColWidth="10.33203125" defaultRowHeight="13.8" x14ac:dyDescent="0.25"/>
  <cols>
    <col min="1" max="1" width="12.88671875" style="74" customWidth="1"/>
    <col min="2" max="2" width="3.109375" style="74" customWidth="1"/>
    <col min="3" max="3" width="12.109375" style="74" customWidth="1"/>
    <col min="4" max="4" width="6" style="74" customWidth="1"/>
    <col min="5" max="5" width="4.33203125" style="74" customWidth="1"/>
    <col min="6" max="6" width="10.44140625" style="74" customWidth="1"/>
    <col min="7" max="7" width="11" style="74" customWidth="1"/>
    <col min="8" max="8" width="10.109375" style="74" customWidth="1"/>
    <col min="9" max="9" width="10.21875" style="74" customWidth="1"/>
    <col min="10" max="10" width="10.5546875" style="74" customWidth="1"/>
    <col min="11" max="11" width="2.44140625" style="74" customWidth="1"/>
    <col min="12" max="12" width="5.77734375" style="74" customWidth="1"/>
    <col min="13" max="13" width="7.6640625" style="74" customWidth="1"/>
    <col min="14" max="14" width="3.44140625" style="74" customWidth="1"/>
    <col min="15" max="15" width="2.6640625" style="74" customWidth="1"/>
    <col min="16" max="16" width="7.44140625" style="74" customWidth="1"/>
    <col min="17" max="17" width="1.6640625" style="74" customWidth="1"/>
    <col min="18" max="18" width="11.33203125" style="74" bestFit="1" customWidth="1"/>
    <col min="19" max="16384" width="10.33203125" style="74"/>
  </cols>
  <sheetData>
    <row r="1" spans="1:22" ht="12.6" customHeight="1" x14ac:dyDescent="0.25">
      <c r="A1" s="73"/>
      <c r="B1" s="73"/>
      <c r="C1" s="73"/>
      <c r="D1" s="73"/>
      <c r="E1" s="73"/>
      <c r="F1" s="73"/>
      <c r="G1" s="73"/>
      <c r="H1" s="73"/>
      <c r="I1" s="73"/>
      <c r="J1" s="73"/>
      <c r="K1" s="73"/>
      <c r="L1" s="73"/>
      <c r="M1" s="73"/>
    </row>
    <row r="2" spans="1:22" ht="18" customHeight="1" x14ac:dyDescent="0.25">
      <c r="A2" s="211" t="s">
        <v>18</v>
      </c>
      <c r="B2" s="211"/>
      <c r="C2" s="211"/>
      <c r="D2" s="211"/>
      <c r="E2" s="211"/>
      <c r="F2" s="211"/>
      <c r="G2" s="211"/>
      <c r="H2" s="211"/>
      <c r="I2" s="211"/>
      <c r="J2" s="211"/>
      <c r="K2" s="211"/>
      <c r="L2" s="211"/>
      <c r="M2" s="211"/>
    </row>
    <row r="3" spans="1:22" ht="18" customHeight="1" x14ac:dyDescent="0.25">
      <c r="A3" s="233">
        <v>0</v>
      </c>
      <c r="B3" s="233"/>
      <c r="C3" s="233"/>
      <c r="D3" s="233"/>
      <c r="E3" s="233"/>
      <c r="F3" s="233"/>
      <c r="G3" s="233"/>
      <c r="H3" s="233"/>
      <c r="I3" s="233"/>
      <c r="J3" s="233"/>
      <c r="K3" s="233"/>
      <c r="L3" s="233"/>
      <c r="M3" s="233"/>
    </row>
    <row r="4" spans="1:22" ht="15.9" customHeight="1" x14ac:dyDescent="0.25">
      <c r="A4" s="75"/>
      <c r="B4" s="75"/>
      <c r="C4" s="75"/>
      <c r="D4" s="75"/>
      <c r="E4" s="75"/>
      <c r="F4" s="75"/>
      <c r="G4" s="75"/>
      <c r="H4" s="75"/>
      <c r="I4" s="75"/>
      <c r="J4" s="75"/>
      <c r="K4" s="75"/>
      <c r="L4" s="75"/>
      <c r="M4" s="75"/>
    </row>
    <row r="5" spans="1:22" ht="16.95" customHeight="1" x14ac:dyDescent="0.25">
      <c r="A5" s="76" t="s">
        <v>20</v>
      </c>
      <c r="B5" s="77" t="s">
        <v>0</v>
      </c>
      <c r="C5" s="78" t="str">
        <f>+Resumen!B6</f>
        <v>MAKIBER S. A. SUCURSAL PERÚ</v>
      </c>
      <c r="E5" s="78"/>
      <c r="F5" s="78"/>
      <c r="G5" s="78"/>
      <c r="H5" s="78"/>
      <c r="I5" s="78"/>
      <c r="J5" s="80" t="s">
        <v>23</v>
      </c>
      <c r="K5" s="81" t="s">
        <v>0</v>
      </c>
      <c r="L5" s="243" t="s">
        <v>101</v>
      </c>
      <c r="M5" s="243"/>
      <c r="N5" s="82"/>
      <c r="O5" s="82"/>
      <c r="P5" s="82"/>
    </row>
    <row r="6" spans="1:22" ht="16.95" customHeight="1" x14ac:dyDescent="0.25">
      <c r="A6" s="76" t="s">
        <v>126</v>
      </c>
      <c r="B6" s="77" t="s">
        <v>0</v>
      </c>
      <c r="C6" s="78" t="str">
        <f>+Resumen!B7</f>
        <v>WILLIAM BEDRIÑANA CARRASCO</v>
      </c>
      <c r="E6" s="78"/>
      <c r="F6" s="78"/>
      <c r="G6" s="78"/>
      <c r="H6" s="78"/>
      <c r="I6" s="78"/>
      <c r="J6" s="83" t="s">
        <v>27</v>
      </c>
      <c r="K6" s="77" t="s">
        <v>0</v>
      </c>
      <c r="L6" s="242">
        <v>0</v>
      </c>
      <c r="M6" s="242"/>
      <c r="N6" s="82"/>
      <c r="O6" s="82"/>
      <c r="P6" s="82"/>
      <c r="T6" s="84"/>
      <c r="U6" s="85"/>
      <c r="V6" s="86"/>
    </row>
    <row r="7" spans="1:22" ht="33.6" customHeight="1" x14ac:dyDescent="0.25">
      <c r="A7" s="76" t="s">
        <v>21</v>
      </c>
      <c r="B7" s="77" t="s">
        <v>0</v>
      </c>
      <c r="C7" s="241" t="str">
        <f>+Resumen!B8</f>
        <v xml:space="preserve"> MEJORAMIENTO Y AMPLIACION DE LOS SERVICIOS DE SALUD DEL HOSPITAL DE APOYO DE HUANTA DANIEL ALCIDES CARRIÓN, DISTRITO DE HUANTA, PROVINCIA DE HUANTA, DEPARTAMENTO DE AYACUCHO</v>
      </c>
      <c r="D7" s="241"/>
      <c r="E7" s="241"/>
      <c r="F7" s="241"/>
      <c r="G7" s="241"/>
      <c r="H7" s="241"/>
      <c r="I7" s="241"/>
      <c r="J7" s="172"/>
      <c r="K7" s="77"/>
      <c r="L7" s="77"/>
      <c r="M7" s="163"/>
      <c r="N7" s="82"/>
      <c r="O7" s="82"/>
      <c r="P7" s="82"/>
      <c r="S7" s="84"/>
      <c r="T7" s="84"/>
      <c r="U7" s="85"/>
      <c r="V7" s="86"/>
    </row>
    <row r="8" spans="1:22" ht="16.95" customHeight="1" x14ac:dyDescent="0.25">
      <c r="A8" s="76" t="s">
        <v>22</v>
      </c>
      <c r="B8" s="77" t="s">
        <v>0</v>
      </c>
      <c r="C8" s="78" t="str">
        <f>+Resumen!B9</f>
        <v>JR. JULIO CESAR TELLO, DISTRITO DE HUANTA, PROVINCIA DE HUANTA, DEPARTAMENTO DE AYACUCHO</v>
      </c>
      <c r="E8" s="78"/>
      <c r="F8" s="78"/>
      <c r="G8" s="78"/>
      <c r="H8" s="78"/>
      <c r="I8" s="78"/>
      <c r="J8" s="78"/>
      <c r="M8" s="162"/>
      <c r="N8" s="82"/>
      <c r="O8" s="82"/>
      <c r="P8" s="82"/>
      <c r="S8" s="84"/>
      <c r="T8" s="84"/>
      <c r="U8" s="215"/>
      <c r="V8" s="215"/>
    </row>
    <row r="9" spans="1:22" ht="15.9" customHeight="1" x14ac:dyDescent="0.25">
      <c r="A9" s="87" t="s">
        <v>67</v>
      </c>
      <c r="B9" s="87"/>
      <c r="C9" s="88"/>
      <c r="D9" s="89"/>
      <c r="E9" s="89"/>
      <c r="F9" s="79"/>
      <c r="G9" s="78"/>
      <c r="H9" s="78"/>
      <c r="I9" s="78"/>
      <c r="N9" s="82"/>
      <c r="O9" s="82"/>
      <c r="P9" s="82"/>
      <c r="S9" s="84"/>
      <c r="T9" s="84"/>
      <c r="U9" s="216"/>
      <c r="V9" s="216"/>
    </row>
    <row r="10" spans="1:22" ht="7.5" customHeight="1" x14ac:dyDescent="0.25">
      <c r="A10" s="90"/>
      <c r="B10" s="90"/>
      <c r="C10" s="91"/>
      <c r="D10" s="92"/>
      <c r="E10" s="92"/>
      <c r="F10" s="93"/>
      <c r="G10" s="94"/>
      <c r="H10" s="94"/>
      <c r="I10" s="94"/>
      <c r="J10" s="94"/>
      <c r="K10" s="94"/>
      <c r="L10" s="94"/>
      <c r="M10" s="93"/>
      <c r="N10" s="82"/>
      <c r="O10" s="82"/>
      <c r="P10" s="82"/>
      <c r="S10" s="84"/>
      <c r="T10" s="84"/>
      <c r="U10" s="95"/>
      <c r="V10" s="95"/>
    </row>
    <row r="11" spans="1:22" ht="18.75" customHeight="1" x14ac:dyDescent="0.25">
      <c r="A11" s="217" t="s">
        <v>100</v>
      </c>
      <c r="B11" s="218"/>
      <c r="C11" s="218"/>
      <c r="D11" s="218"/>
      <c r="E11" s="218"/>
      <c r="F11" s="218"/>
      <c r="G11" s="218"/>
      <c r="H11" s="218"/>
      <c r="I11" s="218"/>
      <c r="J11" s="218"/>
      <c r="K11" s="218"/>
      <c r="L11" s="218"/>
      <c r="M11" s="219"/>
      <c r="N11" s="82"/>
      <c r="O11" s="82"/>
      <c r="P11" s="82"/>
    </row>
    <row r="12" spans="1:22" ht="15" customHeight="1" x14ac:dyDescent="0.25">
      <c r="A12" s="236" t="s">
        <v>66</v>
      </c>
      <c r="B12" s="237"/>
      <c r="C12" s="237"/>
      <c r="D12" s="237"/>
      <c r="E12" s="237"/>
      <c r="F12" s="237"/>
      <c r="G12" s="237"/>
      <c r="H12" s="237"/>
      <c r="I12" s="237"/>
      <c r="J12" s="237"/>
      <c r="K12" s="237"/>
      <c r="L12" s="237"/>
      <c r="M12" s="238"/>
      <c r="P12" s="82"/>
    </row>
    <row r="13" spans="1:22" ht="6" customHeight="1" x14ac:dyDescent="0.25">
      <c r="A13" s="180"/>
      <c r="B13" s="181"/>
      <c r="C13" s="181"/>
      <c r="D13" s="181"/>
      <c r="E13" s="181"/>
      <c r="F13" s="181"/>
      <c r="G13" s="181"/>
      <c r="H13" s="181"/>
      <c r="I13" s="181"/>
      <c r="J13" s="181"/>
      <c r="K13" s="181"/>
      <c r="L13" s="181"/>
      <c r="M13" s="182"/>
      <c r="P13" s="82"/>
    </row>
    <row r="14" spans="1:22" ht="12" customHeight="1" x14ac:dyDescent="0.25">
      <c r="A14" s="150" t="s">
        <v>85</v>
      </c>
      <c r="B14" s="193"/>
      <c r="C14" s="194"/>
      <c r="D14" s="194"/>
      <c r="E14" s="194"/>
      <c r="F14" s="194"/>
      <c r="G14" s="194"/>
      <c r="H14" s="194"/>
      <c r="I14" s="194"/>
      <c r="J14" s="194"/>
      <c r="K14" s="194"/>
      <c r="L14" s="194"/>
      <c r="M14" s="195"/>
      <c r="P14" s="82"/>
    </row>
    <row r="15" spans="1:22" ht="6.6" customHeight="1" x14ac:dyDescent="0.25">
      <c r="A15" s="96"/>
      <c r="B15" s="196"/>
      <c r="C15" s="194"/>
      <c r="D15" s="194"/>
      <c r="E15" s="194"/>
      <c r="F15" s="194"/>
      <c r="G15" s="194"/>
      <c r="H15" s="194"/>
      <c r="I15" s="194"/>
      <c r="J15" s="197"/>
      <c r="K15" s="197"/>
      <c r="L15" s="197"/>
      <c r="M15" s="198"/>
      <c r="P15" s="82"/>
    </row>
    <row r="16" spans="1:22" ht="17.399999999999999" customHeight="1" x14ac:dyDescent="0.25">
      <c r="A16" s="96" t="s">
        <v>130</v>
      </c>
      <c r="B16" s="199" t="s">
        <v>0</v>
      </c>
      <c r="C16" s="200" t="str">
        <f>+Resumen!B14</f>
        <v>MURO PERIMETRAL</v>
      </c>
      <c r="D16" s="197"/>
      <c r="E16" s="201"/>
      <c r="F16" s="201"/>
      <c r="G16" s="201"/>
      <c r="H16" s="201"/>
      <c r="I16" s="202"/>
      <c r="J16" s="203" t="s">
        <v>68</v>
      </c>
      <c r="K16" s="199" t="s">
        <v>0</v>
      </c>
      <c r="L16" s="227">
        <f>+DATOS!C11</f>
        <v>46202</v>
      </c>
      <c r="M16" s="228"/>
      <c r="N16" s="97"/>
      <c r="P16" s="82"/>
    </row>
    <row r="17" spans="1:16" ht="17.399999999999999" customHeight="1" x14ac:dyDescent="0.25">
      <c r="A17" s="98" t="s">
        <v>108</v>
      </c>
      <c r="B17" s="199" t="s">
        <v>0</v>
      </c>
      <c r="C17" s="204">
        <f>+Resumen!C14</f>
        <v>210</v>
      </c>
      <c r="D17" s="197"/>
      <c r="E17" s="205"/>
      <c r="F17" s="205"/>
      <c r="G17" s="205"/>
      <c r="H17" s="205"/>
      <c r="I17" s="202"/>
      <c r="J17" s="203" t="s">
        <v>46</v>
      </c>
      <c r="K17" s="199" t="s">
        <v>0</v>
      </c>
      <c r="L17" s="227">
        <f>+DATOS!C13</f>
        <v>46209</v>
      </c>
      <c r="M17" s="228"/>
      <c r="N17" s="97"/>
      <c r="P17" s="82"/>
    </row>
    <row r="18" spans="1:16" ht="17.399999999999999" customHeight="1" x14ac:dyDescent="0.25">
      <c r="A18" s="98" t="s">
        <v>111</v>
      </c>
      <c r="B18" s="199" t="s">
        <v>0</v>
      </c>
      <c r="C18" s="200" t="str">
        <f>+DATOS!C17</f>
        <v>Cilindros Moldeados</v>
      </c>
      <c r="D18" s="197"/>
      <c r="E18" s="202"/>
      <c r="F18" s="202"/>
      <c r="G18" s="202"/>
      <c r="H18" s="202"/>
      <c r="I18" s="202"/>
      <c r="J18" s="203" t="s">
        <v>122</v>
      </c>
      <c r="K18" s="199" t="s">
        <v>0</v>
      </c>
      <c r="L18" s="229">
        <f>+DATOS!C15</f>
        <v>7</v>
      </c>
      <c r="M18" s="230"/>
      <c r="N18" s="97"/>
      <c r="P18" s="82"/>
    </row>
    <row r="19" spans="1:16" ht="15.9" customHeight="1" x14ac:dyDescent="0.25">
      <c r="A19" s="210" t="s">
        <v>94</v>
      </c>
      <c r="B19" s="206"/>
      <c r="C19" s="207"/>
      <c r="D19" s="208"/>
      <c r="E19" s="202"/>
      <c r="F19" s="202"/>
      <c r="G19" s="202"/>
      <c r="H19" s="202"/>
      <c r="I19" s="202"/>
      <c r="J19" s="197"/>
      <c r="K19" s="197"/>
      <c r="L19" s="197"/>
      <c r="M19" s="198"/>
      <c r="N19" s="97"/>
      <c r="P19" s="82"/>
    </row>
    <row r="20" spans="1:16" ht="9" customHeight="1" x14ac:dyDescent="0.25">
      <c r="A20" s="99"/>
      <c r="B20" s="101"/>
      <c r="C20" s="100"/>
      <c r="D20" s="100"/>
      <c r="E20" s="100"/>
      <c r="F20" s="100"/>
      <c r="G20" s="100"/>
      <c r="H20" s="100"/>
      <c r="I20" s="100"/>
      <c r="J20" s="100"/>
      <c r="K20" s="199"/>
      <c r="L20" s="199"/>
      <c r="M20" s="209"/>
      <c r="N20" s="97"/>
      <c r="P20" s="82"/>
    </row>
    <row r="21" spans="1:16" ht="47.25" customHeight="1" x14ac:dyDescent="0.25">
      <c r="A21" s="223" t="s">
        <v>115</v>
      </c>
      <c r="B21" s="234"/>
      <c r="C21" s="224"/>
      <c r="D21" s="223" t="s">
        <v>30</v>
      </c>
      <c r="E21" s="224"/>
      <c r="F21" s="102" t="s">
        <v>31</v>
      </c>
      <c r="G21" s="102" t="s">
        <v>59</v>
      </c>
      <c r="H21" s="102" t="s">
        <v>120</v>
      </c>
      <c r="I21" s="102" t="s">
        <v>60</v>
      </c>
      <c r="J21" s="102" t="s">
        <v>109</v>
      </c>
      <c r="K21" s="239" t="s">
        <v>116</v>
      </c>
      <c r="L21" s="239"/>
      <c r="M21" s="239"/>
      <c r="N21" s="82"/>
      <c r="P21" s="82"/>
    </row>
    <row r="22" spans="1:16" ht="29.4" customHeight="1" x14ac:dyDescent="0.25">
      <c r="A22" s="220" t="str">
        <f>IF(DATOS!B20="","--",DATOS!B20)</f>
        <v>HHTA-MURO PERIMETRAL-(EJE-D-N @ 09"-10")-210-459</v>
      </c>
      <c r="B22" s="221"/>
      <c r="C22" s="222"/>
      <c r="D22" s="225">
        <f>+DATOS!D36</f>
        <v>150.44979910000001</v>
      </c>
      <c r="E22" s="226"/>
      <c r="F22" s="183">
        <f>+DATOS!E36</f>
        <v>300.33283266666666</v>
      </c>
      <c r="G22" s="170">
        <f>+DATOS!F36</f>
        <v>17777.640565465525</v>
      </c>
      <c r="H22" s="154">
        <f>+DATOS!G36</f>
        <v>392.4</v>
      </c>
      <c r="I22" s="155">
        <f>+DATOS!H36</f>
        <v>22.072670361120252</v>
      </c>
      <c r="J22" s="155">
        <f>+I22*10.1972</f>
        <v>225.07943420641544</v>
      </c>
      <c r="K22" s="235">
        <f>+DATOS!I36</f>
        <v>2</v>
      </c>
      <c r="L22" s="235"/>
      <c r="M22" s="235"/>
      <c r="N22" s="82"/>
      <c r="O22" s="82"/>
      <c r="P22" s="82"/>
    </row>
    <row r="23" spans="1:16" ht="29.4" customHeight="1" x14ac:dyDescent="0.25">
      <c r="A23" s="220" t="str">
        <f>IF(DATOS!B21="","--",DATOS!B21)</f>
        <v>HHTA-LOSA PAVIMENTACION TRAMO I Y II-(EJE-D-N @ 09"-10")-210-460</v>
      </c>
      <c r="B23" s="221"/>
      <c r="C23" s="222"/>
      <c r="D23" s="225">
        <f>+DATOS!D37</f>
        <v>150.19979960000001</v>
      </c>
      <c r="E23" s="226"/>
      <c r="F23" s="183">
        <f>+DATOS!E37</f>
        <v>300.49949899999996</v>
      </c>
      <c r="G23" s="170">
        <f>+DATOS!F37</f>
        <v>17718.608134825878</v>
      </c>
      <c r="H23" s="154">
        <f>+DATOS!G37</f>
        <v>397.1</v>
      </c>
      <c r="I23" s="155">
        <f>+DATOS!H37</f>
        <v>22.411466915366844</v>
      </c>
      <c r="J23" s="155">
        <f>+I23*10.1972</f>
        <v>228.53421042937879</v>
      </c>
      <c r="K23" s="235">
        <f>+DATOS!I37</f>
        <v>2</v>
      </c>
      <c r="L23" s="235"/>
      <c r="M23" s="235"/>
      <c r="N23" s="82"/>
      <c r="O23" s="82"/>
      <c r="P23" s="82"/>
    </row>
    <row r="24" spans="1:16" ht="29.4" customHeight="1" x14ac:dyDescent="0.25">
      <c r="A24" s="220" t="str">
        <f>IF(DATOS!B22="","--",DATOS!B22)</f>
        <v>HHTA-LOSA PAVIMENTACION TRAMO I Y II-(EJE-D-N @ 09"-10")-210-461</v>
      </c>
      <c r="B24" s="221"/>
      <c r="C24" s="222"/>
      <c r="D24" s="240">
        <f>+DATOS!D38</f>
        <v>150.29979939999998</v>
      </c>
      <c r="E24" s="240"/>
      <c r="F24" s="183">
        <f>+DATOS!E38</f>
        <v>301.06616453333328</v>
      </c>
      <c r="G24" s="170">
        <f>+DATOS!F38</f>
        <v>17742.209326128857</v>
      </c>
      <c r="H24" s="154">
        <f>+DATOS!G38</f>
        <v>406.2</v>
      </c>
      <c r="I24" s="155">
        <f>+DATOS!H38</f>
        <v>22.894555719269494</v>
      </c>
      <c r="J24" s="155">
        <f>+I24*10.1972</f>
        <v>233.4603635805349</v>
      </c>
      <c r="K24" s="235">
        <f>+DATOS!I38</f>
        <v>3</v>
      </c>
      <c r="L24" s="235"/>
      <c r="M24" s="235"/>
      <c r="N24" s="82"/>
      <c r="O24" s="82"/>
      <c r="P24" s="82"/>
    </row>
    <row r="25" spans="1:16" ht="20.25" customHeight="1" x14ac:dyDescent="0.25">
      <c r="A25" s="39"/>
      <c r="B25" s="39"/>
      <c r="C25" s="39"/>
      <c r="D25" s="39"/>
      <c r="E25" s="39"/>
      <c r="F25" s="39"/>
      <c r="G25" s="39"/>
      <c r="H25" s="39"/>
      <c r="I25" s="151"/>
      <c r="J25" s="152"/>
      <c r="K25" s="153"/>
      <c r="L25" s="153"/>
      <c r="M25" s="192"/>
      <c r="N25" s="82"/>
      <c r="O25" s="82"/>
      <c r="P25" s="82"/>
    </row>
    <row r="26" spans="1:16" ht="15.9" customHeight="1" x14ac:dyDescent="0.25">
      <c r="A26" s="104"/>
      <c r="B26" s="104"/>
      <c r="C26" s="103"/>
      <c r="D26" s="103"/>
      <c r="E26" s="105"/>
      <c r="F26" s="164"/>
      <c r="G26" s="164"/>
      <c r="H26" s="164"/>
      <c r="I26" s="164"/>
      <c r="J26" s="164"/>
      <c r="K26" s="164"/>
      <c r="L26" s="164"/>
      <c r="M26" s="164"/>
      <c r="N26" s="82"/>
      <c r="O26" s="82"/>
      <c r="P26" s="82"/>
    </row>
    <row r="27" spans="1:16" ht="15.9" customHeight="1" x14ac:dyDescent="0.25">
      <c r="A27" s="113" t="s">
        <v>25</v>
      </c>
      <c r="B27" s="113"/>
      <c r="C27" s="111"/>
      <c r="N27" s="82"/>
      <c r="O27" s="82"/>
      <c r="P27" s="82"/>
    </row>
    <row r="28" spans="1:16" ht="15.9" customHeight="1" x14ac:dyDescent="0.25">
      <c r="A28" s="173"/>
      <c r="C28" s="214" t="s">
        <v>143</v>
      </c>
      <c r="D28" s="214"/>
      <c r="E28" s="214"/>
      <c r="F28" s="214"/>
      <c r="G28" s="214"/>
      <c r="H28" s="214"/>
      <c r="I28" s="214"/>
      <c r="J28" s="174"/>
      <c r="K28" s="174"/>
      <c r="L28" s="174"/>
      <c r="M28" s="174"/>
      <c r="N28" s="82"/>
      <c r="O28" s="82"/>
      <c r="P28" s="82"/>
    </row>
    <row r="29" spans="1:16" ht="18.600000000000001" customHeight="1" x14ac:dyDescent="0.25">
      <c r="A29" s="109"/>
      <c r="B29" s="109"/>
      <c r="C29" s="177" t="s">
        <v>133</v>
      </c>
      <c r="D29" s="231" t="s">
        <v>134</v>
      </c>
      <c r="E29" s="231"/>
      <c r="F29" s="177" t="s">
        <v>135</v>
      </c>
      <c r="G29" s="177" t="s">
        <v>136</v>
      </c>
      <c r="H29" s="177" t="s">
        <v>131</v>
      </c>
      <c r="I29" s="177" t="s">
        <v>132</v>
      </c>
      <c r="J29" s="107"/>
      <c r="K29" s="107"/>
      <c r="L29" s="107"/>
      <c r="M29" s="108"/>
      <c r="N29" s="82"/>
      <c r="O29" s="82"/>
      <c r="P29" s="82"/>
    </row>
    <row r="30" spans="1:16" ht="24.75" customHeight="1" x14ac:dyDescent="0.25">
      <c r="A30" s="109"/>
      <c r="B30" s="109"/>
      <c r="C30" s="175" t="s">
        <v>137</v>
      </c>
      <c r="D30" s="232" t="s">
        <v>138</v>
      </c>
      <c r="E30" s="232"/>
      <c r="F30" s="176" t="s">
        <v>139</v>
      </c>
      <c r="G30" s="175" t="s">
        <v>140</v>
      </c>
      <c r="H30" s="176" t="s">
        <v>141</v>
      </c>
      <c r="I30" s="175" t="s">
        <v>142</v>
      </c>
      <c r="J30" s="107"/>
      <c r="K30" s="107"/>
      <c r="L30" s="107"/>
      <c r="M30" s="108"/>
      <c r="N30" s="82"/>
      <c r="O30" s="82"/>
      <c r="P30" s="82"/>
    </row>
    <row r="31" spans="1:16" ht="18.600000000000001" customHeight="1" x14ac:dyDescent="0.25">
      <c r="A31" s="109"/>
      <c r="B31" s="109"/>
      <c r="C31" s="106"/>
      <c r="D31" s="106"/>
      <c r="E31" s="106"/>
      <c r="F31" s="107"/>
      <c r="G31" s="107"/>
      <c r="H31" s="107"/>
      <c r="I31" s="107"/>
      <c r="J31" s="107"/>
      <c r="K31" s="107"/>
      <c r="L31" s="107"/>
      <c r="M31" s="108"/>
      <c r="N31" s="82"/>
      <c r="O31" s="82"/>
      <c r="P31" s="82"/>
    </row>
    <row r="32" spans="1:16" ht="12" customHeight="1" x14ac:dyDescent="0.25">
      <c r="A32" s="109"/>
      <c r="B32" s="109"/>
      <c r="C32" s="106"/>
      <c r="D32" s="106"/>
      <c r="E32" s="106"/>
      <c r="F32" s="107"/>
      <c r="G32" s="107"/>
      <c r="H32" s="107"/>
      <c r="I32" s="107"/>
      <c r="J32" s="107"/>
      <c r="K32" s="107"/>
      <c r="L32" s="107"/>
      <c r="M32" s="108"/>
      <c r="N32" s="82"/>
      <c r="O32" s="82"/>
      <c r="P32" s="82"/>
    </row>
    <row r="33" spans="1:16" ht="18.600000000000001" customHeight="1" x14ac:dyDescent="0.25">
      <c r="A33" s="109"/>
      <c r="B33" s="109"/>
      <c r="C33" s="106"/>
      <c r="D33" s="106"/>
      <c r="E33" s="106"/>
      <c r="F33" s="107"/>
      <c r="G33" s="107"/>
      <c r="H33" s="107"/>
      <c r="I33" s="107"/>
      <c r="J33" s="107"/>
      <c r="K33" s="107"/>
      <c r="L33" s="107"/>
      <c r="M33" s="108"/>
      <c r="N33" s="82"/>
      <c r="O33" s="82"/>
      <c r="P33" s="82"/>
    </row>
    <row r="34" spans="1:16" ht="18.600000000000001" customHeight="1" x14ac:dyDescent="0.25">
      <c r="A34" s="168"/>
      <c r="B34" s="168"/>
      <c r="C34" s="168"/>
      <c r="D34" s="168"/>
      <c r="E34" s="168"/>
      <c r="F34" s="168"/>
      <c r="G34" s="168"/>
      <c r="H34" s="168"/>
      <c r="I34" s="168"/>
      <c r="J34" s="168"/>
      <c r="K34" s="168"/>
      <c r="L34" s="168"/>
      <c r="M34" s="168"/>
      <c r="N34" s="82"/>
      <c r="O34" s="82"/>
      <c r="P34" s="82"/>
    </row>
    <row r="35" spans="1:16" ht="18.600000000000001" customHeight="1" x14ac:dyDescent="0.25">
      <c r="A35" s="167"/>
      <c r="B35" s="167"/>
      <c r="C35" s="167"/>
      <c r="D35" s="167"/>
      <c r="E35" s="167"/>
      <c r="F35" s="167"/>
      <c r="G35" s="167"/>
      <c r="H35" s="167"/>
      <c r="I35" s="167"/>
      <c r="J35" s="167"/>
      <c r="K35" s="167"/>
      <c r="L35" s="167"/>
      <c r="M35" s="167"/>
      <c r="N35" s="82"/>
      <c r="O35" s="82"/>
      <c r="P35" s="82"/>
    </row>
    <row r="36" spans="1:16" ht="18.600000000000001" customHeight="1" x14ac:dyDescent="0.25">
      <c r="A36" s="168"/>
      <c r="B36" s="168"/>
      <c r="C36" s="168"/>
      <c r="D36" s="168"/>
      <c r="E36" s="168"/>
      <c r="F36" s="168"/>
      <c r="G36" s="168"/>
      <c r="H36" s="168"/>
      <c r="I36" s="168"/>
      <c r="J36" s="168"/>
      <c r="K36" s="168"/>
      <c r="L36" s="168"/>
      <c r="M36" s="108"/>
      <c r="N36" s="82"/>
      <c r="O36" s="82"/>
      <c r="P36" s="82"/>
    </row>
    <row r="37" spans="1:16" ht="18.600000000000001" customHeight="1" x14ac:dyDescent="0.25">
      <c r="A37" s="112"/>
      <c r="B37" s="112"/>
      <c r="C37" s="111"/>
      <c r="D37" s="107"/>
      <c r="E37" s="107"/>
      <c r="F37" s="107"/>
      <c r="G37" s="107"/>
      <c r="H37" s="107"/>
      <c r="I37" s="107"/>
      <c r="J37" s="107"/>
      <c r="K37" s="107"/>
      <c r="L37" s="107"/>
      <c r="M37" s="108"/>
      <c r="N37" s="82"/>
      <c r="O37" s="82"/>
      <c r="P37" s="82"/>
    </row>
    <row r="38" spans="1:16" ht="18.600000000000001" customHeight="1" x14ac:dyDescent="0.25">
      <c r="N38" s="82"/>
      <c r="O38" s="82"/>
      <c r="P38" s="82"/>
    </row>
    <row r="39" spans="1:16" ht="18.600000000000001" customHeight="1" x14ac:dyDescent="0.25">
      <c r="N39" s="82"/>
      <c r="O39" s="82"/>
      <c r="P39" s="82"/>
    </row>
    <row r="40" spans="1:16" ht="18.600000000000001" customHeight="1" x14ac:dyDescent="0.25">
      <c r="A40" s="110"/>
      <c r="B40" s="110"/>
      <c r="C40" s="110"/>
      <c r="D40" s="107"/>
      <c r="E40" s="107"/>
      <c r="F40" s="107"/>
      <c r="G40" s="107"/>
      <c r="H40" s="107"/>
      <c r="I40" s="107"/>
      <c r="J40" s="107"/>
      <c r="K40" s="107"/>
      <c r="L40" s="107"/>
      <c r="M40" s="108"/>
      <c r="N40" s="82"/>
      <c r="O40" s="82"/>
      <c r="P40" s="82"/>
    </row>
    <row r="41" spans="1:16" ht="18.600000000000001" customHeight="1" x14ac:dyDescent="0.25">
      <c r="A41" s="110"/>
      <c r="B41" s="110"/>
      <c r="C41" s="110"/>
      <c r="D41" s="107"/>
      <c r="E41" s="107"/>
      <c r="F41" s="141"/>
      <c r="G41" s="141"/>
      <c r="H41" s="141"/>
      <c r="I41" s="141"/>
      <c r="J41" s="141"/>
      <c r="K41" s="141"/>
      <c r="L41" s="141"/>
      <c r="M41" s="142"/>
      <c r="N41" s="82"/>
      <c r="O41" s="82"/>
      <c r="P41" s="82"/>
    </row>
    <row r="42" spans="1:16" ht="18.600000000000001" customHeight="1" x14ac:dyDescent="0.25">
      <c r="A42" s="107"/>
      <c r="B42" s="107"/>
      <c r="C42" s="107"/>
      <c r="D42" s="107"/>
      <c r="E42" s="107"/>
      <c r="F42" s="141"/>
      <c r="G42" s="141"/>
      <c r="H42" s="141"/>
      <c r="I42" s="141"/>
      <c r="J42" s="141"/>
      <c r="K42" s="141"/>
      <c r="L42" s="141"/>
      <c r="M42" s="142"/>
      <c r="N42" s="82"/>
      <c r="O42" s="82"/>
      <c r="P42" s="82"/>
    </row>
    <row r="43" spans="1:16" ht="18.600000000000001" customHeight="1" x14ac:dyDescent="0.25">
      <c r="A43" s="23" t="s">
        <v>19</v>
      </c>
      <c r="B43" s="23"/>
      <c r="C43" s="107"/>
      <c r="D43" s="107"/>
      <c r="E43" s="107"/>
      <c r="F43" s="141"/>
      <c r="G43" s="141"/>
      <c r="H43" s="141"/>
      <c r="I43" s="141"/>
      <c r="J43" s="141"/>
      <c r="K43" s="141"/>
      <c r="L43" s="141"/>
      <c r="M43" s="142"/>
      <c r="N43" s="82"/>
      <c r="O43" s="82"/>
      <c r="P43" s="82"/>
    </row>
    <row r="44" spans="1:16" ht="18.600000000000001" customHeight="1" x14ac:dyDescent="0.25">
      <c r="A44" s="23" t="s">
        <v>129</v>
      </c>
      <c r="B44" s="23"/>
      <c r="C44" s="107"/>
      <c r="D44" s="107"/>
      <c r="E44" s="107"/>
      <c r="F44" s="141"/>
      <c r="G44" s="141"/>
      <c r="H44" s="141"/>
      <c r="I44" s="141"/>
      <c r="J44" s="141"/>
      <c r="K44" s="141"/>
      <c r="L44" s="141"/>
      <c r="M44" s="143" t="s">
        <v>24</v>
      </c>
      <c r="N44" s="82"/>
      <c r="O44" s="82"/>
      <c r="P44" s="82"/>
    </row>
    <row r="45" spans="1:16" ht="15.9" customHeight="1" x14ac:dyDescent="0.25">
      <c r="A45" s="107"/>
      <c r="B45" s="107"/>
      <c r="C45" s="107"/>
      <c r="D45" s="107"/>
      <c r="E45" s="107"/>
      <c r="F45" s="141"/>
      <c r="G45" s="141"/>
      <c r="H45" s="141"/>
      <c r="I45" s="141"/>
      <c r="J45" s="141"/>
      <c r="K45" s="141"/>
      <c r="L45" s="141"/>
      <c r="M45" s="143"/>
      <c r="N45" s="82"/>
      <c r="O45" s="82"/>
      <c r="P45" s="82"/>
    </row>
    <row r="46" spans="1:16" ht="15.9" customHeight="1" x14ac:dyDescent="0.25">
      <c r="A46" s="107"/>
      <c r="B46" s="107"/>
      <c r="C46" s="107"/>
      <c r="D46" s="107"/>
      <c r="E46" s="107"/>
      <c r="F46" s="107"/>
      <c r="G46" s="107"/>
      <c r="H46" s="107"/>
      <c r="I46" s="107"/>
      <c r="J46" s="107"/>
      <c r="K46" s="107"/>
      <c r="L46" s="107"/>
      <c r="M46" s="114"/>
      <c r="N46" s="82"/>
      <c r="O46" s="82"/>
      <c r="P46" s="82"/>
    </row>
    <row r="47" spans="1:16" ht="15.9" customHeight="1" x14ac:dyDescent="0.25">
      <c r="A47" s="107"/>
      <c r="B47" s="107"/>
      <c r="C47" s="107"/>
      <c r="D47" s="107"/>
      <c r="E47" s="107"/>
      <c r="F47" s="107"/>
      <c r="G47" s="107"/>
      <c r="H47" s="107"/>
      <c r="I47" s="107"/>
      <c r="J47" s="107"/>
      <c r="K47" s="107"/>
      <c r="L47" s="107"/>
      <c r="M47" s="114"/>
      <c r="N47" s="82"/>
      <c r="O47" s="82"/>
      <c r="P47" s="82"/>
    </row>
    <row r="48" spans="1:16" ht="12.75" customHeight="1" x14ac:dyDescent="0.25">
      <c r="A48" s="115"/>
      <c r="B48" s="115"/>
      <c r="C48" s="115"/>
      <c r="D48" s="115"/>
      <c r="E48" s="115"/>
      <c r="F48" s="115"/>
      <c r="G48" s="115"/>
      <c r="H48" s="115"/>
      <c r="I48" s="115"/>
      <c r="J48" s="115"/>
      <c r="K48" s="115"/>
      <c r="L48" s="115"/>
      <c r="M48" s="115"/>
      <c r="N48" s="82"/>
      <c r="O48" s="82"/>
      <c r="P48" s="82"/>
    </row>
    <row r="49" ht="12.75" customHeight="1" x14ac:dyDescent="0.25"/>
    <row r="50" ht="15.9" customHeight="1" x14ac:dyDescent="0.25"/>
    <row r="51" ht="15.9" customHeight="1" x14ac:dyDescent="0.25"/>
  </sheetData>
  <protectedRanges>
    <protectedRange sqref="C5:C8" name="Rango3_3_1_1_1_1_1_2_1"/>
  </protectedRanges>
  <mergeCells count="27">
    <mergeCell ref="D29:E29"/>
    <mergeCell ref="D30:E30"/>
    <mergeCell ref="A2:M2"/>
    <mergeCell ref="A3:M3"/>
    <mergeCell ref="A21:C21"/>
    <mergeCell ref="K24:M24"/>
    <mergeCell ref="A23:C23"/>
    <mergeCell ref="K22:M22"/>
    <mergeCell ref="A12:M12"/>
    <mergeCell ref="K21:M21"/>
    <mergeCell ref="A22:C22"/>
    <mergeCell ref="K23:M23"/>
    <mergeCell ref="D24:E24"/>
    <mergeCell ref="C7:I7"/>
    <mergeCell ref="L6:M6"/>
    <mergeCell ref="L5:M5"/>
    <mergeCell ref="C28:I28"/>
    <mergeCell ref="U8:V8"/>
    <mergeCell ref="U9:V9"/>
    <mergeCell ref="A11:M11"/>
    <mergeCell ref="A24:C24"/>
    <mergeCell ref="D21:E21"/>
    <mergeCell ref="D22:E22"/>
    <mergeCell ref="D23:E23"/>
    <mergeCell ref="L16:M16"/>
    <mergeCell ref="L17:M17"/>
    <mergeCell ref="L18:M18"/>
  </mergeCells>
  <printOptions horizontalCentered="1"/>
  <pageMargins left="0.19685039370078741" right="0" top="1.5748031496062993" bottom="0.39370078740157483" header="0" footer="0"/>
  <pageSetup paperSize="9" scale="88" orientation="portrait" r:id="rId1"/>
  <headerFooter scaleWithDoc="0">
    <oddHeader xml:space="preserve">&amp;C&amp;G
</oddHeader>
  </headerFooter>
  <drawing r:id="rId2"/>
  <legacyDrawing r:id="rId3"/>
  <legacyDrawingHF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C53EEB-DC2E-4FB1-AC02-49075B487158}">
  <dimension ref="B3:K5"/>
  <sheetViews>
    <sheetView workbookViewId="0">
      <selection activeCell="I5" sqref="I5"/>
    </sheetView>
  </sheetViews>
  <sheetFormatPr baseColWidth="10" defaultRowHeight="13.2" x14ac:dyDescent="0.25"/>
  <cols>
    <col min="2" max="2" width="12.44140625" customWidth="1"/>
    <col min="3" max="7" width="11.44140625" customWidth="1"/>
    <col min="8" max="8" width="11.6640625" customWidth="1"/>
    <col min="9" max="10" width="11.44140625" customWidth="1"/>
  </cols>
  <sheetData>
    <row r="3" spans="2:11" ht="52.8" x14ac:dyDescent="0.25">
      <c r="B3" s="16" t="s">
        <v>28</v>
      </c>
      <c r="C3" s="16" t="s">
        <v>50</v>
      </c>
      <c r="D3" s="16" t="s">
        <v>30</v>
      </c>
      <c r="E3" s="16" t="s">
        <v>31</v>
      </c>
      <c r="F3" s="16" t="s">
        <v>32</v>
      </c>
      <c r="G3" s="16" t="s">
        <v>33</v>
      </c>
      <c r="H3" s="16" t="s">
        <v>17</v>
      </c>
      <c r="I3" s="16" t="s">
        <v>37</v>
      </c>
      <c r="J3" s="16" t="s">
        <v>34</v>
      </c>
      <c r="K3" s="15"/>
    </row>
    <row r="5" spans="2:11" x14ac:dyDescent="0.25">
      <c r="G5" s="14" t="s">
        <v>51</v>
      </c>
      <c r="H5" t="e">
        <f>AVERAGE(H4)</f>
        <v>#DIV/0!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1048C2-C1B9-46B8-9CA5-F8A985F2FEF2}">
  <sheetPr>
    <tabColor theme="0"/>
  </sheetPr>
  <dimension ref="A1:U72"/>
  <sheetViews>
    <sheetView topLeftCell="A8" zoomScale="85" zoomScaleNormal="85" workbookViewId="0">
      <selection activeCell="I21" sqref="I21"/>
    </sheetView>
  </sheetViews>
  <sheetFormatPr baseColWidth="10" defaultColWidth="11.44140625" defaultRowHeight="11.4" x14ac:dyDescent="0.2"/>
  <cols>
    <col min="1" max="1" width="1.109375" style="17" customWidth="1"/>
    <col min="2" max="2" width="12.88671875" style="17" customWidth="1"/>
    <col min="3" max="3" width="12" style="17" customWidth="1"/>
    <col min="4" max="7" width="9.5546875" style="17" customWidth="1"/>
    <col min="8" max="8" width="11.109375" style="17" customWidth="1"/>
    <col min="9" max="11" width="9.5546875" style="17" customWidth="1"/>
    <col min="12" max="12" width="11" style="17" customWidth="1"/>
    <col min="13" max="13" width="8.6640625" style="17" customWidth="1"/>
    <col min="14" max="14" width="9.6640625" style="17" customWidth="1"/>
    <col min="15" max="15" width="11" style="17" customWidth="1"/>
    <col min="16" max="18" width="9.6640625" style="17" customWidth="1"/>
    <col min="19" max="19" width="14.5546875" style="17" customWidth="1"/>
    <col min="20" max="20" width="13" style="17" customWidth="1"/>
    <col min="21" max="21" width="9.6640625" style="17" customWidth="1"/>
    <col min="22" max="22" width="11.44140625" style="17"/>
    <col min="23" max="25" width="10.109375" style="17" customWidth="1"/>
    <col min="26" max="16384" width="11.44140625" style="17"/>
  </cols>
  <sheetData>
    <row r="1" spans="1:21" ht="4.2" customHeight="1" x14ac:dyDescent="0.2"/>
    <row r="2" spans="1:21" ht="13.5" customHeight="1" x14ac:dyDescent="0.2">
      <c r="B2" s="247" t="s">
        <v>53</v>
      </c>
      <c r="C2" s="248"/>
      <c r="D2" s="248"/>
      <c r="E2" s="248"/>
      <c r="F2" s="248"/>
      <c r="G2" s="248"/>
      <c r="H2" s="248"/>
      <c r="I2" s="248"/>
      <c r="J2" s="248"/>
      <c r="K2" s="248"/>
      <c r="L2" s="248"/>
      <c r="M2" s="249"/>
      <c r="N2" s="38"/>
      <c r="O2" s="38"/>
      <c r="P2" s="38"/>
      <c r="Q2" s="38"/>
      <c r="R2" s="38"/>
      <c r="S2" s="38"/>
      <c r="T2" s="38"/>
      <c r="U2" s="38"/>
    </row>
    <row r="3" spans="1:21" ht="13.5" customHeight="1" x14ac:dyDescent="0.2">
      <c r="B3" s="250" t="s">
        <v>113</v>
      </c>
      <c r="C3" s="251"/>
      <c r="D3" s="251"/>
      <c r="E3" s="251"/>
      <c r="F3" s="251"/>
      <c r="G3" s="251"/>
      <c r="H3" s="251"/>
      <c r="I3" s="251"/>
      <c r="J3" s="251"/>
      <c r="K3" s="251"/>
      <c r="L3" s="251"/>
      <c r="M3" s="252"/>
      <c r="N3" s="38"/>
      <c r="O3" s="38"/>
      <c r="P3" s="38"/>
      <c r="Q3" s="38"/>
      <c r="R3" s="38"/>
      <c r="S3" s="38"/>
      <c r="T3" s="38"/>
      <c r="U3" s="38"/>
    </row>
    <row r="4" spans="1:21" ht="4.95" customHeight="1" x14ac:dyDescent="0.2">
      <c r="A4" s="39"/>
      <c r="B4" s="39"/>
      <c r="C4" s="39"/>
      <c r="D4" s="39"/>
      <c r="E4" s="39"/>
      <c r="F4" s="39"/>
      <c r="G4" s="39"/>
      <c r="H4" s="39"/>
      <c r="I4" s="39"/>
    </row>
    <row r="5" spans="1:21" ht="13.95" customHeight="1" x14ac:dyDescent="0.2">
      <c r="B5" s="55" t="s">
        <v>84</v>
      </c>
      <c r="C5" s="56"/>
      <c r="D5" s="56"/>
      <c r="E5" s="56"/>
      <c r="F5" s="57"/>
      <c r="G5" s="55"/>
      <c r="H5" s="56" t="s">
        <v>99</v>
      </c>
      <c r="I5" s="56"/>
      <c r="J5" s="56"/>
      <c r="K5" s="56"/>
      <c r="L5" s="41"/>
      <c r="M5" s="30"/>
      <c r="P5" s="40"/>
      <c r="Q5" s="40"/>
      <c r="R5" s="40"/>
      <c r="S5" s="40"/>
    </row>
    <row r="6" spans="1:21" ht="13.95" customHeight="1" x14ac:dyDescent="0.2">
      <c r="B6" s="58" t="s">
        <v>52</v>
      </c>
      <c r="C6" s="116" t="e">
        <f>+#REF!</f>
        <v>#REF!</v>
      </c>
      <c r="D6" s="157" t="s">
        <v>114</v>
      </c>
      <c r="E6" s="156" t="e">
        <f>+#REF!</f>
        <v>#REF!</v>
      </c>
      <c r="F6" s="60"/>
      <c r="G6" s="61"/>
      <c r="H6" s="59" t="s">
        <v>52</v>
      </c>
      <c r="I6" s="59"/>
      <c r="J6" s="62">
        <v>-2.0000000000000001E-4</v>
      </c>
      <c r="K6" s="59" t="s">
        <v>56</v>
      </c>
      <c r="L6" s="45"/>
      <c r="M6" s="46"/>
      <c r="P6" s="38"/>
      <c r="Q6" s="38"/>
      <c r="R6" s="38"/>
      <c r="S6" s="38"/>
    </row>
    <row r="7" spans="1:21" ht="3.6" customHeight="1" x14ac:dyDescent="0.2"/>
    <row r="8" spans="1:21" ht="12.6" customHeight="1" x14ac:dyDescent="0.2">
      <c r="B8" s="253" t="s">
        <v>48</v>
      </c>
      <c r="C8" s="254"/>
      <c r="D8" s="255"/>
      <c r="G8" s="54" t="s">
        <v>82</v>
      </c>
      <c r="H8" s="54"/>
    </row>
    <row r="9" spans="1:21" ht="21.6" customHeight="1" x14ac:dyDescent="0.25">
      <c r="B9" s="20" t="s">
        <v>29</v>
      </c>
      <c r="C9" s="260" t="str">
        <f>+Resumen!B14</f>
        <v>MURO PERIMETRAL</v>
      </c>
      <c r="D9" s="260"/>
      <c r="E9" s="29"/>
      <c r="G9" s="49" t="s">
        <v>26</v>
      </c>
      <c r="H9" s="49" t="s">
        <v>38</v>
      </c>
      <c r="J9" s="52"/>
      <c r="K9" s="117" t="s">
        <v>95</v>
      </c>
      <c r="L9" s="146" t="s">
        <v>64</v>
      </c>
      <c r="N9" s="68" t="s">
        <v>91</v>
      </c>
      <c r="O9" s="25"/>
      <c r="P9" s="25"/>
      <c r="Q9" s="25"/>
      <c r="R9" s="25"/>
      <c r="S9" s="36"/>
      <c r="T9" s="22"/>
    </row>
    <row r="10" spans="1:21" ht="16.5" customHeight="1" x14ac:dyDescent="0.25">
      <c r="B10" s="21" t="s">
        <v>107</v>
      </c>
      <c r="C10" s="259">
        <f>+Resumen!C14</f>
        <v>210</v>
      </c>
      <c r="D10" s="259"/>
      <c r="E10" s="149">
        <f>+LOOKUP(C10,G10:G16,H10:H16)</f>
        <v>20.594000000000001</v>
      </c>
      <c r="G10" s="49">
        <v>100</v>
      </c>
      <c r="H10" s="53">
        <v>9.8066499999999994</v>
      </c>
      <c r="N10" s="134" t="s">
        <v>104</v>
      </c>
      <c r="O10" s="137" t="s">
        <v>87</v>
      </c>
      <c r="P10" s="41"/>
      <c r="Q10" s="41"/>
      <c r="R10" s="41"/>
      <c r="S10" s="30"/>
      <c r="T10" s="18"/>
    </row>
    <row r="11" spans="1:21" ht="16.5" customHeight="1" x14ac:dyDescent="0.25">
      <c r="B11" s="20" t="s">
        <v>45</v>
      </c>
      <c r="C11" s="245">
        <f>+Resumen!D14</f>
        <v>46202</v>
      </c>
      <c r="D11" s="245"/>
      <c r="G11" s="49">
        <v>140</v>
      </c>
      <c r="H11" s="53">
        <v>13.7293</v>
      </c>
      <c r="N11" s="135" t="s">
        <v>105</v>
      </c>
      <c r="O11" s="138" t="s">
        <v>88</v>
      </c>
      <c r="S11" s="42"/>
      <c r="T11" s="18"/>
    </row>
    <row r="12" spans="1:21" ht="16.5" customHeight="1" x14ac:dyDescent="0.25">
      <c r="B12" s="20" t="s">
        <v>63</v>
      </c>
      <c r="C12" s="244"/>
      <c r="D12" s="244"/>
      <c r="E12" s="71" t="s">
        <v>80</v>
      </c>
      <c r="G12" s="49">
        <v>175</v>
      </c>
      <c r="H12" s="53">
        <v>17.1616</v>
      </c>
      <c r="N12" s="135" t="s">
        <v>55</v>
      </c>
      <c r="O12" s="138" t="s">
        <v>89</v>
      </c>
      <c r="S12" s="42"/>
      <c r="T12" s="119"/>
    </row>
    <row r="13" spans="1:21" ht="16.5" customHeight="1" x14ac:dyDescent="0.25">
      <c r="B13" s="20" t="s">
        <v>46</v>
      </c>
      <c r="C13" s="245">
        <f>+Resumen!E14</f>
        <v>46209</v>
      </c>
      <c r="D13" s="245"/>
      <c r="E13" s="71"/>
      <c r="G13" s="49">
        <v>210</v>
      </c>
      <c r="H13" s="53">
        <v>20.594000000000001</v>
      </c>
      <c r="N13" s="135" t="s">
        <v>106</v>
      </c>
      <c r="O13" s="138" t="s">
        <v>90</v>
      </c>
      <c r="S13" s="42"/>
      <c r="T13" s="118"/>
    </row>
    <row r="14" spans="1:21" ht="16.5" customHeight="1" x14ac:dyDescent="0.25">
      <c r="B14" s="20" t="s">
        <v>61</v>
      </c>
      <c r="C14" s="244"/>
      <c r="D14" s="244"/>
      <c r="E14" s="71" t="s">
        <v>62</v>
      </c>
      <c r="G14" s="49">
        <v>245</v>
      </c>
      <c r="H14" s="53">
        <v>24.026299999999999</v>
      </c>
      <c r="N14" s="135" t="s">
        <v>13</v>
      </c>
      <c r="O14" s="139" t="s">
        <v>92</v>
      </c>
      <c r="S14" s="42"/>
      <c r="T14" s="18"/>
    </row>
    <row r="15" spans="1:21" ht="16.5" customHeight="1" x14ac:dyDescent="0.25">
      <c r="B15" s="20" t="s">
        <v>47</v>
      </c>
      <c r="C15" s="261">
        <f>+IF(C13-C11&lt;3,(INT(((C13+C14)-(C11+C12))*24)),C13-C11)</f>
        <v>7</v>
      </c>
      <c r="D15" s="261"/>
      <c r="E15" s="39" t="s">
        <v>121</v>
      </c>
      <c r="F15" s="43"/>
      <c r="G15" s="49">
        <v>280</v>
      </c>
      <c r="H15" s="53">
        <v>27.458600000000001</v>
      </c>
      <c r="N15" s="44"/>
      <c r="O15" s="45"/>
      <c r="P15" s="45"/>
      <c r="Q15" s="45"/>
      <c r="R15" s="45"/>
      <c r="S15" s="46"/>
      <c r="T15" s="18"/>
    </row>
    <row r="16" spans="1:21" ht="16.5" customHeight="1" x14ac:dyDescent="0.25">
      <c r="B16" s="20" t="s">
        <v>81</v>
      </c>
      <c r="C16" s="246"/>
      <c r="D16" s="246"/>
      <c r="G16" s="49">
        <v>350</v>
      </c>
      <c r="H16" s="53">
        <v>34.323300000000003</v>
      </c>
      <c r="T16" s="18"/>
    </row>
    <row r="17" spans="2:20" ht="16.5" customHeight="1" x14ac:dyDescent="0.25">
      <c r="B17" s="20" t="s">
        <v>111</v>
      </c>
      <c r="C17" s="246" t="s">
        <v>112</v>
      </c>
      <c r="D17" s="246"/>
      <c r="G17" s="28"/>
      <c r="H17" s="145"/>
      <c r="T17" s="18"/>
    </row>
    <row r="18" spans="2:20" ht="13.95" customHeight="1" x14ac:dyDescent="0.25">
      <c r="T18" s="18"/>
    </row>
    <row r="19" spans="2:20" ht="33.75" customHeight="1" x14ac:dyDescent="0.25">
      <c r="B19" s="35" t="s">
        <v>28</v>
      </c>
      <c r="C19" s="35"/>
      <c r="D19" s="37" t="s">
        <v>39</v>
      </c>
      <c r="E19" s="37" t="s">
        <v>40</v>
      </c>
      <c r="F19" s="34" t="s">
        <v>41</v>
      </c>
      <c r="G19" s="34" t="s">
        <v>42</v>
      </c>
      <c r="H19" s="34" t="s">
        <v>43</v>
      </c>
      <c r="I19" s="34" t="s">
        <v>79</v>
      </c>
      <c r="J19" s="34" t="s">
        <v>34</v>
      </c>
      <c r="K19" s="35" t="s">
        <v>57</v>
      </c>
      <c r="L19" s="35" t="s">
        <v>49</v>
      </c>
      <c r="M19" s="35" t="s">
        <v>65</v>
      </c>
      <c r="N19" s="65" t="s">
        <v>86</v>
      </c>
      <c r="O19" s="66"/>
      <c r="P19" s="66"/>
      <c r="Q19" s="67"/>
      <c r="T19" s="18"/>
    </row>
    <row r="20" spans="2:20" ht="24" customHeight="1" x14ac:dyDescent="0.25">
      <c r="B20" s="171" t="str">
        <f>+Resumen!A14</f>
        <v>HHTA-MURO PERIMETRAL-(EJE-D-N @ 09"-10")-210-459</v>
      </c>
      <c r="C20" s="166"/>
      <c r="D20" s="69">
        <f>+Resumen!F14</f>
        <v>150.30000000000001</v>
      </c>
      <c r="E20" s="69">
        <f>+Resumen!G14</f>
        <v>150.6</v>
      </c>
      <c r="F20" s="69">
        <f>+Resumen!H14</f>
        <v>300.2</v>
      </c>
      <c r="G20" s="69">
        <f>+Resumen!I14</f>
        <v>300.60000000000002</v>
      </c>
      <c r="H20" s="69">
        <f>+Resumen!J14</f>
        <v>300.2</v>
      </c>
      <c r="I20" s="69">
        <f>+Resumen!K14</f>
        <v>392.4</v>
      </c>
      <c r="J20" s="69">
        <f>+Resumen!L14</f>
        <v>2</v>
      </c>
      <c r="K20" s="165"/>
      <c r="L20" s="47" t="str">
        <f>+IF(((MAX(D20,E20)-MIN(D20,E20))/D20)*100&lt;2,"Cumple","No Cumple")</f>
        <v>Cumple</v>
      </c>
      <c r="M20" s="70" t="str">
        <f>+IF(AND(C15&gt;=28,E10&lt;H36),"ok",IF(C15&lt;28,"--","Evaluar"))</f>
        <v>--</v>
      </c>
      <c r="N20" s="262" t="s">
        <v>64</v>
      </c>
      <c r="O20" s="263"/>
      <c r="P20" s="263"/>
      <c r="Q20" s="264"/>
      <c r="T20" s="18"/>
    </row>
    <row r="21" spans="2:20" ht="24" customHeight="1" x14ac:dyDescent="0.2">
      <c r="B21" s="171" t="str">
        <f>+Resumen!A15</f>
        <v>HHTA-LOSA PAVIMENTACION TRAMO I Y II-(EJE-D-N @ 09"-10")-210-460</v>
      </c>
      <c r="C21" s="166"/>
      <c r="D21" s="69">
        <f>+Resumen!F15</f>
        <v>150.1</v>
      </c>
      <c r="E21" s="69">
        <f>+Resumen!G15</f>
        <v>150.30000000000001</v>
      </c>
      <c r="F21" s="69">
        <f>+Resumen!H15</f>
        <v>300.39999999999998</v>
      </c>
      <c r="G21" s="69">
        <f>+Resumen!I15</f>
        <v>300.39999999999998</v>
      </c>
      <c r="H21" s="69">
        <f>+Resumen!J15</f>
        <v>300.7</v>
      </c>
      <c r="I21" s="69">
        <f>+Resumen!K15</f>
        <v>397.1</v>
      </c>
      <c r="J21" s="69">
        <f>+Resumen!L15</f>
        <v>2</v>
      </c>
      <c r="K21" s="165"/>
      <c r="L21" s="47" t="str">
        <f>+IF(((MAX(D21,E21)-MIN(D21,E21))/D21)*100&lt;2,"Cumple","No Cumple")</f>
        <v>Cumple</v>
      </c>
      <c r="M21" s="70" t="str">
        <f>+IF(AND(C15&gt;=28,E10&lt;H37),"ok",IF(C15&lt;28,"--","Defecto de muestra"))</f>
        <v>--</v>
      </c>
      <c r="N21" s="265"/>
      <c r="O21" s="266"/>
      <c r="P21" s="266"/>
      <c r="Q21" s="267"/>
    </row>
    <row r="22" spans="2:20" ht="24" customHeight="1" x14ac:dyDescent="0.2">
      <c r="B22" s="171" t="str">
        <f>+Resumen!A16</f>
        <v>HHTA-LOSA PAVIMENTACION TRAMO I Y II-(EJE-D-N @ 09"-10")-210-461</v>
      </c>
      <c r="C22" s="166"/>
      <c r="D22" s="69">
        <f>+Resumen!F16</f>
        <v>150.4</v>
      </c>
      <c r="E22" s="69">
        <f>+Resumen!G16</f>
        <v>150.19999999999999</v>
      </c>
      <c r="F22" s="69">
        <f>+Resumen!H16</f>
        <v>301.2</v>
      </c>
      <c r="G22" s="69">
        <f>+Resumen!I16</f>
        <v>301.2</v>
      </c>
      <c r="H22" s="69">
        <f>+Resumen!J16</f>
        <v>300.8</v>
      </c>
      <c r="I22" s="69">
        <f>+Resumen!K16</f>
        <v>406.2</v>
      </c>
      <c r="J22" s="69">
        <f>+Resumen!L16</f>
        <v>3</v>
      </c>
      <c r="K22" s="165"/>
      <c r="L22" s="47" t="str">
        <f>+IF(((MAX(D22,E22)-MIN(D22,E22))/D22)*100&lt;2,"Cumple","No Cumple")</f>
        <v>Cumple</v>
      </c>
      <c r="M22" s="70" t="str">
        <f>+IF(AND(C15&gt;=28,E10&lt;H38),"ok",IF(C15&lt;28,"--","Defecto de muestra"))</f>
        <v>--</v>
      </c>
      <c r="N22" s="268"/>
      <c r="O22" s="269"/>
      <c r="P22" s="269"/>
      <c r="Q22" s="270"/>
    </row>
    <row r="23" spans="2:20" ht="9.6" customHeight="1" x14ac:dyDescent="0.2"/>
    <row r="24" spans="2:20" ht="18" customHeight="1" x14ac:dyDescent="0.2">
      <c r="D24" s="27">
        <f>+D20*$D$45+$D$46</f>
        <v>-2.006E-4</v>
      </c>
      <c r="E24" s="27">
        <f>+E20*$D$45+$D$46</f>
        <v>-2.0119999999999996E-4</v>
      </c>
      <c r="F24" s="27">
        <f>+F20*$H$45+$H$46</f>
        <v>-5.0040000000000002E-4</v>
      </c>
      <c r="G24" s="27">
        <f>+G20*$H$45+$H$46</f>
        <v>-5.0120000000000004E-4</v>
      </c>
      <c r="H24" s="27">
        <f>+H20*$H$45+$H$46</f>
        <v>-5.0040000000000002E-4</v>
      </c>
    </row>
    <row r="25" spans="2:20" ht="20.399999999999999" customHeight="1" x14ac:dyDescent="0.2">
      <c r="D25" s="27">
        <f>+D21*$D$49+$D$50</f>
        <v>-2.0019999999999999E-4</v>
      </c>
      <c r="E25" s="27">
        <f>+E21*$D$49+$D$50</f>
        <v>-2.006E-4</v>
      </c>
      <c r="F25" s="27">
        <f>+F21*$H$49+$H$50</f>
        <v>-5.0080000000000003E-4</v>
      </c>
      <c r="G25" s="27">
        <f>+G21*$H$49+$H$50</f>
        <v>-5.0080000000000003E-4</v>
      </c>
      <c r="H25" s="27">
        <f>+H21*$H$49+$H$50</f>
        <v>-5.0140000000000004E-4</v>
      </c>
      <c r="J25" s="147"/>
    </row>
    <row r="26" spans="2:20" ht="20.399999999999999" customHeight="1" x14ac:dyDescent="0.2">
      <c r="D26" s="27">
        <f>+D22*$D$53+$D$54</f>
        <v>-2.008E-4</v>
      </c>
      <c r="E26" s="27">
        <f>+E22*$D$53+$D$54</f>
        <v>-2.0039999999999994E-4</v>
      </c>
      <c r="F26" s="27">
        <f>+F22*$H$53+$H$54</f>
        <v>-5.0239999999999996E-4</v>
      </c>
      <c r="G26" s="27">
        <f>+G22*$H$53+$H$54</f>
        <v>-5.0239999999999996E-4</v>
      </c>
      <c r="H26" s="27">
        <f>+H22*$H$53+$H$54</f>
        <v>-5.0160000000000005E-4</v>
      </c>
    </row>
    <row r="27" spans="2:20" ht="6.6" customHeight="1" x14ac:dyDescent="0.2">
      <c r="D27" s="120"/>
      <c r="E27" s="120"/>
      <c r="F27" s="120"/>
      <c r="G27" s="120"/>
      <c r="H27" s="120"/>
    </row>
    <row r="28" spans="2:20" ht="20.399999999999999" customHeight="1" x14ac:dyDescent="0.2">
      <c r="D28" s="214" t="s">
        <v>69</v>
      </c>
      <c r="E28" s="214"/>
      <c r="F28" s="214" t="s">
        <v>72</v>
      </c>
      <c r="G28" s="214"/>
      <c r="H28" s="214"/>
      <c r="I28" s="214" t="s">
        <v>76</v>
      </c>
      <c r="J28" s="214"/>
      <c r="K28" s="214" t="s">
        <v>98</v>
      </c>
      <c r="L28" s="214"/>
      <c r="M28" s="271" t="s">
        <v>16</v>
      </c>
      <c r="O28" s="52" t="s">
        <v>83</v>
      </c>
      <c r="P28" s="36"/>
      <c r="R28" s="148">
        <f>(STDEV(H36:H37)/AVERAGE(H36:H37))*100</f>
        <v>1.0770821043978205</v>
      </c>
    </row>
    <row r="29" spans="2:20" ht="24" customHeight="1" x14ac:dyDescent="0.2">
      <c r="D29" s="48" t="s">
        <v>70</v>
      </c>
      <c r="E29" s="48" t="s">
        <v>71</v>
      </c>
      <c r="F29" s="31" t="s">
        <v>73</v>
      </c>
      <c r="G29" s="31" t="s">
        <v>74</v>
      </c>
      <c r="H29" s="31" t="s">
        <v>75</v>
      </c>
      <c r="I29" s="31" t="s">
        <v>77</v>
      </c>
      <c r="J29" s="31" t="s">
        <v>78</v>
      </c>
      <c r="K29" s="49" t="s">
        <v>35</v>
      </c>
      <c r="L29" s="31" t="s">
        <v>36</v>
      </c>
      <c r="M29" s="271"/>
      <c r="O29" s="49" t="s">
        <v>35</v>
      </c>
      <c r="P29" s="49" t="s">
        <v>44</v>
      </c>
    </row>
    <row r="30" spans="2:20" ht="20.399999999999999" customHeight="1" x14ac:dyDescent="0.2">
      <c r="D30" s="19">
        <f t="shared" ref="D30:H32" si="0">+D20+D24</f>
        <v>150.29979940000001</v>
      </c>
      <c r="E30" s="19">
        <f t="shared" si="0"/>
        <v>150.5997988</v>
      </c>
      <c r="F30" s="19">
        <f t="shared" si="0"/>
        <v>300.19949959999997</v>
      </c>
      <c r="G30" s="19">
        <f t="shared" si="0"/>
        <v>300.59949880000005</v>
      </c>
      <c r="H30" s="19">
        <f t="shared" si="0"/>
        <v>300.19949959999997</v>
      </c>
      <c r="I30" s="144"/>
      <c r="J30" s="32"/>
      <c r="K30" s="19">
        <f>+E36/D36</f>
        <v>1.9962328594871925</v>
      </c>
      <c r="L30" s="136">
        <f>IF(AND(K30&gt;1.75,K30&lt;=2.2),1,FORECAST(K30,P31:P34,O31:O34))</f>
        <v>1</v>
      </c>
      <c r="M30" s="33">
        <f>+L36/$C$10</f>
        <v>1.0718068295543592</v>
      </c>
      <c r="O30" s="72" t="s">
        <v>93</v>
      </c>
      <c r="P30" s="19">
        <v>1</v>
      </c>
      <c r="R30" s="139"/>
      <c r="S30" s="139"/>
    </row>
    <row r="31" spans="2:20" ht="20.399999999999999" customHeight="1" x14ac:dyDescent="0.2">
      <c r="D31" s="19">
        <f t="shared" si="0"/>
        <v>150.0997998</v>
      </c>
      <c r="E31" s="19">
        <f t="shared" si="0"/>
        <v>150.29979940000001</v>
      </c>
      <c r="F31" s="19">
        <f t="shared" si="0"/>
        <v>300.39949919999998</v>
      </c>
      <c r="G31" s="19">
        <f t="shared" si="0"/>
        <v>300.39949919999998</v>
      </c>
      <c r="H31" s="19">
        <f t="shared" si="0"/>
        <v>300.69949859999997</v>
      </c>
      <c r="I31" s="144"/>
      <c r="J31" s="32"/>
      <c r="K31" s="19">
        <f>+E37/D37</f>
        <v>2.0006651127382726</v>
      </c>
      <c r="L31" s="136">
        <f>IF(AND(K31&gt;1.75,K31&lt;=2.2),1,FORECAST(K31,P31:P34,O31:O34))</f>
        <v>1</v>
      </c>
      <c r="M31" s="33">
        <f>+L37/$C$10</f>
        <v>1.0882581449018038</v>
      </c>
      <c r="O31" s="19">
        <v>1.75</v>
      </c>
      <c r="P31" s="49">
        <v>0.98</v>
      </c>
      <c r="R31" s="29"/>
      <c r="S31" s="29"/>
    </row>
    <row r="32" spans="2:20" ht="20.399999999999999" customHeight="1" x14ac:dyDescent="0.2">
      <c r="D32" s="19">
        <f t="shared" si="0"/>
        <v>150.39979920000002</v>
      </c>
      <c r="E32" s="19">
        <f t="shared" si="0"/>
        <v>150.19979959999998</v>
      </c>
      <c r="F32" s="19">
        <f t="shared" si="0"/>
        <v>301.19949759999997</v>
      </c>
      <c r="G32" s="19">
        <f t="shared" si="0"/>
        <v>301.19949759999997</v>
      </c>
      <c r="H32" s="19">
        <f t="shared" si="0"/>
        <v>300.7994984</v>
      </c>
      <c r="I32" s="144"/>
      <c r="J32" s="32"/>
      <c r="K32" s="19">
        <f>+E38/D38</f>
        <v>2.0031042339058058</v>
      </c>
      <c r="L32" s="136">
        <f>IF(AND(K32&gt;1.75,K32&lt;=2.2),1,FORECAST(K32,P32:P34,O32:O34))</f>
        <v>1</v>
      </c>
      <c r="M32" s="33">
        <f>+L38/$C$10</f>
        <v>1.1117160170501661</v>
      </c>
      <c r="O32" s="19">
        <v>1.5</v>
      </c>
      <c r="P32" s="49">
        <v>0.96</v>
      </c>
      <c r="R32" s="29"/>
      <c r="S32" s="29"/>
    </row>
    <row r="33" spans="2:20" ht="20.399999999999999" customHeight="1" x14ac:dyDescent="0.2">
      <c r="O33" s="19">
        <v>1.25</v>
      </c>
      <c r="P33" s="49">
        <v>0.93</v>
      </c>
      <c r="S33" s="29"/>
    </row>
    <row r="34" spans="2:20" ht="20.399999999999999" customHeight="1" x14ac:dyDescent="0.2">
      <c r="D34" s="258" t="s">
        <v>30</v>
      </c>
      <c r="E34" s="258" t="s">
        <v>31</v>
      </c>
      <c r="F34" s="258" t="s">
        <v>32</v>
      </c>
      <c r="G34" s="258" t="s">
        <v>79</v>
      </c>
      <c r="H34" s="256" t="s">
        <v>17</v>
      </c>
      <c r="I34" s="258" t="s">
        <v>34</v>
      </c>
      <c r="J34" s="256" t="s">
        <v>37</v>
      </c>
      <c r="L34" s="256" t="s">
        <v>110</v>
      </c>
      <c r="O34" s="19">
        <v>1</v>
      </c>
      <c r="P34" s="49">
        <v>0.87</v>
      </c>
    </row>
    <row r="35" spans="2:20" ht="20.399999999999999" customHeight="1" x14ac:dyDescent="0.2">
      <c r="D35" s="258"/>
      <c r="E35" s="258"/>
      <c r="F35" s="258"/>
      <c r="G35" s="258"/>
      <c r="H35" s="257"/>
      <c r="I35" s="258"/>
      <c r="J35" s="257"/>
      <c r="L35" s="257"/>
    </row>
    <row r="36" spans="2:20" ht="20.399999999999999" customHeight="1" x14ac:dyDescent="0.2">
      <c r="D36" s="13">
        <f>+(D30+E30)/2</f>
        <v>150.44979910000001</v>
      </c>
      <c r="E36" s="13">
        <f>+(F30+G30+H30)/3</f>
        <v>300.33283266666666</v>
      </c>
      <c r="F36" s="13">
        <f>3.1416*D36^2/4</f>
        <v>17777.640565465525</v>
      </c>
      <c r="G36" s="13">
        <f>+I20</f>
        <v>392.4</v>
      </c>
      <c r="H36" s="13">
        <f>(4000*G36/3.1416/D36^2)*L30</f>
        <v>22.072670361120252</v>
      </c>
      <c r="I36" s="51">
        <f>+J20</f>
        <v>2</v>
      </c>
      <c r="J36" s="64">
        <f>IF($C$16="no","---",MROUND((4*(10^9)*J30)/E36/(D36^2)/3.1416,10))</f>
        <v>0</v>
      </c>
      <c r="L36" s="140">
        <f>+H36*10.1972</f>
        <v>225.07943420641544</v>
      </c>
    </row>
    <row r="37" spans="2:20" ht="20.399999999999999" customHeight="1" x14ac:dyDescent="0.2">
      <c r="D37" s="13">
        <f>+(D31+E31)/2</f>
        <v>150.19979960000001</v>
      </c>
      <c r="E37" s="13">
        <f>+(F31+G31+H31)/3</f>
        <v>300.49949899999996</v>
      </c>
      <c r="F37" s="13">
        <f>3.1416*D37^2/4</f>
        <v>17718.608134825878</v>
      </c>
      <c r="G37" s="13">
        <f>+I21</f>
        <v>397.1</v>
      </c>
      <c r="H37" s="13">
        <f>(4000*G37/3.1416/D37^2)*L31</f>
        <v>22.411466915366844</v>
      </c>
      <c r="I37" s="51">
        <f>+J21</f>
        <v>2</v>
      </c>
      <c r="J37" s="64">
        <f>IF($C$16="no","---",MROUND((4*(10^9)*J31)/E37/(D37^2)/3.1416,10))</f>
        <v>0</v>
      </c>
      <c r="L37" s="140">
        <f>+H37*10.1972</f>
        <v>228.53421042937879</v>
      </c>
    </row>
    <row r="38" spans="2:20" ht="20.399999999999999" customHeight="1" x14ac:dyDescent="0.2">
      <c r="D38" s="13">
        <f>+(D32+E32)/2</f>
        <v>150.29979939999998</v>
      </c>
      <c r="E38" s="13">
        <f>+(F32+G32+H32)/3</f>
        <v>301.06616453333328</v>
      </c>
      <c r="F38" s="13">
        <f>3.1416*D38^2/4</f>
        <v>17742.209326128857</v>
      </c>
      <c r="G38" s="13">
        <f>+I22</f>
        <v>406.2</v>
      </c>
      <c r="H38" s="13">
        <f>(4000*G38/3.1416/D38^2)*L32</f>
        <v>22.894555719269494</v>
      </c>
      <c r="I38" s="51">
        <f>+J22</f>
        <v>3</v>
      </c>
      <c r="J38" s="64">
        <f>IF($C$16="no","---",MROUND((4*(10^9)*J32)/E38/(D38^2)/3.1416,10))</f>
        <v>0</v>
      </c>
      <c r="L38" s="140">
        <f>+H38*10.1972</f>
        <v>233.4603635805349</v>
      </c>
    </row>
    <row r="39" spans="2:20" ht="20.399999999999999" customHeight="1" x14ac:dyDescent="0.2">
      <c r="D39" s="120"/>
      <c r="E39" s="120"/>
      <c r="F39" s="120"/>
      <c r="G39" s="120"/>
      <c r="H39" s="120"/>
    </row>
    <row r="40" spans="2:20" ht="20.399999999999999" customHeight="1" thickBot="1" x14ac:dyDescent="0.25">
      <c r="D40" s="120"/>
      <c r="E40" s="120"/>
      <c r="F40" s="120"/>
      <c r="G40" s="120"/>
      <c r="H40" s="120"/>
    </row>
    <row r="41" spans="2:20" ht="20.399999999999999" customHeight="1" x14ac:dyDescent="0.2">
      <c r="B41" s="133" t="s">
        <v>103</v>
      </c>
      <c r="C41" s="121"/>
      <c r="D41" s="122"/>
      <c r="E41" s="122"/>
      <c r="F41" s="122"/>
      <c r="G41" s="122"/>
      <c r="H41" s="122"/>
      <c r="I41" s="121"/>
      <c r="J41" s="121"/>
      <c r="K41" s="121"/>
      <c r="L41" s="123"/>
    </row>
    <row r="42" spans="2:20" ht="20.399999999999999" customHeight="1" x14ac:dyDescent="0.2">
      <c r="B42" s="124"/>
      <c r="J42" s="49" t="s">
        <v>58</v>
      </c>
      <c r="K42" s="49" t="s">
        <v>54</v>
      </c>
      <c r="L42" s="125" t="s">
        <v>102</v>
      </c>
    </row>
    <row r="43" spans="2:20" ht="20.399999999999999" customHeight="1" x14ac:dyDescent="0.2">
      <c r="B43" s="126">
        <f>MATCH(D20,K43:K52)</f>
        <v>3</v>
      </c>
      <c r="C43" s="49">
        <f>INDEX(J43:L52,B43,2)</f>
        <v>100</v>
      </c>
      <c r="D43" s="27">
        <f>INDEX(J43:L52,B43,3)</f>
        <v>-1E-4</v>
      </c>
      <c r="F43" s="49">
        <f>MATCH(F20,K43:K52)</f>
        <v>4</v>
      </c>
      <c r="G43" s="49">
        <f>INDEX(J43:L52,F43,2)</f>
        <v>200</v>
      </c>
      <c r="H43" s="27">
        <f>INDEX(J43:L52,F43,3)</f>
        <v>-2.9999999999999997E-4</v>
      </c>
      <c r="J43" s="49">
        <v>1</v>
      </c>
      <c r="K43" s="49">
        <v>0</v>
      </c>
      <c r="L43" s="127">
        <v>0</v>
      </c>
    </row>
    <row r="44" spans="2:20" ht="20.399999999999999" customHeight="1" x14ac:dyDescent="0.2">
      <c r="B44" s="126">
        <f>B43+1</f>
        <v>4</v>
      </c>
      <c r="C44" s="49">
        <f>INDEX(J43:L52,B44,2)</f>
        <v>200</v>
      </c>
      <c r="D44" s="27">
        <f>INDEX(J43:L52,B44,3)</f>
        <v>-2.9999999999999997E-4</v>
      </c>
      <c r="F44" s="49">
        <f>F43+1</f>
        <v>5</v>
      </c>
      <c r="G44" s="49">
        <f>INDEX(J43:L52,F44,2)</f>
        <v>400</v>
      </c>
      <c r="H44" s="27">
        <f>INDEX(J43:L52,F44,3)</f>
        <v>-6.9999999999999999E-4</v>
      </c>
      <c r="J44" s="49">
        <v>2</v>
      </c>
      <c r="K44" s="49">
        <v>50</v>
      </c>
      <c r="L44" s="127">
        <v>-2.0000000000000001E-4</v>
      </c>
    </row>
    <row r="45" spans="2:20" ht="20.399999999999999" customHeight="1" x14ac:dyDescent="0.2">
      <c r="B45" s="128"/>
      <c r="C45" s="49" t="s">
        <v>96</v>
      </c>
      <c r="D45" s="27">
        <f>+SLOPE(D43:D44,C43:C44)</f>
        <v>-1.9999999999999995E-6</v>
      </c>
      <c r="F45" s="24"/>
      <c r="G45" s="49" t="s">
        <v>96</v>
      </c>
      <c r="H45" s="27">
        <f>+SLOPE(H43:H44,G43:G44)</f>
        <v>-1.9999999999999999E-6</v>
      </c>
      <c r="J45" s="49">
        <v>3</v>
      </c>
      <c r="K45" s="49">
        <v>100</v>
      </c>
      <c r="L45" s="127">
        <v>-1E-4</v>
      </c>
    </row>
    <row r="46" spans="2:20" ht="20.399999999999999" customHeight="1" x14ac:dyDescent="0.2">
      <c r="B46" s="128"/>
      <c r="C46" s="49" t="s">
        <v>97</v>
      </c>
      <c r="D46" s="27">
        <f>+INTERCEPT(D43:D44,C43:C44)</f>
        <v>9.9999999999999937E-5</v>
      </c>
      <c r="F46" s="24"/>
      <c r="G46" s="49" t="s">
        <v>97</v>
      </c>
      <c r="H46" s="27">
        <f>+INTERCEPT(H43:H44,G43:G44)</f>
        <v>9.9999999999999937E-5</v>
      </c>
      <c r="J46" s="49">
        <v>4</v>
      </c>
      <c r="K46" s="49">
        <v>200</v>
      </c>
      <c r="L46" s="127">
        <v>-2.9999999999999997E-4</v>
      </c>
    </row>
    <row r="47" spans="2:20" ht="18.600000000000001" customHeight="1" x14ac:dyDescent="0.2">
      <c r="B47" s="126">
        <f>MATCH(D21,K43:K52)</f>
        <v>3</v>
      </c>
      <c r="C47" s="49">
        <f>INDEX(J43:L52,B47,2)</f>
        <v>100</v>
      </c>
      <c r="D47" s="27">
        <f>INDEX(J43:L52,B47,3)</f>
        <v>-1E-4</v>
      </c>
      <c r="F47" s="49">
        <f>MATCH(F21,K43:K52)</f>
        <v>4</v>
      </c>
      <c r="G47" s="49">
        <f>INDEX(J43:L52,F47,2)</f>
        <v>200</v>
      </c>
      <c r="H47" s="27">
        <f>INDEX(J43:L52,F47,3)</f>
        <v>-2.9999999999999997E-4</v>
      </c>
      <c r="J47" s="49">
        <v>5</v>
      </c>
      <c r="K47" s="49">
        <v>400</v>
      </c>
      <c r="L47" s="127">
        <v>-6.9999999999999999E-4</v>
      </c>
      <c r="S47" s="28"/>
      <c r="T47" s="120"/>
    </row>
    <row r="48" spans="2:20" ht="18.600000000000001" customHeight="1" x14ac:dyDescent="0.2">
      <c r="B48" s="126">
        <f>B47+1</f>
        <v>4</v>
      </c>
      <c r="C48" s="49">
        <f>INDEX(J43:L52,B48,2)</f>
        <v>200</v>
      </c>
      <c r="D48" s="27">
        <f>INDEX(J43:L52,B48,3)</f>
        <v>-2.9999999999999997E-4</v>
      </c>
      <c r="F48" s="49">
        <f>F47+1</f>
        <v>5</v>
      </c>
      <c r="G48" s="49">
        <f>INDEX(J43:L52,F48,2)</f>
        <v>400</v>
      </c>
      <c r="H48" s="27">
        <f>INDEX(J43:L52,F48,3)</f>
        <v>-6.9999999999999999E-4</v>
      </c>
      <c r="J48" s="49">
        <v>6</v>
      </c>
      <c r="K48" s="49">
        <v>450</v>
      </c>
      <c r="L48" s="127">
        <v>-8.9999999999999998E-4</v>
      </c>
      <c r="S48" s="28"/>
      <c r="T48" s="120"/>
    </row>
    <row r="49" spans="2:21" ht="18.600000000000001" customHeight="1" x14ac:dyDescent="0.2">
      <c r="B49" s="128"/>
      <c r="C49" s="49" t="s">
        <v>96</v>
      </c>
      <c r="D49" s="27">
        <f>+SLOPE(D47:D48,C47:C48)</f>
        <v>-1.9999999999999995E-6</v>
      </c>
      <c r="F49" s="24"/>
      <c r="G49" s="49" t="s">
        <v>96</v>
      </c>
      <c r="H49" s="27">
        <f>+SLOPE(H47:H48,G47:G48)</f>
        <v>-1.9999999999999999E-6</v>
      </c>
      <c r="J49" s="49"/>
      <c r="K49" s="49"/>
      <c r="L49" s="127"/>
      <c r="S49" s="28"/>
      <c r="T49" s="120"/>
    </row>
    <row r="50" spans="2:21" ht="18.600000000000001" customHeight="1" x14ac:dyDescent="0.2">
      <c r="B50" s="128"/>
      <c r="C50" s="49" t="s">
        <v>97</v>
      </c>
      <c r="D50" s="27">
        <f>+INTERCEPT(D47:D48,C47:C48)</f>
        <v>9.9999999999999937E-5</v>
      </c>
      <c r="F50" s="24"/>
      <c r="G50" s="49" t="s">
        <v>97</v>
      </c>
      <c r="H50" s="27">
        <f>+INTERCEPT(H47:H48,G47:G48)</f>
        <v>9.9999999999999937E-5</v>
      </c>
      <c r="J50" s="49"/>
      <c r="K50" s="49"/>
      <c r="L50" s="127"/>
      <c r="S50" s="28"/>
      <c r="T50" s="120"/>
    </row>
    <row r="51" spans="2:21" ht="18.600000000000001" customHeight="1" x14ac:dyDescent="0.2">
      <c r="B51" s="126">
        <f>MATCH(D22,K43:K52)</f>
        <v>3</v>
      </c>
      <c r="C51" s="49">
        <f>INDEX(J43:L52,B51,2)</f>
        <v>100</v>
      </c>
      <c r="D51" s="27">
        <f>INDEX(J43:L52,B51,3)</f>
        <v>-1E-4</v>
      </c>
      <c r="F51" s="49">
        <f>MATCH(F22,K43:K52)</f>
        <v>4</v>
      </c>
      <c r="G51" s="49">
        <f>INDEX(J43:L52,F51,2)</f>
        <v>200</v>
      </c>
      <c r="H51" s="27">
        <f>INDEX(J43:L52,F51,3)</f>
        <v>-2.9999999999999997E-4</v>
      </c>
      <c r="J51" s="49"/>
      <c r="K51" s="49"/>
      <c r="L51" s="127"/>
      <c r="S51" s="28"/>
      <c r="T51" s="120"/>
    </row>
    <row r="52" spans="2:21" ht="18.600000000000001" customHeight="1" x14ac:dyDescent="0.2">
      <c r="B52" s="126">
        <f>B51+1</f>
        <v>4</v>
      </c>
      <c r="C52" s="49">
        <f>INDEX(J43:L52,B52,2)</f>
        <v>200</v>
      </c>
      <c r="D52" s="27">
        <f>INDEX(J43:L52,B52,3)</f>
        <v>-2.9999999999999997E-4</v>
      </c>
      <c r="F52" s="49">
        <f>F51+1</f>
        <v>5</v>
      </c>
      <c r="G52" s="49">
        <f>INDEX(J43:L52,F52,2)</f>
        <v>400</v>
      </c>
      <c r="H52" s="27">
        <f>INDEX(J43:L52,F52,3)</f>
        <v>-6.9999999999999999E-4</v>
      </c>
      <c r="J52" s="49"/>
      <c r="K52" s="49"/>
      <c r="L52" s="127"/>
      <c r="S52" s="28"/>
      <c r="T52" s="120"/>
    </row>
    <row r="53" spans="2:21" ht="18.600000000000001" customHeight="1" x14ac:dyDescent="0.2">
      <c r="B53" s="128"/>
      <c r="C53" s="49" t="s">
        <v>96</v>
      </c>
      <c r="D53" s="27">
        <f>+SLOPE(D51:D52,C51:C52)</f>
        <v>-1.9999999999999995E-6</v>
      </c>
      <c r="F53" s="24"/>
      <c r="G53" s="49" t="s">
        <v>96</v>
      </c>
      <c r="H53" s="27">
        <f>+SLOPE(H51:H52,G51:G52)</f>
        <v>-1.9999999999999999E-6</v>
      </c>
      <c r="L53" s="129"/>
      <c r="S53" s="28"/>
      <c r="T53" s="120"/>
    </row>
    <row r="54" spans="2:21" ht="18.600000000000001" customHeight="1" x14ac:dyDescent="0.2">
      <c r="B54" s="128"/>
      <c r="C54" s="49" t="s">
        <v>97</v>
      </c>
      <c r="D54" s="27">
        <f>+INTERCEPT(D51:D52,C51:C52)</f>
        <v>9.9999999999999937E-5</v>
      </c>
      <c r="F54" s="24"/>
      <c r="G54" s="49" t="s">
        <v>97</v>
      </c>
      <c r="H54" s="27">
        <f>+INTERCEPT(H51:H52,G51:G52)</f>
        <v>9.9999999999999937E-5</v>
      </c>
      <c r="L54" s="129"/>
      <c r="S54" s="28"/>
      <c r="T54" s="120"/>
    </row>
    <row r="55" spans="2:21" ht="18.600000000000001" customHeight="1" thickBot="1" x14ac:dyDescent="0.25">
      <c r="B55" s="130"/>
      <c r="C55" s="131"/>
      <c r="D55" s="131"/>
      <c r="E55" s="131"/>
      <c r="F55" s="131"/>
      <c r="G55" s="131"/>
      <c r="H55" s="131"/>
      <c r="I55" s="131"/>
      <c r="J55" s="131"/>
      <c r="K55" s="131"/>
      <c r="L55" s="132"/>
      <c r="S55" s="28"/>
      <c r="T55" s="120"/>
    </row>
    <row r="56" spans="2:21" ht="13.2" x14ac:dyDescent="0.25">
      <c r="T56" s="18"/>
    </row>
    <row r="57" spans="2:21" x14ac:dyDescent="0.2">
      <c r="Q57" s="63"/>
    </row>
    <row r="58" spans="2:21" ht="25.2" customHeight="1" x14ac:dyDescent="0.2"/>
    <row r="59" spans="2:21" ht="24" customHeight="1" x14ac:dyDescent="0.25">
      <c r="T59" s="18"/>
      <c r="U59" s="18"/>
    </row>
    <row r="60" spans="2:21" ht="24" customHeight="1" x14ac:dyDescent="0.25">
      <c r="T60" s="18"/>
      <c r="U60" s="18"/>
    </row>
    <row r="61" spans="2:21" ht="24" customHeight="1" x14ac:dyDescent="0.25">
      <c r="T61" s="18"/>
      <c r="U61" s="18"/>
    </row>
    <row r="62" spans="2:21" ht="14.4" customHeight="1" x14ac:dyDescent="0.25">
      <c r="T62" s="18"/>
      <c r="U62" s="18"/>
    </row>
    <row r="63" spans="2:21" ht="24" customHeight="1" x14ac:dyDescent="0.25">
      <c r="T63" s="18"/>
      <c r="U63" s="18"/>
    </row>
    <row r="64" spans="2:21" ht="24" customHeight="1" x14ac:dyDescent="0.25">
      <c r="T64" s="18"/>
      <c r="U64" s="18"/>
    </row>
    <row r="65" spans="20:21" ht="24" customHeight="1" x14ac:dyDescent="0.25">
      <c r="T65" s="18"/>
      <c r="U65" s="18"/>
    </row>
    <row r="66" spans="20:21" ht="24" customHeight="1" x14ac:dyDescent="0.25">
      <c r="U66" s="22"/>
    </row>
    <row r="67" spans="20:21" ht="24" customHeight="1" x14ac:dyDescent="0.2"/>
    <row r="71" spans="20:21" x14ac:dyDescent="0.2">
      <c r="T71" s="50"/>
    </row>
    <row r="72" spans="20:21" x14ac:dyDescent="0.2">
      <c r="T72" s="50"/>
    </row>
  </sheetData>
  <protectedRanges>
    <protectedRange sqref="D5 J5" name="Rango3_3_1_1_1_1_1_1_1_1_1_1_1"/>
  </protectedRanges>
  <mergeCells count="26">
    <mergeCell ref="N20:Q22"/>
    <mergeCell ref="M28:M29"/>
    <mergeCell ref="I34:I35"/>
    <mergeCell ref="I28:J28"/>
    <mergeCell ref="K28:L28"/>
    <mergeCell ref="B2:M2"/>
    <mergeCell ref="B3:M3"/>
    <mergeCell ref="B8:D8"/>
    <mergeCell ref="J34:J35"/>
    <mergeCell ref="F34:F35"/>
    <mergeCell ref="E34:E35"/>
    <mergeCell ref="D34:D35"/>
    <mergeCell ref="G34:G35"/>
    <mergeCell ref="D28:E28"/>
    <mergeCell ref="F28:H28"/>
    <mergeCell ref="L34:L35"/>
    <mergeCell ref="H34:H35"/>
    <mergeCell ref="C10:D10"/>
    <mergeCell ref="C9:D9"/>
    <mergeCell ref="C16:D16"/>
    <mergeCell ref="C15:D15"/>
    <mergeCell ref="C14:D14"/>
    <mergeCell ref="C13:D13"/>
    <mergeCell ref="C12:D12"/>
    <mergeCell ref="C11:D11"/>
    <mergeCell ref="C17:D17"/>
  </mergeCells>
  <phoneticPr fontId="8" type="noConversion"/>
  <conditionalFormatting sqref="L20:L22">
    <cfRule type="containsText" dxfId="0" priority="1" stopIfTrue="1" operator="containsText" text="No">
      <formula>NOT(ISERROR(SEARCH("No",L20)))</formula>
    </cfRule>
  </conditionalFormatting>
  <dataValidations count="3">
    <dataValidation type="list" allowBlank="1" showInputMessage="1" showErrorMessage="1" sqref="C16:D16" xr:uid="{E47467CA-0A1F-4BCB-99C0-5C548D2A97C6}">
      <formula1>"SI,NO"</formula1>
    </dataValidation>
    <dataValidation type="list" allowBlank="1" showInputMessage="1" showErrorMessage="1" sqref="L9" xr:uid="{5234A26D-2F63-4B3C-8633-C083E6FD9452}">
      <formula1>"-, DEYVI, IVAN, DAVID, ANDRES"</formula1>
    </dataValidation>
    <dataValidation type="list" allowBlank="1" showInputMessage="1" showErrorMessage="1" sqref="C17:D17" xr:uid="{1FB3F616-9252-4360-B3B7-2AB036955CDC}">
      <formula1>"-, Cilindros Moldeados, Nùcleos perforados"</formula1>
    </dataValidation>
  </dataValidations>
  <pageMargins left="0.7" right="0.7" top="0.75" bottom="0.75" header="0.3" footer="0.3"/>
  <pageSetup orientation="portrait" r:id="rId1"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B94806-6C16-4721-8741-4D35374ECC38}">
  <dimension ref="A2:M9"/>
  <sheetViews>
    <sheetView workbookViewId="0">
      <selection activeCell="D26" sqref="D26"/>
    </sheetView>
  </sheetViews>
  <sheetFormatPr baseColWidth="10" defaultRowHeight="13.2" x14ac:dyDescent="0.25"/>
  <cols>
    <col min="1" max="2" width="10.44140625" customWidth="1"/>
    <col min="3" max="3" width="18.33203125" customWidth="1"/>
    <col min="4" max="4" width="20" customWidth="1"/>
    <col min="6" max="6" width="12.44140625" customWidth="1"/>
    <col min="11" max="11" width="17.6640625" customWidth="1"/>
    <col min="12" max="12" width="12.44140625" customWidth="1"/>
    <col min="13" max="13" width="15.44140625" customWidth="1"/>
  </cols>
  <sheetData>
    <row r="2" spans="1:13" ht="18.75" customHeight="1" x14ac:dyDescent="0.25">
      <c r="A2" s="272" t="s">
        <v>10</v>
      </c>
      <c r="B2" s="272"/>
      <c r="C2" s="5" t="s">
        <v>11</v>
      </c>
      <c r="D2" s="4" t="s">
        <v>3</v>
      </c>
      <c r="E2" s="4" t="s">
        <v>1</v>
      </c>
      <c r="F2" s="4" t="s">
        <v>2</v>
      </c>
      <c r="G2" s="4" t="s">
        <v>4</v>
      </c>
      <c r="H2" s="4" t="s">
        <v>5</v>
      </c>
      <c r="I2" s="4" t="s">
        <v>7</v>
      </c>
      <c r="J2" s="4" t="s">
        <v>6</v>
      </c>
      <c r="K2" s="4" t="s">
        <v>8</v>
      </c>
      <c r="L2" s="4" t="s">
        <v>9</v>
      </c>
      <c r="M2" s="4" t="s">
        <v>12</v>
      </c>
    </row>
    <row r="3" spans="1:13" ht="18.75" customHeight="1" x14ac:dyDescent="0.25">
      <c r="A3" s="7">
        <v>4400</v>
      </c>
      <c r="B3" s="1">
        <f>+A3+1</f>
        <v>4401</v>
      </c>
      <c r="C3" s="11" t="str">
        <f t="shared" ref="C3:C8" si="0">A3&amp;"-"&amp;B3</f>
        <v>4400-4401</v>
      </c>
      <c r="D3" s="7" t="s">
        <v>15</v>
      </c>
      <c r="E3" s="7">
        <v>350</v>
      </c>
      <c r="F3" s="8">
        <v>42347</v>
      </c>
      <c r="G3" s="1">
        <v>7</v>
      </c>
      <c r="H3" s="9">
        <v>15.05</v>
      </c>
      <c r="I3" s="7">
        <v>49900</v>
      </c>
      <c r="J3" s="2">
        <f t="shared" ref="J3:J8" si="1">H3*H3*PI()/4</f>
        <v>177.89464750493056</v>
      </c>
      <c r="K3" s="10">
        <f t="shared" ref="K3:K8" si="2">I3/J3</f>
        <v>280.50309944607505</v>
      </c>
      <c r="L3" s="3">
        <f t="shared" ref="L3:L8" si="3">+K3/E3</f>
        <v>0.80143742698878584</v>
      </c>
      <c r="M3" s="12" t="s">
        <v>13</v>
      </c>
    </row>
    <row r="4" spans="1:13" ht="18.75" customHeight="1" x14ac:dyDescent="0.25">
      <c r="A4" s="1"/>
      <c r="B4" s="1"/>
      <c r="C4" s="6" t="str">
        <f t="shared" si="0"/>
        <v>-</v>
      </c>
      <c r="D4" s="1"/>
      <c r="E4" s="7">
        <v>350</v>
      </c>
      <c r="F4" s="1"/>
      <c r="G4" s="1">
        <v>7</v>
      </c>
      <c r="H4" s="9">
        <v>15.06</v>
      </c>
      <c r="I4" s="7">
        <v>50310</v>
      </c>
      <c r="J4" s="2">
        <f t="shared" si="1"/>
        <v>178.1311308919295</v>
      </c>
      <c r="K4" s="10">
        <f t="shared" si="2"/>
        <v>282.43238421094742</v>
      </c>
      <c r="L4" s="3">
        <f t="shared" si="3"/>
        <v>0.80694966917413546</v>
      </c>
      <c r="M4" s="12" t="s">
        <v>14</v>
      </c>
    </row>
    <row r="5" spans="1:13" ht="18.75" customHeight="1" x14ac:dyDescent="0.25">
      <c r="A5" s="1">
        <f>+B3+1</f>
        <v>4402</v>
      </c>
      <c r="B5" s="1">
        <f>+A5+1</f>
        <v>4403</v>
      </c>
      <c r="C5" s="6" t="str">
        <f t="shared" si="0"/>
        <v>4402-4403</v>
      </c>
      <c r="D5" s="1"/>
      <c r="E5" s="7">
        <v>350</v>
      </c>
      <c r="F5" s="1"/>
      <c r="G5" s="1">
        <v>14</v>
      </c>
      <c r="H5" s="9">
        <v>15.04</v>
      </c>
      <c r="I5" s="7">
        <v>56450</v>
      </c>
      <c r="J5" s="2">
        <f t="shared" si="1"/>
        <v>177.65832119756422</v>
      </c>
      <c r="K5" s="10">
        <f t="shared" si="2"/>
        <v>317.74475644867209</v>
      </c>
      <c r="L5" s="3">
        <f t="shared" si="3"/>
        <v>0.9078421612819203</v>
      </c>
      <c r="M5" s="12" t="s">
        <v>14</v>
      </c>
    </row>
    <row r="6" spans="1:13" ht="18.75" customHeight="1" x14ac:dyDescent="0.25">
      <c r="A6" s="1"/>
      <c r="B6" s="1"/>
      <c r="C6" s="6" t="str">
        <f t="shared" si="0"/>
        <v>-</v>
      </c>
      <c r="D6" s="1"/>
      <c r="E6" s="7">
        <v>350</v>
      </c>
      <c r="F6" s="1"/>
      <c r="G6" s="1">
        <v>14</v>
      </c>
      <c r="H6" s="9">
        <v>15</v>
      </c>
      <c r="I6" s="7">
        <v>59630</v>
      </c>
      <c r="J6" s="2">
        <f t="shared" si="1"/>
        <v>176.71458676442586</v>
      </c>
      <c r="K6" s="10">
        <f t="shared" si="2"/>
        <v>337.43677356692336</v>
      </c>
      <c r="L6" s="3">
        <f t="shared" si="3"/>
        <v>0.96410506733406676</v>
      </c>
      <c r="M6" s="12" t="s">
        <v>14</v>
      </c>
    </row>
    <row r="7" spans="1:13" ht="18.75" customHeight="1" x14ac:dyDescent="0.25">
      <c r="A7" s="1">
        <f>+B5+1</f>
        <v>4404</v>
      </c>
      <c r="B7" s="1">
        <f>+A7+1</f>
        <v>4405</v>
      </c>
      <c r="C7" s="6" t="str">
        <f t="shared" si="0"/>
        <v>4404-4405</v>
      </c>
      <c r="D7" s="1"/>
      <c r="E7" s="7">
        <v>350</v>
      </c>
      <c r="F7" s="1"/>
      <c r="G7" s="1">
        <v>28</v>
      </c>
      <c r="H7" s="9">
        <v>15.11</v>
      </c>
      <c r="I7" s="7">
        <v>65310</v>
      </c>
      <c r="J7" s="2">
        <f t="shared" si="1"/>
        <v>179.31590402141455</v>
      </c>
      <c r="K7" s="10">
        <f t="shared" si="2"/>
        <v>364.21755424549764</v>
      </c>
      <c r="L7" s="3">
        <f t="shared" si="3"/>
        <v>1.0406215835585646</v>
      </c>
      <c r="M7" s="12" t="s">
        <v>14</v>
      </c>
    </row>
    <row r="8" spans="1:13" ht="18.75" customHeight="1" x14ac:dyDescent="0.25">
      <c r="A8" s="1"/>
      <c r="B8" s="1"/>
      <c r="C8" s="6" t="str">
        <f t="shared" si="0"/>
        <v>-</v>
      </c>
      <c r="D8" s="1"/>
      <c r="E8" s="7">
        <v>350</v>
      </c>
      <c r="F8" s="1"/>
      <c r="G8" s="1">
        <v>28</v>
      </c>
      <c r="H8" s="9">
        <v>15.05</v>
      </c>
      <c r="I8" s="7">
        <v>64730</v>
      </c>
      <c r="J8" s="2">
        <f t="shared" si="1"/>
        <v>177.89464750493056</v>
      </c>
      <c r="K8" s="10">
        <f t="shared" si="2"/>
        <v>363.86704663616104</v>
      </c>
      <c r="L8" s="3">
        <f t="shared" si="3"/>
        <v>1.0396201332461743</v>
      </c>
      <c r="M8" s="12" t="s">
        <v>13</v>
      </c>
    </row>
    <row r="9" spans="1:13" ht="15" customHeight="1" x14ac:dyDescent="0.25"/>
  </sheetData>
  <mergeCells count="1">
    <mergeCell ref="A2:B2"/>
  </mergeCells>
  <pageMargins left="0.7" right="0.7" top="0.75" bottom="0.75" header="0.3" footer="0.3"/>
  <pageSetup paperSize="9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1</vt:i4>
      </vt:variant>
    </vt:vector>
  </HeadingPairs>
  <TitlesOfParts>
    <vt:vector size="6" baseType="lpstr">
      <vt:lpstr>Resumen</vt:lpstr>
      <vt:lpstr>COMPRESION</vt:lpstr>
      <vt:lpstr>Hoja2</vt:lpstr>
      <vt:lpstr>DATOS</vt:lpstr>
      <vt:lpstr>Hoja1</vt:lpstr>
      <vt:lpstr>COMPRESION!Área_de_impresión</vt:lpstr>
    </vt:vector>
  </TitlesOfParts>
  <Company>Odebrecht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DENSIDAD IN SITU</dc:title>
  <dc:subject>Densidad In Situ - Método del Cono de Arena</dc:subject>
  <dc:creator>Jaime Pacahuala A.</dc:creator>
  <cp:keywords>Calidad</cp:keywords>
  <cp:lastModifiedBy>Equipo</cp:lastModifiedBy>
  <cp:lastPrinted>2026-07-14T15:45:52Z</cp:lastPrinted>
  <dcterms:created xsi:type="dcterms:W3CDTF">1999-11-07T15:11:55Z</dcterms:created>
  <dcterms:modified xsi:type="dcterms:W3CDTF">2026-07-14T16:21:52Z</dcterms:modified>
</cp:coreProperties>
</file>