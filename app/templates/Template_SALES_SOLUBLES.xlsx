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16479C61-381C-41B7-AAD6-A0775EE94C32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SST" sheetId="91" state="hidden" r:id="rId1"/>
    <sheet name="SST (2)" sheetId="92" r:id="rId2"/>
    <sheet name="Hoja1" sheetId="49" state="hidden" r:id="rId3"/>
  </sheets>
  <definedNames>
    <definedName name="_xlnm.Print_Area" localSheetId="0">SST!$A$1:$I$56</definedName>
    <definedName name="_xlnm.Print_Area" localSheetId="1">'SST (2)'!$A$1:$I$56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/>
  <c r="B7" i="49" l="1"/>
  <c r="C7" i="49" s="1"/>
</calcChain>
</file>

<file path=xl/sharedStrings.xml><?xml version="1.0" encoding="utf-8"?>
<sst xmlns="http://schemas.openxmlformats.org/spreadsheetml/2006/main" count="113" uniqueCount="61">
  <si>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</si>
  <si>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</si>
  <si>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</si>
  <si>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</si>
  <si>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</si>
  <si>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</si>
  <si>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</si>
  <si>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</si>
  <si>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</si>
  <si>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</si>
  <si>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</si>
  <si>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</si>
  <si>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</si>
  <si>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</si>
  <si>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</si>
  <si>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</si>
  <si>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</si>
  <si>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WEB: www.geofal.com.pe   E-MAIL: laboratorio@geofal.com.pe / geofal.sac@gmail.com                                                                                                                         Av. Marañon 763, Los Olivos-Lima / Teléfono 01 685-2191 / 01 522-1851</t>
  </si>
  <si>
    <t>(ml)</t>
  </si>
  <si>
    <t>(g)</t>
  </si>
  <si>
    <t>(ppm)</t>
  </si>
  <si>
    <t>a</t>
  </si>
  <si>
    <t>b</t>
  </si>
  <si>
    <t>c</t>
  </si>
  <si>
    <t>d</t>
  </si>
  <si>
    <t>e</t>
  </si>
  <si>
    <t>f</t>
  </si>
  <si>
    <t>g</t>
  </si>
  <si>
    <t>FORMATO N° F-LEM-P-SU-13.01</t>
  </si>
  <si>
    <t>METODO DE ENSAYONORMALIZADO PARA LA DETERMINACION DEL CONTENIDO DE SALES SOLUBLES EN SUELOS Y AGUA SUBTERRANEA</t>
  </si>
  <si>
    <t>NORMA  NTP 339.152</t>
  </si>
  <si>
    <t>Volumen de Agua Destilada</t>
  </si>
  <si>
    <t>Peso del Suelo</t>
  </si>
  <si>
    <t>Volumen de la Solucion Tomada</t>
  </si>
  <si>
    <t xml:space="preserve"> Peso de Capsula</t>
  </si>
  <si>
    <t xml:space="preserve"> Peso de Capsula + Sales Solubles</t>
  </si>
  <si>
    <t xml:space="preserve"> Peso de Sales Solubles (e-d)</t>
  </si>
  <si>
    <t xml:space="preserve"> Contenido de Sales Solubles ((f*(a/c))/c)*1000000</t>
  </si>
  <si>
    <t>Capsula</t>
  </si>
  <si>
    <t>N°</t>
  </si>
  <si>
    <t>DETERMINACION DEL CONTENIDO DE SALES SOLUBLES</t>
  </si>
  <si>
    <t>Hora</t>
  </si>
  <si>
    <t>Variacion (%)</t>
  </si>
  <si>
    <t xml:space="preserve"> DETERMINACIÓN PESO CONTANTE</t>
  </si>
  <si>
    <t>P. Cap. + Sales</t>
  </si>
  <si>
    <t xml:space="preserve">Capsula </t>
  </si>
  <si>
    <t>Repetir el ciclo de secado, enfriamiento con desecación y pesaje hasta obtener un peso constante, o hasta que la variación de peso sea menor al 4 % de la pesada anterior ó 1 mg, cualquiera que se cumpla.</t>
  </si>
  <si>
    <t>Observaciones:</t>
  </si>
  <si>
    <t>Equipos:</t>
  </si>
  <si>
    <t>Versión : 03 (17-05-2021)</t>
  </si>
  <si>
    <t>Equipo utilizado</t>
  </si>
  <si>
    <t>Código</t>
  </si>
  <si>
    <t>Balanza 0.0001</t>
  </si>
  <si>
    <t>Prohibido reproducir sin  autorización</t>
  </si>
  <si>
    <t>Versión : 04 (30-03-2023)</t>
  </si>
  <si>
    <t xml:space="preserve">Horno </t>
  </si>
  <si>
    <t>Balanza 0.01</t>
  </si>
  <si>
    <t>MUESTRA</t>
  </si>
  <si>
    <t>N°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</si>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</sst>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0\ &quot;/ CO-06&quot;"/>
    <numFmt numFmtId="166" formatCode="&quot;FORMATO F-LEM-P-SU-11.01&quot;"/>
    <numFmt numFmtId="167" formatCode="0.0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.5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</cellStyleXfs>
  <cellXfs count="154">
    <xf numFmtId="0" fontId="0" fillId="0" borderId="0" xfId="0"/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3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2" fillId="3" borderId="6" xfId="0" applyFont="1" applyFill="1" applyBorder="1" applyAlignment="1">
      <alignment vertical="center"/>
    </xf>
    <xf numFmtId="0" fontId="5" fillId="0" borderId="7" xfId="0" applyFont="1" applyBorder="1" applyProtection="1">
      <protection hidden="1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0" borderId="10" xfId="0" applyFont="1" applyBorder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10" fontId="7" fillId="3" borderId="0" xfId="0" applyNumberFormat="1" applyFont="1" applyFill="1" applyAlignment="1">
      <alignment horizontal="center" vertical="center" wrapText="1"/>
    </xf>
    <xf numFmtId="0" fontId="5" fillId="0" borderId="14" xfId="0" applyFont="1" applyBorder="1" applyProtection="1">
      <protection hidden="1"/>
    </xf>
    <xf numFmtId="3" fontId="8" fillId="3" borderId="15" xfId="0" applyNumberFormat="1" applyFont="1" applyFill="1" applyBorder="1" applyAlignment="1">
      <alignment horizontal="center" vertical="center" wrapText="1"/>
    </xf>
    <xf numFmtId="2" fontId="17" fillId="3" borderId="15" xfId="0" applyNumberFormat="1" applyFont="1" applyFill="1" applyBorder="1" applyAlignment="1">
      <alignment horizontal="center" vertical="center"/>
    </xf>
    <xf numFmtId="0" fontId="6" fillId="0" borderId="15" xfId="0" applyFont="1" applyBorder="1" applyAlignment="1" applyProtection="1">
      <alignment vertical="center"/>
      <protection hidden="1"/>
    </xf>
    <xf numFmtId="0" fontId="18" fillId="2" borderId="0" xfId="3" applyFont="1" applyFill="1" applyAlignment="1">
      <alignment vertical="center"/>
    </xf>
    <xf numFmtId="0" fontId="18" fillId="2" borderId="0" xfId="3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" fontId="9" fillId="2" borderId="0" xfId="0" applyNumberFormat="1" applyFont="1" applyFill="1" applyAlignment="1">
      <alignment vertical="center"/>
    </xf>
    <xf numFmtId="0" fontId="19" fillId="0" borderId="0" xfId="0" applyFont="1" applyProtection="1">
      <protection hidden="1"/>
    </xf>
    <xf numFmtId="0" fontId="19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18" fillId="2" borderId="11" xfId="3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8" fillId="2" borderId="11" xfId="3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21" fillId="2" borderId="0" xfId="3" applyFont="1" applyFill="1" applyAlignment="1">
      <alignment vertical="center" wrapText="1"/>
    </xf>
    <xf numFmtId="0" fontId="9" fillId="3" borderId="0" xfId="0" applyFont="1" applyFill="1" applyAlignment="1" applyProtection="1">
      <alignment horizontal="left" indent="1"/>
      <protection hidden="1"/>
    </xf>
    <xf numFmtId="17" fontId="9" fillId="2" borderId="11" xfId="0" applyNumberFormat="1" applyFont="1" applyFill="1" applyBorder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5" fillId="0" borderId="11" xfId="0" applyFont="1" applyBorder="1" applyProtection="1">
      <protection hidden="1"/>
    </xf>
    <xf numFmtId="164" fontId="13" fillId="3" borderId="19" xfId="0" quotePrefix="1" applyNumberFormat="1" applyFont="1" applyFill="1" applyBorder="1" applyAlignment="1">
      <alignment vertical="center"/>
    </xf>
    <xf numFmtId="0" fontId="1" fillId="2" borderId="19" xfId="4" applyFill="1" applyBorder="1" applyAlignment="1">
      <alignment vertical="center"/>
    </xf>
    <xf numFmtId="2" fontId="13" fillId="3" borderId="1" xfId="4" applyNumberFormat="1" applyFont="1" applyFill="1" applyBorder="1" applyAlignment="1">
      <alignment horizontal="center" vertical="center"/>
    </xf>
    <xf numFmtId="0" fontId="24" fillId="2" borderId="0" xfId="3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4" fillId="0" borderId="0" xfId="0" applyFont="1" applyProtection="1">
      <protection hidden="1"/>
    </xf>
    <xf numFmtId="0" fontId="13" fillId="2" borderId="0" xfId="4" applyFont="1" applyFill="1" applyAlignment="1">
      <alignment vertical="center"/>
    </xf>
    <xf numFmtId="0" fontId="13" fillId="3" borderId="18" xfId="4" applyFont="1" applyFill="1" applyBorder="1" applyAlignment="1">
      <alignment vertical="center"/>
    </xf>
    <xf numFmtId="0" fontId="24" fillId="2" borderId="19" xfId="3" applyFont="1" applyFill="1" applyBorder="1" applyAlignment="1">
      <alignment vertical="center"/>
    </xf>
    <xf numFmtId="0" fontId="23" fillId="3" borderId="18" xfId="4" applyFont="1" applyFill="1" applyBorder="1"/>
    <xf numFmtId="0" fontId="23" fillId="3" borderId="20" xfId="4" applyFont="1" applyFill="1" applyBorder="1" applyAlignment="1">
      <alignment horizontal="center"/>
    </xf>
    <xf numFmtId="2" fontId="13" fillId="3" borderId="1" xfId="0" quotePrefix="1" applyNumberFormat="1" applyFont="1" applyFill="1" applyBorder="1" applyAlignment="1">
      <alignment vertical="center"/>
    </xf>
    <xf numFmtId="0" fontId="13" fillId="3" borderId="1" xfId="4" applyFont="1" applyFill="1" applyBorder="1" applyAlignment="1">
      <alignment vertical="center"/>
    </xf>
    <xf numFmtId="164" fontId="13" fillId="3" borderId="18" xfId="0" quotePrefix="1" applyNumberFormat="1" applyFont="1" applyFill="1" applyBorder="1" applyAlignment="1">
      <alignment horizontal="center" vertical="center"/>
    </xf>
    <xf numFmtId="164" fontId="13" fillId="3" borderId="20" xfId="0" quotePrefix="1" applyNumberFormat="1" applyFont="1" applyFill="1" applyBorder="1" applyAlignment="1">
      <alignment horizontal="center" vertical="center"/>
    </xf>
    <xf numFmtId="0" fontId="13" fillId="3" borderId="18" xfId="4" applyFont="1" applyFill="1" applyBorder="1" applyAlignment="1">
      <alignment horizontal="center" vertical="center"/>
    </xf>
    <xf numFmtId="0" fontId="13" fillId="3" borderId="20" xfId="4" applyFont="1" applyFill="1" applyBorder="1" applyAlignment="1">
      <alignment horizontal="center" vertical="center"/>
    </xf>
    <xf numFmtId="0" fontId="5" fillId="0" borderId="12" xfId="0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5" fillId="0" borderId="1" xfId="0" applyFont="1" applyBorder="1" applyProtection="1">
      <protection hidden="1"/>
    </xf>
    <xf numFmtId="0" fontId="5" fillId="0" borderId="18" xfId="0" applyFont="1" applyBorder="1" applyProtection="1">
      <protection hidden="1"/>
    </xf>
    <xf numFmtId="0" fontId="13" fillId="3" borderId="19" xfId="4" applyFont="1" applyFill="1" applyBorder="1" applyAlignment="1">
      <alignment vertical="center"/>
    </xf>
    <xf numFmtId="0" fontId="5" fillId="0" borderId="19" xfId="0" applyFont="1" applyBorder="1" applyProtection="1">
      <protection hidden="1"/>
    </xf>
    <xf numFmtId="0" fontId="13" fillId="2" borderId="10" xfId="4" applyFont="1" applyFill="1" applyBorder="1" applyAlignment="1">
      <alignment vertical="center"/>
    </xf>
    <xf numFmtId="0" fontId="13" fillId="2" borderId="21" xfId="4" applyFont="1" applyFill="1" applyBorder="1" applyAlignment="1">
      <alignment vertical="center"/>
    </xf>
    <xf numFmtId="0" fontId="13" fillId="2" borderId="1" xfId="4" applyFont="1" applyFill="1" applyBorder="1" applyAlignment="1">
      <alignment vertical="center"/>
    </xf>
    <xf numFmtId="0" fontId="13" fillId="2" borderId="18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center" vertical="center"/>
    </xf>
    <xf numFmtId="0" fontId="13" fillId="2" borderId="0" xfId="4" applyFont="1" applyFill="1" applyAlignment="1">
      <alignment horizontal="center" vertical="center"/>
    </xf>
    <xf numFmtId="0" fontId="9" fillId="0" borderId="14" xfId="0" applyFont="1" applyBorder="1" applyAlignment="1" applyProtection="1">
      <alignment horizontal="left" vertical="center" indent="2"/>
      <protection hidden="1"/>
    </xf>
    <xf numFmtId="0" fontId="2" fillId="0" borderId="10" xfId="0" applyFont="1" applyBorder="1" applyAlignment="1" applyProtection="1">
      <alignment vertical="center"/>
      <protection hidden="1"/>
    </xf>
    <xf numFmtId="0" fontId="13" fillId="2" borderId="10" xfId="4" applyFont="1" applyFill="1" applyBorder="1" applyAlignment="1">
      <alignment horizontal="center" vertical="center"/>
    </xf>
    <xf numFmtId="0" fontId="6" fillId="0" borderId="17" xfId="0" applyFont="1" applyBorder="1" applyAlignment="1" applyProtection="1">
      <alignment vertical="center"/>
      <protection hidden="1"/>
    </xf>
    <xf numFmtId="0" fontId="13" fillId="3" borderId="14" xfId="4" applyFont="1" applyFill="1" applyBorder="1" applyAlignment="1">
      <alignment horizontal="center" vertical="center"/>
    </xf>
    <xf numFmtId="0" fontId="5" fillId="0" borderId="15" xfId="0" applyFont="1" applyBorder="1" applyProtection="1">
      <protection hidden="1"/>
    </xf>
    <xf numFmtId="0" fontId="13" fillId="2" borderId="14" xfId="4" applyFont="1" applyFill="1" applyBorder="1" applyAlignment="1">
      <alignment horizontal="center" vertical="center"/>
    </xf>
    <xf numFmtId="0" fontId="13" fillId="3" borderId="22" xfId="4" applyFont="1" applyFill="1" applyBorder="1" applyAlignment="1">
      <alignment horizontal="center" vertical="center"/>
    </xf>
    <xf numFmtId="0" fontId="13" fillId="3" borderId="17" xfId="4" applyFont="1" applyFill="1" applyBorder="1" applyAlignment="1">
      <alignment horizontal="center" vertical="center"/>
    </xf>
    <xf numFmtId="0" fontId="9" fillId="0" borderId="16" xfId="0" applyFont="1" applyBorder="1" applyAlignment="1" applyProtection="1">
      <alignment horizontal="left" vertical="center" indent="2"/>
      <protection hidden="1"/>
    </xf>
    <xf numFmtId="0" fontId="13" fillId="3" borderId="1" xfId="4" applyFont="1" applyFill="1" applyBorder="1" applyAlignment="1">
      <alignment horizontal="center" vertical="center"/>
    </xf>
    <xf numFmtId="0" fontId="13" fillId="3" borderId="16" xfId="4" applyFont="1" applyFill="1" applyBorder="1" applyAlignment="1">
      <alignment horizontal="center" vertical="center"/>
    </xf>
    <xf numFmtId="0" fontId="2" fillId="0" borderId="12" xfId="0" applyFont="1" applyBorder="1" applyProtection="1">
      <protection hidden="1"/>
    </xf>
    <xf numFmtId="0" fontId="2" fillId="0" borderId="11" xfId="0" applyFont="1" applyBorder="1" applyProtection="1">
      <protection hidden="1"/>
    </xf>
    <xf numFmtId="0" fontId="2" fillId="2" borderId="11" xfId="0" applyFont="1" applyFill="1" applyBorder="1" applyAlignment="1">
      <alignment horizontal="center" vertical="center"/>
    </xf>
    <xf numFmtId="167" fontId="2" fillId="2" borderId="11" xfId="0" applyNumberFormat="1" applyFont="1" applyFill="1" applyBorder="1" applyAlignment="1">
      <alignment horizontal="center" vertical="center"/>
    </xf>
    <xf numFmtId="0" fontId="2" fillId="0" borderId="13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2" fillId="2" borderId="0" xfId="0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2" fillId="0" borderId="15" xfId="0" applyFont="1" applyBorder="1" applyProtection="1">
      <protection hidden="1"/>
    </xf>
    <xf numFmtId="0" fontId="2" fillId="0" borderId="16" xfId="0" applyFont="1" applyBorder="1" applyProtection="1">
      <protection hidden="1"/>
    </xf>
    <xf numFmtId="0" fontId="2" fillId="0" borderId="10" xfId="0" applyFont="1" applyBorder="1" applyProtection="1">
      <protection hidden="1"/>
    </xf>
    <xf numFmtId="0" fontId="2" fillId="2" borderId="10" xfId="0" applyFont="1" applyFill="1" applyBorder="1" applyAlignment="1">
      <alignment horizontal="center" vertical="center"/>
    </xf>
    <xf numFmtId="167" fontId="2" fillId="2" borderId="10" xfId="0" applyNumberFormat="1" applyFont="1" applyFill="1" applyBorder="1" applyAlignment="1">
      <alignment horizontal="center" vertical="center"/>
    </xf>
    <xf numFmtId="0" fontId="2" fillId="0" borderId="17" xfId="0" applyFont="1" applyBorder="1" applyProtection="1"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2" borderId="12" xfId="4" applyFont="1" applyFill="1" applyBorder="1" applyAlignment="1">
      <alignment horizontal="left" vertical="center" wrapText="1"/>
    </xf>
    <xf numFmtId="0" fontId="13" fillId="2" borderId="11" xfId="4" applyFont="1" applyFill="1" applyBorder="1" applyAlignment="1">
      <alignment horizontal="left" vertical="center" wrapText="1"/>
    </xf>
    <xf numFmtId="0" fontId="13" fillId="2" borderId="13" xfId="4" applyFont="1" applyFill="1" applyBorder="1" applyAlignment="1">
      <alignment horizontal="left" vertical="center" wrapText="1"/>
    </xf>
    <xf numFmtId="0" fontId="13" fillId="2" borderId="16" xfId="4" applyFont="1" applyFill="1" applyBorder="1" applyAlignment="1">
      <alignment horizontal="left" vertical="center" wrapText="1"/>
    </xf>
    <xf numFmtId="0" fontId="13" fillId="2" borderId="10" xfId="4" applyFont="1" applyFill="1" applyBorder="1" applyAlignment="1">
      <alignment horizontal="left" vertical="center" wrapText="1"/>
    </xf>
    <xf numFmtId="0" fontId="13" fillId="2" borderId="17" xfId="4" applyFont="1" applyFill="1" applyBorder="1" applyAlignment="1">
      <alignment horizontal="left" vertical="center" wrapText="1"/>
    </xf>
    <xf numFmtId="0" fontId="13" fillId="0" borderId="0" xfId="1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22" fillId="2" borderId="0" xfId="0" applyFont="1" applyFill="1" applyAlignment="1">
      <alignment horizontal="center" vertical="center"/>
    </xf>
    <xf numFmtId="166" fontId="22" fillId="0" borderId="0" xfId="0" applyNumberFormat="1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8" fillId="2" borderId="0" xfId="3" applyFont="1" applyFill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0" fontId="13" fillId="0" borderId="18" xfId="0" applyFont="1" applyBorder="1" applyAlignment="1" applyProtection="1">
      <alignment horizontal="center"/>
      <protection hidden="1"/>
    </xf>
    <xf numFmtId="0" fontId="13" fillId="0" borderId="19" xfId="0" applyFont="1" applyBorder="1" applyAlignment="1" applyProtection="1">
      <alignment horizontal="center"/>
      <protection hidden="1"/>
    </xf>
    <xf numFmtId="0" fontId="13" fillId="0" borderId="20" xfId="0" applyFont="1" applyBorder="1" applyAlignment="1" applyProtection="1">
      <alignment horizontal="center"/>
      <protection hidden="1"/>
    </xf>
    <xf numFmtId="0" fontId="13" fillId="3" borderId="18" xfId="0" applyFont="1" applyFill="1" applyBorder="1" applyAlignment="1" applyProtection="1">
      <alignment horizontal="center" vertical="center"/>
      <protection hidden="1"/>
    </xf>
    <xf numFmtId="0" fontId="13" fillId="3" borderId="20" xfId="0" applyFont="1" applyFill="1" applyBorder="1" applyAlignment="1" applyProtection="1">
      <alignment horizontal="center" vertical="center"/>
      <protection hidden="1"/>
    </xf>
    <xf numFmtId="0" fontId="9" fillId="3" borderId="18" xfId="0" applyFont="1" applyFill="1" applyBorder="1" applyAlignment="1" applyProtection="1">
      <alignment horizontal="center" vertical="center"/>
      <protection locked="0"/>
    </xf>
    <xf numFmtId="0" fontId="9" fillId="3" borderId="20" xfId="0" applyFont="1" applyFill="1" applyBorder="1" applyAlignment="1" applyProtection="1">
      <alignment horizontal="center" vertical="center"/>
      <protection locked="0"/>
    </xf>
    <xf numFmtId="0" fontId="18" fillId="0" borderId="18" xfId="0" applyFont="1" applyBorder="1" applyAlignment="1" applyProtection="1">
      <alignment horizontal="center" vertical="center"/>
      <protection hidden="1"/>
    </xf>
    <xf numFmtId="0" fontId="18" fillId="0" borderId="20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3" fillId="2" borderId="1" xfId="3" applyFont="1" applyFill="1" applyBorder="1" applyAlignment="1">
      <alignment vertical="center"/>
    </xf>
    <xf numFmtId="0" fontId="25" fillId="0" borderId="18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3" fillId="2" borderId="18" xfId="3" applyFont="1" applyFill="1" applyBorder="1" applyAlignment="1">
      <alignment horizontal="center" vertical="center"/>
    </xf>
    <xf numFmtId="0" fontId="23" fillId="2" borderId="20" xfId="3" applyFont="1" applyFill="1" applyBorder="1" applyAlignment="1">
      <alignment horizontal="center" vertical="center"/>
    </xf>
    <xf numFmtId="0" fontId="23" fillId="2" borderId="18" xfId="3" applyFont="1" applyFill="1" applyBorder="1" applyAlignment="1">
      <alignment horizontal="center" vertical="center"/>
    </xf>
    <xf numFmtId="0" fontId="23" fillId="2" borderId="20" xfId="3" applyFont="1" applyFill="1" applyBorder="1" applyAlignment="1">
      <alignment horizontal="center" vertical="center"/>
    </xf>
  </cellXfs>
  <cellStyles count="5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54</xdr:row>
      <xdr:rowOff>121920</xdr:rowOff>
    </xdr:from>
    <xdr:to>
      <xdr:col>9</xdr:col>
      <xdr:colOff>0</xdr:colOff>
      <xdr:row>54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45720</xdr:colOff>
      <xdr:row>7</xdr:row>
      <xdr:rowOff>68580</xdr:rowOff>
    </xdr:from>
    <xdr:to>
      <xdr:col>3</xdr:col>
      <xdr:colOff>609420</xdr:colOff>
      <xdr:row>8</xdr:row>
      <xdr:rowOff>144780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5918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MUESTRA</a:t>
          </a:r>
        </a:p>
      </xdr:txBody>
    </xdr:sp>
    <xdr:clientData/>
  </xdr:twoCellAnchor>
  <xdr:twoCellAnchor>
    <xdr:from>
      <xdr:col>3</xdr:col>
      <xdr:colOff>647700</xdr:colOff>
      <xdr:row>7</xdr:row>
      <xdr:rowOff>68580</xdr:rowOff>
    </xdr:from>
    <xdr:to>
      <xdr:col>5</xdr:col>
      <xdr:colOff>335100</xdr:colOff>
      <xdr:row>8</xdr:row>
      <xdr:rowOff>144780</xdr:rowOff>
    </xdr:to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3746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OT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381000</xdr:colOff>
      <xdr:row>7</xdr:row>
      <xdr:rowOff>68580</xdr:rowOff>
    </xdr:from>
    <xdr:to>
      <xdr:col>7</xdr:col>
      <xdr:colOff>53160</xdr:colOff>
      <xdr:row>8</xdr:row>
      <xdr:rowOff>144780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023360" y="1653540"/>
          <a:ext cx="142476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</a:t>
          </a:r>
        </a:p>
      </xdr:txBody>
    </xdr:sp>
    <xdr:clientData/>
  </xdr:twoCellAnchor>
  <xdr:twoCellAnchor>
    <xdr:from>
      <xdr:col>2</xdr:col>
      <xdr:colOff>45720</xdr:colOff>
      <xdr:row>8</xdr:row>
      <xdr:rowOff>175260</xdr:rowOff>
    </xdr:from>
    <xdr:to>
      <xdr:col>3</xdr:col>
      <xdr:colOff>609420</xdr:colOff>
      <xdr:row>10</xdr:row>
      <xdr:rowOff>97500</xdr:rowOff>
    </xdr:to>
    <xdr:sp macro="" textlink="">
      <xdr:nvSpPr>
        <xdr:cNvPr id="7" name="4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59180" y="195834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647700</xdr:colOff>
      <xdr:row>8</xdr:row>
      <xdr:rowOff>182880</xdr:rowOff>
    </xdr:from>
    <xdr:to>
      <xdr:col>5</xdr:col>
      <xdr:colOff>335100</xdr:colOff>
      <xdr:row>10</xdr:row>
      <xdr:rowOff>105120</xdr:rowOff>
    </xdr:to>
    <xdr:sp macro="" textlink="">
      <xdr:nvSpPr>
        <xdr:cNvPr id="8" name="4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537460" y="196596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381000</xdr:colOff>
      <xdr:row>8</xdr:row>
      <xdr:rowOff>182880</xdr:rowOff>
    </xdr:from>
    <xdr:to>
      <xdr:col>7</xdr:col>
      <xdr:colOff>53160</xdr:colOff>
      <xdr:row>10</xdr:row>
      <xdr:rowOff>105120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023360" y="1965960"/>
          <a:ext cx="142476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358140</xdr:colOff>
      <xdr:row>13</xdr:row>
      <xdr:rowOff>121920</xdr:rowOff>
    </xdr:from>
    <xdr:to>
      <xdr:col>6</xdr:col>
      <xdr:colOff>276540</xdr:colOff>
      <xdr:row>15</xdr:row>
      <xdr:rowOff>2640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247900" y="3108960"/>
          <a:ext cx="25473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 DE SUELO</a:t>
          </a:r>
        </a:p>
      </xdr:txBody>
    </xdr:sp>
    <xdr:clientData/>
  </xdr:twoCellAnchor>
  <xdr:twoCellAnchor>
    <xdr:from>
      <xdr:col>3</xdr:col>
      <xdr:colOff>358140</xdr:colOff>
      <xdr:row>15</xdr:row>
      <xdr:rowOff>0</xdr:rowOff>
    </xdr:from>
    <xdr:to>
      <xdr:col>5</xdr:col>
      <xdr:colOff>341400</xdr:colOff>
      <xdr:row>16</xdr:row>
      <xdr:rowOff>17880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247900" y="332232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3</xdr:col>
      <xdr:colOff>358140</xdr:colOff>
      <xdr:row>16</xdr:row>
      <xdr:rowOff>15240</xdr:rowOff>
    </xdr:from>
    <xdr:to>
      <xdr:col>5</xdr:col>
      <xdr:colOff>341400</xdr:colOff>
      <xdr:row>17</xdr:row>
      <xdr:rowOff>33120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247900" y="353568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5</xdr:col>
      <xdr:colOff>342900</xdr:colOff>
      <xdr:row>15</xdr:row>
      <xdr:rowOff>0</xdr:rowOff>
    </xdr:from>
    <xdr:to>
      <xdr:col>6</xdr:col>
      <xdr:colOff>278040</xdr:colOff>
      <xdr:row>16</xdr:row>
      <xdr:rowOff>17880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985260" y="3322320"/>
          <a:ext cx="81144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342900</xdr:colOff>
      <xdr:row>16</xdr:row>
      <xdr:rowOff>15240</xdr:rowOff>
    </xdr:from>
    <xdr:to>
      <xdr:col>6</xdr:col>
      <xdr:colOff>278040</xdr:colOff>
      <xdr:row>17</xdr:row>
      <xdr:rowOff>33120</xdr:rowOff>
    </xdr:to>
    <xdr:sp macro="" textlink="">
      <xdr:nvSpPr>
        <xdr:cNvPr id="14" name="8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985260" y="3535680"/>
          <a:ext cx="81144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5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22861</xdr:colOff>
      <xdr:row>46</xdr:row>
      <xdr:rowOff>68580</xdr:rowOff>
    </xdr:from>
    <xdr:to>
      <xdr:col>3</xdr:col>
      <xdr:colOff>380821</xdr:colOff>
      <xdr:row>49</xdr:row>
      <xdr:rowOff>76200</xdr:rowOff>
    </xdr:to>
    <xdr:sp macro="" textlink="">
      <xdr:nvSpPr>
        <xdr:cNvPr id="18" name="12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30581" y="889254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22860</xdr:colOff>
      <xdr:row>49</xdr:row>
      <xdr:rowOff>114300</xdr:rowOff>
    </xdr:from>
    <xdr:to>
      <xdr:col>3</xdr:col>
      <xdr:colOff>380820</xdr:colOff>
      <xdr:row>51</xdr:row>
      <xdr:rowOff>0</xdr:rowOff>
    </xdr:to>
    <xdr:sp macro="" textlink="">
      <xdr:nvSpPr>
        <xdr:cNvPr id="19" name="13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30580" y="95326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Realizado</a:t>
          </a:r>
        </a:p>
      </xdr:txBody>
    </xdr:sp>
    <xdr:clientData/>
  </xdr:twoCellAnchor>
  <xdr:twoCellAnchor>
    <xdr:from>
      <xdr:col>3</xdr:col>
      <xdr:colOff>560070</xdr:colOff>
      <xdr:row>46</xdr:row>
      <xdr:rowOff>78105</xdr:rowOff>
    </xdr:from>
    <xdr:to>
      <xdr:col>5</xdr:col>
      <xdr:colOff>247470</xdr:colOff>
      <xdr:row>49</xdr:row>
      <xdr:rowOff>85725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449830" y="8902065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558166</xdr:colOff>
      <xdr:row>49</xdr:row>
      <xdr:rowOff>114300</xdr:rowOff>
    </xdr:from>
    <xdr:to>
      <xdr:col>5</xdr:col>
      <xdr:colOff>245566</xdr:colOff>
      <xdr:row>51</xdr:row>
      <xdr:rowOff>0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447926" y="95326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5</xdr:col>
      <xdr:colOff>417196</xdr:colOff>
      <xdr:row>46</xdr:row>
      <xdr:rowOff>68580</xdr:rowOff>
    </xdr:from>
    <xdr:to>
      <xdr:col>7</xdr:col>
      <xdr:colOff>89356</xdr:colOff>
      <xdr:row>49</xdr:row>
      <xdr:rowOff>76200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059556" y="8892540"/>
          <a:ext cx="142476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5</xdr:col>
      <xdr:colOff>419100</xdr:colOff>
      <xdr:row>49</xdr:row>
      <xdr:rowOff>114300</xdr:rowOff>
    </xdr:from>
    <xdr:to>
      <xdr:col>7</xdr:col>
      <xdr:colOff>91260</xdr:colOff>
      <xdr:row>51</xdr:row>
      <xdr:rowOff>0</xdr:rowOff>
    </xdr:to>
    <xdr:sp macro="" textlink="">
      <xdr:nvSpPr>
        <xdr:cNvPr id="23" name="17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061460" y="9532620"/>
          <a:ext cx="142476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 editAs="oneCell">
    <xdr:from>
      <xdr:col>2</xdr:col>
      <xdr:colOff>809625</xdr:colOff>
      <xdr:row>0</xdr:row>
      <xdr:rowOff>45720</xdr:rowOff>
    </xdr:from>
    <xdr:to>
      <xdr:col>6</xdr:col>
      <xdr:colOff>171450</xdr:colOff>
      <xdr:row>3</xdr:row>
      <xdr:rowOff>187265</xdr:rowOff>
    </xdr:to>
    <xdr:pic>
      <xdr:nvPicPr>
        <xdr:cNvPr id="24" name="1 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790700" y="45720"/>
          <a:ext cx="2752725" cy="74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54</xdr:row>
      <xdr:rowOff>121920</xdr:rowOff>
    </xdr:from>
    <xdr:to>
      <xdr:col>9</xdr:col>
      <xdr:colOff>0</xdr:colOff>
      <xdr:row>54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3CC96433-1347-42B9-8A8B-F254237E5718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18520"/>
          <a:ext cx="65360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358140</xdr:colOff>
      <xdr:row>13</xdr:row>
      <xdr:rowOff>121920</xdr:rowOff>
    </xdr:from>
    <xdr:to>
      <xdr:col>6</xdr:col>
      <xdr:colOff>276540</xdr:colOff>
      <xdr:row>15</xdr:row>
      <xdr:rowOff>2640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E3A0D102-A511-4648-90C0-FC292139B2B2}"/>
            </a:ext>
          </a:extLst>
        </xdr:cNvPr>
        <xdr:cNvSpPr txBox="1"/>
      </xdr:nvSpPr>
      <xdr:spPr>
        <a:xfrm>
          <a:off x="2186940" y="2865120"/>
          <a:ext cx="2461575" cy="2236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 DE SUELO</a:t>
          </a:r>
        </a:p>
      </xdr:txBody>
    </xdr:sp>
    <xdr:clientData/>
  </xdr:twoCellAnchor>
  <xdr:twoCellAnchor>
    <xdr:from>
      <xdr:col>3</xdr:col>
      <xdr:colOff>358140</xdr:colOff>
      <xdr:row>15</xdr:row>
      <xdr:rowOff>0</xdr:rowOff>
    </xdr:from>
    <xdr:to>
      <xdr:col>5</xdr:col>
      <xdr:colOff>341400</xdr:colOff>
      <xdr:row>16</xdr:row>
      <xdr:rowOff>17880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1EE71BED-A6A9-486C-9545-0B11C9EFDCD6}"/>
            </a:ext>
          </a:extLst>
        </xdr:cNvPr>
        <xdr:cNvSpPr txBox="1"/>
      </xdr:nvSpPr>
      <xdr:spPr>
        <a:xfrm>
          <a:off x="2186940" y="3086100"/>
          <a:ext cx="167871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3</xdr:col>
      <xdr:colOff>358140</xdr:colOff>
      <xdr:row>16</xdr:row>
      <xdr:rowOff>15240</xdr:rowOff>
    </xdr:from>
    <xdr:to>
      <xdr:col>5</xdr:col>
      <xdr:colOff>341400</xdr:colOff>
      <xdr:row>17</xdr:row>
      <xdr:rowOff>33120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8EFC0907-AD82-4E03-8C3E-AD454E4D8E94}"/>
            </a:ext>
          </a:extLst>
        </xdr:cNvPr>
        <xdr:cNvSpPr txBox="1"/>
      </xdr:nvSpPr>
      <xdr:spPr>
        <a:xfrm>
          <a:off x="2186940" y="3301365"/>
          <a:ext cx="167871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5</xdr:col>
      <xdr:colOff>342900</xdr:colOff>
      <xdr:row>15</xdr:row>
      <xdr:rowOff>0</xdr:rowOff>
    </xdr:from>
    <xdr:to>
      <xdr:col>6</xdr:col>
      <xdr:colOff>278040</xdr:colOff>
      <xdr:row>16</xdr:row>
      <xdr:rowOff>17880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E6688D30-A3A9-4238-A305-359443502FE0}"/>
            </a:ext>
          </a:extLst>
        </xdr:cNvPr>
        <xdr:cNvSpPr txBox="1"/>
      </xdr:nvSpPr>
      <xdr:spPr>
        <a:xfrm>
          <a:off x="3867150" y="3086100"/>
          <a:ext cx="78286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342900</xdr:colOff>
      <xdr:row>16</xdr:row>
      <xdr:rowOff>15240</xdr:rowOff>
    </xdr:from>
    <xdr:to>
      <xdr:col>6</xdr:col>
      <xdr:colOff>278040</xdr:colOff>
      <xdr:row>17</xdr:row>
      <xdr:rowOff>33120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AE5AC287-C7D6-4CCB-875D-9B894969DB97}"/>
            </a:ext>
          </a:extLst>
        </xdr:cNvPr>
        <xdr:cNvSpPr txBox="1"/>
      </xdr:nvSpPr>
      <xdr:spPr>
        <a:xfrm>
          <a:off x="3867150" y="3301365"/>
          <a:ext cx="78286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5</xdr:row>
      <xdr:rowOff>7620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33CDCE-B899-4924-B80B-B03171315214}"/>
            </a:ext>
          </a:extLst>
        </xdr:cNvPr>
        <xdr:cNvSpPr txBox="1"/>
      </xdr:nvSpPr>
      <xdr:spPr>
        <a:xfrm>
          <a:off x="10283190" y="10077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2</xdr:col>
      <xdr:colOff>352425</xdr:colOff>
      <xdr:row>47</xdr:row>
      <xdr:rowOff>85725</xdr:rowOff>
    </xdr:from>
    <xdr:to>
      <xdr:col>4</xdr:col>
      <xdr:colOff>591242</xdr:colOff>
      <xdr:row>50</xdr:row>
      <xdr:rowOff>164146</xdr:rowOff>
    </xdr:to>
    <xdr:sp macro="" textlink="">
      <xdr:nvSpPr>
        <xdr:cNvPr id="30" name="12 Rectángulo">
          <a:extLst>
            <a:ext uri="{FF2B5EF4-FFF2-40B4-BE49-F238E27FC236}">
              <a16:creationId xmlns:a16="http://schemas.microsoft.com/office/drawing/2014/main" id="{BF498767-1B37-4DEA-BF21-D33148275341}"/>
            </a:ext>
          </a:extLst>
        </xdr:cNvPr>
        <xdr:cNvSpPr/>
      </xdr:nvSpPr>
      <xdr:spPr>
        <a:xfrm>
          <a:off x="1333500" y="9582150"/>
          <a:ext cx="1934267" cy="67849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4</xdr:col>
      <xdr:colOff>667443</xdr:colOff>
      <xdr:row>47</xdr:row>
      <xdr:rowOff>93347</xdr:rowOff>
    </xdr:from>
    <xdr:to>
      <xdr:col>7</xdr:col>
      <xdr:colOff>188596</xdr:colOff>
      <xdr:row>50</xdr:row>
      <xdr:rowOff>155211</xdr:rowOff>
    </xdr:to>
    <xdr:sp macro="" textlink="">
      <xdr:nvSpPr>
        <xdr:cNvPr id="31" name="12 Rectángulo">
          <a:extLst>
            <a:ext uri="{FF2B5EF4-FFF2-40B4-BE49-F238E27FC236}">
              <a16:creationId xmlns:a16="http://schemas.microsoft.com/office/drawing/2014/main" id="{4AA56D44-B1C5-49AC-AC58-CBD792CDD66E}"/>
            </a:ext>
          </a:extLst>
        </xdr:cNvPr>
        <xdr:cNvSpPr/>
      </xdr:nvSpPr>
      <xdr:spPr>
        <a:xfrm>
          <a:off x="3343968" y="9589772"/>
          <a:ext cx="2064328" cy="66193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4</xdr:col>
      <xdr:colOff>95251</xdr:colOff>
      <xdr:row>0</xdr:row>
      <xdr:rowOff>38100</xdr:rowOff>
    </xdr:from>
    <xdr:to>
      <xdr:col>5</xdr:col>
      <xdr:colOff>443972</xdr:colOff>
      <xdr:row>3</xdr:row>
      <xdr:rowOff>161925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A7E2128-5102-4B1D-B6D3-EC5B1CC3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6" y="38100"/>
          <a:ext cx="1196446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L58"/>
  <sheetViews>
    <sheetView showGridLines="0" view="pageBreakPreview" zoomScaleNormal="100" zoomScaleSheetLayoutView="100" workbookViewId="0">
      <selection activeCell="L19" sqref="L19"/>
    </sheetView>
  </sheetViews>
  <sheetFormatPr baseColWidth="10" defaultColWidth="10.33203125" defaultRowHeight="13.8" x14ac:dyDescent="0.25"/>
  <cols>
    <col min="1" max="1" width="11.6640625" style="1" customWidth="1"/>
    <col min="2" max="2" width="3" style="1" customWidth="1"/>
    <col min="3" max="8" width="12.6640625" style="1" customWidth="1"/>
    <col min="9" max="9" width="7.6640625" style="1" customWidth="1"/>
    <col min="10" max="10" width="6.44140625" style="1" customWidth="1"/>
    <col min="11" max="11" width="8" style="1" customWidth="1"/>
    <col min="12" max="13" width="10.6640625" style="1" customWidth="1"/>
    <col min="14" max="16384" width="10.33203125" style="1"/>
  </cols>
  <sheetData>
    <row r="1" spans="1:11" ht="15.75" customHeight="1" thickTop="1" x14ac:dyDescent="0.25">
      <c r="A1" s="21"/>
      <c r="B1" s="22"/>
      <c r="C1" s="22"/>
      <c r="D1" s="23"/>
      <c r="E1" s="23"/>
      <c r="F1" s="23"/>
      <c r="G1" s="23"/>
      <c r="H1" s="23"/>
      <c r="I1" s="24"/>
    </row>
    <row r="2" spans="1:11" ht="15.75" customHeight="1" x14ac:dyDescent="0.25">
      <c r="A2" s="25"/>
      <c r="B2" s="18"/>
      <c r="C2" s="18"/>
      <c r="D2" s="19"/>
      <c r="E2" s="19"/>
      <c r="F2" s="19"/>
      <c r="G2" s="19"/>
      <c r="H2" s="19"/>
      <c r="I2" s="26"/>
    </row>
    <row r="3" spans="1:11" ht="15.75" customHeight="1" x14ac:dyDescent="0.25">
      <c r="A3" s="25"/>
      <c r="B3" s="18"/>
      <c r="C3" s="18"/>
      <c r="D3" s="19"/>
      <c r="E3" s="19"/>
      <c r="F3" s="19"/>
      <c r="G3" s="19"/>
      <c r="H3" s="19"/>
      <c r="I3" s="26"/>
    </row>
    <row r="4" spans="1:11" ht="15.75" customHeight="1" thickBot="1" x14ac:dyDescent="0.3">
      <c r="A4" s="27"/>
      <c r="B4" s="20"/>
      <c r="C4" s="20"/>
      <c r="D4" s="20"/>
      <c r="E4" s="20"/>
      <c r="F4" s="20"/>
      <c r="G4" s="20"/>
      <c r="H4" s="20"/>
      <c r="I4" s="28"/>
    </row>
    <row r="5" spans="1:11" ht="15.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</row>
    <row r="6" spans="1:11" ht="15.9" customHeight="1" x14ac:dyDescent="0.25">
      <c r="A6" s="128" t="s">
        <v>15</v>
      </c>
      <c r="B6" s="128"/>
      <c r="C6" s="128"/>
      <c r="D6" s="128"/>
      <c r="E6" s="128"/>
      <c r="F6" s="128"/>
      <c r="G6" s="128"/>
      <c r="H6" s="128"/>
      <c r="I6" s="128"/>
    </row>
    <row r="7" spans="1:11" ht="15.9" customHeight="1" x14ac:dyDescent="0.25">
      <c r="A7" s="129" t="s">
        <v>28</v>
      </c>
      <c r="B7" s="129"/>
      <c r="C7" s="129"/>
      <c r="D7" s="129"/>
      <c r="E7" s="129"/>
      <c r="F7" s="129"/>
      <c r="G7" s="129"/>
      <c r="H7" s="129"/>
      <c r="I7" s="129"/>
    </row>
    <row r="8" spans="1:11" ht="15.9" customHeight="1" x14ac:dyDescent="0.25">
      <c r="A8" s="29"/>
      <c r="B8" s="29"/>
      <c r="C8" s="29"/>
      <c r="D8" s="29"/>
      <c r="E8" s="29"/>
      <c r="F8" s="29"/>
      <c r="G8" s="29"/>
      <c r="H8" s="29"/>
      <c r="I8" s="29"/>
    </row>
    <row r="9" spans="1:11" ht="15.9" customHeight="1" x14ac:dyDescent="0.25">
      <c r="B9" s="37"/>
      <c r="C9" s="37"/>
      <c r="D9" s="37"/>
      <c r="E9" s="37"/>
      <c r="F9" s="37"/>
      <c r="G9" s="37"/>
      <c r="H9" s="37"/>
      <c r="I9" s="52"/>
      <c r="J9" s="15"/>
      <c r="K9" s="15"/>
    </row>
    <row r="10" spans="1:11" ht="15.9" customHeight="1" x14ac:dyDescent="0.25">
      <c r="A10" s="37"/>
      <c r="B10" s="37"/>
      <c r="C10" s="37"/>
      <c r="D10" s="37"/>
      <c r="E10" s="37"/>
      <c r="F10" s="37"/>
      <c r="G10" s="37"/>
      <c r="H10" s="37"/>
      <c r="I10" s="39"/>
      <c r="J10" s="15"/>
      <c r="K10" s="15"/>
    </row>
    <row r="11" spans="1:11" ht="15.9" customHeight="1" x14ac:dyDescent="0.25">
      <c r="A11" s="37"/>
      <c r="B11" s="38"/>
      <c r="C11" s="50"/>
      <c r="D11" s="50"/>
      <c r="E11" s="50"/>
      <c r="F11" s="50"/>
      <c r="G11" s="50"/>
      <c r="H11" s="50"/>
      <c r="I11" s="40"/>
      <c r="J11" s="15"/>
      <c r="K11" s="15"/>
    </row>
    <row r="12" spans="1:11" ht="24.75" customHeight="1" x14ac:dyDescent="0.25">
      <c r="A12" s="130" t="s">
        <v>29</v>
      </c>
      <c r="B12" s="131"/>
      <c r="C12" s="131"/>
      <c r="D12" s="131"/>
      <c r="E12" s="131"/>
      <c r="F12" s="131"/>
      <c r="G12" s="131"/>
      <c r="H12" s="131"/>
      <c r="I12" s="132"/>
      <c r="J12" s="15"/>
      <c r="K12" s="15"/>
    </row>
    <row r="13" spans="1:11" ht="18" customHeight="1" x14ac:dyDescent="0.25">
      <c r="A13" s="125" t="s">
        <v>30</v>
      </c>
      <c r="B13" s="126"/>
      <c r="C13" s="126"/>
      <c r="D13" s="126"/>
      <c r="E13" s="126"/>
      <c r="F13" s="126"/>
      <c r="G13" s="126"/>
      <c r="H13" s="126"/>
      <c r="I13" s="127"/>
      <c r="J13" s="15"/>
      <c r="K13" s="15"/>
    </row>
    <row r="14" spans="1:11" ht="11.25" customHeight="1" x14ac:dyDescent="0.25">
      <c r="A14" s="51"/>
      <c r="B14" s="46"/>
      <c r="C14" s="47"/>
      <c r="D14" s="47"/>
      <c r="E14" s="47"/>
      <c r="F14" s="47"/>
      <c r="G14" s="47"/>
      <c r="H14" s="47"/>
      <c r="I14" s="55"/>
      <c r="J14" s="15"/>
      <c r="K14" s="15"/>
    </row>
    <row r="15" spans="1:11" ht="15.9" customHeight="1" x14ac:dyDescent="0.25">
      <c r="C15" s="134"/>
      <c r="D15" s="134"/>
      <c r="E15" s="134"/>
      <c r="G15" s="134"/>
      <c r="H15" s="134"/>
      <c r="I15" s="53"/>
      <c r="K15" s="15"/>
    </row>
    <row r="16" spans="1:11" ht="15.9" customHeight="1" x14ac:dyDescent="0.25">
      <c r="C16" s="62"/>
      <c r="D16" s="64"/>
      <c r="E16" s="63"/>
      <c r="G16" s="62"/>
      <c r="I16" s="42"/>
      <c r="K16" s="15"/>
    </row>
    <row r="17" spans="1:12" ht="15.9" customHeight="1" x14ac:dyDescent="0.25">
      <c r="C17" s="62"/>
      <c r="D17" s="64"/>
      <c r="E17" s="63"/>
      <c r="G17" s="62"/>
      <c r="I17" s="56"/>
      <c r="K17" s="15"/>
      <c r="L17" s="49"/>
    </row>
    <row r="18" spans="1:12" ht="12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K18" s="15"/>
    </row>
    <row r="19" spans="1:12" ht="15.75" customHeight="1" x14ac:dyDescent="0.25">
      <c r="A19" s="135" t="s">
        <v>40</v>
      </c>
      <c r="B19" s="136"/>
      <c r="C19" s="136"/>
      <c r="D19" s="136"/>
      <c r="E19" s="136"/>
      <c r="F19" s="136"/>
      <c r="G19" s="136"/>
      <c r="H19" s="136"/>
      <c r="I19" s="137"/>
      <c r="K19" s="15"/>
    </row>
    <row r="20" spans="1:12" ht="15.75" customHeight="1" x14ac:dyDescent="0.25">
      <c r="A20" s="76"/>
      <c r="B20" s="77"/>
      <c r="C20" s="77"/>
      <c r="D20" s="77"/>
      <c r="E20" s="77"/>
      <c r="F20" s="77"/>
      <c r="G20" s="77"/>
      <c r="H20" s="77"/>
      <c r="I20" s="78"/>
      <c r="K20" s="15"/>
    </row>
    <row r="21" spans="1:12" ht="15.75" customHeight="1" x14ac:dyDescent="0.25">
      <c r="A21" s="79"/>
      <c r="B21" s="82"/>
      <c r="C21" s="83" t="s">
        <v>38</v>
      </c>
      <c r="D21" s="84"/>
      <c r="E21" s="84"/>
      <c r="F21" s="75" t="s">
        <v>39</v>
      </c>
      <c r="G21" s="81"/>
      <c r="H21" s="81"/>
      <c r="I21" s="80"/>
      <c r="J21" s="15"/>
      <c r="K21" s="31"/>
    </row>
    <row r="22" spans="1:12" ht="15.75" customHeight="1" x14ac:dyDescent="0.25">
      <c r="A22" s="33"/>
      <c r="B22" s="48" t="s">
        <v>21</v>
      </c>
      <c r="C22" s="66" t="s">
        <v>31</v>
      </c>
      <c r="D22" s="59"/>
      <c r="E22" s="59"/>
      <c r="F22" s="75" t="s">
        <v>18</v>
      </c>
      <c r="G22" s="72"/>
      <c r="H22" s="73"/>
      <c r="I22" s="34"/>
      <c r="J22" s="15"/>
      <c r="K22" s="32"/>
    </row>
    <row r="23" spans="1:12" ht="15.75" customHeight="1" x14ac:dyDescent="0.25">
      <c r="A23" s="33"/>
      <c r="B23" s="48" t="s">
        <v>22</v>
      </c>
      <c r="C23" s="66" t="s">
        <v>32</v>
      </c>
      <c r="D23" s="60"/>
      <c r="E23" s="60"/>
      <c r="F23" s="75" t="s">
        <v>19</v>
      </c>
      <c r="G23" s="74"/>
      <c r="H23" s="75"/>
      <c r="I23" s="34"/>
      <c r="J23" s="15"/>
      <c r="K23" s="32"/>
    </row>
    <row r="24" spans="1:12" ht="15.75" customHeight="1" x14ac:dyDescent="0.25">
      <c r="A24" s="33"/>
      <c r="B24" s="48" t="s">
        <v>23</v>
      </c>
      <c r="C24" s="66" t="s">
        <v>33</v>
      </c>
      <c r="D24" s="60"/>
      <c r="E24" s="60"/>
      <c r="F24" s="75" t="s">
        <v>18</v>
      </c>
      <c r="G24" s="74"/>
      <c r="H24" s="75"/>
      <c r="I24" s="35"/>
      <c r="J24" s="16"/>
      <c r="K24" s="32"/>
    </row>
    <row r="25" spans="1:12" ht="15.75" customHeight="1" x14ac:dyDescent="0.25">
      <c r="A25" s="33"/>
      <c r="B25" s="48" t="s">
        <v>24</v>
      </c>
      <c r="C25" s="66" t="s">
        <v>34</v>
      </c>
      <c r="D25" s="60"/>
      <c r="E25" s="60"/>
      <c r="F25" s="75" t="s">
        <v>19</v>
      </c>
      <c r="G25" s="71"/>
      <c r="H25" s="71"/>
      <c r="I25" s="36"/>
      <c r="J25" s="15"/>
      <c r="K25" s="15"/>
    </row>
    <row r="26" spans="1:12" ht="15.75" customHeight="1" x14ac:dyDescent="0.25">
      <c r="A26" s="33"/>
      <c r="B26" s="48" t="s">
        <v>25</v>
      </c>
      <c r="C26" s="66" t="s">
        <v>35</v>
      </c>
      <c r="D26" s="60"/>
      <c r="E26" s="60"/>
      <c r="F26" s="75" t="s">
        <v>19</v>
      </c>
      <c r="G26" s="61"/>
      <c r="H26" s="61"/>
      <c r="I26" s="36"/>
      <c r="J26" s="15"/>
      <c r="K26" s="15"/>
    </row>
    <row r="27" spans="1:12" ht="15.75" customHeight="1" x14ac:dyDescent="0.25">
      <c r="A27" s="33"/>
      <c r="B27" s="48" t="s">
        <v>26</v>
      </c>
      <c r="C27" s="66" t="s">
        <v>36</v>
      </c>
      <c r="D27" s="60"/>
      <c r="E27" s="60"/>
      <c r="F27" s="75" t="s">
        <v>19</v>
      </c>
      <c r="G27" s="70"/>
      <c r="H27" s="70"/>
      <c r="I27" s="36"/>
      <c r="J27" s="15"/>
      <c r="K27" s="15"/>
    </row>
    <row r="28" spans="1:12" ht="15.75" customHeight="1" x14ac:dyDescent="0.25">
      <c r="A28" s="33"/>
      <c r="B28" s="48" t="s">
        <v>27</v>
      </c>
      <c r="C28" s="68" t="s">
        <v>37</v>
      </c>
      <c r="D28" s="67"/>
      <c r="E28" s="67"/>
      <c r="F28" s="69" t="s">
        <v>20</v>
      </c>
      <c r="G28" s="61"/>
      <c r="H28" s="61"/>
      <c r="I28" s="36"/>
      <c r="J28" s="15"/>
      <c r="K28" s="15"/>
    </row>
    <row r="29" spans="1:12" ht="15.75" customHeight="1" x14ac:dyDescent="0.25">
      <c r="A29" s="33"/>
      <c r="B29" s="58"/>
      <c r="C29" s="58"/>
      <c r="D29" s="58"/>
      <c r="E29" s="58"/>
      <c r="F29" s="58"/>
      <c r="G29" s="58"/>
      <c r="H29" s="58"/>
      <c r="I29" s="36"/>
      <c r="J29" s="15"/>
      <c r="K29" s="15"/>
    </row>
    <row r="30" spans="1:12" ht="15.75" customHeight="1" x14ac:dyDescent="0.25">
      <c r="A30" s="135" t="s">
        <v>43</v>
      </c>
      <c r="B30" s="136"/>
      <c r="C30" s="136"/>
      <c r="D30" s="136"/>
      <c r="E30" s="136"/>
      <c r="F30" s="136"/>
      <c r="G30" s="136"/>
      <c r="H30" s="136"/>
      <c r="I30" s="137"/>
      <c r="J30" s="15"/>
      <c r="K30" s="15"/>
    </row>
    <row r="31" spans="1:12" ht="15.75" customHeight="1" x14ac:dyDescent="0.25">
      <c r="A31" s="95"/>
      <c r="C31" s="30"/>
      <c r="I31" s="96"/>
      <c r="J31" s="15"/>
      <c r="K31" s="15"/>
    </row>
    <row r="32" spans="1:12" ht="15.75" customHeight="1" x14ac:dyDescent="0.25">
      <c r="A32" s="97"/>
      <c r="B32" s="96"/>
      <c r="C32" s="74" t="s">
        <v>45</v>
      </c>
      <c r="D32" s="75" t="s">
        <v>39</v>
      </c>
      <c r="E32" s="82"/>
      <c r="F32" s="75"/>
      <c r="G32" s="84"/>
      <c r="H32" s="84"/>
      <c r="I32" s="86"/>
      <c r="J32" s="15"/>
      <c r="K32" s="15"/>
    </row>
    <row r="33" spans="1:11" ht="15.75" customHeight="1" x14ac:dyDescent="0.25">
      <c r="A33" s="97"/>
      <c r="B33" s="96"/>
      <c r="C33" s="98" t="s">
        <v>39</v>
      </c>
      <c r="D33" s="99" t="s">
        <v>41</v>
      </c>
      <c r="E33" s="99" t="s">
        <v>44</v>
      </c>
      <c r="F33" s="101" t="s">
        <v>42</v>
      </c>
      <c r="G33" s="99" t="s">
        <v>44</v>
      </c>
      <c r="H33" s="102" t="s">
        <v>42</v>
      </c>
      <c r="I33" s="86"/>
      <c r="J33" s="15"/>
      <c r="K33" s="15"/>
    </row>
    <row r="34" spans="1:11" ht="15.75" customHeight="1" x14ac:dyDescent="0.25">
      <c r="A34" s="97"/>
      <c r="B34" s="96"/>
      <c r="C34" s="89">
        <v>1</v>
      </c>
      <c r="D34" s="87"/>
      <c r="E34" s="88"/>
      <c r="F34" s="89"/>
      <c r="G34" s="87"/>
      <c r="H34" s="87"/>
      <c r="I34" s="86"/>
      <c r="J34" s="15"/>
      <c r="K34" s="15"/>
    </row>
    <row r="35" spans="1:11" ht="15.75" customHeight="1" x14ac:dyDescent="0.25">
      <c r="A35" s="97"/>
      <c r="B35" s="96"/>
      <c r="C35" s="89">
        <v>2</v>
      </c>
      <c r="D35" s="87"/>
      <c r="E35" s="88"/>
      <c r="F35" s="89"/>
      <c r="G35" s="87"/>
      <c r="H35" s="87"/>
      <c r="I35" s="86"/>
      <c r="J35" s="15"/>
      <c r="K35" s="15"/>
    </row>
    <row r="36" spans="1:11" ht="15.75" customHeight="1" x14ac:dyDescent="0.25">
      <c r="A36" s="91"/>
      <c r="B36" s="41"/>
      <c r="C36" s="89">
        <v>3</v>
      </c>
      <c r="D36" s="87"/>
      <c r="E36" s="88"/>
      <c r="F36" s="89"/>
      <c r="G36" s="87"/>
      <c r="H36" s="87"/>
      <c r="I36" s="36"/>
      <c r="J36" s="15"/>
      <c r="K36" s="15"/>
    </row>
    <row r="37" spans="1:11" ht="15.75" customHeight="1" x14ac:dyDescent="0.25">
      <c r="A37" s="91"/>
      <c r="B37" s="44"/>
      <c r="C37" s="89">
        <v>4</v>
      </c>
      <c r="D37" s="87"/>
      <c r="E37" s="88"/>
      <c r="F37" s="89"/>
      <c r="G37" s="87"/>
      <c r="H37" s="87"/>
      <c r="I37" s="36"/>
      <c r="J37" s="15"/>
      <c r="K37" s="15"/>
    </row>
    <row r="38" spans="1:11" ht="18" customHeight="1" x14ac:dyDescent="0.25">
      <c r="A38" s="91"/>
      <c r="B38" s="44"/>
      <c r="C38" s="118" t="s">
        <v>46</v>
      </c>
      <c r="D38" s="119"/>
      <c r="E38" s="119"/>
      <c r="F38" s="119"/>
      <c r="G38" s="119"/>
      <c r="H38" s="120"/>
      <c r="I38" s="36"/>
      <c r="J38" s="15"/>
      <c r="K38" s="15"/>
    </row>
    <row r="39" spans="1:11" ht="18" customHeight="1" x14ac:dyDescent="0.25">
      <c r="A39" s="91"/>
      <c r="B39" s="44"/>
      <c r="C39" s="121"/>
      <c r="D39" s="122"/>
      <c r="E39" s="122"/>
      <c r="F39" s="122"/>
      <c r="G39" s="122"/>
      <c r="H39" s="123"/>
      <c r="I39" s="36"/>
      <c r="J39" s="15"/>
      <c r="K39" s="15"/>
    </row>
    <row r="40" spans="1:11" ht="15.75" customHeight="1" x14ac:dyDescent="0.25">
      <c r="A40" s="100"/>
      <c r="B40" s="92"/>
      <c r="C40" s="93"/>
      <c r="D40" s="85"/>
      <c r="E40" s="85"/>
      <c r="F40" s="85"/>
      <c r="G40" s="85"/>
      <c r="H40" s="85"/>
      <c r="I40" s="94"/>
      <c r="J40" s="15"/>
      <c r="K40" s="15"/>
    </row>
    <row r="41" spans="1:11" ht="15.75" customHeight="1" x14ac:dyDescent="0.25">
      <c r="A41" s="43"/>
      <c r="B41" s="44"/>
      <c r="C41" s="90"/>
      <c r="D41" s="65"/>
      <c r="E41" s="65"/>
      <c r="F41" s="65"/>
      <c r="G41" s="65"/>
      <c r="H41" s="65"/>
      <c r="I41" s="14"/>
      <c r="J41" s="15"/>
      <c r="K41" s="15"/>
    </row>
    <row r="42" spans="1:11" ht="15.75" customHeight="1" x14ac:dyDescent="0.25">
      <c r="A42" s="103" t="s">
        <v>47</v>
      </c>
      <c r="B42" s="104"/>
      <c r="C42" s="105"/>
      <c r="D42" s="105"/>
      <c r="E42" s="105"/>
      <c r="F42" s="106"/>
      <c r="G42" s="106"/>
      <c r="H42" s="106"/>
      <c r="I42" s="107"/>
      <c r="J42" s="108"/>
      <c r="K42" s="43"/>
    </row>
    <row r="43" spans="1:11" ht="15.75" customHeight="1" x14ac:dyDescent="0.25">
      <c r="A43" s="108"/>
      <c r="B43" s="43"/>
      <c r="C43" s="109"/>
      <c r="D43" s="109"/>
      <c r="E43" s="109"/>
      <c r="F43" s="110"/>
      <c r="G43" s="110"/>
      <c r="H43" s="110"/>
      <c r="I43" s="111"/>
      <c r="J43" s="108"/>
      <c r="K43" s="43"/>
    </row>
    <row r="44" spans="1:11" ht="15.75" customHeight="1" x14ac:dyDescent="0.25">
      <c r="A44" s="108" t="s">
        <v>48</v>
      </c>
      <c r="B44" s="43"/>
      <c r="C44" s="109"/>
      <c r="D44" s="109"/>
      <c r="E44" s="109"/>
      <c r="F44" s="110"/>
      <c r="G44" s="110"/>
      <c r="H44" s="110"/>
      <c r="I44" s="111"/>
      <c r="J44" s="108"/>
      <c r="K44" s="43"/>
    </row>
    <row r="45" spans="1:11" ht="15.75" customHeight="1" x14ac:dyDescent="0.25">
      <c r="A45" s="112"/>
      <c r="B45" s="113"/>
      <c r="C45" s="114"/>
      <c r="D45" s="114"/>
      <c r="E45" s="114"/>
      <c r="F45" s="115"/>
      <c r="G45" s="115"/>
      <c r="H45" s="115"/>
      <c r="I45" s="116"/>
      <c r="J45" s="108"/>
      <c r="K45" s="43"/>
    </row>
    <row r="46" spans="1:11" ht="15.75" customHeight="1" x14ac:dyDescent="0.25">
      <c r="A46" s="43"/>
      <c r="B46" s="44"/>
      <c r="C46" s="90"/>
      <c r="D46" s="65"/>
      <c r="E46" s="65"/>
      <c r="F46" s="65"/>
      <c r="G46" s="65"/>
      <c r="H46" s="65"/>
      <c r="I46" s="14"/>
      <c r="J46" s="15"/>
      <c r="K46" s="15"/>
    </row>
    <row r="47" spans="1:11" ht="15.9" customHeight="1" x14ac:dyDescent="0.25">
      <c r="A47" s="43"/>
      <c r="B47" s="44"/>
      <c r="C47" s="44"/>
      <c r="D47" s="44"/>
      <c r="E47" s="44"/>
      <c r="F47" s="44"/>
      <c r="G47" s="44"/>
      <c r="H47" s="14"/>
      <c r="I47" s="14"/>
      <c r="J47" s="15"/>
      <c r="K47" s="15"/>
    </row>
    <row r="48" spans="1:11" ht="15.9" customHeight="1" x14ac:dyDescent="0.25">
      <c r="A48" s="43"/>
      <c r="B48" s="44"/>
      <c r="C48" s="44"/>
      <c r="D48" s="44"/>
      <c r="E48" s="44"/>
      <c r="F48" s="44"/>
      <c r="G48" s="44"/>
      <c r="H48" s="14"/>
      <c r="I48" s="14"/>
      <c r="J48" s="15"/>
      <c r="K48" s="15"/>
    </row>
    <row r="49" spans="1:11" ht="15.9" customHeight="1" x14ac:dyDescent="0.25">
      <c r="A49" s="43"/>
      <c r="B49" s="44"/>
      <c r="C49" s="44"/>
      <c r="D49" s="44"/>
      <c r="E49" s="44"/>
      <c r="F49" s="44"/>
      <c r="G49" s="44"/>
      <c r="H49" s="14"/>
      <c r="I49" s="14"/>
      <c r="J49" s="15"/>
      <c r="K49" s="15"/>
    </row>
    <row r="50" spans="1:11" ht="15.9" customHeight="1" x14ac:dyDescent="0.25">
      <c r="A50" s="54"/>
      <c r="B50" s="44"/>
      <c r="I50" s="14"/>
      <c r="J50" s="15"/>
      <c r="K50" s="15"/>
    </row>
    <row r="51" spans="1:11" ht="15.9" customHeight="1" x14ac:dyDescent="0.25">
      <c r="A51" s="45"/>
      <c r="B51" s="44"/>
      <c r="C51" s="44"/>
      <c r="D51" s="44"/>
      <c r="E51" s="44"/>
      <c r="F51" s="44"/>
      <c r="G51" s="44"/>
      <c r="H51" s="14"/>
      <c r="I51" s="14"/>
      <c r="J51" s="15"/>
      <c r="K51" s="15"/>
    </row>
    <row r="52" spans="1:11" ht="15.9" customHeight="1" x14ac:dyDescent="0.25">
      <c r="B52" s="133"/>
      <c r="C52" s="133"/>
      <c r="D52" s="133"/>
      <c r="E52" s="133"/>
      <c r="F52" s="133"/>
      <c r="G52" s="133"/>
      <c r="H52" s="38"/>
      <c r="I52" s="14"/>
      <c r="J52" s="15"/>
      <c r="K52" s="15"/>
    </row>
    <row r="53" spans="1:11" ht="15.9" customHeight="1" x14ac:dyDescent="0.25">
      <c r="A53" s="57" t="s">
        <v>16</v>
      </c>
      <c r="B53" s="44"/>
      <c r="C53" s="44"/>
      <c r="D53" s="44"/>
      <c r="E53" s="44"/>
      <c r="F53" s="44"/>
      <c r="G53" s="44"/>
      <c r="H53" s="14"/>
      <c r="I53" s="14"/>
      <c r="J53" s="15"/>
      <c r="K53" s="15"/>
    </row>
    <row r="54" spans="1:11" ht="15.9" customHeight="1" x14ac:dyDescent="0.25">
      <c r="A54" s="57" t="s">
        <v>49</v>
      </c>
      <c r="B54" s="14"/>
      <c r="C54" s="14"/>
      <c r="D54" s="14"/>
      <c r="E54" s="14"/>
      <c r="F54" s="14"/>
      <c r="G54" s="14"/>
      <c r="H54" s="14"/>
      <c r="I54" s="14"/>
      <c r="J54" s="15"/>
      <c r="K54" s="15"/>
    </row>
    <row r="55" spans="1:11" ht="15.9" customHeight="1" x14ac:dyDescent="0.25"/>
    <row r="56" spans="1:11" ht="30.75" customHeight="1" x14ac:dyDescent="0.25">
      <c r="A56" s="124" t="s">
        <v>17</v>
      </c>
      <c r="B56" s="124"/>
      <c r="C56" s="124"/>
      <c r="D56" s="124"/>
      <c r="E56" s="124"/>
      <c r="F56" s="124"/>
      <c r="G56" s="124"/>
      <c r="H56" s="124"/>
      <c r="I56" s="124"/>
    </row>
    <row r="57" spans="1:11" ht="15.9" customHeight="1" x14ac:dyDescent="0.25"/>
    <row r="58" spans="1:11" ht="15.9" customHeight="1" x14ac:dyDescent="0.25"/>
  </sheetData>
  <protectedRanges>
    <protectedRange sqref="C11 C14" name="Rango3_3_1_1_1_1_1_1_1_1"/>
    <protectedRange sqref="C9:C10 C52" name="Rango3_3_1_1_1_1_1_2_1"/>
  </protectedRanges>
  <mergeCells count="12">
    <mergeCell ref="C38:H39"/>
    <mergeCell ref="A56:I56"/>
    <mergeCell ref="A13:I13"/>
    <mergeCell ref="A6:I6"/>
    <mergeCell ref="A7:I7"/>
    <mergeCell ref="A12:I12"/>
    <mergeCell ref="B52:D52"/>
    <mergeCell ref="C15:E15"/>
    <mergeCell ref="G15:H15"/>
    <mergeCell ref="E52:G52"/>
    <mergeCell ref="A19:I19"/>
    <mergeCell ref="A30:I30"/>
  </mergeCells>
  <printOptions horizontalCentered="1" verticalCentered="1"/>
  <pageMargins left="0.78740157480314965" right="0.78740157480314965" top="0.78740157480314965" bottom="0.39370078740157483" header="0" footer="0"/>
  <pageSetup paperSize="274" scale="8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EDD5-A8BF-460F-9F49-24106CE731E1}">
  <sheetPr>
    <pageSetUpPr fitToPage="1"/>
  </sheetPr>
  <dimension ref="A1:M58"/>
  <sheetViews>
    <sheetView showGridLines="0" tabSelected="1" view="pageBreakPreview" zoomScaleNormal="100" zoomScaleSheetLayoutView="100" workbookViewId="0">
      <selection activeCell="O10" sqref="O10"/>
    </sheetView>
  </sheetViews>
  <sheetFormatPr baseColWidth="10" defaultColWidth="10.33203125" defaultRowHeight="13.8" x14ac:dyDescent="0.25"/>
  <cols>
    <col min="1" max="1" width="11.6640625" style="1" customWidth="1"/>
    <col min="2" max="2" width="3" style="1" customWidth="1"/>
    <col min="3" max="8" width="12.6640625" style="1" customWidth="1"/>
    <col min="9" max="9" width="7.6640625" style="1" customWidth="1"/>
    <col min="10" max="10" width="6.44140625" style="1" customWidth="1"/>
    <col min="11" max="11" width="8" style="1" customWidth="1"/>
    <col min="12" max="13" width="10.6640625" style="1" customWidth="1"/>
    <col min="14" max="16384" width="10.33203125" style="1"/>
  </cols>
  <sheetData>
    <row r="1" spans="1:13" ht="15.75" customHeight="1" thickTop="1" x14ac:dyDescent="0.25">
      <c r="A1" s="21"/>
      <c r="B1" s="22"/>
      <c r="C1" s="22"/>
      <c r="D1" s="23"/>
      <c r="E1" s="23"/>
      <c r="F1" s="23"/>
      <c r="G1" s="23"/>
      <c r="H1" s="23"/>
      <c r="I1" s="24"/>
    </row>
    <row r="2" spans="1:13" ht="15.75" customHeight="1" x14ac:dyDescent="0.25">
      <c r="A2" s="25"/>
      <c r="B2" s="18"/>
      <c r="C2" s="18"/>
      <c r="D2" s="19"/>
      <c r="E2" s="19"/>
      <c r="F2" s="19"/>
      <c r="G2" s="19"/>
      <c r="H2" s="19"/>
      <c r="I2" s="26"/>
    </row>
    <row r="3" spans="1:13" ht="15.75" customHeight="1" x14ac:dyDescent="0.25">
      <c r="A3" s="25"/>
      <c r="B3" s="18"/>
      <c r="C3" s="18"/>
      <c r="D3" s="19"/>
      <c r="E3" s="19"/>
      <c r="F3" s="19"/>
      <c r="G3" s="19"/>
      <c r="H3" s="19"/>
      <c r="I3" s="26"/>
    </row>
    <row r="4" spans="1:13" ht="15.75" customHeight="1" thickBot="1" x14ac:dyDescent="0.3">
      <c r="A4" s="27"/>
      <c r="B4" s="20"/>
      <c r="C4" s="20"/>
      <c r="D4" s="20"/>
      <c r="E4" s="20"/>
      <c r="F4" s="20"/>
      <c r="G4" s="20"/>
      <c r="H4" s="20"/>
      <c r="I4" s="28"/>
    </row>
    <row r="5" spans="1:13" ht="15.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</row>
    <row r="6" spans="1:13" ht="15.9" customHeight="1" x14ac:dyDescent="0.25">
      <c r="A6" s="128" t="s">
        <v>15</v>
      </c>
      <c r="B6" s="128"/>
      <c r="C6" s="128"/>
      <c r="D6" s="128"/>
      <c r="E6" s="128"/>
      <c r="F6" s="128"/>
      <c r="G6" s="128"/>
      <c r="H6" s="128"/>
      <c r="I6" s="128"/>
    </row>
    <row r="7" spans="1:13" ht="15.9" customHeight="1" x14ac:dyDescent="0.25">
      <c r="A7" s="129" t="s">
        <v>28</v>
      </c>
      <c r="B7" s="129"/>
      <c r="C7" s="129"/>
      <c r="D7" s="129"/>
      <c r="E7" s="129"/>
      <c r="F7" s="129"/>
      <c r="G7" s="129"/>
      <c r="H7" s="129"/>
      <c r="I7" s="129"/>
    </row>
    <row r="8" spans="1:13" ht="15.9" customHeight="1" x14ac:dyDescent="0.25">
      <c r="A8" s="29"/>
      <c r="I8"/>
      <c r="J8"/>
      <c r="M8"/>
    </row>
    <row r="9" spans="1:13" ht="15.9" customHeight="1" x14ac:dyDescent="0.25">
      <c r="B9" s="145" t="s">
        <v>57</v>
      </c>
      <c r="C9" s="145"/>
      <c r="D9" s="146" t="s">
        <v>58</v>
      </c>
      <c r="E9" s="148" t="s">
        <v>59</v>
      </c>
      <c r="F9" s="149"/>
      <c r="G9" s="148" t="s">
        <v>60</v>
      </c>
      <c r="H9" s="149"/>
      <c r="I9"/>
      <c r="J9"/>
      <c r="K9" s="15"/>
    </row>
    <row r="10" spans="1:13" ht="15.9" customHeight="1" x14ac:dyDescent="0.25">
      <c r="A10" s="37"/>
      <c r="B10" s="150"/>
      <c r="C10" s="151"/>
      <c r="D10" s="147"/>
      <c r="E10" s="152"/>
      <c r="F10" s="153"/>
      <c r="G10" s="152"/>
      <c r="H10" s="153"/>
      <c r="I10" s="39"/>
      <c r="J10" s="15"/>
      <c r="K10" s="15"/>
    </row>
    <row r="11" spans="1:13" ht="15.9" customHeight="1" x14ac:dyDescent="0.25">
      <c r="A11" s="37"/>
      <c r="B11" s="38"/>
      <c r="C11" s="50"/>
      <c r="D11" s="50"/>
      <c r="E11" s="50"/>
      <c r="F11" s="50"/>
      <c r="G11" s="50"/>
      <c r="H11" s="50"/>
      <c r="I11" s="40"/>
      <c r="J11" s="15"/>
      <c r="K11" s="15"/>
    </row>
    <row r="12" spans="1:13" ht="24.75" customHeight="1" x14ac:dyDescent="0.25">
      <c r="A12" s="130" t="s">
        <v>29</v>
      </c>
      <c r="B12" s="131"/>
      <c r="C12" s="131"/>
      <c r="D12" s="131"/>
      <c r="E12" s="131"/>
      <c r="F12" s="131"/>
      <c r="G12" s="131"/>
      <c r="H12" s="131"/>
      <c r="I12" s="132"/>
      <c r="J12" s="15"/>
      <c r="K12" s="15"/>
    </row>
    <row r="13" spans="1:13" ht="18" customHeight="1" x14ac:dyDescent="0.25">
      <c r="A13" s="125" t="s">
        <v>30</v>
      </c>
      <c r="B13" s="126"/>
      <c r="C13" s="126"/>
      <c r="D13" s="126"/>
      <c r="E13" s="126"/>
      <c r="F13" s="126"/>
      <c r="G13" s="126"/>
      <c r="H13" s="126"/>
      <c r="I13" s="127"/>
      <c r="J13" s="15"/>
      <c r="K13" s="15"/>
    </row>
    <row r="14" spans="1:13" ht="11.25" customHeight="1" x14ac:dyDescent="0.25">
      <c r="A14" s="51"/>
      <c r="B14" s="46"/>
      <c r="C14" s="47"/>
      <c r="D14" s="47"/>
      <c r="E14" s="47"/>
      <c r="F14" s="47"/>
      <c r="G14" s="47"/>
      <c r="H14" s="47"/>
      <c r="I14" s="55"/>
      <c r="J14" s="15"/>
      <c r="K14" s="15"/>
    </row>
    <row r="15" spans="1:13" ht="15.9" customHeight="1" x14ac:dyDescent="0.25">
      <c r="C15" s="134"/>
      <c r="D15" s="134"/>
      <c r="E15" s="134"/>
      <c r="G15" s="134"/>
      <c r="H15" s="134"/>
      <c r="I15" s="53"/>
      <c r="K15" s="15"/>
    </row>
    <row r="16" spans="1:13" ht="15.9" customHeight="1" x14ac:dyDescent="0.25">
      <c r="C16" s="62"/>
      <c r="D16" s="64"/>
      <c r="E16" s="63"/>
      <c r="G16" s="62"/>
      <c r="I16" s="42"/>
      <c r="K16" s="15"/>
    </row>
    <row r="17" spans="1:12" ht="15.9" customHeight="1" x14ac:dyDescent="0.25">
      <c r="C17" s="62"/>
      <c r="D17" s="64"/>
      <c r="E17" s="63"/>
      <c r="G17" s="62"/>
      <c r="I17" s="56"/>
      <c r="K17" s="15"/>
      <c r="L17" s="49"/>
    </row>
    <row r="18" spans="1:12" ht="12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K18" s="15"/>
    </row>
    <row r="19" spans="1:12" ht="15.75" customHeight="1" x14ac:dyDescent="0.25">
      <c r="A19" s="135" t="s">
        <v>40</v>
      </c>
      <c r="B19" s="136"/>
      <c r="C19" s="136"/>
      <c r="D19" s="136"/>
      <c r="E19" s="136"/>
      <c r="F19" s="136"/>
      <c r="G19" s="136"/>
      <c r="H19" s="136"/>
      <c r="I19" s="137"/>
      <c r="K19" s="15"/>
    </row>
    <row r="20" spans="1:12" ht="15.75" customHeight="1" x14ac:dyDescent="0.25">
      <c r="A20" s="76"/>
      <c r="B20" s="77"/>
      <c r="C20" s="77"/>
      <c r="D20" s="77"/>
      <c r="E20" s="77"/>
      <c r="F20" s="77"/>
      <c r="G20" s="77"/>
      <c r="H20" s="77"/>
      <c r="I20" s="78"/>
      <c r="K20" s="15"/>
    </row>
    <row r="21" spans="1:12" ht="15.75" customHeight="1" x14ac:dyDescent="0.25">
      <c r="A21" s="79"/>
      <c r="B21" s="82"/>
      <c r="C21" s="83" t="s">
        <v>38</v>
      </c>
      <c r="D21" s="84"/>
      <c r="E21" s="84"/>
      <c r="F21" s="75" t="s">
        <v>39</v>
      </c>
      <c r="G21" s="81"/>
      <c r="H21" s="81"/>
      <c r="I21" s="80"/>
      <c r="J21" s="15"/>
      <c r="K21" s="31"/>
    </row>
    <row r="22" spans="1:12" ht="15.75" customHeight="1" x14ac:dyDescent="0.25">
      <c r="A22" s="33"/>
      <c r="B22" s="48" t="s">
        <v>21</v>
      </c>
      <c r="C22" s="66" t="s">
        <v>31</v>
      </c>
      <c r="D22" s="59"/>
      <c r="E22" s="59"/>
      <c r="F22" s="75" t="s">
        <v>18</v>
      </c>
      <c r="G22" s="72"/>
      <c r="H22" s="73"/>
      <c r="I22" s="34"/>
      <c r="J22" s="15"/>
      <c r="K22" s="32"/>
    </row>
    <row r="23" spans="1:12" ht="15.75" customHeight="1" x14ac:dyDescent="0.25">
      <c r="A23" s="33"/>
      <c r="B23" s="48" t="s">
        <v>22</v>
      </c>
      <c r="C23" s="66" t="s">
        <v>32</v>
      </c>
      <c r="D23" s="60"/>
      <c r="E23" s="60"/>
      <c r="F23" s="75" t="s">
        <v>19</v>
      </c>
      <c r="G23" s="74"/>
      <c r="H23" s="75"/>
      <c r="I23" s="34"/>
      <c r="J23" s="15"/>
      <c r="K23" s="32"/>
    </row>
    <row r="24" spans="1:12" ht="15.75" customHeight="1" x14ac:dyDescent="0.25">
      <c r="A24" s="33"/>
      <c r="B24" s="48" t="s">
        <v>23</v>
      </c>
      <c r="C24" s="66" t="s">
        <v>33</v>
      </c>
      <c r="D24" s="60"/>
      <c r="E24" s="60"/>
      <c r="F24" s="75" t="s">
        <v>18</v>
      </c>
      <c r="G24" s="74"/>
      <c r="H24" s="75"/>
      <c r="I24" s="35"/>
      <c r="J24" s="16"/>
      <c r="K24" s="32"/>
    </row>
    <row r="25" spans="1:12" ht="15.75" customHeight="1" x14ac:dyDescent="0.25">
      <c r="A25" s="33"/>
      <c r="B25" s="48" t="s">
        <v>24</v>
      </c>
      <c r="C25" s="66" t="s">
        <v>34</v>
      </c>
      <c r="D25" s="60"/>
      <c r="E25" s="60"/>
      <c r="F25" s="75" t="s">
        <v>19</v>
      </c>
      <c r="G25" s="71"/>
      <c r="H25" s="71"/>
      <c r="I25" s="36"/>
      <c r="J25" s="15"/>
      <c r="K25" s="15"/>
    </row>
    <row r="26" spans="1:12" ht="15.75" customHeight="1" x14ac:dyDescent="0.25">
      <c r="A26" s="33"/>
      <c r="B26" s="48" t="s">
        <v>25</v>
      </c>
      <c r="C26" s="66" t="s">
        <v>35</v>
      </c>
      <c r="D26" s="60"/>
      <c r="E26" s="60"/>
      <c r="F26" s="75" t="s">
        <v>19</v>
      </c>
      <c r="G26" s="61"/>
      <c r="H26" s="61"/>
      <c r="I26" s="36"/>
      <c r="J26" s="15"/>
      <c r="K26" s="15"/>
    </row>
    <row r="27" spans="1:12" ht="15.75" customHeight="1" x14ac:dyDescent="0.25">
      <c r="A27" s="33"/>
      <c r="B27" s="48" t="s">
        <v>26</v>
      </c>
      <c r="C27" s="66" t="s">
        <v>36</v>
      </c>
      <c r="D27" s="60"/>
      <c r="E27" s="60"/>
      <c r="F27" s="75" t="s">
        <v>19</v>
      </c>
      <c r="G27" s="70"/>
      <c r="H27" s="70"/>
      <c r="I27" s="36"/>
      <c r="J27" s="15"/>
      <c r="K27" s="15"/>
    </row>
    <row r="28" spans="1:12" ht="15.75" customHeight="1" x14ac:dyDescent="0.25">
      <c r="A28" s="33"/>
      <c r="B28" s="48" t="s">
        <v>27</v>
      </c>
      <c r="C28" s="68" t="s">
        <v>37</v>
      </c>
      <c r="D28" s="67"/>
      <c r="E28" s="67"/>
      <c r="F28" s="69" t="s">
        <v>20</v>
      </c>
      <c r="G28" s="61"/>
      <c r="H28" s="61"/>
      <c r="I28" s="36"/>
      <c r="J28" s="15"/>
      <c r="K28" s="15"/>
    </row>
    <row r="29" spans="1:12" ht="15.75" customHeight="1" x14ac:dyDescent="0.25">
      <c r="A29" s="33"/>
      <c r="B29" s="58"/>
      <c r="C29" s="58"/>
      <c r="D29" s="58"/>
      <c r="E29" s="58"/>
      <c r="F29" s="58"/>
      <c r="G29" s="58"/>
      <c r="H29" s="58"/>
      <c r="I29" s="36"/>
      <c r="J29" s="15"/>
      <c r="K29" s="15"/>
    </row>
    <row r="30" spans="1:12" ht="15.75" customHeight="1" x14ac:dyDescent="0.25">
      <c r="A30" s="135" t="s">
        <v>43</v>
      </c>
      <c r="B30" s="136"/>
      <c r="C30" s="136"/>
      <c r="D30" s="136"/>
      <c r="E30" s="136"/>
      <c r="F30" s="136"/>
      <c r="G30" s="136"/>
      <c r="H30" s="136"/>
      <c r="I30" s="137"/>
      <c r="J30" s="15"/>
      <c r="K30" s="15"/>
    </row>
    <row r="31" spans="1:12" ht="15.75" customHeight="1" x14ac:dyDescent="0.25">
      <c r="A31" s="95"/>
      <c r="C31" s="30"/>
      <c r="I31" s="96"/>
      <c r="J31" s="15"/>
      <c r="K31" s="15"/>
    </row>
    <row r="32" spans="1:12" ht="15.75" customHeight="1" x14ac:dyDescent="0.25">
      <c r="A32" s="97"/>
      <c r="B32" s="96"/>
      <c r="C32" s="74" t="s">
        <v>45</v>
      </c>
      <c r="D32" s="75" t="s">
        <v>39</v>
      </c>
      <c r="E32" s="82"/>
      <c r="F32" s="75"/>
      <c r="G32" s="84"/>
      <c r="H32" s="84"/>
      <c r="I32" s="86"/>
      <c r="J32" s="15"/>
      <c r="K32" s="15"/>
    </row>
    <row r="33" spans="1:11" ht="15.75" customHeight="1" x14ac:dyDescent="0.25">
      <c r="A33" s="97"/>
      <c r="B33" s="96"/>
      <c r="C33" s="98" t="s">
        <v>39</v>
      </c>
      <c r="D33" s="99" t="s">
        <v>41</v>
      </c>
      <c r="E33" s="99" t="s">
        <v>44</v>
      </c>
      <c r="F33" s="101" t="s">
        <v>42</v>
      </c>
      <c r="G33" s="99" t="s">
        <v>44</v>
      </c>
      <c r="H33" s="102" t="s">
        <v>42</v>
      </c>
      <c r="I33" s="86"/>
      <c r="J33" s="15"/>
      <c r="K33" s="15"/>
    </row>
    <row r="34" spans="1:11" ht="15.75" customHeight="1" x14ac:dyDescent="0.25">
      <c r="A34" s="97"/>
      <c r="B34" s="96"/>
      <c r="C34" s="89">
        <v>1</v>
      </c>
      <c r="D34" s="87"/>
      <c r="E34" s="88"/>
      <c r="F34" s="89"/>
      <c r="G34" s="87"/>
      <c r="H34" s="87"/>
      <c r="I34" s="86"/>
      <c r="J34" s="15"/>
      <c r="K34" s="15"/>
    </row>
    <row r="35" spans="1:11" ht="15.75" customHeight="1" x14ac:dyDescent="0.25">
      <c r="A35" s="97"/>
      <c r="B35" s="96"/>
      <c r="C35" s="89">
        <v>2</v>
      </c>
      <c r="D35" s="87"/>
      <c r="E35" s="88"/>
      <c r="F35" s="89"/>
      <c r="G35" s="87"/>
      <c r="H35" s="87"/>
      <c r="I35" s="86"/>
      <c r="J35" s="15"/>
      <c r="K35" s="15"/>
    </row>
    <row r="36" spans="1:11" ht="15.75" customHeight="1" x14ac:dyDescent="0.25">
      <c r="A36" s="91"/>
      <c r="B36" s="41"/>
      <c r="C36" s="89">
        <v>3</v>
      </c>
      <c r="D36" s="87"/>
      <c r="E36" s="88"/>
      <c r="F36" s="89"/>
      <c r="G36" s="87"/>
      <c r="H36" s="87"/>
      <c r="I36" s="36"/>
      <c r="J36" s="15"/>
      <c r="K36" s="15"/>
    </row>
    <row r="37" spans="1:11" ht="15.75" customHeight="1" x14ac:dyDescent="0.25">
      <c r="A37" s="91"/>
      <c r="B37" s="44"/>
      <c r="C37" s="89">
        <v>4</v>
      </c>
      <c r="D37" s="87"/>
      <c r="E37" s="88"/>
      <c r="F37" s="89"/>
      <c r="G37" s="87"/>
      <c r="H37" s="87"/>
      <c r="I37" s="36"/>
      <c r="J37" s="15"/>
      <c r="K37" s="15"/>
    </row>
    <row r="38" spans="1:11" ht="18" customHeight="1" x14ac:dyDescent="0.25">
      <c r="A38" s="91"/>
      <c r="B38" s="44"/>
      <c r="C38" s="118" t="s">
        <v>46</v>
      </c>
      <c r="D38" s="119"/>
      <c r="E38" s="119"/>
      <c r="F38" s="119"/>
      <c r="G38" s="119"/>
      <c r="H38" s="120"/>
      <c r="I38" s="36"/>
      <c r="J38" s="15"/>
      <c r="K38" s="15"/>
    </row>
    <row r="39" spans="1:11" ht="18" customHeight="1" x14ac:dyDescent="0.25">
      <c r="A39" s="91"/>
      <c r="B39" s="44"/>
      <c r="C39" s="121"/>
      <c r="D39" s="122"/>
      <c r="E39" s="122"/>
      <c r="F39" s="122"/>
      <c r="G39" s="122"/>
      <c r="H39" s="123"/>
      <c r="I39" s="36"/>
      <c r="J39" s="15"/>
      <c r="K39" s="15"/>
    </row>
    <row r="40" spans="1:11" ht="15.75" customHeight="1" x14ac:dyDescent="0.25">
      <c r="A40" s="100"/>
      <c r="B40" s="92"/>
      <c r="C40" s="93"/>
      <c r="D40" s="85"/>
      <c r="E40" s="85"/>
      <c r="F40" s="85"/>
      <c r="G40" s="85"/>
      <c r="H40" s="85"/>
      <c r="I40" s="94"/>
      <c r="J40" s="15"/>
      <c r="K40" s="15"/>
    </row>
    <row r="41" spans="1:11" ht="15.75" customHeight="1" x14ac:dyDescent="0.25">
      <c r="A41" s="43"/>
      <c r="B41" s="44"/>
      <c r="C41" s="90"/>
      <c r="D41" s="65"/>
      <c r="E41" s="65"/>
      <c r="F41" s="65"/>
      <c r="G41" s="65"/>
      <c r="H41" s="65"/>
      <c r="I41" s="14"/>
      <c r="J41" s="15"/>
      <c r="K41" s="15"/>
    </row>
    <row r="42" spans="1:11" ht="15.75" customHeight="1" x14ac:dyDescent="0.25">
      <c r="A42" s="43"/>
      <c r="B42" s="43"/>
      <c r="C42" s="142" t="s">
        <v>50</v>
      </c>
      <c r="D42" s="143"/>
      <c r="E42" s="142" t="s">
        <v>51</v>
      </c>
      <c r="F42" s="143"/>
      <c r="G42" s="110"/>
      <c r="H42" s="110"/>
      <c r="I42" s="43"/>
      <c r="J42" s="43"/>
      <c r="K42" s="43"/>
    </row>
    <row r="43" spans="1:11" ht="15.75" customHeight="1" x14ac:dyDescent="0.25">
      <c r="A43" s="43"/>
      <c r="B43" s="43"/>
      <c r="C43" s="138" t="s">
        <v>55</v>
      </c>
      <c r="D43" s="139"/>
      <c r="E43" s="140"/>
      <c r="F43" s="141"/>
      <c r="G43" s="110"/>
      <c r="H43" s="110"/>
      <c r="I43" s="43"/>
      <c r="J43" s="43"/>
      <c r="K43" s="43"/>
    </row>
    <row r="44" spans="1:11" ht="15.75" customHeight="1" x14ac:dyDescent="0.25">
      <c r="A44" s="43"/>
      <c r="B44" s="43"/>
      <c r="C44" s="138" t="s">
        <v>52</v>
      </c>
      <c r="D44" s="139"/>
      <c r="E44" s="140"/>
      <c r="F44" s="141"/>
      <c r="G44" s="110"/>
      <c r="H44" s="110"/>
      <c r="I44" s="43"/>
      <c r="J44" s="43"/>
      <c r="K44" s="43"/>
    </row>
    <row r="45" spans="1:11" ht="15.75" customHeight="1" x14ac:dyDescent="0.25">
      <c r="A45" s="43"/>
      <c r="B45" s="43"/>
      <c r="C45" s="138" t="s">
        <v>56</v>
      </c>
      <c r="D45" s="139"/>
      <c r="E45" s="140"/>
      <c r="F45" s="141"/>
      <c r="G45" s="110"/>
      <c r="H45" s="110"/>
      <c r="I45" s="43"/>
      <c r="J45" s="43"/>
      <c r="K45" s="43"/>
    </row>
    <row r="46" spans="1:11" ht="15.75" customHeight="1" x14ac:dyDescent="0.25">
      <c r="A46" s="43"/>
      <c r="B46" s="44"/>
      <c r="C46" s="90"/>
      <c r="D46" s="65"/>
      <c r="E46" s="65"/>
      <c r="F46" s="65"/>
      <c r="G46" s="65"/>
      <c r="H46" s="65"/>
      <c r="I46" s="14"/>
      <c r="J46" s="15"/>
      <c r="K46" s="15"/>
    </row>
    <row r="47" spans="1:11" ht="15.9" customHeight="1" x14ac:dyDescent="0.25">
      <c r="A47" s="43"/>
      <c r="B47" s="44"/>
      <c r="C47" s="44"/>
      <c r="D47" s="44"/>
      <c r="E47" s="44"/>
      <c r="F47" s="44"/>
      <c r="G47" s="44"/>
      <c r="H47" s="14"/>
      <c r="I47" s="14"/>
      <c r="J47" s="15"/>
      <c r="K47" s="15"/>
    </row>
    <row r="48" spans="1:11" ht="15.9" customHeight="1" x14ac:dyDescent="0.25">
      <c r="A48" s="43"/>
      <c r="B48" s="44"/>
      <c r="C48" s="44"/>
      <c r="D48" s="44"/>
      <c r="E48" s="44"/>
      <c r="F48" s="44"/>
      <c r="G48" s="44"/>
      <c r="H48" s="14"/>
      <c r="I48" s="14"/>
      <c r="J48" s="15"/>
      <c r="K48" s="15"/>
    </row>
    <row r="49" spans="1:11" ht="15.9" customHeight="1" x14ac:dyDescent="0.25">
      <c r="A49" s="43"/>
      <c r="B49" s="44"/>
      <c r="C49" s="44"/>
      <c r="D49" s="44"/>
      <c r="E49" s="44"/>
      <c r="F49" s="44"/>
      <c r="G49" s="44"/>
      <c r="H49" s="14"/>
      <c r="I49" s="14"/>
      <c r="J49" s="15"/>
      <c r="K49" s="15"/>
    </row>
    <row r="50" spans="1:11" ht="15.9" customHeight="1" x14ac:dyDescent="0.25">
      <c r="A50" s="54"/>
      <c r="B50" s="44"/>
      <c r="I50" s="14"/>
      <c r="J50" s="15"/>
      <c r="K50" s="15"/>
    </row>
    <row r="51" spans="1:11" ht="15.9" customHeight="1" x14ac:dyDescent="0.25">
      <c r="A51" s="45"/>
      <c r="B51" s="44"/>
      <c r="C51" s="44"/>
      <c r="D51" s="44"/>
      <c r="E51" s="44"/>
      <c r="F51" s="44"/>
      <c r="G51" s="44"/>
      <c r="H51" s="14"/>
      <c r="I51" s="14"/>
      <c r="J51" s="15"/>
      <c r="K51" s="15"/>
    </row>
    <row r="52" spans="1:11" ht="15.9" customHeight="1" x14ac:dyDescent="0.25">
      <c r="B52" s="133"/>
      <c r="C52" s="133"/>
      <c r="D52" s="133"/>
      <c r="E52" s="133"/>
      <c r="F52" s="133"/>
      <c r="G52" s="133"/>
      <c r="H52" s="38"/>
      <c r="I52" s="14"/>
      <c r="J52" s="15"/>
      <c r="K52" s="15"/>
    </row>
    <row r="53" spans="1:11" ht="15.9" customHeight="1" x14ac:dyDescent="0.25">
      <c r="A53" s="57" t="s">
        <v>16</v>
      </c>
      <c r="B53" s="44"/>
      <c r="C53" s="44"/>
      <c r="D53" s="44"/>
      <c r="E53" s="44"/>
      <c r="F53" s="44"/>
      <c r="G53" s="44"/>
      <c r="H53" s="14"/>
      <c r="I53" s="14"/>
      <c r="J53" s="15"/>
      <c r="K53" s="15"/>
    </row>
    <row r="54" spans="1:11" ht="15.9" customHeight="1" x14ac:dyDescent="0.25">
      <c r="A54" s="57" t="s">
        <v>54</v>
      </c>
      <c r="B54" s="14"/>
      <c r="C54" s="14"/>
      <c r="E54" s="117" t="s">
        <v>53</v>
      </c>
      <c r="F54" s="14"/>
      <c r="G54" s="14"/>
      <c r="H54" s="14"/>
      <c r="I54" s="14"/>
      <c r="J54" s="15"/>
      <c r="K54" s="15"/>
    </row>
    <row r="55" spans="1:11" ht="15.9" customHeight="1" x14ac:dyDescent="0.25"/>
    <row r="56" spans="1:11" ht="30.75" customHeight="1" x14ac:dyDescent="0.25">
      <c r="A56" s="124" t="s">
        <v>17</v>
      </c>
      <c r="B56" s="124"/>
      <c r="C56" s="124"/>
      <c r="D56" s="124"/>
      <c r="E56" s="124"/>
      <c r="F56" s="124"/>
      <c r="G56" s="124"/>
      <c r="H56" s="124"/>
      <c r="I56" s="124"/>
    </row>
    <row r="57" spans="1:11" ht="15.9" customHeight="1" x14ac:dyDescent="0.25"/>
    <row r="58" spans="1:11" ht="15.9" customHeight="1" x14ac:dyDescent="0.25"/>
  </sheetData>
  <protectedRanges>
    <protectedRange sqref="C11 C14" name="Rango3_3_1_1_1_1_1_1_1_1"/>
    <protectedRange sqref="C52" name="Rango3_3_1_1_1_1_1_2_1"/>
  </protectedRanges>
  <mergeCells count="24">
    <mergeCell ref="B10:C10"/>
    <mergeCell ref="E9:F9"/>
    <mergeCell ref="G9:H9"/>
    <mergeCell ref="A19:I19"/>
    <mergeCell ref="A30:I30"/>
    <mergeCell ref="C38:H39"/>
    <mergeCell ref="B52:D52"/>
    <mergeCell ref="E52:G52"/>
    <mergeCell ref="C45:D45"/>
    <mergeCell ref="E45:F45"/>
    <mergeCell ref="C42:D42"/>
    <mergeCell ref="E42:F42"/>
    <mergeCell ref="A6:I6"/>
    <mergeCell ref="A7:I7"/>
    <mergeCell ref="A12:I12"/>
    <mergeCell ref="A13:I13"/>
    <mergeCell ref="C15:E15"/>
    <mergeCell ref="G15:H15"/>
    <mergeCell ref="B9:C9"/>
    <mergeCell ref="C43:D43"/>
    <mergeCell ref="E43:F43"/>
    <mergeCell ref="C44:D44"/>
    <mergeCell ref="E44:F44"/>
    <mergeCell ref="A56:I56"/>
  </mergeCells>
  <phoneticPr fontId="9" type="noConversion"/>
  <printOptions horizontalCentered="1" verticalCentered="1"/>
  <pageMargins left="0.78740157480314965" right="0.78740157480314965" top="0.78740157480314965" bottom="0.39370078740157483" header="0" footer="0"/>
  <pageSetup paperSize="274" scale="8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44" t="s">
        <v>9</v>
      </c>
      <c r="B2" s="144"/>
      <c r="C2" s="6" t="s">
        <v>10</v>
      </c>
      <c r="D2" s="5" t="s">
        <v>2</v>
      </c>
      <c r="E2" s="5" t="s">
        <v>0</v>
      </c>
      <c r="F2" s="5" t="s">
        <v>1</v>
      </c>
      <c r="G2" s="5" t="s">
        <v>3</v>
      </c>
      <c r="H2" s="5" t="s">
        <v>4</v>
      </c>
      <c r="I2" s="5" t="s">
        <v>6</v>
      </c>
      <c r="J2" s="5" t="s">
        <v>5</v>
      </c>
      <c r="K2" s="5" t="s">
        <v>7</v>
      </c>
      <c r="L2" s="5" t="s">
        <v>8</v>
      </c>
      <c r="M2" s="5" t="s">
        <v>11</v>
      </c>
    </row>
    <row r="3" spans="1:13" ht="18.75" customHeight="1" x14ac:dyDescent="0.25">
      <c r="A3" s="8">
        <v>4400</v>
      </c>
      <c r="B3" s="2">
        <f>+A3+1</f>
        <v>4401</v>
      </c>
      <c r="C3" s="12" t="str">
        <f t="shared" ref="C3:C8" si="0">A3&amp;"-"&amp;B3</f>
        <v>4400-4401</v>
      </c>
      <c r="D3" s="8" t="s">
        <v>14</v>
      </c>
      <c r="E3" s="8">
        <v>350</v>
      </c>
      <c r="F3" s="9">
        <v>42347</v>
      </c>
      <c r="G3" s="2">
        <v>7</v>
      </c>
      <c r="H3" s="10">
        <v>15.05</v>
      </c>
      <c r="I3" s="8">
        <v>49900</v>
      </c>
      <c r="J3" s="3">
        <f t="shared" ref="J3:J8" si="1">H3*H3*PI()/4</f>
        <v>177.89464750493056</v>
      </c>
      <c r="K3" s="11">
        <f t="shared" ref="K3:K8" si="2">I3/J3</f>
        <v>280.50309944607505</v>
      </c>
      <c r="L3" s="4">
        <f t="shared" ref="L3:L8" si="3">+K3/E3</f>
        <v>0.80143742698878584</v>
      </c>
      <c r="M3" s="13" t="s">
        <v>12</v>
      </c>
    </row>
    <row r="4" spans="1:13" ht="18.75" customHeight="1" x14ac:dyDescent="0.25">
      <c r="A4" s="2"/>
      <c r="B4" s="2"/>
      <c r="C4" s="7" t="str">
        <f t="shared" si="0"/>
        <v>-</v>
      </c>
      <c r="D4" s="2"/>
      <c r="E4" s="8">
        <v>350</v>
      </c>
      <c r="F4" s="2"/>
      <c r="G4" s="2">
        <v>7</v>
      </c>
      <c r="H4" s="10">
        <v>15.06</v>
      </c>
      <c r="I4" s="8">
        <v>50310</v>
      </c>
      <c r="J4" s="3">
        <f t="shared" si="1"/>
        <v>178.1311308919295</v>
      </c>
      <c r="K4" s="11">
        <f t="shared" si="2"/>
        <v>282.43238421094742</v>
      </c>
      <c r="L4" s="4">
        <f t="shared" si="3"/>
        <v>0.80694966917413546</v>
      </c>
      <c r="M4" s="13" t="s">
        <v>13</v>
      </c>
    </row>
    <row r="5" spans="1:13" ht="18.75" customHeight="1" x14ac:dyDescent="0.25">
      <c r="A5" s="2">
        <f>+B3+1</f>
        <v>4402</v>
      </c>
      <c r="B5" s="2">
        <f>+A5+1</f>
        <v>4403</v>
      </c>
      <c r="C5" s="7" t="str">
        <f t="shared" si="0"/>
        <v>4402-4403</v>
      </c>
      <c r="D5" s="2"/>
      <c r="E5" s="8">
        <v>350</v>
      </c>
      <c r="F5" s="2"/>
      <c r="G5" s="2">
        <v>14</v>
      </c>
      <c r="H5" s="10">
        <v>15.04</v>
      </c>
      <c r="I5" s="8">
        <v>56450</v>
      </c>
      <c r="J5" s="3">
        <f t="shared" si="1"/>
        <v>177.65832119756422</v>
      </c>
      <c r="K5" s="11">
        <f t="shared" si="2"/>
        <v>317.74475644867209</v>
      </c>
      <c r="L5" s="4">
        <f t="shared" si="3"/>
        <v>0.9078421612819203</v>
      </c>
      <c r="M5" s="13" t="s">
        <v>13</v>
      </c>
    </row>
    <row r="6" spans="1:13" ht="18.75" customHeight="1" x14ac:dyDescent="0.25">
      <c r="A6" s="2"/>
      <c r="B6" s="2"/>
      <c r="C6" s="7" t="str">
        <f t="shared" si="0"/>
        <v>-</v>
      </c>
      <c r="D6" s="2"/>
      <c r="E6" s="8">
        <v>350</v>
      </c>
      <c r="F6" s="2"/>
      <c r="G6" s="2">
        <v>14</v>
      </c>
      <c r="H6" s="10">
        <v>15</v>
      </c>
      <c r="I6" s="8">
        <v>59630</v>
      </c>
      <c r="J6" s="3">
        <f t="shared" si="1"/>
        <v>176.71458676442586</v>
      </c>
      <c r="K6" s="11">
        <f t="shared" si="2"/>
        <v>337.43677356692336</v>
      </c>
      <c r="L6" s="4">
        <f t="shared" si="3"/>
        <v>0.96410506733406676</v>
      </c>
      <c r="M6" s="13" t="s">
        <v>13</v>
      </c>
    </row>
    <row r="7" spans="1:13" ht="18.75" customHeight="1" x14ac:dyDescent="0.25">
      <c r="A7" s="2">
        <f>+B5+1</f>
        <v>4404</v>
      </c>
      <c r="B7" s="2">
        <f>+A7+1</f>
        <v>4405</v>
      </c>
      <c r="C7" s="7" t="str">
        <f t="shared" si="0"/>
        <v>4404-4405</v>
      </c>
      <c r="D7" s="2"/>
      <c r="E7" s="8">
        <v>350</v>
      </c>
      <c r="F7" s="2"/>
      <c r="G7" s="2">
        <v>28</v>
      </c>
      <c r="H7" s="10">
        <v>15.11</v>
      </c>
      <c r="I7" s="8">
        <v>65310</v>
      </c>
      <c r="J7" s="3">
        <f t="shared" si="1"/>
        <v>179.31590402141455</v>
      </c>
      <c r="K7" s="11">
        <f t="shared" si="2"/>
        <v>364.21755424549764</v>
      </c>
      <c r="L7" s="4">
        <f t="shared" si="3"/>
        <v>1.0406215835585646</v>
      </c>
      <c r="M7" s="13" t="s">
        <v>13</v>
      </c>
    </row>
    <row r="8" spans="1:13" ht="18.75" customHeight="1" x14ac:dyDescent="0.25">
      <c r="A8" s="2"/>
      <c r="B8" s="2"/>
      <c r="C8" s="7" t="str">
        <f t="shared" si="0"/>
        <v>-</v>
      </c>
      <c r="D8" s="2"/>
      <c r="E8" s="8">
        <v>350</v>
      </c>
      <c r="F8" s="2"/>
      <c r="G8" s="2">
        <v>28</v>
      </c>
      <c r="H8" s="10">
        <v>15.05</v>
      </c>
      <c r="I8" s="8">
        <v>64730</v>
      </c>
      <c r="J8" s="3">
        <f t="shared" si="1"/>
        <v>177.89464750493056</v>
      </c>
      <c r="K8" s="11">
        <f t="shared" si="2"/>
        <v>363.86704663616104</v>
      </c>
      <c r="L8" s="4">
        <f t="shared" si="3"/>
        <v>1.0396201332461743</v>
      </c>
      <c r="M8" s="13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SST</vt:lpstr>
      <vt:lpstr>SST (2)</vt:lpstr>
      <vt:lpstr>Hoja1</vt:lpstr>
      <vt:lpstr>SST!Área_de_impresión</vt:lpstr>
      <vt:lpstr>'SST (2)'!Área_de_impresión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2021-07-05T14:14:23Z</cp:lastPrinted>
  <dcterms:created xsi:type="dcterms:W3CDTF">1999-11-07T15:11:55Z</dcterms:created>
  <dcterms:modified xsi:type="dcterms:W3CDTF">2026-03-12T16:04:02Z</dcterms:modified>
</cp:coreProperties>
</file>