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E927B8F5-57B7-425C-AB33-5AC091CCF413}" xr6:coauthVersionLast="47" xr6:coauthVersionMax="47" xr10:uidLastSave="{00000000-0000-0000-0000-000000000000}"/>
  <bookViews>
    <workbookView xWindow="-108" yWindow="-108" windowWidth="23256" windowHeight="12456" tabRatio="766" firstSheet="1" activeTab="1" xr2:uid="{00000000-000D-0000-FFFF-FFFF00000000}"/>
  </bookViews>
  <sheets>
    <sheet name="-------" sheetId="1" state="veryHidden" r:id="rId1"/>
    <sheet name="DURAB MAGNESIO" sheetId="21" r:id="rId2"/>
  </sheets>
  <externalReferences>
    <externalReference r:id="rId3"/>
    <externalReference r:id="rId4"/>
    <externalReference r:id="rId5"/>
    <externalReference r:id="rId6"/>
  </externalReferences>
  <definedNames>
    <definedName name="__CC2">[1]Sucs!$L$6</definedName>
    <definedName name="_CC2">[1]Sucs!$L$6</definedName>
    <definedName name="Abra">[2]Sucs!$C$3</definedName>
    <definedName name="_xlnm.Print_Area" localSheetId="1">'DURAB MAGNESIO'!$A$1:$M$66</definedName>
    <definedName name="CC">#REF!</definedName>
    <definedName name="CCVB">[3]Sucs!$L$3</definedName>
    <definedName name="CM">[4]BGA!$H$9</definedName>
    <definedName name="CU">#REF!</definedName>
    <definedName name="IP">#REF!</definedName>
    <definedName name="Ll">#REF!</definedName>
    <definedName name="MORA">[4]BGA!$H$13</definedName>
    <definedName name="N_10">#REF!</definedName>
    <definedName name="N_200">#REF!</definedName>
    <definedName name="N_40">#REF!</definedName>
    <definedName name="PC">[3]Sucs!$C$5</definedName>
    <definedName name="TABL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4" i="21" l="1"/>
  <c r="X52" i="21"/>
  <c r="X48" i="21"/>
  <c r="X50" i="21"/>
  <c r="W54" i="21"/>
  <c r="W52" i="21"/>
  <c r="W50" i="21"/>
  <c r="W48" i="21"/>
  <c r="V54" i="21"/>
  <c r="V53" i="21"/>
  <c r="V52" i="21"/>
  <c r="V51" i="21"/>
  <c r="V50" i="21"/>
  <c r="V49" i="21"/>
  <c r="V48" i="21"/>
  <c r="U54" i="21"/>
  <c r="U53" i="21"/>
  <c r="U52" i="21"/>
  <c r="U51" i="21"/>
  <c r="U50" i="21"/>
  <c r="U49" i="21"/>
  <c r="U48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</author>
  </authors>
  <commentList>
    <comment ref="D18" authorId="0" shapeId="0" xr:uid="{DD9358AB-C6C2-44F7-BA18-8D74D269F0AB}">
      <text>
        <r>
          <rPr>
            <b/>
            <sz val="10"/>
            <color indexed="81"/>
            <rFont val="Tahoma"/>
            <family val="2"/>
          </rPr>
          <t>Fabian:</t>
        </r>
        <r>
          <rPr>
            <sz val="10"/>
            <color indexed="81"/>
            <rFont val="Tahoma"/>
            <family val="2"/>
          </rPr>
          <t xml:space="preserve">
GRANULOMETRIA % retenido en cada tamiz</t>
        </r>
      </text>
    </comment>
    <comment ref="D29" authorId="0" shapeId="0" xr:uid="{C609C722-4E05-4CF7-9E40-6BE0E433E6F5}">
      <text>
        <r>
          <rPr>
            <b/>
            <sz val="10"/>
            <color indexed="81"/>
            <rFont val="Tahoma"/>
            <family val="2"/>
          </rPr>
          <t>Fabian:</t>
        </r>
        <r>
          <rPr>
            <sz val="10"/>
            <color indexed="81"/>
            <rFont val="Tahoma"/>
            <family val="2"/>
          </rPr>
          <t xml:space="preserve">
GRANULOMETRIA % retenido en cada tamiz</t>
        </r>
      </text>
    </comment>
  </commentList>
</comments>
</file>

<file path=xl/sharedStrings.xml><?xml version="1.0" encoding="utf-8"?>
<sst xmlns="http://schemas.openxmlformats.org/spreadsheetml/2006/main" count="147" uniqueCount="74">
  <si>
    <t>%</t>
  </si>
  <si>
    <t>LABORATORIO DE ENSAYO DE MATERIALES</t>
  </si>
  <si>
    <t>Página 1 de 1</t>
  </si>
  <si>
    <t>FORMATO N° F-LEM-P-AG-08.01</t>
  </si>
  <si>
    <t>Equipo utilizado</t>
  </si>
  <si>
    <t>Código</t>
  </si>
  <si>
    <t xml:space="preserve">Horno </t>
  </si>
  <si>
    <t>Balanza 0.1 g</t>
  </si>
  <si>
    <t>DETERMINACIÓN DE LA INALTERABILIDAD DE AGREGADOS POR MEDIO DE SULFATO DE SODIO O SULFATO DE MAGNESIO</t>
  </si>
  <si>
    <t>NTP 400.016:2020</t>
  </si>
  <si>
    <t>Pasa el tamiz normalizado</t>
  </si>
  <si>
    <t>Retenido sobre el tamiz normalizado</t>
  </si>
  <si>
    <t>No. 30</t>
  </si>
  <si>
    <t>No. 50</t>
  </si>
  <si>
    <t>No. 16</t>
  </si>
  <si>
    <t>No. 8</t>
  </si>
  <si>
    <t>No. 4</t>
  </si>
  <si>
    <t>3/8 in.</t>
  </si>
  <si>
    <t>Porcentaje de perdida ponderado</t>
  </si>
  <si>
    <t>Masa del material retenido en el tamiz especificado</t>
  </si>
  <si>
    <t>(%)                    [1]</t>
  </si>
  <si>
    <t>(g)                    [2]</t>
  </si>
  <si>
    <t>(g)                    [3]</t>
  </si>
  <si>
    <t>(g)                     [4]=[2-3]</t>
  </si>
  <si>
    <t>(%)                    [6]=[(5*1)/100]</t>
  </si>
  <si>
    <t>Masa individual en cada tamiz</t>
  </si>
  <si>
    <t>2 1/2 in.</t>
  </si>
  <si>
    <t>2 in.</t>
  </si>
  <si>
    <t>1 1/2 in.</t>
  </si>
  <si>
    <t>1 in.</t>
  </si>
  <si>
    <t>3/4 in.</t>
  </si>
  <si>
    <t>1/2 in.</t>
  </si>
  <si>
    <t>(g)                    [4]</t>
  </si>
  <si>
    <t>(g)                    [5]=[3-4]</t>
  </si>
  <si>
    <t>(%)                    [5]=[(4/2)*100]</t>
  </si>
  <si>
    <t>(%)                    [6]=[(5/3)*100]</t>
  </si>
  <si>
    <t>(%)                    [7]=[(6*1)/100]</t>
  </si>
  <si>
    <t>Rajadas</t>
  </si>
  <si>
    <t>Desmoronadas</t>
  </si>
  <si>
    <t>Fracturadas</t>
  </si>
  <si>
    <t>Astillasdas</t>
  </si>
  <si>
    <t>No.</t>
  </si>
  <si>
    <t>Ensayo de Inalterabilidad del Agregado Grueso (Examen cuantitativo)</t>
  </si>
  <si>
    <t>Ensayo de Inalterabilidad del Agregado Fino (Examen cuantitativo)</t>
  </si>
  <si>
    <t>5000 ± 300</t>
  </si>
  <si>
    <t>1500 ± 50</t>
  </si>
  <si>
    <t>1000 ± 10</t>
  </si>
  <si>
    <t>&lt; No. 4</t>
  </si>
  <si>
    <t>Equipos utilizados</t>
  </si>
  <si>
    <t>Σ Porcentaje de perdida</t>
  </si>
  <si>
    <t>Masa de la fracción de ensayo</t>
  </si>
  <si>
    <t>Masa de perdida en cada fracción</t>
  </si>
  <si>
    <t>Porcentaje que pasa los tamices después del ensayo</t>
  </si>
  <si>
    <t>Examen Cualitativo de las partículas mayores a 3/4 in.</t>
  </si>
  <si>
    <t>Total de partículas antes del ensayo</t>
  </si>
  <si>
    <t>Partículas Que Exhiben Fallas</t>
  </si>
  <si>
    <t>Tabla de masa mínima de la muestra (g)</t>
  </si>
  <si>
    <t>Versión: 04 (19-09-2024)</t>
  </si>
  <si>
    <r>
      <t xml:space="preserve">Gradación de la muestra original </t>
    </r>
    <r>
      <rPr>
        <b/>
        <sz val="10"/>
        <rFont val="Arial"/>
        <family val="2"/>
      </rPr>
      <t>(*)</t>
    </r>
  </si>
  <si>
    <r>
      <t xml:space="preserve"> </t>
    </r>
    <r>
      <rPr>
        <b/>
        <i/>
        <sz val="10"/>
        <rFont val="Arial"/>
        <family val="2"/>
      </rPr>
      <t>(*)</t>
    </r>
    <r>
      <rPr>
        <i/>
        <sz val="10"/>
        <rFont val="Arial"/>
        <family val="2"/>
      </rPr>
      <t xml:space="preserve"> se considera el % retenido en cada tamiz del ensayo granulometrico</t>
    </r>
  </si>
  <si>
    <r>
      <t>Gradación de la muestra original</t>
    </r>
    <r>
      <rPr>
        <b/>
        <sz val="10"/>
        <rFont val="Arial"/>
        <family val="2"/>
      </rPr>
      <t xml:space="preserve"> (*)</t>
    </r>
  </si>
  <si>
    <r>
      <rPr>
        <b/>
        <i/>
        <sz val="10"/>
        <rFont val="Arial"/>
        <family val="2"/>
      </rPr>
      <t>(*)</t>
    </r>
    <r>
      <rPr>
        <i/>
        <sz val="10"/>
        <rFont val="Arial"/>
        <family val="2"/>
      </rPr>
      <t xml:space="preserve"> se considera el % retenido en cada tamiz del ensayo granulométrico                                                                                                                                                                                                                    </t>
    </r>
    <r>
      <rPr>
        <b/>
        <i/>
        <sz val="10"/>
        <rFont val="Arial"/>
        <family val="2"/>
      </rPr>
      <t>Nota 1;</t>
    </r>
    <r>
      <rPr>
        <i/>
        <sz val="10"/>
        <rFont val="Arial"/>
        <family val="2"/>
      </rPr>
      <t xml:space="preserve"> Solo se ensayaran las fracciones individuales que contengas mas del 5% en masa retenido en el tamiz                                                                                                                                                             </t>
    </r>
    <r>
      <rPr>
        <b/>
        <i/>
        <sz val="10"/>
        <rFont val="Arial"/>
        <family val="2"/>
      </rPr>
      <t>Nota2;</t>
    </r>
    <r>
      <rPr>
        <i/>
        <sz val="10"/>
        <rFont val="Arial"/>
        <family val="2"/>
      </rPr>
      <t xml:space="preserve"> Cuando se ensaye un agregado que contiene apreciables cantidades de agregado fino y grueso, que tengan una graduación de más del 10 % en peso mayor que el tamiz 9,5 mm (3/8") y más del 10 % en peso menor de 4,75 mm (No. 4) ensayar las muestras por separado de la fracción menor No. 4 y la fracción mayor No. 4</t>
    </r>
  </si>
  <si>
    <r>
      <t xml:space="preserve">3000 </t>
    </r>
    <r>
      <rPr>
        <sz val="10"/>
        <rFont val="Calibri"/>
        <family val="2"/>
      </rPr>
      <t>± 300</t>
    </r>
  </si>
  <si>
    <r>
      <t xml:space="preserve">2000 </t>
    </r>
    <r>
      <rPr>
        <sz val="10"/>
        <rFont val="Calibri"/>
        <family val="2"/>
      </rPr>
      <t>± 200</t>
    </r>
  </si>
  <si>
    <r>
      <t xml:space="preserve">1000 </t>
    </r>
    <r>
      <rPr>
        <sz val="10"/>
        <rFont val="Calibri"/>
        <family val="2"/>
      </rPr>
      <t>± 50</t>
    </r>
  </si>
  <si>
    <r>
      <t xml:space="preserve">500 </t>
    </r>
    <r>
      <rPr>
        <sz val="10"/>
        <rFont val="Calibri"/>
        <family val="2"/>
      </rPr>
      <t>± 30</t>
    </r>
  </si>
  <si>
    <r>
      <t xml:space="preserve">670 </t>
    </r>
    <r>
      <rPr>
        <sz val="10"/>
        <rFont val="Calibri"/>
        <family val="2"/>
      </rPr>
      <t>± 10</t>
    </r>
  </si>
  <si>
    <r>
      <t xml:space="preserve">300 </t>
    </r>
    <r>
      <rPr>
        <sz val="10"/>
        <rFont val="Calibri"/>
        <family val="2"/>
      </rPr>
      <t>± 5</t>
    </r>
  </si>
  <si>
    <r>
      <t xml:space="preserve">100 </t>
    </r>
    <r>
      <rPr>
        <sz val="10"/>
        <rFont val="Calibri"/>
        <family val="2"/>
      </rPr>
      <t>± 0.1</t>
    </r>
  </si>
  <si>
    <t>WEB: www.geofal.com.pe   E-MAIL: laboratorio@geofal.com.pe                                                                                                                                                                                                                                               Av. Marañon 763, Los Olivos-Lima / Teléfono 01 754-3070</t>
  </si>
  <si>
    <t>MUESTRA</t>
  </si>
  <si>
    <t>No OT</t>
  </si>
  <si>
    <t>FECHA DE ENSAYO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</si>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</sst>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00\-\ &quot;20&quot;"/>
    <numFmt numFmtId="166" formatCode="000&quot;-20 AG08&quot;"/>
    <numFmt numFmtId="167" formatCode="&quot;CERTIFICADO N°&quot;000&quot;-20 AG08&quot;"/>
    <numFmt numFmtId="168" formatCode="#,##0.000&quot;  &quot;"/>
    <numFmt numFmtId="169" formatCode="#,##0.00&quot;  &quot;"/>
    <numFmt numFmtId="170" formatCode="#,##0.0&quot;  &quot;"/>
    <numFmt numFmtId="171" formatCode="&quot;+&quot;#,##0"/>
  </numFmts>
  <fonts count="1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b/>
      <u/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u/>
      <sz val="10"/>
      <name val="Times New Roman"/>
      <family val="1"/>
    </font>
    <font>
      <sz val="10"/>
      <name val="Times New Roman"/>
      <family val="1"/>
    </font>
    <font>
      <sz val="10"/>
      <name val="Arial Narrow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Calibri"/>
      <family val="2"/>
    </font>
    <font>
      <b/>
      <sz val="12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4" fillId="3" borderId="0" xfId="0" applyFont="1" applyFill="1"/>
    <xf numFmtId="0" fontId="2" fillId="3" borderId="10" xfId="0" applyFont="1" applyFill="1" applyBorder="1" applyAlignment="1" applyProtection="1">
      <alignment vertical="center" wrapText="1"/>
      <protection hidden="1"/>
    </xf>
    <xf numFmtId="0" fontId="2" fillId="3" borderId="0" xfId="0" applyFont="1" applyFill="1" applyAlignment="1" applyProtection="1">
      <alignment vertical="center"/>
      <protection hidden="1"/>
    </xf>
    <xf numFmtId="0" fontId="3" fillId="3" borderId="0" xfId="0" applyFont="1" applyFill="1" applyAlignment="1" applyProtection="1">
      <alignment vertical="center"/>
      <protection hidden="1"/>
    </xf>
    <xf numFmtId="0" fontId="2" fillId="3" borderId="0" xfId="0" applyFont="1" applyFill="1" applyAlignment="1" applyProtection="1">
      <alignment horizontal="center" vertical="center" wrapText="1"/>
      <protection hidden="1"/>
    </xf>
    <xf numFmtId="0" fontId="2" fillId="3" borderId="10" xfId="0" applyFont="1" applyFill="1" applyBorder="1" applyAlignment="1" applyProtection="1">
      <alignment horizontal="center" vertical="center" wrapText="1"/>
      <protection hidden="1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 applyProtection="1">
      <alignment vertical="center" wrapText="1"/>
      <protection hidden="1"/>
    </xf>
    <xf numFmtId="0" fontId="2" fillId="3" borderId="0" xfId="0" applyFont="1" applyFill="1" applyAlignment="1" applyProtection="1">
      <alignment horizontal="center" vertical="center"/>
      <protection hidden="1"/>
    </xf>
    <xf numFmtId="0" fontId="2" fillId="0" borderId="10" xfId="0" applyFont="1" applyBorder="1" applyAlignment="1">
      <alignment vertical="center"/>
    </xf>
    <xf numFmtId="0" fontId="2" fillId="3" borderId="16" xfId="0" applyFont="1" applyFill="1" applyBorder="1" applyAlignment="1" applyProtection="1">
      <alignment horizontal="center" vertical="center" wrapText="1"/>
      <protection hidden="1"/>
    </xf>
    <xf numFmtId="0" fontId="2" fillId="3" borderId="23" xfId="0" applyFont="1" applyFill="1" applyBorder="1" applyAlignment="1" applyProtection="1">
      <alignment horizontal="center" vertical="center" wrapText="1"/>
      <protection hidden="1"/>
    </xf>
    <xf numFmtId="0" fontId="1" fillId="2" borderId="13" xfId="0" applyFont="1" applyFill="1" applyBorder="1"/>
    <xf numFmtId="0" fontId="1" fillId="2" borderId="0" xfId="0" applyFont="1" applyFill="1"/>
    <xf numFmtId="0" fontId="1" fillId="2" borderId="14" xfId="0" applyFont="1" applyFill="1" applyBorder="1"/>
    <xf numFmtId="0" fontId="1" fillId="2" borderId="17" xfId="0" applyFont="1" applyFill="1" applyBorder="1"/>
    <xf numFmtId="0" fontId="1" fillId="0" borderId="0" xfId="0" applyFont="1"/>
    <xf numFmtId="0" fontId="3" fillId="3" borderId="0" xfId="0" applyFont="1" applyFill="1" applyAlignment="1">
      <alignment vertical="center"/>
    </xf>
    <xf numFmtId="0" fontId="3" fillId="3" borderId="19" xfId="0" applyFont="1" applyFill="1" applyBorder="1" applyAlignment="1">
      <alignment vertical="center"/>
    </xf>
    <xf numFmtId="0" fontId="1" fillId="3" borderId="0" xfId="0" applyFont="1" applyFill="1"/>
    <xf numFmtId="0" fontId="1" fillId="3" borderId="19" xfId="0" applyFont="1" applyFill="1" applyBorder="1"/>
    <xf numFmtId="167" fontId="4" fillId="3" borderId="0" xfId="0" applyNumberFormat="1" applyFont="1" applyFill="1" applyProtection="1">
      <protection hidden="1"/>
    </xf>
    <xf numFmtId="0" fontId="8" fillId="3" borderId="0" xfId="0" applyFont="1" applyFill="1" applyAlignment="1">
      <alignment horizontal="center" vertical="center"/>
    </xf>
    <xf numFmtId="0" fontId="9" fillId="3" borderId="0" xfId="3" applyFont="1" applyFill="1" applyAlignment="1">
      <alignment vertical="center"/>
    </xf>
    <xf numFmtId="0" fontId="9" fillId="3" borderId="0" xfId="6" applyFont="1" applyFill="1" applyAlignment="1">
      <alignment horizontal="center" vertical="center" wrapText="1"/>
    </xf>
    <xf numFmtId="0" fontId="2" fillId="3" borderId="0" xfId="1" applyFont="1" applyFill="1" applyAlignment="1">
      <alignment vertical="center"/>
    </xf>
    <xf numFmtId="0" fontId="2" fillId="3" borderId="0" xfId="1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2" fillId="3" borderId="0" xfId="1" applyFont="1" applyFill="1" applyAlignment="1">
      <alignment horizontal="right" vertical="center"/>
    </xf>
    <xf numFmtId="17" fontId="1" fillId="3" borderId="0" xfId="0" applyNumberFormat="1" applyFont="1" applyFill="1" applyAlignment="1">
      <alignment vertical="center"/>
    </xf>
    <xf numFmtId="14" fontId="9" fillId="3" borderId="0" xfId="6" applyNumberFormat="1" applyFont="1" applyFill="1" applyAlignment="1">
      <alignment horizontal="left" vertical="center"/>
    </xf>
    <xf numFmtId="0" fontId="10" fillId="0" borderId="0" xfId="0" applyFont="1" applyAlignment="1">
      <alignment vertical="center" wrapText="1"/>
    </xf>
    <xf numFmtId="0" fontId="1" fillId="2" borderId="23" xfId="0" applyFont="1" applyFill="1" applyBorder="1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4" borderId="4" xfId="0" applyNumberFormat="1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9" fillId="3" borderId="0" xfId="0" applyFont="1" applyFill="1" applyProtection="1">
      <protection hidden="1"/>
    </xf>
    <xf numFmtId="0" fontId="1" fillId="3" borderId="0" xfId="0" applyFont="1" applyFill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0" borderId="23" xfId="0" applyFont="1" applyBorder="1"/>
    <xf numFmtId="0" fontId="1" fillId="0" borderId="23" xfId="0" applyFont="1" applyBorder="1" applyAlignment="1">
      <alignment horizontal="center" vertical="center"/>
    </xf>
    <xf numFmtId="169" fontId="1" fillId="0" borderId="23" xfId="0" applyNumberFormat="1" applyFont="1" applyBorder="1" applyAlignment="1" applyProtection="1">
      <alignment horizontal="center" vertical="center"/>
      <protection locked="0"/>
    </xf>
    <xf numFmtId="10" fontId="1" fillId="0" borderId="23" xfId="2" applyNumberFormat="1" applyFont="1" applyBorder="1" applyAlignment="1" applyProtection="1">
      <alignment horizontal="center" vertical="center"/>
      <protection locked="0"/>
    </xf>
    <xf numFmtId="168" fontId="1" fillId="0" borderId="23" xfId="0" applyNumberFormat="1" applyFont="1" applyBorder="1" applyAlignment="1" applyProtection="1">
      <alignment horizontal="center" vertical="center"/>
      <protection locked="0"/>
    </xf>
    <xf numFmtId="0" fontId="1" fillId="0" borderId="7" xfId="0" applyFont="1" applyBorder="1"/>
    <xf numFmtId="0" fontId="1" fillId="2" borderId="10" xfId="0" applyFont="1" applyFill="1" applyBorder="1" applyAlignment="1">
      <alignment horizontal="center"/>
    </xf>
    <xf numFmtId="169" fontId="1" fillId="0" borderId="11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0" fontId="2" fillId="0" borderId="3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169" fontId="1" fillId="0" borderId="0" xfId="0" applyNumberFormat="1" applyFont="1" applyAlignment="1" applyProtection="1">
      <alignment horizontal="center" vertical="center"/>
      <protection locked="0"/>
    </xf>
    <xf numFmtId="10" fontId="1" fillId="0" borderId="0" xfId="2" applyNumberFormat="1" applyFont="1" applyBorder="1" applyAlignment="1" applyProtection="1">
      <alignment horizontal="center" vertical="center"/>
      <protection locked="0"/>
    </xf>
    <xf numFmtId="168" fontId="1" fillId="0" borderId="0" xfId="0" applyNumberFormat="1" applyFont="1" applyAlignment="1" applyProtection="1">
      <alignment horizontal="center" vertical="center"/>
      <protection locked="0"/>
    </xf>
    <xf numFmtId="0" fontId="1" fillId="0" borderId="11" xfId="0" applyFont="1" applyBorder="1" applyAlignment="1">
      <alignment horizontal="center"/>
    </xf>
    <xf numFmtId="170" fontId="1" fillId="0" borderId="0" xfId="0" applyNumberFormat="1" applyFont="1" applyAlignment="1" applyProtection="1">
      <alignment horizontal="center" vertical="center"/>
      <protection hidden="1"/>
    </xf>
    <xf numFmtId="0" fontId="1" fillId="0" borderId="11" xfId="0" applyFont="1" applyBorder="1"/>
    <xf numFmtId="170" fontId="1" fillId="0" borderId="0" xfId="0" applyNumberFormat="1" applyFont="1" applyAlignment="1" applyProtection="1">
      <alignment horizontal="center" vertical="center"/>
      <protection locked="0"/>
    </xf>
    <xf numFmtId="0" fontId="1" fillId="2" borderId="8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12" xfId="0" applyFont="1" applyBorder="1"/>
    <xf numFmtId="171" fontId="1" fillId="0" borderId="12" xfId="0" applyNumberFormat="1" applyFont="1" applyBorder="1" applyAlignment="1">
      <alignment horizontal="left"/>
    </xf>
    <xf numFmtId="169" fontId="1" fillId="0" borderId="12" xfId="0" applyNumberFormat="1" applyFont="1" applyBorder="1" applyAlignment="1" applyProtection="1">
      <alignment horizontal="center" vertical="center"/>
      <protection locked="0"/>
    </xf>
    <xf numFmtId="10" fontId="1" fillId="0" borderId="12" xfId="2" applyNumberFormat="1" applyFont="1" applyBorder="1" applyAlignment="1" applyProtection="1">
      <alignment horizontal="center" vertical="center"/>
      <protection locked="0"/>
    </xf>
    <xf numFmtId="168" fontId="1" fillId="0" borderId="12" xfId="0" applyNumberFormat="1" applyFont="1" applyBorder="1" applyAlignment="1" applyProtection="1">
      <alignment horizontal="center" vertical="center"/>
      <protection locked="0"/>
    </xf>
    <xf numFmtId="0" fontId="1" fillId="0" borderId="9" xfId="0" applyFont="1" applyBorder="1"/>
    <xf numFmtId="0" fontId="1" fillId="3" borderId="0" xfId="0" applyFont="1" applyFill="1" applyAlignment="1" applyProtection="1">
      <alignment vertical="center"/>
      <protection hidden="1"/>
    </xf>
    <xf numFmtId="0" fontId="1" fillId="0" borderId="0" xfId="4" applyFont="1" applyBorder="1" applyAlignment="1" applyProtection="1">
      <alignment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7" fontId="4" fillId="3" borderId="0" xfId="0" applyNumberFormat="1" applyFont="1" applyFill="1" applyAlignment="1" applyProtection="1">
      <alignment horizontal="center" vertical="center"/>
      <protection hidden="1"/>
    </xf>
    <xf numFmtId="0" fontId="1" fillId="0" borderId="0" xfId="4" applyFont="1" applyBorder="1" applyAlignment="1" applyProtection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164" fontId="1" fillId="4" borderId="4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4" fillId="3" borderId="5" xfId="0" applyFont="1" applyFill="1" applyBorder="1" applyAlignment="1" applyProtection="1">
      <alignment horizontal="center" vertical="center" wrapText="1"/>
      <protection hidden="1"/>
    </xf>
    <xf numFmtId="0" fontId="14" fillId="3" borderId="16" xfId="0" applyFont="1" applyFill="1" applyBorder="1" applyAlignment="1" applyProtection="1">
      <alignment horizontal="center" vertical="center" wrapText="1"/>
      <protection hidden="1"/>
    </xf>
    <xf numFmtId="0" fontId="14" fillId="3" borderId="6" xfId="0" applyFont="1" applyFill="1" applyBorder="1" applyAlignment="1" applyProtection="1">
      <alignment horizontal="center" vertical="center" wrapText="1"/>
      <protection hidden="1"/>
    </xf>
    <xf numFmtId="0" fontId="2" fillId="3" borderId="0" xfId="1" applyFont="1" applyFill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vertical="center" wrapText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23" xfId="0" applyFont="1" applyFill="1" applyBorder="1" applyAlignment="1" applyProtection="1">
      <alignment horizontal="center" vertical="center" wrapText="1"/>
      <protection hidden="1"/>
    </xf>
    <xf numFmtId="0" fontId="2" fillId="3" borderId="7" xfId="0" applyFont="1" applyFill="1" applyBorder="1" applyAlignment="1" applyProtection="1">
      <alignment horizontal="center" vertical="center" wrapText="1"/>
      <protection hidden="1"/>
    </xf>
    <xf numFmtId="0" fontId="1" fillId="3" borderId="0" xfId="0" applyFont="1" applyFill="1" applyAlignment="1">
      <alignment horizontal="left" vertical="center"/>
    </xf>
    <xf numFmtId="165" fontId="1" fillId="3" borderId="0" xfId="0" applyNumberFormat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left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169" fontId="1" fillId="0" borderId="5" xfId="0" applyNumberFormat="1" applyFont="1" applyBorder="1" applyAlignment="1" applyProtection="1">
      <alignment horizontal="center" vertical="center"/>
      <protection locked="0"/>
    </xf>
    <xf numFmtId="169" fontId="1" fillId="0" borderId="16" xfId="0" applyNumberFormat="1" applyFont="1" applyBorder="1" applyAlignment="1" applyProtection="1">
      <alignment horizontal="center" vertical="center"/>
      <protection locked="0"/>
    </xf>
    <xf numFmtId="169" fontId="1" fillId="0" borderId="6" xfId="0" applyNumberFormat="1" applyFont="1" applyBorder="1" applyAlignment="1" applyProtection="1">
      <alignment horizontal="center" vertical="center"/>
      <protection locked="0"/>
    </xf>
    <xf numFmtId="0" fontId="2" fillId="3" borderId="8" xfId="0" applyFont="1" applyFill="1" applyBorder="1" applyAlignment="1" applyProtection="1">
      <alignment horizontal="center" vertical="center" wrapText="1"/>
      <protection hidden="1"/>
    </xf>
    <xf numFmtId="0" fontId="2" fillId="3" borderId="12" xfId="0" applyFont="1" applyFill="1" applyBorder="1" applyAlignment="1" applyProtection="1">
      <alignment horizontal="center" vertical="center" wrapText="1"/>
      <protection hidden="1"/>
    </xf>
    <xf numFmtId="0" fontId="2" fillId="3" borderId="9" xfId="0" applyFont="1" applyFill="1" applyBorder="1" applyAlignment="1" applyProtection="1">
      <alignment horizontal="center" vertical="center" wrapText="1"/>
      <protection hidden="1"/>
    </xf>
    <xf numFmtId="164" fontId="1" fillId="0" borderId="23" xfId="0" applyNumberFormat="1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5" fillId="5" borderId="5" xfId="0" applyFont="1" applyFill="1" applyBorder="1" applyAlignment="1" applyProtection="1">
      <alignment horizontal="center" vertical="center"/>
      <protection locked="0"/>
    </xf>
    <xf numFmtId="0" fontId="15" fillId="5" borderId="6" xfId="0" applyFont="1" applyFill="1" applyBorder="1" applyAlignment="1" applyProtection="1">
      <alignment horizontal="center" vertical="center"/>
      <protection locked="0"/>
    </xf>
  </cellXfs>
  <cellStyles count="7">
    <cellStyle name="Hipervínculo" xfId="4" builtinId="8"/>
    <cellStyle name="Normal" xfId="0" builtinId="0"/>
    <cellStyle name="Normal 2" xfId="3" xr:uid="{00000000-0005-0000-0000-000002000000}"/>
    <cellStyle name="Normal_ENSAYOS" xfId="1" xr:uid="{00000000-0005-0000-0000-000005000000}"/>
    <cellStyle name="Normal_Produc. 07-09-99 2" xfId="6" xr:uid="{00000000-0005-0000-0000-000008000000}"/>
    <cellStyle name="Porcentaje" xfId="2" builtinId="5"/>
    <cellStyle name="Porcentual 2" xfId="5" xr:uid="{00000000-0005-0000-0000-00000A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64</xdr:row>
      <xdr:rowOff>15240</xdr:rowOff>
    </xdr:from>
    <xdr:to>
      <xdr:col>11</xdr:col>
      <xdr:colOff>271199</xdr:colOff>
      <xdr:row>64</xdr:row>
      <xdr:rowOff>110775</xdr:rowOff>
    </xdr:to>
    <xdr:pic>
      <xdr:nvPicPr>
        <xdr:cNvPr id="12" name="3 Imagen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" y="15788640"/>
          <a:ext cx="9720000" cy="95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828674</xdr:colOff>
      <xdr:row>0</xdr:row>
      <xdr:rowOff>57149</xdr:rowOff>
    </xdr:from>
    <xdr:to>
      <xdr:col>7</xdr:col>
      <xdr:colOff>270641</xdr:colOff>
      <xdr:row>4</xdr:row>
      <xdr:rowOff>161924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4" y="57149"/>
          <a:ext cx="1495557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380999</xdr:colOff>
      <xdr:row>58</xdr:row>
      <xdr:rowOff>76200</xdr:rowOff>
    </xdr:from>
    <xdr:to>
      <xdr:col>6</xdr:col>
      <xdr:colOff>449580</xdr:colOff>
      <xdr:row>61</xdr:row>
      <xdr:rowOff>160125</xdr:rowOff>
    </xdr:to>
    <xdr:sp macro="" textlink="">
      <xdr:nvSpPr>
        <xdr:cNvPr id="17" name="4 Rectángulo">
          <a:extLst>
            <a:ext uri="{FF2B5EF4-FFF2-40B4-BE49-F238E27FC236}">
              <a16:creationId xmlns:a16="http://schemas.microsoft.com/office/drawing/2014/main" id="{F49DB6DA-C22A-409D-AB01-BBF4562F2CB9}"/>
            </a:ext>
          </a:extLst>
        </xdr:cNvPr>
        <xdr:cNvSpPr/>
      </xdr:nvSpPr>
      <xdr:spPr>
        <a:xfrm>
          <a:off x="1904999" y="14737080"/>
          <a:ext cx="3253741" cy="693525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Revisado: </a:t>
          </a:r>
        </a:p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>
    <xdr:from>
      <xdr:col>6</xdr:col>
      <xdr:colOff>674052</xdr:colOff>
      <xdr:row>58</xdr:row>
      <xdr:rowOff>76200</xdr:rowOff>
    </xdr:from>
    <xdr:to>
      <xdr:col>10</xdr:col>
      <xdr:colOff>302172</xdr:colOff>
      <xdr:row>61</xdr:row>
      <xdr:rowOff>160125</xdr:rowOff>
    </xdr:to>
    <xdr:sp macro="" textlink="">
      <xdr:nvSpPr>
        <xdr:cNvPr id="18" name="4 Rectángulo">
          <a:extLst>
            <a:ext uri="{FF2B5EF4-FFF2-40B4-BE49-F238E27FC236}">
              <a16:creationId xmlns:a16="http://schemas.microsoft.com/office/drawing/2014/main" id="{AAD55D34-BE47-4DB6-A760-47FFA6B94C9C}"/>
            </a:ext>
          </a:extLst>
        </xdr:cNvPr>
        <xdr:cNvSpPr/>
      </xdr:nvSpPr>
      <xdr:spPr>
        <a:xfrm>
          <a:off x="5383212" y="14737080"/>
          <a:ext cx="3537180" cy="693525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Aprobado: </a:t>
          </a:r>
        </a:p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OFAL\2013\09-SETIEMBRE\Maquinarias%20e%20Ingenieros%20S.A.C\2-Afirmado\CBR%20-%20E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OFAL\2013\07-JULIO\ARENAS%20CONSTRUCTORA\DISE&#209;O%20DE%20MEZCLA\AGREGADO\Grav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 refreshError="1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"/>
  <sheetViews>
    <sheetView zoomScaleNormal="109" zoomScaleSheetLayoutView="70"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B66"/>
  <sheetViews>
    <sheetView showGridLines="0" tabSelected="1" zoomScaleNormal="100" zoomScaleSheetLayoutView="100" workbookViewId="0">
      <selection activeCell="F12" sqref="F12:G12"/>
    </sheetView>
  </sheetViews>
  <sheetFormatPr baseColWidth="10" defaultColWidth="11.44140625" defaultRowHeight="13.2" x14ac:dyDescent="0.25"/>
  <cols>
    <col min="1" max="1" width="0.88671875" style="20" customWidth="1"/>
    <col min="2" max="3" width="10.6640625" style="20" customWidth="1"/>
    <col min="4" max="5" width="15.88671875" style="20" customWidth="1"/>
    <col min="6" max="6" width="14.6640625" style="20" customWidth="1"/>
    <col min="7" max="7" width="15.88671875" style="20" customWidth="1"/>
    <col min="8" max="8" width="14.44140625" style="20" customWidth="1"/>
    <col min="9" max="9" width="14.77734375" style="20" customWidth="1"/>
    <col min="10" max="10" width="11.88671875" style="20" customWidth="1"/>
    <col min="11" max="11" width="12.6640625" style="20" customWidth="1"/>
    <col min="12" max="12" width="8.44140625" style="20" customWidth="1"/>
    <col min="13" max="13" width="2.21875" style="20" customWidth="1"/>
    <col min="14" max="14" width="5.33203125" style="20" customWidth="1"/>
    <col min="15" max="15" width="8" style="20" hidden="1" customWidth="1"/>
    <col min="16" max="16" width="1.44140625" style="20" customWidth="1"/>
    <col min="17" max="16384" width="11.44140625" style="20"/>
  </cols>
  <sheetData>
    <row r="1" spans="1:28" ht="15.75" customHeight="1" thickTop="1" x14ac:dyDescent="0.25">
      <c r="A1" s="19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  <c r="O1" s="3"/>
    </row>
    <row r="2" spans="1:28" ht="15.75" customHeight="1" x14ac:dyDescent="0.25">
      <c r="A2" s="2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3"/>
      <c r="O2" s="4"/>
    </row>
    <row r="3" spans="1:28" ht="15.75" customHeight="1" x14ac:dyDescent="0.25">
      <c r="A3" s="2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3"/>
      <c r="O3" s="4"/>
    </row>
    <row r="4" spans="1:28" ht="15.75" customHeight="1" x14ac:dyDescent="0.25">
      <c r="A4" s="2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3"/>
      <c r="O4" s="4"/>
    </row>
    <row r="5" spans="1:28" ht="15.75" customHeight="1" thickBot="1" x14ac:dyDescent="0.3">
      <c r="A5" s="2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23"/>
      <c r="O5" s="6"/>
      <c r="R5" s="23"/>
    </row>
    <row r="6" spans="1:28" ht="15.75" customHeight="1" thickTop="1" x14ac:dyDescent="0.25"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6"/>
      <c r="O6" s="27"/>
    </row>
    <row r="7" spans="1:28" ht="15.75" customHeight="1" x14ac:dyDescent="0.25">
      <c r="A7" s="96" t="s">
        <v>1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13"/>
      <c r="O7" s="13"/>
    </row>
    <row r="8" spans="1:28" ht="15.75" customHeight="1" x14ac:dyDescent="0.25">
      <c r="A8" s="97" t="s">
        <v>3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28"/>
      <c r="O8" s="28"/>
    </row>
    <row r="9" spans="1:28" ht="15.75" customHeight="1" x14ac:dyDescent="0.25"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30"/>
      <c r="O9" s="31"/>
    </row>
    <row r="10" spans="1:28" ht="15.75" customHeight="1" x14ac:dyDescent="0.25">
      <c r="B10" s="32"/>
      <c r="D10" s="29"/>
      <c r="E10" s="121"/>
      <c r="F10" s="121"/>
      <c r="G10" s="121"/>
      <c r="H10" s="121"/>
      <c r="I10" s="121"/>
      <c r="J10" s="121"/>
      <c r="K10" s="29"/>
      <c r="L10" s="29"/>
      <c r="M10" s="3"/>
      <c r="N10" s="119"/>
      <c r="O10" s="119"/>
    </row>
    <row r="11" spans="1:28" ht="15.75" customHeight="1" x14ac:dyDescent="0.25">
      <c r="B11" s="32"/>
      <c r="D11" s="146" t="s">
        <v>70</v>
      </c>
      <c r="E11" s="147"/>
      <c r="F11" s="146" t="s">
        <v>71</v>
      </c>
      <c r="G11" s="147"/>
      <c r="H11" s="146" t="s">
        <v>72</v>
      </c>
      <c r="I11" s="147"/>
      <c r="J11" s="146" t="s">
        <v>73</v>
      </c>
      <c r="K11" s="147"/>
      <c r="L11" s="29"/>
      <c r="M11" s="33"/>
      <c r="N11" s="120"/>
      <c r="O11" s="120"/>
    </row>
    <row r="12" spans="1:28" ht="15.75" customHeight="1" x14ac:dyDescent="0.25">
      <c r="B12" s="32"/>
      <c r="C12" s="32"/>
      <c r="D12" s="146"/>
      <c r="E12" s="147"/>
      <c r="F12" s="146"/>
      <c r="G12" s="147"/>
      <c r="H12" s="146"/>
      <c r="I12" s="147"/>
      <c r="J12" s="146"/>
      <c r="K12" s="147"/>
      <c r="L12" s="29"/>
      <c r="M12" s="33"/>
      <c r="N12" s="122"/>
      <c r="O12" s="122"/>
    </row>
    <row r="13" spans="1:28" ht="15.75" customHeight="1" x14ac:dyDescent="0.25">
      <c r="B13" s="32"/>
      <c r="C13" s="33"/>
      <c r="D13" s="34"/>
      <c r="E13" s="34"/>
      <c r="F13" s="34"/>
      <c r="G13" s="34"/>
      <c r="H13" s="34"/>
      <c r="I13" s="34"/>
      <c r="J13" s="35"/>
      <c r="K13" s="33"/>
      <c r="L13" s="33"/>
      <c r="M13" s="36"/>
      <c r="N13" s="37"/>
      <c r="O13" s="23"/>
    </row>
    <row r="14" spans="1:28" ht="24.75" customHeight="1" x14ac:dyDescent="0.25">
      <c r="A14" s="116" t="s">
        <v>8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8"/>
      <c r="N14" s="8"/>
      <c r="O14" s="23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spans="1:28" ht="15.75" customHeight="1" x14ac:dyDescent="0.25">
      <c r="A15" s="140" t="s">
        <v>9</v>
      </c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2"/>
      <c r="N15" s="8"/>
      <c r="O15" s="23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</row>
    <row r="16" spans="1:28" ht="9.9" customHeight="1" x14ac:dyDescent="0.25">
      <c r="A16" s="39"/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4"/>
      <c r="O16" s="23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</row>
    <row r="17" spans="2:28" ht="18" customHeight="1" x14ac:dyDescent="0.25">
      <c r="B17" s="102" t="s">
        <v>43</v>
      </c>
      <c r="C17" s="103"/>
      <c r="D17" s="103"/>
      <c r="E17" s="103"/>
      <c r="F17" s="103"/>
      <c r="G17" s="103"/>
      <c r="H17" s="103"/>
      <c r="I17" s="104"/>
      <c r="J17" s="12"/>
      <c r="K17" s="11"/>
      <c r="L17" s="11"/>
      <c r="M17" s="11"/>
      <c r="N17" s="14"/>
      <c r="O17" s="23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</row>
    <row r="18" spans="2:28" ht="56.4" customHeight="1" x14ac:dyDescent="0.25">
      <c r="B18" s="123" t="s">
        <v>10</v>
      </c>
      <c r="C18" s="123" t="s">
        <v>11</v>
      </c>
      <c r="D18" s="40" t="s">
        <v>58</v>
      </c>
      <c r="E18" s="40" t="s">
        <v>50</v>
      </c>
      <c r="F18" s="40" t="s">
        <v>19</v>
      </c>
      <c r="G18" s="40" t="s">
        <v>51</v>
      </c>
      <c r="H18" s="40" t="s">
        <v>52</v>
      </c>
      <c r="I18" s="40" t="s">
        <v>18</v>
      </c>
      <c r="J18" s="11"/>
      <c r="K18" s="11"/>
      <c r="L18" s="11"/>
      <c r="M18" s="11"/>
      <c r="N18" s="14"/>
      <c r="O18" s="23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</row>
    <row r="19" spans="2:28" ht="32.4" customHeight="1" x14ac:dyDescent="0.25">
      <c r="B19" s="124"/>
      <c r="C19" s="124"/>
      <c r="D19" s="40" t="s">
        <v>20</v>
      </c>
      <c r="E19" s="40" t="s">
        <v>21</v>
      </c>
      <c r="F19" s="40" t="s">
        <v>22</v>
      </c>
      <c r="G19" s="40" t="s">
        <v>23</v>
      </c>
      <c r="H19" s="40" t="s">
        <v>34</v>
      </c>
      <c r="I19" s="40" t="s">
        <v>24</v>
      </c>
      <c r="J19" s="11"/>
      <c r="K19" s="11"/>
      <c r="L19" s="11"/>
      <c r="M19" s="11"/>
      <c r="N19" s="14"/>
      <c r="O19" s="23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</row>
    <row r="20" spans="2:28" ht="22.2" customHeight="1" x14ac:dyDescent="0.25">
      <c r="B20" s="42" t="s">
        <v>12</v>
      </c>
      <c r="C20" s="42" t="s">
        <v>13</v>
      </c>
      <c r="D20" s="43"/>
      <c r="E20" s="44"/>
      <c r="F20" s="44"/>
      <c r="G20" s="45"/>
      <c r="H20" s="45"/>
      <c r="I20" s="45"/>
      <c r="J20" s="11"/>
      <c r="K20" s="11"/>
      <c r="L20" s="11"/>
      <c r="M20" s="11"/>
      <c r="N20" s="14"/>
      <c r="O20" s="23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</row>
    <row r="21" spans="2:28" ht="22.2" customHeight="1" x14ac:dyDescent="0.25">
      <c r="B21" s="42" t="s">
        <v>14</v>
      </c>
      <c r="C21" s="42" t="s">
        <v>12</v>
      </c>
      <c r="D21" s="43"/>
      <c r="E21" s="44"/>
      <c r="F21" s="44"/>
      <c r="G21" s="45"/>
      <c r="H21" s="45"/>
      <c r="I21" s="45"/>
      <c r="J21" s="11"/>
      <c r="K21" s="11"/>
      <c r="L21" s="11"/>
      <c r="M21" s="11"/>
      <c r="N21" s="14"/>
      <c r="O21" s="23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</row>
    <row r="22" spans="2:28" ht="22.2" customHeight="1" x14ac:dyDescent="0.25">
      <c r="B22" s="42" t="s">
        <v>15</v>
      </c>
      <c r="C22" s="42" t="s">
        <v>14</v>
      </c>
      <c r="D22" s="43"/>
      <c r="E22" s="44"/>
      <c r="F22" s="44"/>
      <c r="G22" s="45"/>
      <c r="H22" s="45"/>
      <c r="I22" s="45"/>
      <c r="J22" s="11"/>
      <c r="K22" s="11"/>
      <c r="L22" s="11"/>
      <c r="M22" s="11"/>
      <c r="N22" s="14"/>
      <c r="O22" s="23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spans="2:28" ht="22.2" customHeight="1" x14ac:dyDescent="0.25">
      <c r="B23" s="42" t="s">
        <v>16</v>
      </c>
      <c r="C23" s="42" t="s">
        <v>15</v>
      </c>
      <c r="D23" s="43"/>
      <c r="E23" s="44"/>
      <c r="F23" s="44"/>
      <c r="G23" s="45"/>
      <c r="H23" s="45"/>
      <c r="I23" s="45"/>
      <c r="J23" s="11"/>
      <c r="K23" s="11"/>
      <c r="L23" s="11"/>
      <c r="M23" s="11"/>
      <c r="N23" s="14"/>
      <c r="O23" s="23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</row>
    <row r="24" spans="2:28" ht="22.2" customHeight="1" x14ac:dyDescent="0.25">
      <c r="B24" s="42" t="s">
        <v>17</v>
      </c>
      <c r="C24" s="42" t="s">
        <v>16</v>
      </c>
      <c r="D24" s="43"/>
      <c r="E24" s="44"/>
      <c r="F24" s="44"/>
      <c r="G24" s="45"/>
      <c r="H24" s="45"/>
      <c r="I24" s="45"/>
      <c r="J24" s="11"/>
      <c r="K24" s="11"/>
      <c r="L24" s="11"/>
      <c r="M24" s="11"/>
      <c r="N24" s="14"/>
      <c r="O24" s="23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</row>
    <row r="25" spans="2:28" ht="22.2" customHeight="1" x14ac:dyDescent="0.25">
      <c r="B25" s="46"/>
      <c r="C25" s="47"/>
      <c r="D25" s="47"/>
      <c r="E25" s="47"/>
      <c r="F25" s="47"/>
      <c r="G25" s="143" t="s">
        <v>49</v>
      </c>
      <c r="H25" s="143"/>
      <c r="I25" s="45"/>
      <c r="J25" s="11"/>
      <c r="K25" s="11"/>
      <c r="L25" s="11"/>
      <c r="M25" s="11"/>
      <c r="N25" s="14"/>
      <c r="O25" s="23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</row>
    <row r="26" spans="2:28" ht="15.75" customHeight="1" x14ac:dyDescent="0.25">
      <c r="B26" s="48" t="s">
        <v>59</v>
      </c>
      <c r="C26" s="47"/>
      <c r="D26" s="47"/>
      <c r="E26" s="47"/>
      <c r="F26" s="47"/>
      <c r="G26" s="47"/>
      <c r="H26" s="47"/>
      <c r="I26" s="47"/>
      <c r="J26" s="11"/>
      <c r="K26" s="11"/>
      <c r="L26" s="11"/>
      <c r="M26" s="11"/>
      <c r="N26" s="14"/>
      <c r="O26" s="23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 spans="2:28" ht="9.9" customHeight="1" x14ac:dyDescent="0.25">
      <c r="B27" s="49"/>
      <c r="C27" s="50"/>
      <c r="D27" s="50"/>
      <c r="E27" s="50"/>
      <c r="F27" s="50"/>
      <c r="G27" s="50"/>
      <c r="H27" s="47"/>
      <c r="I27" s="47"/>
      <c r="J27" s="11"/>
      <c r="K27" s="11"/>
      <c r="L27" s="11"/>
      <c r="M27" s="11"/>
      <c r="N27" s="14"/>
      <c r="O27" s="23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</row>
    <row r="28" spans="2:28" ht="19.8" customHeight="1" x14ac:dyDescent="0.25">
      <c r="B28" s="102" t="s">
        <v>42</v>
      </c>
      <c r="C28" s="103"/>
      <c r="D28" s="103"/>
      <c r="E28" s="103"/>
      <c r="F28" s="103"/>
      <c r="G28" s="103"/>
      <c r="H28" s="103"/>
      <c r="I28" s="103"/>
      <c r="J28" s="104"/>
      <c r="K28" s="11"/>
      <c r="L28" s="11"/>
      <c r="M28" s="11"/>
      <c r="N28" s="14"/>
      <c r="O28" s="23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</row>
    <row r="29" spans="2:28" ht="60.6" customHeight="1" x14ac:dyDescent="0.25">
      <c r="B29" s="123" t="s">
        <v>10</v>
      </c>
      <c r="C29" s="123" t="s">
        <v>11</v>
      </c>
      <c r="D29" s="40" t="s">
        <v>60</v>
      </c>
      <c r="E29" s="40" t="s">
        <v>25</v>
      </c>
      <c r="F29" s="40" t="s">
        <v>50</v>
      </c>
      <c r="G29" s="40" t="s">
        <v>19</v>
      </c>
      <c r="H29" s="40" t="s">
        <v>51</v>
      </c>
      <c r="I29" s="40" t="s">
        <v>52</v>
      </c>
      <c r="J29" s="40" t="s">
        <v>18</v>
      </c>
      <c r="K29" s="11"/>
      <c r="L29" s="11"/>
      <c r="M29" s="11"/>
      <c r="N29" s="14"/>
      <c r="O29" s="23"/>
      <c r="S29" s="38"/>
      <c r="T29" s="38"/>
      <c r="U29" s="38"/>
      <c r="V29" s="38"/>
      <c r="W29" s="38"/>
      <c r="X29" s="38"/>
      <c r="Y29" s="38"/>
      <c r="Z29" s="38"/>
      <c r="AA29" s="38"/>
      <c r="AB29" s="38"/>
    </row>
    <row r="30" spans="2:28" ht="34.799999999999997" customHeight="1" x14ac:dyDescent="0.25">
      <c r="B30" s="124"/>
      <c r="C30" s="124"/>
      <c r="D30" s="40" t="s">
        <v>20</v>
      </c>
      <c r="E30" s="40" t="s">
        <v>21</v>
      </c>
      <c r="F30" s="40" t="s">
        <v>22</v>
      </c>
      <c r="G30" s="40" t="s">
        <v>32</v>
      </c>
      <c r="H30" s="40" t="s">
        <v>33</v>
      </c>
      <c r="I30" s="40" t="s">
        <v>35</v>
      </c>
      <c r="J30" s="40" t="s">
        <v>36</v>
      </c>
      <c r="K30" s="15"/>
      <c r="L30" s="15"/>
      <c r="M30" s="15"/>
      <c r="N30" s="14"/>
      <c r="O30" s="23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</row>
    <row r="31" spans="2:28" ht="20.399999999999999" customHeight="1" x14ac:dyDescent="0.25">
      <c r="B31" s="42" t="s">
        <v>26</v>
      </c>
      <c r="C31" s="42" t="s">
        <v>27</v>
      </c>
      <c r="D31" s="99"/>
      <c r="E31" s="44"/>
      <c r="F31" s="100"/>
      <c r="G31" s="51"/>
      <c r="H31" s="52"/>
      <c r="I31" s="52"/>
      <c r="J31" s="52"/>
      <c r="K31" s="15"/>
      <c r="L31" s="15"/>
      <c r="M31" s="15"/>
      <c r="N31" s="14"/>
      <c r="O31" s="23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</row>
    <row r="32" spans="2:28" ht="20.399999999999999" customHeight="1" x14ac:dyDescent="0.25">
      <c r="B32" s="42" t="s">
        <v>27</v>
      </c>
      <c r="C32" s="42" t="s">
        <v>28</v>
      </c>
      <c r="D32" s="99"/>
      <c r="E32" s="44"/>
      <c r="F32" s="101"/>
      <c r="G32" s="53"/>
      <c r="H32" s="54"/>
      <c r="I32" s="54"/>
      <c r="J32" s="54"/>
      <c r="K32" s="15"/>
      <c r="L32" s="15"/>
      <c r="M32" s="15"/>
      <c r="N32" s="14"/>
      <c r="O32" s="23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</row>
    <row r="33" spans="2:28" ht="20.399999999999999" customHeight="1" x14ac:dyDescent="0.25">
      <c r="B33" s="42" t="s">
        <v>28</v>
      </c>
      <c r="C33" s="42" t="s">
        <v>29</v>
      </c>
      <c r="D33" s="99"/>
      <c r="E33" s="44"/>
      <c r="F33" s="100"/>
      <c r="G33" s="51"/>
      <c r="H33" s="52"/>
      <c r="I33" s="52"/>
      <c r="J33" s="52"/>
      <c r="K33" s="15"/>
      <c r="L33" s="15"/>
      <c r="M33" s="15"/>
      <c r="N33" s="14"/>
      <c r="O33" s="23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</row>
    <row r="34" spans="2:28" ht="20.399999999999999" customHeight="1" x14ac:dyDescent="0.25">
      <c r="B34" s="42" t="s">
        <v>29</v>
      </c>
      <c r="C34" s="42" t="s">
        <v>30</v>
      </c>
      <c r="D34" s="99"/>
      <c r="E34" s="44"/>
      <c r="F34" s="101"/>
      <c r="G34" s="53"/>
      <c r="H34" s="54"/>
      <c r="I34" s="54"/>
      <c r="J34" s="54"/>
      <c r="K34" s="9"/>
      <c r="L34" s="9"/>
      <c r="M34" s="9"/>
      <c r="N34" s="14"/>
      <c r="O34" s="23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</row>
    <row r="35" spans="2:28" ht="20.399999999999999" customHeight="1" x14ac:dyDescent="0.25">
      <c r="B35" s="42" t="s">
        <v>30</v>
      </c>
      <c r="C35" s="42" t="s">
        <v>31</v>
      </c>
      <c r="D35" s="144"/>
      <c r="E35" s="44"/>
      <c r="F35" s="100"/>
      <c r="G35" s="51"/>
      <c r="H35" s="52"/>
      <c r="I35" s="52"/>
      <c r="J35" s="52"/>
      <c r="K35" s="13"/>
      <c r="L35" s="13"/>
      <c r="M35" s="13"/>
      <c r="N35" s="7"/>
      <c r="O35" s="7"/>
      <c r="P35" s="56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</row>
    <row r="36" spans="2:28" ht="20.399999999999999" customHeight="1" x14ac:dyDescent="0.25">
      <c r="B36" s="42" t="s">
        <v>31</v>
      </c>
      <c r="C36" s="42" t="s">
        <v>17</v>
      </c>
      <c r="D36" s="145"/>
      <c r="E36" s="44"/>
      <c r="F36" s="101"/>
      <c r="G36" s="53"/>
      <c r="H36" s="54"/>
      <c r="I36" s="54"/>
      <c r="J36" s="54"/>
      <c r="K36" s="57"/>
      <c r="L36" s="57"/>
      <c r="M36" s="57"/>
      <c r="N36" s="23"/>
      <c r="O36" s="23"/>
      <c r="P36" s="23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</row>
    <row r="37" spans="2:28" ht="20.399999999999999" customHeight="1" x14ac:dyDescent="0.25">
      <c r="B37" s="42" t="s">
        <v>17</v>
      </c>
      <c r="C37" s="42" t="s">
        <v>16</v>
      </c>
      <c r="D37" s="43"/>
      <c r="E37" s="44"/>
      <c r="F37" s="44"/>
      <c r="G37" s="44"/>
      <c r="H37" s="45"/>
      <c r="I37" s="45"/>
      <c r="J37" s="45"/>
      <c r="K37" s="57"/>
      <c r="L37" s="57"/>
      <c r="M37" s="57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2:28" ht="20.399999999999999" customHeight="1" x14ac:dyDescent="0.25">
      <c r="B38" s="47"/>
      <c r="C38" s="47"/>
      <c r="D38" s="47"/>
      <c r="E38" s="47"/>
      <c r="F38" s="47"/>
      <c r="G38" s="47"/>
      <c r="H38" s="143" t="s">
        <v>49</v>
      </c>
      <c r="I38" s="143"/>
      <c r="J38" s="45"/>
      <c r="K38" s="57"/>
      <c r="L38" s="57"/>
      <c r="M38" s="57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2:28" ht="55.2" customHeight="1" x14ac:dyDescent="0.25">
      <c r="B39" s="115" t="s">
        <v>61</v>
      </c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2:28" ht="9.9" customHeight="1" x14ac:dyDescent="0.25">
      <c r="B40" s="58"/>
      <c r="C40" s="57"/>
      <c r="D40" s="59"/>
      <c r="E40" s="59"/>
      <c r="F40" s="59"/>
      <c r="G40" s="59"/>
      <c r="H40" s="59"/>
      <c r="I40" s="59"/>
      <c r="J40" s="59"/>
      <c r="K40" s="57"/>
      <c r="L40" s="57"/>
      <c r="M40" s="57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2:28" ht="23.4" customHeight="1" x14ac:dyDescent="0.25">
      <c r="B41" s="112" t="s">
        <v>53</v>
      </c>
      <c r="C41" s="113"/>
      <c r="D41" s="113"/>
      <c r="E41" s="113"/>
      <c r="F41" s="113"/>
      <c r="G41" s="113"/>
      <c r="H41" s="113"/>
      <c r="I41" s="113"/>
      <c r="J41" s="113"/>
      <c r="K41" s="113"/>
      <c r="L41" s="114"/>
      <c r="M41" s="57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2:28" ht="15.75" customHeight="1" x14ac:dyDescent="0.25">
      <c r="B42" s="123" t="s">
        <v>10</v>
      </c>
      <c r="C42" s="123" t="s">
        <v>11</v>
      </c>
      <c r="D42" s="130" t="s">
        <v>54</v>
      </c>
      <c r="E42" s="109" t="s">
        <v>55</v>
      </c>
      <c r="F42" s="110"/>
      <c r="G42" s="110"/>
      <c r="H42" s="110"/>
      <c r="I42" s="110"/>
      <c r="J42" s="110"/>
      <c r="K42" s="110"/>
      <c r="L42" s="111"/>
      <c r="M42" s="16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2:28" ht="15.75" customHeight="1" x14ac:dyDescent="0.25">
      <c r="B43" s="129"/>
      <c r="C43" s="129"/>
      <c r="D43" s="130"/>
      <c r="E43" s="125" t="s">
        <v>37</v>
      </c>
      <c r="F43" s="125"/>
      <c r="G43" s="125" t="s">
        <v>38</v>
      </c>
      <c r="H43" s="125"/>
      <c r="I43" s="125" t="s">
        <v>39</v>
      </c>
      <c r="J43" s="125"/>
      <c r="K43" s="106" t="s">
        <v>40</v>
      </c>
      <c r="L43" s="108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2:28" ht="22.8" customHeight="1" x14ac:dyDescent="0.25">
      <c r="B44" s="124"/>
      <c r="C44" s="124"/>
      <c r="D44" s="41" t="s">
        <v>41</v>
      </c>
      <c r="E44" s="41" t="s">
        <v>41</v>
      </c>
      <c r="F44" s="60" t="s">
        <v>0</v>
      </c>
      <c r="G44" s="41" t="s">
        <v>41</v>
      </c>
      <c r="H44" s="60" t="s">
        <v>0</v>
      </c>
      <c r="I44" s="41" t="s">
        <v>41</v>
      </c>
      <c r="J44" s="60" t="s">
        <v>0</v>
      </c>
      <c r="K44" s="41" t="s">
        <v>41</v>
      </c>
      <c r="L44" s="60" t="s">
        <v>0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2:28" ht="20.399999999999999" customHeight="1" x14ac:dyDescent="0.25">
      <c r="B45" s="42" t="s">
        <v>26</v>
      </c>
      <c r="C45" s="42" t="s">
        <v>28</v>
      </c>
      <c r="D45" s="43"/>
      <c r="E45" s="43"/>
      <c r="F45" s="61"/>
      <c r="G45" s="43"/>
      <c r="H45" s="61"/>
      <c r="I45" s="43"/>
      <c r="J45" s="61"/>
      <c r="K45" s="43"/>
      <c r="L45" s="61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2:28" ht="20.399999999999999" customHeight="1" x14ac:dyDescent="0.25">
      <c r="B46" s="62" t="s">
        <v>28</v>
      </c>
      <c r="C46" s="62" t="s">
        <v>30</v>
      </c>
      <c r="D46" s="55"/>
      <c r="E46" s="55"/>
      <c r="F46" s="63"/>
      <c r="G46" s="55"/>
      <c r="H46" s="63"/>
      <c r="I46" s="55"/>
      <c r="J46" s="63"/>
      <c r="K46" s="55"/>
      <c r="L46" s="6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2:28" ht="9.9" customHeight="1" x14ac:dyDescent="0.25">
      <c r="B47" s="64"/>
      <c r="C47" s="65"/>
      <c r="D47" s="66"/>
      <c r="E47" s="66"/>
      <c r="F47" s="67"/>
      <c r="G47" s="67"/>
      <c r="H47" s="68"/>
      <c r="I47" s="69"/>
      <c r="J47" s="70"/>
      <c r="K47" s="66"/>
      <c r="L47" s="71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2:28" ht="15.75" customHeight="1" x14ac:dyDescent="0.25">
      <c r="B48" s="72"/>
      <c r="C48" s="126" t="s">
        <v>56</v>
      </c>
      <c r="D48" s="127"/>
      <c r="E48" s="127"/>
      <c r="F48" s="128"/>
      <c r="G48" s="50"/>
      <c r="H48" s="137" t="s">
        <v>48</v>
      </c>
      <c r="I48" s="138"/>
      <c r="J48" s="138"/>
      <c r="K48" s="139"/>
      <c r="L48" s="73"/>
      <c r="M48" s="74"/>
      <c r="N48" s="23"/>
      <c r="O48" s="23"/>
      <c r="P48" s="23"/>
      <c r="Q48" s="23"/>
      <c r="R48" s="42" t="s">
        <v>26</v>
      </c>
      <c r="S48" s="42" t="s">
        <v>27</v>
      </c>
      <c r="T48" s="42" t="s">
        <v>62</v>
      </c>
      <c r="U48" s="42">
        <f>3000+300</f>
        <v>3300</v>
      </c>
      <c r="V48" s="42">
        <f>3000-300</f>
        <v>2700</v>
      </c>
      <c r="W48" s="94">
        <f>5000+300</f>
        <v>5300</v>
      </c>
      <c r="X48" s="94">
        <f>5000-300</f>
        <v>4700</v>
      </c>
      <c r="Y48" s="23"/>
      <c r="Z48" s="23"/>
    </row>
    <row r="49" spans="2:26" ht="15.75" customHeight="1" x14ac:dyDescent="0.25">
      <c r="B49" s="72"/>
      <c r="C49" s="42" t="s">
        <v>26</v>
      </c>
      <c r="D49" s="42" t="s">
        <v>27</v>
      </c>
      <c r="E49" s="42" t="s">
        <v>62</v>
      </c>
      <c r="F49" s="94" t="s">
        <v>44</v>
      </c>
      <c r="G49" s="50"/>
      <c r="H49" s="131" t="s">
        <v>4</v>
      </c>
      <c r="I49" s="132"/>
      <c r="J49" s="133" t="s">
        <v>5</v>
      </c>
      <c r="K49" s="134"/>
      <c r="L49" s="75"/>
      <c r="M49" s="74"/>
      <c r="N49" s="23"/>
      <c r="O49" s="23"/>
      <c r="P49" s="23"/>
      <c r="Q49" s="23"/>
      <c r="R49" s="42" t="s">
        <v>27</v>
      </c>
      <c r="S49" s="42" t="s">
        <v>28</v>
      </c>
      <c r="T49" s="42" t="s">
        <v>63</v>
      </c>
      <c r="U49" s="42">
        <f>2000+200</f>
        <v>2200</v>
      </c>
      <c r="V49" s="42">
        <f>2000-200</f>
        <v>1800</v>
      </c>
      <c r="W49" s="95"/>
      <c r="X49" s="95"/>
      <c r="Y49" s="23"/>
      <c r="Z49" s="23"/>
    </row>
    <row r="50" spans="2:26" ht="15.75" customHeight="1" x14ac:dyDescent="0.25">
      <c r="B50" s="72"/>
      <c r="C50" s="42" t="s">
        <v>27</v>
      </c>
      <c r="D50" s="42" t="s">
        <v>28</v>
      </c>
      <c r="E50" s="42" t="s">
        <v>63</v>
      </c>
      <c r="F50" s="95"/>
      <c r="G50" s="50"/>
      <c r="H50" s="106" t="s">
        <v>6</v>
      </c>
      <c r="I50" s="108"/>
      <c r="J50" s="135"/>
      <c r="K50" s="136"/>
      <c r="L50" s="76"/>
      <c r="M50" s="74"/>
      <c r="N50" s="23"/>
      <c r="O50" s="23"/>
      <c r="P50" s="23"/>
      <c r="Q50" s="23"/>
      <c r="R50" s="42" t="s">
        <v>28</v>
      </c>
      <c r="S50" s="42" t="s">
        <v>29</v>
      </c>
      <c r="T50" s="42" t="s">
        <v>64</v>
      </c>
      <c r="U50" s="42">
        <f>1000+50</f>
        <v>1050</v>
      </c>
      <c r="V50" s="42">
        <f>1000-50</f>
        <v>950</v>
      </c>
      <c r="W50" s="94">
        <f>1500+50</f>
        <v>1550</v>
      </c>
      <c r="X50" s="94">
        <f>1500-50</f>
        <v>1450</v>
      </c>
      <c r="Y50" s="23"/>
      <c r="Z50" s="23"/>
    </row>
    <row r="51" spans="2:26" ht="15.75" customHeight="1" x14ac:dyDescent="0.25">
      <c r="B51" s="72"/>
      <c r="C51" s="42" t="s">
        <v>28</v>
      </c>
      <c r="D51" s="42" t="s">
        <v>29</v>
      </c>
      <c r="E51" s="42" t="s">
        <v>64</v>
      </c>
      <c r="F51" s="125" t="s">
        <v>45</v>
      </c>
      <c r="G51" s="50"/>
      <c r="H51" s="106" t="s">
        <v>7</v>
      </c>
      <c r="I51" s="108"/>
      <c r="J51" s="135"/>
      <c r="K51" s="136"/>
      <c r="L51" s="76"/>
      <c r="M51" s="74"/>
      <c r="N51" s="23"/>
      <c r="O51" s="23"/>
      <c r="P51" s="23"/>
      <c r="Q51" s="23"/>
      <c r="R51" s="42" t="s">
        <v>29</v>
      </c>
      <c r="S51" s="42" t="s">
        <v>30</v>
      </c>
      <c r="T51" s="42" t="s">
        <v>65</v>
      </c>
      <c r="U51" s="42">
        <f>500+30</f>
        <v>530</v>
      </c>
      <c r="V51" s="42">
        <f>500-30</f>
        <v>470</v>
      </c>
      <c r="W51" s="95"/>
      <c r="X51" s="95"/>
      <c r="Y51" s="23"/>
      <c r="Z51" s="23"/>
    </row>
    <row r="52" spans="2:26" ht="15.75" customHeight="1" x14ac:dyDescent="0.25">
      <c r="B52" s="72"/>
      <c r="C52" s="42" t="s">
        <v>29</v>
      </c>
      <c r="D52" s="42" t="s">
        <v>30</v>
      </c>
      <c r="E52" s="42" t="s">
        <v>65</v>
      </c>
      <c r="F52" s="125"/>
      <c r="G52" s="50"/>
      <c r="H52" s="77"/>
      <c r="I52" s="78"/>
      <c r="J52" s="79"/>
      <c r="K52" s="74"/>
      <c r="L52" s="80"/>
      <c r="M52" s="74"/>
      <c r="N52" s="23"/>
      <c r="O52" s="23"/>
      <c r="P52" s="23"/>
      <c r="Q52" s="23"/>
      <c r="R52" s="42" t="s">
        <v>30</v>
      </c>
      <c r="S52" s="42" t="s">
        <v>31</v>
      </c>
      <c r="T52" s="42" t="s">
        <v>66</v>
      </c>
      <c r="U52" s="42">
        <f>670+10</f>
        <v>680</v>
      </c>
      <c r="V52" s="42">
        <f>670-10</f>
        <v>660</v>
      </c>
      <c r="W52" s="94">
        <f>1000+10</f>
        <v>1010</v>
      </c>
      <c r="X52" s="94">
        <f>1000-10</f>
        <v>990</v>
      </c>
      <c r="Y52" s="23"/>
      <c r="Z52" s="23"/>
    </row>
    <row r="53" spans="2:26" ht="15.75" customHeight="1" x14ac:dyDescent="0.25">
      <c r="B53" s="72"/>
      <c r="C53" s="42" t="s">
        <v>30</v>
      </c>
      <c r="D53" s="42" t="s">
        <v>31</v>
      </c>
      <c r="E53" s="42" t="s">
        <v>66</v>
      </c>
      <c r="F53" s="125" t="s">
        <v>46</v>
      </c>
      <c r="G53" s="50"/>
      <c r="H53" s="77"/>
      <c r="J53" s="81"/>
      <c r="K53" s="23"/>
      <c r="L53" s="82"/>
      <c r="M53" s="23"/>
      <c r="N53" s="23"/>
      <c r="O53" s="23"/>
      <c r="P53" s="23"/>
      <c r="Q53" s="23"/>
      <c r="R53" s="42" t="s">
        <v>31</v>
      </c>
      <c r="S53" s="42" t="s">
        <v>17</v>
      </c>
      <c r="T53" s="42" t="s">
        <v>67</v>
      </c>
      <c r="U53" s="42">
        <f>300+5</f>
        <v>305</v>
      </c>
      <c r="V53" s="42">
        <f>300-5</f>
        <v>295</v>
      </c>
      <c r="W53" s="95"/>
      <c r="X53" s="95"/>
      <c r="Y53" s="23"/>
      <c r="Z53" s="23"/>
    </row>
    <row r="54" spans="2:26" ht="15.75" customHeight="1" x14ac:dyDescent="0.25">
      <c r="B54" s="72"/>
      <c r="C54" s="42" t="s">
        <v>31</v>
      </c>
      <c r="D54" s="42" t="s">
        <v>17</v>
      </c>
      <c r="E54" s="42" t="s">
        <v>67</v>
      </c>
      <c r="F54" s="125"/>
      <c r="G54" s="50"/>
      <c r="H54" s="77"/>
      <c r="I54" s="78"/>
      <c r="J54" s="78"/>
      <c r="K54" s="23"/>
      <c r="L54" s="82"/>
      <c r="M54" s="23"/>
      <c r="N54" s="23"/>
      <c r="O54" s="23"/>
      <c r="P54" s="23"/>
      <c r="Q54" s="23"/>
      <c r="R54" s="42" t="s">
        <v>17</v>
      </c>
      <c r="S54" s="42" t="s">
        <v>16</v>
      </c>
      <c r="T54" s="42" t="s">
        <v>67</v>
      </c>
      <c r="U54" s="42">
        <f>300+5</f>
        <v>305</v>
      </c>
      <c r="V54" s="42">
        <f>300-5</f>
        <v>295</v>
      </c>
      <c r="W54" s="42">
        <f>300+5</f>
        <v>305</v>
      </c>
      <c r="X54" s="42">
        <f>300-5</f>
        <v>295</v>
      </c>
      <c r="Y54" s="23"/>
      <c r="Z54" s="23"/>
    </row>
    <row r="55" spans="2:26" ht="15.75" customHeight="1" x14ac:dyDescent="0.25">
      <c r="B55" s="72"/>
      <c r="C55" s="42" t="s">
        <v>17</v>
      </c>
      <c r="D55" s="42" t="s">
        <v>16</v>
      </c>
      <c r="E55" s="42" t="s">
        <v>67</v>
      </c>
      <c r="F55" s="42" t="s">
        <v>67</v>
      </c>
      <c r="G55" s="50"/>
      <c r="H55" s="77"/>
      <c r="I55" s="78"/>
      <c r="J55" s="81"/>
      <c r="K55" s="23"/>
      <c r="L55" s="82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2:26" ht="15.75" customHeight="1" x14ac:dyDescent="0.25">
      <c r="B56" s="72"/>
      <c r="C56" s="106" t="s">
        <v>47</v>
      </c>
      <c r="D56" s="107"/>
      <c r="E56" s="108"/>
      <c r="F56" s="42" t="s">
        <v>68</v>
      </c>
      <c r="G56" s="50"/>
      <c r="H56" s="77"/>
      <c r="I56" s="78"/>
      <c r="J56" s="83"/>
      <c r="K56" s="23"/>
      <c r="L56" s="82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2:26" ht="9.9" customHeight="1" x14ac:dyDescent="0.25">
      <c r="B57" s="84"/>
      <c r="C57" s="85"/>
      <c r="D57" s="86"/>
      <c r="E57" s="87"/>
      <c r="F57" s="49"/>
      <c r="G57" s="49"/>
      <c r="H57" s="88"/>
      <c r="I57" s="89"/>
      <c r="J57" s="90"/>
      <c r="K57" s="86"/>
      <c r="L57" s="91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2:26" ht="15.75" customHeight="1" x14ac:dyDescent="0.25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</row>
    <row r="59" spans="2:26" ht="17.399999999999999" customHeight="1" x14ac:dyDescent="0.25">
      <c r="C59" s="9"/>
      <c r="D59" s="56"/>
      <c r="E59" s="56"/>
      <c r="F59" s="56"/>
      <c r="G59" s="56"/>
      <c r="H59" s="56"/>
      <c r="I59" s="56"/>
      <c r="J59" s="10"/>
      <c r="K59" s="10"/>
      <c r="L59" s="10"/>
    </row>
    <row r="60" spans="2:26" ht="17.399999999999999" customHeight="1" x14ac:dyDescent="0.25">
      <c r="C60" s="9"/>
      <c r="D60" s="9"/>
      <c r="E60" s="9"/>
      <c r="F60" s="9"/>
      <c r="G60" s="9"/>
      <c r="H60" s="9"/>
      <c r="I60" s="10"/>
      <c r="J60" s="10"/>
      <c r="K60" s="10"/>
      <c r="L60" s="10"/>
    </row>
    <row r="61" spans="2:26" x14ac:dyDescent="0.25">
      <c r="C61" s="105"/>
      <c r="D61" s="105"/>
      <c r="E61" s="105"/>
      <c r="F61" s="105"/>
      <c r="G61" s="105"/>
      <c r="H61" s="105"/>
      <c r="I61" s="105"/>
      <c r="J61" s="105"/>
      <c r="K61" s="105"/>
      <c r="L61" s="33"/>
    </row>
    <row r="63" spans="2:26" x14ac:dyDescent="0.25">
      <c r="B63" s="92" t="s">
        <v>2</v>
      </c>
    </row>
    <row r="64" spans="2:26" x14ac:dyDescent="0.25">
      <c r="B64" s="92" t="s">
        <v>57</v>
      </c>
    </row>
    <row r="66" spans="1:15" ht="30.75" customHeight="1" x14ac:dyDescent="0.25">
      <c r="A66" s="98" t="s">
        <v>69</v>
      </c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3"/>
      <c r="O66" s="93"/>
    </row>
  </sheetData>
  <protectedRanges>
    <protectedRange sqref="D13" name="Rango3_3_1_1_1_1_1_1_1_1"/>
    <protectedRange sqref="E11" name="Rango3_3_1_1_1_1_1_2_1"/>
    <protectedRange sqref="D61" name="Rango3_3_1_1_1_1_1_2_1_3"/>
    <protectedRange sqref="D47:L48 E52:H55 K52:L55 I52:J52 I55:J55 I54 J53:J54 D56:L57 E49:G51 T48:T54" name="Rango12_1_2"/>
  </protectedRanges>
  <mergeCells count="64">
    <mergeCell ref="D12:E12"/>
    <mergeCell ref="F12:G12"/>
    <mergeCell ref="H12:I12"/>
    <mergeCell ref="J12:K12"/>
    <mergeCell ref="F49:F50"/>
    <mergeCell ref="A15:M15"/>
    <mergeCell ref="G25:H25"/>
    <mergeCell ref="H38:I38"/>
    <mergeCell ref="I43:J43"/>
    <mergeCell ref="B28:J28"/>
    <mergeCell ref="D35:D36"/>
    <mergeCell ref="F35:F36"/>
    <mergeCell ref="B42:B44"/>
    <mergeCell ref="C18:C19"/>
    <mergeCell ref="B29:B30"/>
    <mergeCell ref="C29:C30"/>
    <mergeCell ref="K43:L43"/>
    <mergeCell ref="N12:O12"/>
    <mergeCell ref="B18:B19"/>
    <mergeCell ref="F51:F52"/>
    <mergeCell ref="F53:F54"/>
    <mergeCell ref="C48:F48"/>
    <mergeCell ref="G43:H43"/>
    <mergeCell ref="C42:C44"/>
    <mergeCell ref="D42:D43"/>
    <mergeCell ref="E43:F43"/>
    <mergeCell ref="H49:I49"/>
    <mergeCell ref="J49:K49"/>
    <mergeCell ref="H50:I50"/>
    <mergeCell ref="J50:K50"/>
    <mergeCell ref="H51:I51"/>
    <mergeCell ref="J51:K51"/>
    <mergeCell ref="H48:K48"/>
    <mergeCell ref="N10:O10"/>
    <mergeCell ref="N11:O11"/>
    <mergeCell ref="I10:J10"/>
    <mergeCell ref="E10:F10"/>
    <mergeCell ref="G10:H10"/>
    <mergeCell ref="D11:E11"/>
    <mergeCell ref="F11:G11"/>
    <mergeCell ref="H11:I11"/>
    <mergeCell ref="J11:K11"/>
    <mergeCell ref="A7:M7"/>
    <mergeCell ref="A8:M8"/>
    <mergeCell ref="A66:M66"/>
    <mergeCell ref="D31:D32"/>
    <mergeCell ref="D33:D34"/>
    <mergeCell ref="F31:F32"/>
    <mergeCell ref="F33:F34"/>
    <mergeCell ref="B17:I17"/>
    <mergeCell ref="C61:E61"/>
    <mergeCell ref="F61:H61"/>
    <mergeCell ref="I61:K61"/>
    <mergeCell ref="C56:E56"/>
    <mergeCell ref="E42:L42"/>
    <mergeCell ref="B41:L41"/>
    <mergeCell ref="B39:M39"/>
    <mergeCell ref="A14:M14"/>
    <mergeCell ref="W48:W49"/>
    <mergeCell ref="W50:W51"/>
    <mergeCell ref="W52:W53"/>
    <mergeCell ref="X48:X49"/>
    <mergeCell ref="X50:X51"/>
    <mergeCell ref="X52:X53"/>
  </mergeCells>
  <phoneticPr fontId="0" type="noConversion"/>
  <printOptions horizontalCentered="1" verticalCentered="1"/>
  <pageMargins left="0.59055118110236227" right="0.59055118110236227" top="0.78740157480314965" bottom="0.39370078740157483" header="0" footer="0"/>
  <pageSetup paperSize="9" scale="60" orientation="portrait" horizontalDpi="360" verticalDpi="36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DURAB MAGNESIO</vt:lpstr>
      <vt:lpstr>'DURAB MAGNESIO'!Área_de_impresión</vt:lpstr>
    </vt:vector>
  </TitlesOfParts>
  <Company>pp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</dc:creator>
  <cp:lastModifiedBy>kevin skibidi</cp:lastModifiedBy>
  <cp:lastPrinted>2026-03-21T14:32:43Z</cp:lastPrinted>
  <dcterms:created xsi:type="dcterms:W3CDTF">2001-07-17T22:05:44Z</dcterms:created>
  <dcterms:modified xsi:type="dcterms:W3CDTF">2026-03-21T16:20:40Z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-1321544066</vt:i4>
  </property>
  <property fmtid="{D5CDD505-2E9C-101B-9397-08002B2CF9AE}" pid="3" name="_EmailSubject">
    <vt:lpwstr>Modelo de Presentación de Ensayos de Laboratorio</vt:lpwstr>
  </property>
  <property fmtid="{D5CDD505-2E9C-101B-9397-08002B2CF9AE}" pid="4" name="_AuthorEmail">
    <vt:lpwstr>procha@odebrecht.com</vt:lpwstr>
  </property>
  <property fmtid="{D5CDD505-2E9C-101B-9397-08002B2CF9AE}" pid="5" name="_AuthorEmailDisplayName">
    <vt:lpwstr>Paolo Rocha</vt:lpwstr>
  </property>
  <property fmtid="{D5CDD505-2E9C-101B-9397-08002B2CF9AE}" pid="6" name="_ReviewingToolsShownOnce">
    <vt:lpwstr/>
  </property>
</Properties>
</file>