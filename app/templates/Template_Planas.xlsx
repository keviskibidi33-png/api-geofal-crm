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.bin" ContentType="application/vnd.openxmlformats-officedocument.oleObject"/>
  <Override PartName="/xl/drawings/drawing11.xml" ContentType="application/vnd.openxmlformats-officedocument.drawing+xml"/>
  <Override PartName="/xl/embeddings/oleObject2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9_{ED7F7D5E-066A-44BB-966E-FBAA533E63E0}" xr6:coauthVersionLast="47" xr6:coauthVersionMax="47" xr10:uidLastSave="{00000000-0000-0000-0000-000000000000}"/>
  <bookViews>
    <workbookView xWindow="-108" yWindow="-108" windowWidth="23256" windowHeight="12456" tabRatio="635" firstSheet="15" activeTab="15" xr2:uid="{21B4FA37-F3AF-478C-81F6-E4D754AC9F11}"/>
  </bookViews>
  <sheets>
    <sheet name="-------" sheetId="1" state="veryHidden" r:id="rId1"/>
    <sheet name="Gran-LLyLP" sheetId="8" state="hidden" r:id="rId2"/>
    <sheet name="Proctor" sheetId="5" state="hidden" r:id="rId3"/>
    <sheet name="Datos" sheetId="2" state="hidden" r:id="rId4"/>
    <sheet name="Grafico CBR" sheetId="4" state="hidden" r:id="rId5"/>
    <sheet name="Apoyo" sheetId="3" state="hidden" r:id="rId6"/>
    <sheet name="E_A" sheetId="23" state="hidden" r:id="rId7"/>
    <sheet name="ABRASION" sheetId="24" state="hidden" r:id="rId8"/>
    <sheet name="G_E" sheetId="20" state="hidden" r:id="rId9"/>
    <sheet name="Sucs" sheetId="6" state="hidden" r:id="rId10"/>
    <sheet name="Aashto" sheetId="7" state="hidden" r:id="rId11"/>
    <sheet name="Apoyo 2" sheetId="9" state="hidden" r:id="rId12"/>
    <sheet name="Sedimentación" sheetId="19" state="hidden" r:id="rId13"/>
    <sheet name="H.N" sheetId="16" state="hidden" r:id="rId14"/>
    <sheet name="Chatas y Alarga." sheetId="14" state="hidden" r:id="rId15"/>
    <sheet name="PLANAS Y ALARGADAS" sheetId="25" r:id="rId16"/>
    <sheet name="Caras Fracturadas" sheetId="13" state="hidden" r:id="rId17"/>
    <sheet name="% que pasa # 200" sheetId="1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Print_Area" localSheetId="17">'% que pasa # 200'!$A$1:$H$60</definedName>
    <definedName name="_xlnm.Print_Area" localSheetId="10">Aashto!$A$1:$O$47</definedName>
    <definedName name="_xlnm.Print_Area" localSheetId="7">ABRASION!$A$1:$H$45</definedName>
    <definedName name="_xlnm.Print_Area" localSheetId="16">'Caras Fracturadas'!$A$1:$J$56</definedName>
    <definedName name="_xlnm.Print_Area" localSheetId="14">'Chatas y Alarga.'!$A$1:$Q$59</definedName>
    <definedName name="_xlnm.Print_Area" localSheetId="3">Datos!$A$1:$O$52</definedName>
    <definedName name="_xlnm.Print_Area" localSheetId="6">E_A!$A$1:$L$47</definedName>
    <definedName name="_xlnm.Print_Area" localSheetId="8">G_E!$A$1:$I$62</definedName>
    <definedName name="_xlnm.Print_Area" localSheetId="4">'Grafico CBR'!$A$1:$Q$56</definedName>
    <definedName name="_xlnm.Print_Area" localSheetId="1">'Gran-LLyLP'!$A$1:$O$77</definedName>
    <definedName name="_xlnm.Print_Area" localSheetId="13">H.N!$A$1:$D$57</definedName>
    <definedName name="_xlnm.Print_Area" localSheetId="15">'PLANAS Y ALARGADAS'!$A$1:$S$56</definedName>
    <definedName name="_xlnm.Print_Area" localSheetId="2">Proctor!$A$1:$G$65</definedName>
    <definedName name="_xlnm.Print_Area" localSheetId="12">Sedimentación!$A$1:$O$40</definedName>
    <definedName name="CC" localSheetId="7">[6]Sucs!$L$6</definedName>
    <definedName name="CC">Sucs!$L$6</definedName>
    <definedName name="_CC2">[3]Sucs!$L$6</definedName>
    <definedName name="CM">[1]BGA!$H$9</definedName>
    <definedName name="CU" localSheetId="7">[6]Sucs!$L$5</definedName>
    <definedName name="CU">Sucs!$L$5</definedName>
    <definedName name="IP" localSheetId="7">[6]Sucs!$L$4</definedName>
    <definedName name="IP">Sucs!$L$4</definedName>
    <definedName name="Ll" localSheetId="7">[6]Sucs!$L$3</definedName>
    <definedName name="Ll">Sucs!$L$3</definedName>
    <definedName name="MORA">[1]BGA!$H$13</definedName>
    <definedName name="N_10" localSheetId="7">[6]Sucs!$C$5</definedName>
    <definedName name="N_10">Sucs!$C$5</definedName>
    <definedName name="N_200" localSheetId="7">[6]Sucs!$C$3</definedName>
    <definedName name="N_200">Sucs!$C$3</definedName>
    <definedName name="N_40" localSheetId="7">[6]Sucs!$C$4</definedName>
    <definedName name="N_40">Sucs!$C$4</definedName>
    <definedName name="TABLA" localSheetId="7">#REF!</definedName>
    <definedName name="TABLA" localSheetId="6">#REF!</definedName>
    <definedName name="TABLA" localSheetId="8">#REF!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4" l="1"/>
  <c r="N28" i="14"/>
  <c r="N29" i="14"/>
  <c r="Q29" i="14"/>
  <c r="Q31" i="14"/>
  <c r="N30" i="14"/>
  <c r="N26" i="14"/>
  <c r="Q26" i="14"/>
  <c r="P26" i="14"/>
  <c r="L27" i="14"/>
  <c r="L28" i="14"/>
  <c r="L29" i="14"/>
  <c r="L30" i="14"/>
  <c r="L26" i="14"/>
  <c r="L31" i="14"/>
  <c r="M26" i="14"/>
  <c r="I26" i="14"/>
  <c r="H27" i="14"/>
  <c r="P27" i="14"/>
  <c r="H28" i="14"/>
  <c r="P28" i="14"/>
  <c r="P31" i="14"/>
  <c r="H29" i="14"/>
  <c r="P29" i="14"/>
  <c r="H30" i="14"/>
  <c r="H31" i="14"/>
  <c r="P30" i="14"/>
  <c r="H26" i="14"/>
  <c r="C31" i="14"/>
  <c r="I30" i="14"/>
  <c r="E26" i="14"/>
  <c r="M29" i="14"/>
  <c r="A9" i="13"/>
  <c r="E31" i="13"/>
  <c r="D30" i="13"/>
  <c r="D29" i="13"/>
  <c r="D28" i="13"/>
  <c r="D27" i="13"/>
  <c r="D31" i="13"/>
  <c r="O11" i="4"/>
  <c r="K31" i="2"/>
  <c r="K32" i="2"/>
  <c r="K33" i="2"/>
  <c r="K34" i="2"/>
  <c r="K35" i="2"/>
  <c r="G14" i="2"/>
  <c r="G14" i="4"/>
  <c r="G13" i="2"/>
  <c r="A35" i="3"/>
  <c r="A40" i="3"/>
  <c r="E41" i="3"/>
  <c r="E42" i="3"/>
  <c r="O10" i="4"/>
  <c r="O9" i="4"/>
  <c r="D12" i="4"/>
  <c r="D11" i="4"/>
  <c r="D10" i="4"/>
  <c r="D9" i="4"/>
  <c r="D8" i="4"/>
  <c r="D25" i="24"/>
  <c r="D27" i="24"/>
  <c r="D30" i="24"/>
  <c r="H12" i="24"/>
  <c r="E25" i="24"/>
  <c r="E30" i="24"/>
  <c r="O8" i="4"/>
  <c r="K12" i="23"/>
  <c r="H13" i="20"/>
  <c r="H12" i="20"/>
  <c r="C11" i="5"/>
  <c r="E40" i="20"/>
  <c r="H24" i="23"/>
  <c r="G24" i="23"/>
  <c r="F24" i="23"/>
  <c r="K24" i="23"/>
  <c r="F24" i="5"/>
  <c r="F25" i="5"/>
  <c r="E24" i="5"/>
  <c r="E25" i="5"/>
  <c r="D24" i="5"/>
  <c r="D25" i="5"/>
  <c r="F17" i="23"/>
  <c r="G17" i="23"/>
  <c r="H17" i="23"/>
  <c r="G18" i="23"/>
  <c r="G19" i="23"/>
  <c r="G20" i="23"/>
  <c r="G21" i="23"/>
  <c r="H18" i="23"/>
  <c r="H19" i="23"/>
  <c r="H20" i="23"/>
  <c r="H21" i="23"/>
  <c r="F19" i="23"/>
  <c r="F20" i="23"/>
  <c r="F21" i="23"/>
  <c r="G23" i="3"/>
  <c r="O30" i="4"/>
  <c r="F23" i="3"/>
  <c r="B36" i="3"/>
  <c r="J30" i="4"/>
  <c r="E23" i="3"/>
  <c r="D35" i="3"/>
  <c r="D36" i="3"/>
  <c r="N18" i="2"/>
  <c r="N19" i="2"/>
  <c r="D19" i="20"/>
  <c r="D13" i="20"/>
  <c r="D17" i="20"/>
  <c r="R61" i="8"/>
  <c r="R62" i="8"/>
  <c r="T54" i="8"/>
  <c r="E3" i="6"/>
  <c r="L5" i="6"/>
  <c r="R56" i="8"/>
  <c r="R57" i="8"/>
  <c r="H14" i="20"/>
  <c r="E25" i="20"/>
  <c r="E27" i="20"/>
  <c r="F25" i="20"/>
  <c r="F27" i="20"/>
  <c r="F29" i="20"/>
  <c r="F32" i="20"/>
  <c r="E33" i="20"/>
  <c r="F33" i="20"/>
  <c r="I33" i="20"/>
  <c r="E46" i="20"/>
  <c r="I46" i="20"/>
  <c r="F68" i="2"/>
  <c r="E29" i="2"/>
  <c r="B5" i="3"/>
  <c r="E5" i="3"/>
  <c r="F33" i="5"/>
  <c r="D39" i="5"/>
  <c r="G21" i="2"/>
  <c r="G23" i="2"/>
  <c r="N23" i="2"/>
  <c r="F21" i="2"/>
  <c r="F23" i="2"/>
  <c r="M23" i="2"/>
  <c r="E21" i="2"/>
  <c r="E23" i="2"/>
  <c r="L23" i="2"/>
  <c r="L19" i="2"/>
  <c r="L21" i="2"/>
  <c r="J29" i="2"/>
  <c r="T28" i="8"/>
  <c r="S29" i="8"/>
  <c r="C41" i="8"/>
  <c r="S27" i="8"/>
  <c r="D29" i="8"/>
  <c r="D24" i="8"/>
  <c r="E24" i="8"/>
  <c r="E25" i="8"/>
  <c r="F24" i="8"/>
  <c r="D25" i="8"/>
  <c r="D26" i="8"/>
  <c r="D27" i="8"/>
  <c r="D28" i="8"/>
  <c r="D30" i="8"/>
  <c r="D31" i="8"/>
  <c r="D32" i="8"/>
  <c r="D15" i="5"/>
  <c r="N35" i="2"/>
  <c r="N36" i="2"/>
  <c r="M35" i="2"/>
  <c r="M36" i="2"/>
  <c r="L35" i="2"/>
  <c r="L36" i="2"/>
  <c r="N34" i="2"/>
  <c r="N33" i="2"/>
  <c r="N32" i="2"/>
  <c r="M34" i="2"/>
  <c r="M33" i="2"/>
  <c r="M32" i="2"/>
  <c r="L34" i="2"/>
  <c r="L33" i="2"/>
  <c r="L32" i="2"/>
  <c r="C10" i="5"/>
  <c r="C9" i="5"/>
  <c r="H18" i="8"/>
  <c r="D26" i="5"/>
  <c r="E26" i="5"/>
  <c r="I29" i="19"/>
  <c r="M30" i="2"/>
  <c r="N30" i="2"/>
  <c r="L30" i="2"/>
  <c r="C17" i="5"/>
  <c r="B20" i="16"/>
  <c r="C16" i="5"/>
  <c r="D11" i="19"/>
  <c r="C15" i="5"/>
  <c r="D10" i="19"/>
  <c r="C14" i="5"/>
  <c r="F24" i="19"/>
  <c r="D31" i="19"/>
  <c r="L17" i="19"/>
  <c r="F23" i="19"/>
  <c r="D40" i="5"/>
  <c r="L44" i="8"/>
  <c r="L43" i="8"/>
  <c r="V16" i="8"/>
  <c r="V17" i="8"/>
  <c r="S16" i="8"/>
  <c r="S17" i="8"/>
  <c r="W16" i="8"/>
  <c r="X16" i="8"/>
  <c r="G14" i="9"/>
  <c r="H14" i="9"/>
  <c r="G12" i="9"/>
  <c r="H12" i="9"/>
  <c r="G10" i="9"/>
  <c r="H10" i="9"/>
  <c r="G8" i="9"/>
  <c r="H8" i="9"/>
  <c r="G7" i="9"/>
  <c r="H7" i="9"/>
  <c r="G6" i="9"/>
  <c r="H6" i="9"/>
  <c r="G5" i="9"/>
  <c r="H5" i="9"/>
  <c r="G4" i="9"/>
  <c r="H4" i="9"/>
  <c r="G3" i="9"/>
  <c r="H3" i="9"/>
  <c r="G2" i="9"/>
  <c r="H2" i="9"/>
  <c r="G1" i="9"/>
  <c r="H1" i="9"/>
  <c r="I1" i="9"/>
  <c r="J1" i="9"/>
  <c r="G16" i="9"/>
  <c r="H16" i="9"/>
  <c r="G18" i="9"/>
  <c r="H18" i="9"/>
  <c r="G21" i="9"/>
  <c r="H21" i="9"/>
  <c r="G20" i="9"/>
  <c r="H20" i="9"/>
  <c r="G19" i="9"/>
  <c r="H19" i="9"/>
  <c r="S20" i="8"/>
  <c r="C21" i="7"/>
  <c r="D36" i="7"/>
  <c r="C20" i="7"/>
  <c r="D35" i="7"/>
  <c r="G4" i="3"/>
  <c r="F4" i="3"/>
  <c r="E4" i="3"/>
  <c r="X27" i="2"/>
  <c r="R12" i="2"/>
  <c r="W28" i="2"/>
  <c r="X39" i="2"/>
  <c r="X40" i="2"/>
  <c r="X41" i="2"/>
  <c r="W27" i="2"/>
  <c r="W39" i="2"/>
  <c r="W40" i="2"/>
  <c r="W41" i="2"/>
  <c r="V27" i="2"/>
  <c r="V39" i="2"/>
  <c r="V40" i="2"/>
  <c r="V41" i="2"/>
  <c r="U27" i="2"/>
  <c r="U39" i="2"/>
  <c r="U40" i="2"/>
  <c r="U41" i="2"/>
  <c r="T27" i="2"/>
  <c r="T39" i="2"/>
  <c r="T40" i="2"/>
  <c r="T41" i="2"/>
  <c r="S27" i="2"/>
  <c r="S39" i="2"/>
  <c r="S40" i="2"/>
  <c r="S41" i="2"/>
  <c r="A20" i="16"/>
  <c r="A17" i="5"/>
  <c r="F35" i="5"/>
  <c r="F36" i="5"/>
  <c r="C6" i="6"/>
  <c r="L4" i="6"/>
  <c r="C5" i="6"/>
  <c r="L3" i="6"/>
  <c r="P24" i="6"/>
  <c r="I31" i="19"/>
  <c r="I30" i="19"/>
  <c r="I28" i="19"/>
  <c r="D12" i="19"/>
  <c r="J20" i="19"/>
  <c r="F17" i="19"/>
  <c r="G17" i="19"/>
  <c r="K17" i="19"/>
  <c r="M17" i="19"/>
  <c r="F18" i="19"/>
  <c r="G18" i="19"/>
  <c r="T18" i="19"/>
  <c r="T19" i="19"/>
  <c r="W18" i="19"/>
  <c r="W19" i="19"/>
  <c r="W20" i="19"/>
  <c r="W21" i="19"/>
  <c r="W22" i="19"/>
  <c r="W23" i="19"/>
  <c r="W24" i="19"/>
  <c r="W25" i="19"/>
  <c r="V18" i="19"/>
  <c r="V19" i="19"/>
  <c r="V20" i="19"/>
  <c r="V21" i="19"/>
  <c r="V22" i="19"/>
  <c r="V23" i="19"/>
  <c r="V24" i="19"/>
  <c r="V25" i="19"/>
  <c r="U18" i="19"/>
  <c r="U19" i="19"/>
  <c r="U20" i="19"/>
  <c r="U21" i="19"/>
  <c r="U22" i="19"/>
  <c r="U23" i="19"/>
  <c r="U24" i="19"/>
  <c r="U25" i="19"/>
  <c r="M18" i="19"/>
  <c r="F19" i="19"/>
  <c r="M19" i="19"/>
  <c r="F20" i="19"/>
  <c r="K20" i="19"/>
  <c r="M20" i="19"/>
  <c r="F21" i="19"/>
  <c r="K21" i="19"/>
  <c r="M21" i="19"/>
  <c r="F22" i="19"/>
  <c r="K22" i="19"/>
  <c r="M22" i="19"/>
  <c r="M23" i="19"/>
  <c r="M24" i="19"/>
  <c r="F25" i="19"/>
  <c r="G25" i="19"/>
  <c r="M25" i="19"/>
  <c r="R53" i="2"/>
  <c r="M23" i="9"/>
  <c r="A67" i="9"/>
  <c r="A68" i="9"/>
  <c r="M24" i="9"/>
  <c r="D24" i="9"/>
  <c r="M25" i="9"/>
  <c r="D25" i="9"/>
  <c r="M26" i="9"/>
  <c r="D26" i="9"/>
  <c r="M27" i="9"/>
  <c r="A79" i="9"/>
  <c r="A80" i="9"/>
  <c r="M28" i="9"/>
  <c r="M29" i="9"/>
  <c r="D29" i="9"/>
  <c r="M30" i="9"/>
  <c r="A88" i="9"/>
  <c r="A89" i="9"/>
  <c r="M22" i="9"/>
  <c r="D22" i="9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G18" i="15"/>
  <c r="F18" i="15"/>
  <c r="C17" i="15"/>
  <c r="C18" i="15"/>
  <c r="C23" i="15"/>
  <c r="C16" i="15"/>
  <c r="A17" i="15"/>
  <c r="A18" i="15"/>
  <c r="A20" i="15"/>
  <c r="A21" i="15"/>
  <c r="A22" i="15"/>
  <c r="A23" i="15"/>
  <c r="A16" i="15"/>
  <c r="F37" i="15"/>
  <c r="E19" i="3"/>
  <c r="E20" i="3"/>
  <c r="G41" i="3"/>
  <c r="F19" i="3"/>
  <c r="F20" i="3"/>
  <c r="G19" i="3"/>
  <c r="G20" i="3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/>
  <c r="A19" i="9"/>
  <c r="A20" i="9"/>
  <c r="A61" i="9"/>
  <c r="A62" i="9"/>
  <c r="A58" i="9"/>
  <c r="A59" i="9"/>
  <c r="A55" i="9"/>
  <c r="A56" i="9"/>
  <c r="A52" i="9"/>
  <c r="A53" i="9"/>
  <c r="A49" i="9"/>
  <c r="A50" i="9"/>
  <c r="A46" i="9"/>
  <c r="A47" i="9"/>
  <c r="A43" i="9"/>
  <c r="A44" i="9"/>
  <c r="A40" i="9"/>
  <c r="A41" i="9"/>
  <c r="A37" i="9"/>
  <c r="A38" i="9"/>
  <c r="A34" i="9"/>
  <c r="A35" i="9"/>
  <c r="A31" i="9"/>
  <c r="A32" i="9"/>
  <c r="A28" i="9"/>
  <c r="A29" i="9"/>
  <c r="A25" i="9"/>
  <c r="A26" i="9"/>
  <c r="A22" i="9"/>
  <c r="A23" i="9"/>
  <c r="A13" i="9"/>
  <c r="A14" i="9"/>
  <c r="A10" i="9"/>
  <c r="A11" i="9"/>
  <c r="A7" i="9"/>
  <c r="A8" i="9"/>
  <c r="A4" i="9"/>
  <c r="A5" i="9"/>
  <c r="A1" i="9"/>
  <c r="A2" i="9"/>
  <c r="C56" i="2"/>
  <c r="D26" i="2"/>
  <c r="B40" i="2"/>
  <c r="B39" i="2"/>
  <c r="B38" i="2"/>
  <c r="B37" i="2"/>
  <c r="B36" i="2"/>
  <c r="B35" i="2"/>
  <c r="B34" i="2"/>
  <c r="B33" i="2"/>
  <c r="B32" i="2"/>
  <c r="B31" i="2"/>
  <c r="B30" i="2"/>
  <c r="B29" i="2"/>
  <c r="R28" i="2"/>
  <c r="R29" i="2"/>
  <c r="R30" i="2"/>
  <c r="R31" i="2"/>
  <c r="R32" i="2"/>
  <c r="R33" i="2"/>
  <c r="R34" i="2"/>
  <c r="R35" i="2"/>
  <c r="R36" i="2"/>
  <c r="R37" i="2"/>
  <c r="R38" i="2"/>
  <c r="E56" i="2"/>
  <c r="H26" i="2"/>
  <c r="D56" i="2"/>
  <c r="F26" i="2"/>
  <c r="S12" i="8"/>
  <c r="S11" i="8"/>
  <c r="S10" i="8"/>
  <c r="R12" i="8"/>
  <c r="R11" i="8"/>
  <c r="R10" i="8"/>
  <c r="C27" i="16"/>
  <c r="C28" i="16"/>
  <c r="A12" i="16"/>
  <c r="B12" i="16"/>
  <c r="A13" i="16"/>
  <c r="B13" i="16"/>
  <c r="A14" i="16"/>
  <c r="B14" i="16"/>
  <c r="A16" i="16"/>
  <c r="A17" i="16"/>
  <c r="B17" i="16"/>
  <c r="A18" i="16"/>
  <c r="A19" i="16"/>
  <c r="B19" i="16"/>
  <c r="A15" i="5"/>
  <c r="A16" i="5"/>
  <c r="C33" i="5"/>
  <c r="C35" i="5"/>
  <c r="C36" i="5"/>
  <c r="C25" i="5"/>
  <c r="C27" i="5"/>
  <c r="C37" i="5"/>
  <c r="D33" i="5"/>
  <c r="D36" i="5"/>
  <c r="E33" i="5"/>
  <c r="D35" i="5"/>
  <c r="E35" i="5"/>
  <c r="E36" i="5"/>
  <c r="J48" i="5"/>
  <c r="A11" i="5"/>
  <c r="A10" i="5"/>
  <c r="A9" i="5"/>
  <c r="I49" i="5"/>
  <c r="M21" i="2"/>
  <c r="M19" i="2"/>
  <c r="M22" i="2"/>
  <c r="D9" i="19"/>
  <c r="C21" i="15"/>
  <c r="B18" i="16"/>
  <c r="C22" i="15"/>
  <c r="E24" i="3"/>
  <c r="F31" i="13"/>
  <c r="D30" i="4"/>
  <c r="E42" i="20"/>
  <c r="E45" i="20"/>
  <c r="I45" i="20"/>
  <c r="E43" i="20"/>
  <c r="I43" i="20"/>
  <c r="E44" i="20"/>
  <c r="I44" i="20"/>
  <c r="S28" i="8"/>
  <c r="S30" i="8"/>
  <c r="D18" i="8"/>
  <c r="A73" i="9"/>
  <c r="A74" i="9"/>
  <c r="A85" i="9"/>
  <c r="A86" i="9"/>
  <c r="N21" i="2"/>
  <c r="O21" i="2"/>
  <c r="E34" i="2"/>
  <c r="B10" i="3"/>
  <c r="E10" i="3"/>
  <c r="E29" i="3"/>
  <c r="E30" i="14"/>
  <c r="M30" i="14"/>
  <c r="M31" i="14"/>
  <c r="E35" i="2"/>
  <c r="B11" i="3"/>
  <c r="E11" i="3"/>
  <c r="I29" i="14"/>
  <c r="Q27" i="14"/>
  <c r="E31" i="2"/>
  <c r="B7" i="3"/>
  <c r="E7" i="3"/>
  <c r="E29" i="14"/>
  <c r="M27" i="14"/>
  <c r="N34" i="4"/>
  <c r="N35" i="4"/>
  <c r="G32" i="2"/>
  <c r="C8" i="3"/>
  <c r="F8" i="3"/>
  <c r="L22" i="2"/>
  <c r="K23" i="19"/>
  <c r="B35" i="3"/>
  <c r="I27" i="14"/>
  <c r="I31" i="14"/>
  <c r="G34" i="14"/>
  <c r="E27" i="14"/>
  <c r="G13" i="4"/>
  <c r="G24" i="3"/>
  <c r="K24" i="19"/>
  <c r="A76" i="9"/>
  <c r="A77" i="9"/>
  <c r="G29" i="2"/>
  <c r="C5" i="3"/>
  <c r="F5" i="3"/>
  <c r="I32" i="2"/>
  <c r="D8" i="3"/>
  <c r="G8" i="3"/>
  <c r="I35" i="2"/>
  <c r="D11" i="3"/>
  <c r="G11" i="3"/>
  <c r="G31" i="2"/>
  <c r="C7" i="3"/>
  <c r="F7" i="3"/>
  <c r="I36" i="2"/>
  <c r="D12" i="3"/>
  <c r="G12" i="3"/>
  <c r="I33" i="2"/>
  <c r="D9" i="3"/>
  <c r="G9" i="3"/>
  <c r="G34" i="2"/>
  <c r="C10" i="3"/>
  <c r="F10" i="3"/>
  <c r="F29" i="3"/>
  <c r="G30" i="2"/>
  <c r="C6" i="3"/>
  <c r="F6" i="3"/>
  <c r="G35" i="2"/>
  <c r="C11" i="3"/>
  <c r="F11" i="3"/>
  <c r="I29" i="2"/>
  <c r="D5" i="3"/>
  <c r="G5" i="3"/>
  <c r="E33" i="2"/>
  <c r="B9" i="3"/>
  <c r="E9" i="3"/>
  <c r="G36" i="2"/>
  <c r="C12" i="3"/>
  <c r="F12" i="3"/>
  <c r="G33" i="2"/>
  <c r="C9" i="3"/>
  <c r="F9" i="3"/>
  <c r="E36" i="2"/>
  <c r="B12" i="3"/>
  <c r="E12" i="3"/>
  <c r="I34" i="2"/>
  <c r="D10" i="3"/>
  <c r="G10" i="3"/>
  <c r="G29" i="3"/>
  <c r="E32" i="2"/>
  <c r="B8" i="3"/>
  <c r="E8" i="3"/>
  <c r="E30" i="2"/>
  <c r="B6" i="3"/>
  <c r="E6" i="3"/>
  <c r="I30" i="2"/>
  <c r="D6" i="3"/>
  <c r="G6" i="3"/>
  <c r="I31" i="2"/>
  <c r="D7" i="3"/>
  <c r="G7" i="3"/>
  <c r="G23" i="19"/>
  <c r="D27" i="9"/>
  <c r="I28" i="14"/>
  <c r="M28" i="14"/>
  <c r="D30" i="9"/>
  <c r="E28" i="14"/>
  <c r="E31" i="14"/>
  <c r="Q28" i="14"/>
  <c r="F30" i="20"/>
  <c r="F31" i="20"/>
  <c r="S28" i="2"/>
  <c r="K25" i="19"/>
  <c r="A70" i="9"/>
  <c r="A71" i="9"/>
  <c r="G21" i="19"/>
  <c r="Q30" i="14"/>
  <c r="G24" i="19"/>
  <c r="A82" i="9"/>
  <c r="A83" i="9"/>
  <c r="D28" i="9"/>
  <c r="K19" i="19"/>
  <c r="G19" i="19"/>
  <c r="N17" i="19"/>
  <c r="C29" i="16"/>
  <c r="B30" i="16"/>
  <c r="E36" i="3"/>
  <c r="G22" i="19"/>
  <c r="N22" i="2"/>
  <c r="B37" i="3"/>
  <c r="E37" i="3"/>
  <c r="H36" i="3"/>
  <c r="H37" i="3"/>
  <c r="D40" i="3"/>
  <c r="D41" i="3"/>
  <c r="D31" i="4"/>
  <c r="B40" i="3"/>
  <c r="F25" i="8"/>
  <c r="E26" i="8"/>
  <c r="N24" i="2"/>
  <c r="J32" i="4"/>
  <c r="A36" i="3"/>
  <c r="A41" i="3"/>
  <c r="L19" i="19"/>
  <c r="N19" i="19"/>
  <c r="T20" i="19"/>
  <c r="D32" i="4"/>
  <c r="M24" i="2"/>
  <c r="F26" i="5"/>
  <c r="E27" i="5"/>
  <c r="E37" i="5"/>
  <c r="O32" i="4"/>
  <c r="N38" i="4"/>
  <c r="A37" i="3"/>
  <c r="A42" i="3"/>
  <c r="E30" i="20"/>
  <c r="I30" i="20"/>
  <c r="E29" i="20"/>
  <c r="E32" i="20"/>
  <c r="I32" i="20"/>
  <c r="E31" i="20"/>
  <c r="I31" i="20"/>
  <c r="B42" i="3"/>
  <c r="O31" i="4"/>
  <c r="F27" i="5"/>
  <c r="F37" i="5"/>
  <c r="I3" i="9"/>
  <c r="G27" i="13"/>
  <c r="I27" i="13"/>
  <c r="E35" i="13"/>
  <c r="J31" i="4"/>
  <c r="B41" i="3"/>
  <c r="I2" i="9"/>
  <c r="J2" i="9"/>
  <c r="K18" i="19"/>
  <c r="R13" i="2"/>
  <c r="T28" i="2"/>
  <c r="A64" i="9"/>
  <c r="A65" i="9"/>
  <c r="T57" i="8"/>
  <c r="E4" i="6"/>
  <c r="L6" i="6"/>
  <c r="F24" i="3"/>
  <c r="U28" i="2"/>
  <c r="V28" i="2"/>
  <c r="D27" i="5"/>
  <c r="D37" i="5"/>
  <c r="G20" i="19"/>
  <c r="D23" i="9"/>
  <c r="L18" i="19"/>
  <c r="N18" i="19"/>
  <c r="H41" i="3"/>
  <c r="H42" i="3"/>
  <c r="X28" i="2"/>
  <c r="E34" i="13"/>
  <c r="O43" i="8"/>
  <c r="G35" i="3"/>
  <c r="G36" i="3"/>
  <c r="F26" i="8"/>
  <c r="E27" i="8"/>
  <c r="W29" i="2"/>
  <c r="U29" i="2"/>
  <c r="X29" i="2"/>
  <c r="S29" i="2"/>
  <c r="R14" i="2"/>
  <c r="T29" i="2"/>
  <c r="V29" i="2"/>
  <c r="N37" i="4"/>
  <c r="O44" i="8"/>
  <c r="J3" i="9"/>
  <c r="P3" i="9"/>
  <c r="I4" i="9"/>
  <c r="L20" i="19"/>
  <c r="N20" i="19"/>
  <c r="T21" i="19"/>
  <c r="X30" i="2"/>
  <c r="W30" i="2"/>
  <c r="S30" i="2"/>
  <c r="R15" i="2"/>
  <c r="U30" i="2"/>
  <c r="V30" i="2"/>
  <c r="T30" i="2"/>
  <c r="T22" i="19"/>
  <c r="L21" i="19"/>
  <c r="N21" i="19"/>
  <c r="E28" i="8"/>
  <c r="F27" i="8"/>
  <c r="J4" i="9"/>
  <c r="P4" i="9"/>
  <c r="I5" i="9"/>
  <c r="X31" i="2"/>
  <c r="W31" i="2"/>
  <c r="R16" i="2"/>
  <c r="S31" i="2"/>
  <c r="U31" i="2"/>
  <c r="T31" i="2"/>
  <c r="V31" i="2"/>
  <c r="I6" i="9"/>
  <c r="J5" i="9"/>
  <c r="P5" i="9"/>
  <c r="T23" i="19"/>
  <c r="L22" i="19"/>
  <c r="N22" i="19"/>
  <c r="E29" i="8"/>
  <c r="F28" i="8"/>
  <c r="X32" i="2"/>
  <c r="W32" i="2"/>
  <c r="S32" i="2"/>
  <c r="V32" i="2"/>
  <c r="T32" i="2"/>
  <c r="U32" i="2"/>
  <c r="R17" i="2"/>
  <c r="I7" i="9"/>
  <c r="J6" i="9"/>
  <c r="P6" i="9"/>
  <c r="T24" i="19"/>
  <c r="L23" i="19"/>
  <c r="N23" i="19"/>
  <c r="F29" i="8"/>
  <c r="E30" i="8"/>
  <c r="J7" i="9"/>
  <c r="P7" i="9"/>
  <c r="I8" i="9"/>
  <c r="X33" i="2"/>
  <c r="T33" i="2"/>
  <c r="U33" i="2"/>
  <c r="V33" i="2"/>
  <c r="S33" i="2"/>
  <c r="W33" i="2"/>
  <c r="R18" i="2"/>
  <c r="F30" i="8"/>
  <c r="E31" i="8"/>
  <c r="L24" i="19"/>
  <c r="N24" i="19"/>
  <c r="T25" i="19"/>
  <c r="L25" i="19"/>
  <c r="N25" i="19"/>
  <c r="F31" i="8"/>
  <c r="E32" i="8"/>
  <c r="T34" i="2"/>
  <c r="R19" i="2"/>
  <c r="S34" i="2"/>
  <c r="X34" i="2"/>
  <c r="V34" i="2"/>
  <c r="W34" i="2"/>
  <c r="U34" i="2"/>
  <c r="J8" i="9"/>
  <c r="I9" i="9"/>
  <c r="I10" i="9"/>
  <c r="P8" i="9"/>
  <c r="I11" i="9"/>
  <c r="I12" i="9"/>
  <c r="J10" i="9"/>
  <c r="S35" i="2"/>
  <c r="U35" i="2"/>
  <c r="T35" i="2"/>
  <c r="V35" i="2"/>
  <c r="R20" i="2"/>
  <c r="W35" i="2"/>
  <c r="X35" i="2"/>
  <c r="F32" i="8"/>
  <c r="D35" i="8"/>
  <c r="D34" i="8"/>
  <c r="D40" i="8"/>
  <c r="D36" i="8"/>
  <c r="D41" i="8"/>
  <c r="D33" i="8"/>
  <c r="E33" i="8"/>
  <c r="D37" i="8"/>
  <c r="D39" i="8"/>
  <c r="C4" i="6"/>
  <c r="D38" i="8"/>
  <c r="I13" i="9"/>
  <c r="I14" i="9"/>
  <c r="J12" i="9"/>
  <c r="V36" i="2"/>
  <c r="R21" i="2"/>
  <c r="S36" i="2"/>
  <c r="U36" i="2"/>
  <c r="W36" i="2"/>
  <c r="T36" i="2"/>
  <c r="X36" i="2"/>
  <c r="P10" i="9"/>
  <c r="J9" i="9"/>
  <c r="P9" i="9"/>
  <c r="E34" i="8"/>
  <c r="F33" i="8"/>
  <c r="I15" i="9"/>
  <c r="I16" i="9"/>
  <c r="J14" i="9"/>
  <c r="J13" i="9"/>
  <c r="P13" i="9"/>
  <c r="P12" i="9"/>
  <c r="S37" i="2"/>
  <c r="X37" i="2"/>
  <c r="W37" i="2"/>
  <c r="U37" i="2"/>
  <c r="V37" i="2"/>
  <c r="T37" i="2"/>
  <c r="R22" i="2"/>
  <c r="J11" i="9"/>
  <c r="P11" i="9"/>
  <c r="J16" i="9"/>
  <c r="I17" i="9"/>
  <c r="I18" i="9"/>
  <c r="D29" i="19"/>
  <c r="C11" i="7"/>
  <c r="P14" i="9"/>
  <c r="J15" i="9"/>
  <c r="P15" i="9"/>
  <c r="W38" i="2"/>
  <c r="W42" i="2"/>
  <c r="V38" i="2"/>
  <c r="V42" i="2"/>
  <c r="X38" i="2"/>
  <c r="X42" i="2"/>
  <c r="U38" i="2"/>
  <c r="U42" i="2"/>
  <c r="T38" i="2"/>
  <c r="T42" i="2"/>
  <c r="S38" i="2"/>
  <c r="S42" i="2"/>
  <c r="E35" i="8"/>
  <c r="F34" i="8"/>
  <c r="H23" i="19"/>
  <c r="I23" i="19"/>
  <c r="H24" i="19"/>
  <c r="I24" i="19"/>
  <c r="H19" i="19"/>
  <c r="I19" i="19"/>
  <c r="H25" i="19"/>
  <c r="I25" i="19"/>
  <c r="N30" i="19"/>
  <c r="H18" i="19"/>
  <c r="I18" i="19"/>
  <c r="H22" i="19"/>
  <c r="I22" i="19"/>
  <c r="O23" i="19"/>
  <c r="H21" i="19"/>
  <c r="I21" i="19"/>
  <c r="O22" i="19"/>
  <c r="H17" i="19"/>
  <c r="I17" i="19"/>
  <c r="O18" i="19"/>
  <c r="H20" i="19"/>
  <c r="I20" i="19"/>
  <c r="O21" i="19"/>
  <c r="J18" i="9"/>
  <c r="P18" i="9"/>
  <c r="I19" i="9"/>
  <c r="E36" i="8"/>
  <c r="F35" i="8"/>
  <c r="P16" i="9"/>
  <c r="O19" i="19"/>
  <c r="O20" i="19"/>
  <c r="J17" i="9"/>
  <c r="P17" i="9"/>
  <c r="O25" i="19"/>
  <c r="I20" i="9"/>
  <c r="J19" i="9"/>
  <c r="P19" i="9"/>
  <c r="E37" i="8"/>
  <c r="F36" i="8"/>
  <c r="C12" i="7"/>
  <c r="O24" i="19"/>
  <c r="N29" i="19"/>
  <c r="E38" i="8"/>
  <c r="F37" i="8"/>
  <c r="J20" i="9"/>
  <c r="P20" i="9"/>
  <c r="I21" i="9"/>
  <c r="J21" i="9"/>
  <c r="P21" i="9"/>
  <c r="F38" i="8"/>
  <c r="E39" i="8"/>
  <c r="E40" i="8"/>
  <c r="F39" i="8"/>
  <c r="F40" i="8"/>
  <c r="E41" i="8"/>
  <c r="C13" i="7"/>
  <c r="C3" i="6"/>
  <c r="D30" i="19"/>
  <c r="C54" i="19"/>
  <c r="N28" i="19"/>
  <c r="O17" i="19"/>
  <c r="L14" i="6"/>
  <c r="L20" i="6"/>
  <c r="P20" i="6"/>
  <c r="L18" i="6"/>
  <c r="P18" i="6"/>
  <c r="L17" i="6"/>
  <c r="P17" i="6"/>
  <c r="L23" i="6"/>
  <c r="P23" i="6"/>
  <c r="O10" i="6"/>
  <c r="L19" i="6"/>
  <c r="P19" i="6"/>
  <c r="O13" i="6"/>
  <c r="L22" i="6"/>
  <c r="P22" i="6"/>
  <c r="L9" i="6"/>
  <c r="L15" i="6"/>
  <c r="N10" i="6"/>
  <c r="M14" i="6"/>
  <c r="L16" i="6"/>
  <c r="P16" i="6"/>
  <c r="M11" i="6"/>
  <c r="N14" i="6"/>
  <c r="O14" i="6"/>
  <c r="N9" i="6"/>
  <c r="M13" i="6"/>
  <c r="N13" i="6"/>
  <c r="M10" i="6"/>
  <c r="M15" i="6"/>
  <c r="L21" i="6"/>
  <c r="P21" i="6"/>
  <c r="L11" i="6"/>
  <c r="L12" i="6"/>
  <c r="P12" i="6"/>
  <c r="M9" i="6"/>
  <c r="L13" i="6"/>
  <c r="L10" i="6"/>
  <c r="O9" i="6"/>
  <c r="D33" i="7"/>
  <c r="C38" i="7"/>
  <c r="D38" i="7"/>
  <c r="D34" i="7"/>
  <c r="C23" i="7"/>
  <c r="F38" i="7"/>
  <c r="P14" i="6"/>
  <c r="P11" i="6"/>
  <c r="P13" i="6"/>
  <c r="P15" i="6"/>
  <c r="P10" i="6"/>
  <c r="P9" i="6"/>
  <c r="Q9" i="6"/>
  <c r="G4" i="6"/>
  <c r="G29" i="7"/>
  <c r="O29" i="7"/>
  <c r="L29" i="7"/>
  <c r="E29" i="7"/>
  <c r="H29" i="7"/>
  <c r="N29" i="7"/>
  <c r="K29" i="7"/>
  <c r="J29" i="7"/>
  <c r="M29" i="7"/>
  <c r="F29" i="7"/>
  <c r="I29" i="7"/>
  <c r="D29" i="7"/>
  <c r="M30" i="7"/>
  <c r="O30" i="7"/>
  <c r="K30" i="7"/>
  <c r="N30" i="7"/>
  <c r="L30" i="7"/>
  <c r="H30" i="7"/>
  <c r="F30" i="7"/>
  <c r="J30" i="7"/>
  <c r="G30" i="7"/>
  <c r="D30" i="7"/>
  <c r="E30" i="7"/>
  <c r="I30" i="7"/>
  <c r="D31" i="7"/>
  <c r="J26" i="7"/>
  <c r="D44" i="8"/>
</calcChain>
</file>

<file path=xl/sharedStrings.xml><?xml version="1.0" encoding="utf-8"?>
<sst xmlns="http://schemas.openxmlformats.org/spreadsheetml/2006/main" count="883" uniqueCount="603">
  <si>
    <t>:</t>
  </si>
  <si>
    <t>Peso Agua</t>
  </si>
  <si>
    <t>Peso</t>
  </si>
  <si>
    <t>% que</t>
  </si>
  <si>
    <t>Especifi-</t>
  </si>
  <si>
    <t>Parcial</t>
  </si>
  <si>
    <t>Pasa</t>
  </si>
  <si>
    <t>caciones</t>
  </si>
  <si>
    <t>2"</t>
  </si>
  <si>
    <t>1 1/2"</t>
  </si>
  <si>
    <t>1"</t>
  </si>
  <si>
    <t>3/4"</t>
  </si>
  <si>
    <t>1/2"</t>
  </si>
  <si>
    <t>3/8"</t>
  </si>
  <si>
    <t>3"</t>
  </si>
  <si>
    <t>2 1/2"</t>
  </si>
  <si>
    <t>1/4"</t>
  </si>
  <si>
    <t>No4</t>
  </si>
  <si>
    <t>Diametro efectivos</t>
  </si>
  <si>
    <t>D10</t>
  </si>
  <si>
    <t>D30</t>
  </si>
  <si>
    <t>D60</t>
  </si>
  <si>
    <t>Nº de Golpes</t>
  </si>
  <si>
    <t>Recipiente Nº</t>
  </si>
  <si>
    <t>R + Suelo Hum.</t>
  </si>
  <si>
    <t>R + Suelo Seco</t>
  </si>
  <si>
    <t>% de Humedad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</si>
  <si>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</si>
  <si>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</si>
  <si>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</si>
  <si>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</si>
  <si>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</si>
  <si>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</si>
  <si>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</si>
  <si>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</si>
  <si>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</si>
  <si>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</si>
  <si>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</si>
  <si>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</si>
  <si>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</si>
  <si>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</si>
  <si>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</si>
  <si>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</si>
  <si>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</si>
  <si>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</si>
  <si>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</si>
  <si>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</si>
  <si>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</si>
  <si>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</si>
  <si>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</si>
  <si>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</si>
  <si>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</si>
  <si>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</si>
  <si>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</si>
  <si>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</si>
  <si>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</si>
  <si>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</si>
  <si>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</si>
  <si>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</si>
  <si>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</si>
  <si>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</si>
  <si>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</si>
  <si>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</si>
  <si>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</si>
  <si>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</si>
  <si>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</si>
  <si>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</si>
  <si>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</si>
  <si>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</si>
  <si>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</si>
  <si>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</si>
  <si>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</si>
  <si>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</si>
  <si>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</si>
  <si>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</si>
  <si>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</si>
  <si>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</si>
  <si>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</si>
  <si>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</si>
  <si>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</si>
  <si>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</si>
  <si>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</si>
  <si>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</si>
  <si>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</si>
  <si>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</si>
  <si>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</si>
  <si>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</si>
  <si>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</si>
  <si>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</si>
  <si>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</si>
  <si>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</si>
  <si>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</si>
  <si>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</si>
  <si>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</si>
  <si>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</si>
  <si>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</si>
  <si>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</si>
  <si>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</si>
  <si>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</si>
  <si>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</si>
  <si>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</si>
  <si>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</si>
  <si>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</si>
  <si>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</si>
  <si>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</si>
  <si>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</si>
  <si>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</si>
  <si>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</si>
  <si>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</si>
  <si>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</si>
  <si>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</si>
  <si>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</si>
  <si>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</si>
  <si>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</si>
  <si>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</si>
  <si>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</si>
  <si>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</si>
  <si>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</si>
  <si>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</si>
  <si>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</si>
  <si>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</si>
  <si>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</si>
  <si>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</si>
  <si>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</si>
  <si>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</si>
  <si>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</si>
  <si>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</si>
  <si>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</si>
  <si>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</si>
  <si>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</si>
  <si>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</si>
  <si>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</si>
  <si>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</si>
  <si>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</si>
  <si>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</si>
  <si>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</si>
  <si>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</si>
  <si>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</si>
  <si>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</si>
  <si>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</si>
  <si>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</si>
  <si>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</si>
  <si>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</si>
  <si>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</si>
  <si>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</si>
  <si>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</si>
  <si>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</si>
  <si>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</si>
  <si>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</si>
  <si>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</si>
  <si>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</si>
  <si>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</si>
  <si>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</si>
  <si>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</si>
  <si>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</si>
  <si>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Cu</t>
  </si>
  <si>
    <t>Cc</t>
  </si>
  <si>
    <t>LL</t>
  </si>
  <si>
    <t>LP</t>
  </si>
  <si>
    <t>Fecha</t>
  </si>
  <si>
    <t>Datos de muestra</t>
  </si>
  <si>
    <t>Prof (m.)</t>
  </si>
  <si>
    <t>Optimo Contenido de Humedad (%)   :</t>
  </si>
  <si>
    <t>Compactación</t>
  </si>
  <si>
    <t>Humedad (%)</t>
  </si>
  <si>
    <t>Prueba Nº</t>
  </si>
  <si>
    <t>Tara Nº</t>
  </si>
  <si>
    <t>Número de capas</t>
  </si>
  <si>
    <t>Tara+suelo húmedo (gr.)</t>
  </si>
  <si>
    <t>Número de golpes</t>
  </si>
  <si>
    <t>Tara+suelo seco (gr.)</t>
  </si>
  <si>
    <t>Peso suelo + molde (gr.)</t>
  </si>
  <si>
    <t>Peso de agua (gr.)</t>
  </si>
  <si>
    <t>Peso molde (gr.)</t>
  </si>
  <si>
    <t>Peso de tara (gr.)</t>
  </si>
  <si>
    <t>Peso suelo compactado (gr.)</t>
  </si>
  <si>
    <t>Peso de suelo seco (gr.)</t>
  </si>
  <si>
    <t>Aplicación de Carga</t>
  </si>
  <si>
    <t>Penetración</t>
  </si>
  <si>
    <t>Presión</t>
  </si>
  <si>
    <t>Molde I</t>
  </si>
  <si>
    <t>Molde II</t>
  </si>
  <si>
    <t>Molde III</t>
  </si>
  <si>
    <t>(mm.)</t>
  </si>
  <si>
    <t>Patrón</t>
  </si>
  <si>
    <t>Dial</t>
  </si>
  <si>
    <t>Expansión:</t>
  </si>
  <si>
    <t>Correc</t>
  </si>
  <si>
    <t>C.B.R.</t>
  </si>
  <si>
    <t>C.B.R.(100%)</t>
  </si>
  <si>
    <t>C.B.R.(95%)</t>
  </si>
  <si>
    <t>%</t>
  </si>
  <si>
    <t>95% DE M.D.S. :</t>
  </si>
  <si>
    <t>(Kg/cm2)</t>
  </si>
  <si>
    <t>C.B.R. (95% M.D.S.) 01" :</t>
  </si>
  <si>
    <t>C.B.R. (100% M.D.S.) 0.1" :</t>
  </si>
  <si>
    <t>Tara + suelo húmedo (gr.)</t>
  </si>
  <si>
    <t>Tara + suelo seco (gr.)</t>
  </si>
  <si>
    <t xml:space="preserve"> :</t>
  </si>
  <si>
    <t xml:space="preserve">         </t>
  </si>
  <si>
    <t>Molde Nº</t>
  </si>
  <si>
    <r>
      <t>OBSERVACIONES</t>
    </r>
    <r>
      <rPr>
        <sz val="9"/>
        <rFont val="Times New Roman"/>
        <family val="1"/>
      </rPr>
      <t xml:space="preserve"> :</t>
    </r>
  </si>
  <si>
    <r>
      <t>Volumen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</si>
  <si>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humeda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</si>
  <si>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</si>
  <si>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Máxima 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         :</t>
    </r>
  </si>
  <si>
    <t>ESPECIFICACIONES</t>
  </si>
  <si>
    <t>% Que Pasa</t>
  </si>
  <si>
    <t>Nº Malla</t>
  </si>
  <si>
    <t>Abertura mm.</t>
  </si>
  <si>
    <t>Especificaciones "B"</t>
  </si>
  <si>
    <t>Tamaño del Agregado</t>
  </si>
  <si>
    <t>E</t>
  </si>
  <si>
    <t>Pasa Tamiz</t>
  </si>
  <si>
    <t>Retenido T.</t>
  </si>
  <si>
    <t>(g)</t>
  </si>
  <si>
    <t>Total:</t>
  </si>
  <si>
    <t xml:space="preserve">OBSERVACIONES: </t>
  </si>
  <si>
    <t>Nº de Ensayo</t>
  </si>
  <si>
    <t>CANTIDAD DE MATERIAL FINO QUE PASA POR EL TAMIZ (Nº 200)</t>
  </si>
  <si>
    <t>MTC E- 202-1999</t>
  </si>
  <si>
    <t>AASTHO  T 11</t>
  </si>
  <si>
    <t>DATOS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</si>
  <si>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</si>
  <si>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</si>
  <si>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</si>
  <si>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</si>
  <si>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Con dos o más Caras fracturadas</t>
  </si>
  <si>
    <t>DETERMINACION  DE  C.B.R.</t>
  </si>
  <si>
    <t>Malla</t>
  </si>
  <si>
    <t>mm.</t>
  </si>
  <si>
    <t>Tamiz</t>
  </si>
  <si>
    <t>(gr)</t>
  </si>
  <si>
    <t>% Ret</t>
  </si>
  <si>
    <t>Acum.</t>
  </si>
  <si>
    <t>Muestra</t>
  </si>
  <si>
    <t>Datos de ensayo</t>
  </si>
  <si>
    <t>Ensayo</t>
  </si>
  <si>
    <t>Peso Recip.</t>
  </si>
  <si>
    <t>Peso S. Seco</t>
  </si>
  <si>
    <t>Golp.</t>
  </si>
  <si>
    <t>% Humed</t>
  </si>
  <si>
    <t>esa</t>
  </si>
  <si>
    <t>L.L :</t>
  </si>
  <si>
    <t>I.P :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</si>
  <si>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</si>
  <si>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</si>
  <si>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</si>
  <si>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</si>
  <si>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MINISTERIO DE TRANSPORTE COMUNICACIÓN VIVIENDA Y CONSTRUCCION</t>
  </si>
  <si>
    <t>PROVIAS NACIONAL</t>
  </si>
  <si>
    <t>Límite Líquido MTC E 110</t>
  </si>
  <si>
    <t>Límite Plástico MTC E 111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</si>
  <si>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</si>
  <si>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</si>
  <si>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</si>
  <si>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</si>
  <si>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</si>
  <si>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</si>
  <si>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</si>
  <si>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r>
      <t>Máxima Densidad Seca (gr/cm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)         </t>
    </r>
  </si>
  <si>
    <t xml:space="preserve">Optimo Contenido de Humedad (%)   </t>
  </si>
  <si>
    <r>
      <t>(Kg/cm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</si>
  <si>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t>Molde</t>
  </si>
  <si>
    <t>PESO Y VOLUMEN DE MOLDES</t>
  </si>
  <si>
    <t>N°</t>
  </si>
  <si>
    <t>PESO</t>
  </si>
  <si>
    <t>VOLUMEN</t>
  </si>
  <si>
    <t>% EXP.</t>
  </si>
  <si>
    <t>Expansión  (Pulg.)</t>
  </si>
  <si>
    <t>Lbs/pul2</t>
  </si>
  <si>
    <t>Kg/cm2</t>
  </si>
  <si>
    <t>(Pulg.)</t>
  </si>
  <si>
    <t>X= Lectura del Dial</t>
  </si>
  <si>
    <t>Y= Fuerza Patrón (Kg.)</t>
  </si>
  <si>
    <t>Y= A + B X + C X2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</si>
  <si>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</si>
  <si>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</si>
  <si>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</si>
  <si>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</si>
  <si>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</si>
  <si>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</si>
  <si>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</si>
  <si>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</si>
  <si>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F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</si>
  <si>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</si>
  <si>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</si>
  <si>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</si>
  <si>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</si>
  <si>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</si>
  <si>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</si>
  <si>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</si>
  <si>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</si>
  <si>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</si>
  <si>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</si>
  <si>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</si>
  <si>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</si>
  <si>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</si>
  <si>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</si>
  <si>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</si>
  <si>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08:16:00 a.m.</t>
  </si>
  <si>
    <t>Pe de solidos (Gs)       :</t>
  </si>
  <si>
    <t>Limite Liquido(%)        :</t>
  </si>
  <si>
    <t>Limo (0.074mm - 0.005mm)    :</t>
  </si>
  <si>
    <t>Limite Plastico(%)       :</t>
  </si>
  <si>
    <t>Arcilla(0.005mm - 0.001mm)  :</t>
  </si>
  <si>
    <t>Indice plasticidad(%)    :</t>
  </si>
  <si>
    <t>Coloide (menor a  0.001mm)  :</t>
  </si>
  <si>
    <t>Clasificación SUCS       :</t>
  </si>
  <si>
    <t>% pasa Nº200 :</t>
  </si>
  <si>
    <t>% pasa 0.005 :</t>
  </si>
  <si>
    <t>% pasa 0.001 :</t>
  </si>
  <si>
    <t>Hito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</si>
  <si>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</si>
  <si>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(MTC E 113)</t>
  </si>
  <si>
    <t>Equiv.</t>
  </si>
  <si>
    <t>Hora inicio    :</t>
  </si>
  <si>
    <t>Pss(gr)        :</t>
  </si>
  <si>
    <t>(%) Pasa Nº10  :</t>
  </si>
  <si>
    <t>(%) Pasa Nº200 :</t>
  </si>
  <si>
    <t>Coefi. "a"     :</t>
  </si>
  <si>
    <t>Lado</t>
  </si>
  <si>
    <t>CONIRSA S.A.</t>
  </si>
  <si>
    <r>
      <t xml:space="preserve">HUMEDAD NATURAL  </t>
    </r>
    <r>
      <rPr>
        <sz val="11"/>
        <rFont val="Courier New"/>
        <family val="3"/>
      </rPr>
      <t>(MTC E 108)</t>
    </r>
  </si>
  <si>
    <t>&lt; 200</t>
  </si>
  <si>
    <t>Clasificación SUCS</t>
  </si>
  <si>
    <t>Clasificación AASHTO</t>
  </si>
  <si>
    <t>Humedad Optima</t>
  </si>
  <si>
    <t>% C.B.R.al 100 % - 0.1 "</t>
  </si>
  <si>
    <t>% C.B.R.al 95 % - 0.1 "</t>
  </si>
  <si>
    <t>Máx.Dens.Seca  :</t>
  </si>
  <si>
    <r>
      <t xml:space="preserve">ENSAYO DE PROCTOR MODIFICADO </t>
    </r>
    <r>
      <rPr>
        <sz val="12"/>
        <rFont val="Times New Roman"/>
        <family val="1"/>
      </rPr>
      <t>( MTC E 115 )</t>
    </r>
  </si>
  <si>
    <r>
      <t>Volúmen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</si>
  <si>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húmeda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</si>
  <si>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A =</t>
  </si>
  <si>
    <t>B =</t>
  </si>
  <si>
    <t>C =</t>
  </si>
  <si>
    <t>Area de Pistón =</t>
  </si>
  <si>
    <t>cm²</t>
  </si>
  <si>
    <t>Densidad Seca (gr/cc) :</t>
  </si>
  <si>
    <t>C.B.R. (0.1")-56 Golpes</t>
  </si>
  <si>
    <t>C.B.R. (0.2")-56 Golpes</t>
  </si>
  <si>
    <t>C.B.R. (0.1")-25 Golpes</t>
  </si>
  <si>
    <t>C.B.R. (0.2")-25 Golpes</t>
  </si>
  <si>
    <t>C.B.R. (0.1")-12 Golpes</t>
  </si>
  <si>
    <t>C.B.R. (0.2")-12 Golpes</t>
  </si>
  <si>
    <t>Análisis Mecánico por Tamizado y Límites de Atterberg</t>
  </si>
  <si>
    <t>M.D.S. :</t>
  </si>
  <si>
    <t>Humedad Natural</t>
  </si>
  <si>
    <t>P.M.S. =</t>
  </si>
  <si>
    <t>P.M.H. =</t>
  </si>
  <si>
    <t>% W    =</t>
  </si>
  <si>
    <t>Hecho por :</t>
  </si>
  <si>
    <t>Revisado   :</t>
  </si>
  <si>
    <t xml:space="preserve">      PROVIAS NACIONAL</t>
  </si>
  <si>
    <t xml:space="preserve">                 PROVIAS NACIONAL</t>
  </si>
  <si>
    <t xml:space="preserve">    INGRESE  AQUÍ</t>
  </si>
  <si>
    <t>CONTRATISTA</t>
  </si>
  <si>
    <t>SUPERVISION</t>
  </si>
  <si>
    <t>----------------------------</t>
  </si>
  <si>
    <t>--------------------------</t>
  </si>
  <si>
    <t xml:space="preserve">      TEC. RESP.</t>
  </si>
  <si>
    <t xml:space="preserve">      ING. RESP.</t>
  </si>
  <si>
    <t>-------------------------          -----------------------------</t>
  </si>
  <si>
    <t xml:space="preserve">                               -------------------------          -----------------------------</t>
  </si>
  <si>
    <t xml:space="preserve">                ING. RESP.</t>
  </si>
  <si>
    <t xml:space="preserve">    TEC. RESP.</t>
  </si>
  <si>
    <t xml:space="preserve">                 TEC. RESP.</t>
  </si>
  <si>
    <t xml:space="preserve">             ING. RESP.</t>
  </si>
  <si>
    <t>-----------------------------          -----------------------------</t>
  </si>
  <si>
    <t xml:space="preserve">        TEC. RESP.</t>
  </si>
  <si>
    <t xml:space="preserve">  ING. RESP.</t>
  </si>
  <si>
    <t>Peso Total                  :</t>
  </si>
  <si>
    <t>Peso de fracción          :</t>
  </si>
  <si>
    <t>Peso de muestra lavada:</t>
  </si>
  <si>
    <t xml:space="preserve">Prog. </t>
  </si>
  <si>
    <t>Cambiar</t>
  </si>
  <si>
    <t>RELLENAR CORRECCION</t>
  </si>
  <si>
    <t>Estructura</t>
  </si>
  <si>
    <t>Prensa N# 3</t>
  </si>
  <si>
    <t>ECUACIÓN DE ANILLO DE 50 KN.</t>
  </si>
  <si>
    <t xml:space="preserve">        PROVIAS NACIONAL</t>
  </si>
  <si>
    <t>GRAVEDAD ESPECIFICA Y ABSORCION DE LOS AGREGADOS</t>
  </si>
  <si>
    <t>(NORMA   AASHTO T-84, T-85/ MTC E 113_206 )</t>
  </si>
  <si>
    <t>LABORATORIO MECANICA DE SUELOS, CONCRETOS Y PAVIMENTOS</t>
  </si>
  <si>
    <t>OBRA</t>
  </si>
  <si>
    <t>CARRETERA INTEROCEANICA SUR</t>
  </si>
  <si>
    <t>CERTIFICADO</t>
  </si>
  <si>
    <t>TRAMO</t>
  </si>
  <si>
    <t>URCOS - INAMBARI</t>
  </si>
  <si>
    <t>TECNICO</t>
  </si>
  <si>
    <t>REVISADO</t>
  </si>
  <si>
    <t>FECHA</t>
  </si>
  <si>
    <t>DATOS DE LA MUESTRA</t>
  </si>
  <si>
    <t xml:space="preserve">MUESTRA </t>
  </si>
  <si>
    <t>PROFUNDIDAD</t>
  </si>
  <si>
    <t>PROGRESIVA</t>
  </si>
  <si>
    <t>AGREGADO FINO</t>
  </si>
  <si>
    <t>Peso Mat. Sat. Sup. Seco ( en Aire ) (gr)</t>
  </si>
  <si>
    <t>Peso Frasco + agua</t>
  </si>
  <si>
    <t>Peso Frasco + agua + A (gr)</t>
  </si>
  <si>
    <t>Peso del Mat. + agua en el frasco (gr)</t>
  </si>
  <si>
    <t>Vol de masa + vol de vacío = C-D (gr)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</si>
  <si>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</si>
  <si>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</si>
  <si>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</si>
  <si>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</si>
  <si>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</si>
  <si>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</si>
  <si>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</si>
  <si>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</si>
  <si>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</si>
  <si>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</si>
  <si>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</si>
  <si>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</si>
  <si>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</si>
  <si>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</si>
  <si>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</si>
  <si>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</si>
  <si>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</si>
  <si>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</si>
  <si>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t>Observaciones:</t>
  </si>
  <si>
    <t>ING. RESP.</t>
  </si>
  <si>
    <t>ESTRUCTURA</t>
  </si>
  <si>
    <t>M - 1</t>
  </si>
  <si>
    <t>Sub Base Granular</t>
  </si>
  <si>
    <t>Granulometría (MTC E 204)</t>
  </si>
  <si>
    <t>IDENTIFICACION</t>
  </si>
  <si>
    <t>Promedio</t>
  </si>
  <si>
    <t>Tamaño máximo (pasa malla Nº 4)</t>
  </si>
  <si>
    <t>mm</t>
  </si>
  <si>
    <t>Hora de entrada a saturación</t>
  </si>
  <si>
    <t>Hora de salida de saturación (mas 10")</t>
  </si>
  <si>
    <t>Hora de entrada a decantación</t>
  </si>
  <si>
    <t>Hora de salida de decantación (mas 20")</t>
  </si>
  <si>
    <t>Altura máxima de material fino</t>
  </si>
  <si>
    <t>Altura máxima de la arena</t>
  </si>
  <si>
    <t>Equivalente de Arena</t>
  </si>
  <si>
    <t>Registro</t>
  </si>
  <si>
    <t xml:space="preserve">Gradacion </t>
  </si>
  <si>
    <t>"A"</t>
  </si>
  <si>
    <t>GW-GM</t>
  </si>
  <si>
    <t>IZQ - DER</t>
  </si>
  <si>
    <t>F.K.S</t>
  </si>
  <si>
    <t>F.T.V</t>
  </si>
  <si>
    <t>Km. 54+710-54+910</t>
  </si>
  <si>
    <t>NP</t>
  </si>
  <si>
    <t>SB - 25</t>
  </si>
  <si>
    <t>Solicitado</t>
  </si>
  <si>
    <t>Proyecto</t>
  </si>
  <si>
    <t>Ubicación</t>
  </si>
  <si>
    <t>Material</t>
  </si>
  <si>
    <t>Maquinarias e Ingenieros S.A.C.</t>
  </si>
  <si>
    <t>Obras Exteriores de Sodimac San Juan Lurigancho</t>
  </si>
  <si>
    <t>Entre Av. Las Lomas y Jr. Cajamarquilla SJL</t>
  </si>
  <si>
    <t>Base</t>
  </si>
  <si>
    <t>Afirmado</t>
  </si>
  <si>
    <t xml:space="preserve">Certificado N° </t>
  </si>
  <si>
    <t xml:space="preserve">Ref. Proyecto  </t>
  </si>
  <si>
    <t xml:space="preserve">Fecha de ensayo           </t>
  </si>
  <si>
    <t xml:space="preserve">Hecho por    </t>
  </si>
  <si>
    <t>MEI / OES - 13</t>
  </si>
  <si>
    <t>Fecha Ensayo</t>
  </si>
  <si>
    <r>
      <t xml:space="preserve">Relacion de Soporte de California (C.B.R.)                                                                               </t>
    </r>
    <r>
      <rPr>
        <sz val="14"/>
        <rFont val="Times New Roman"/>
        <family val="1"/>
      </rPr>
      <t>(MTC E 132 / NTP 339.145)</t>
    </r>
    <r>
      <rPr>
        <b/>
        <sz val="14"/>
        <rFont val="Times New Roman"/>
        <family val="1"/>
      </rPr>
      <t xml:space="preserve"> </t>
    </r>
  </si>
  <si>
    <r>
      <t>Relacion de Soporte de California (C.B.R.)                                                                                                    (</t>
    </r>
    <r>
      <rPr>
        <sz val="14"/>
        <rFont val="Times New Roman"/>
        <family val="1"/>
      </rPr>
      <t xml:space="preserve">MTC E 132 / NTP 339.145) </t>
    </r>
  </si>
  <si>
    <r>
      <t xml:space="preserve">Equivalente de Arena                                                                                               </t>
    </r>
    <r>
      <rPr>
        <sz val="14"/>
        <rFont val="Arial"/>
        <family val="2"/>
      </rPr>
      <t>(NORMA   AASHTO T-176 / ASTM D-2419/ MTC E 114)</t>
    </r>
  </si>
  <si>
    <t>WEB: www.geofal.com.pe   E-MAIL: geofal.sac@gmail.com / laboratorio@geofal.com.pe</t>
  </si>
  <si>
    <t>51-13 / AG-01</t>
  </si>
  <si>
    <t>TAMIZ</t>
  </si>
  <si>
    <t>GRADACIONES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</si>
  <si>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4</t>
    </r>
  </si>
  <si>
    <t>PESO TOTAL</t>
  </si>
  <si>
    <t>Retenido  en la malla Nº 12</t>
  </si>
  <si>
    <t>Que pasa en la malla Nº 12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</si>
  <si>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de Esferas</t>
    </r>
  </si>
  <si>
    <t>Peso de las Esferas</t>
  </si>
  <si>
    <t>% Desgate</t>
  </si>
  <si>
    <t>OBSERVACIONES :</t>
  </si>
  <si>
    <t>51-13 / AG-12</t>
  </si>
  <si>
    <r>
      <t xml:space="preserve">Abrasion ( Maquina de los Angeles )                                                                                                                      </t>
    </r>
    <r>
      <rPr>
        <sz val="14"/>
        <rFont val="Arial"/>
        <family val="2"/>
      </rPr>
      <t>(NORMA   NTP 400.019 / AASHTO T-96)</t>
    </r>
  </si>
  <si>
    <t>Calicata      :</t>
  </si>
  <si>
    <t>Profundidad:</t>
  </si>
  <si>
    <t>53-14 / CU-11</t>
  </si>
  <si>
    <t>Solicitado   :</t>
  </si>
  <si>
    <t>Proyecto    :</t>
  </si>
  <si>
    <t>Ubicación   :</t>
  </si>
  <si>
    <t>Cantera      :</t>
  </si>
  <si>
    <t>Material     :</t>
  </si>
  <si>
    <t>Aldesa Construcciones S.A.</t>
  </si>
  <si>
    <t>Tunel de Puruchuco</t>
  </si>
  <si>
    <t>Av. Javier Prado S/N Alt. Huaca de Puruchuco</t>
  </si>
  <si>
    <t>Cantera Dorita</t>
  </si>
  <si>
    <t>Base Granular</t>
  </si>
  <si>
    <t>ACSA/CTP-14</t>
  </si>
  <si>
    <t>Tec. Nelson</t>
  </si>
  <si>
    <t>Una Cara</t>
  </si>
  <si>
    <t>Dos Caras</t>
  </si>
  <si>
    <t>(%)</t>
  </si>
  <si>
    <t>Parcial Una Cara</t>
  </si>
  <si>
    <t>Parcial Dos Cras</t>
  </si>
  <si>
    <t>Resulta Ensayo</t>
  </si>
  <si>
    <t>Limite Especificado</t>
  </si>
  <si>
    <t>80 % Max.</t>
  </si>
  <si>
    <t>50 % Max.</t>
  </si>
  <si>
    <t>Una Cara Fract. A Mas</t>
  </si>
  <si>
    <t>Dos Caras Fract. A Mas</t>
  </si>
  <si>
    <t>LABORATORIO DE ENSAYO DE MATERIALES</t>
  </si>
  <si>
    <t>SOLICITANTE</t>
  </si>
  <si>
    <t>TECSUR S.A.</t>
  </si>
  <si>
    <t xml:space="preserve">                 CÓDIGO</t>
  </si>
  <si>
    <t>PROYECTO</t>
  </si>
  <si>
    <t>L.T. SUBTERRÁNEA DE 220 KV SET MANCHAY-SET PACHACUTEC (TRAMO 1.A)</t>
  </si>
  <si>
    <t>N° OT</t>
  </si>
  <si>
    <t>UBICACIÓN</t>
  </si>
  <si>
    <t>AV. VÍCTOR MALASQUEZ,CERCADO DE LIMA 15594 PACHACAMAC, MANCHAY</t>
  </si>
  <si>
    <t>N° CERT.</t>
  </si>
  <si>
    <t>CANTERA / SONDAJE</t>
  </si>
  <si>
    <t>NO ESPECIFICA</t>
  </si>
  <si>
    <t>COD. MUESTRA</t>
  </si>
  <si>
    <t>054-AG-20</t>
  </si>
  <si>
    <t>N° MUESTRA</t>
  </si>
  <si>
    <t>M-1</t>
  </si>
  <si>
    <t>FECHA RECEP.</t>
  </si>
  <si>
    <t>TIPO DE MUESTRA</t>
  </si>
  <si>
    <t>AFIRMADO</t>
  </si>
  <si>
    <t>FECHA ENSAYO</t>
  </si>
  <si>
    <t>Nota :</t>
  </si>
  <si>
    <t>Página 1 de 1</t>
  </si>
  <si>
    <t>Versión : 01 (02-12-2019)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</si>
  <si>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</si>
  <si>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 xml:space="preserve">   ASTM D 5821</t>
  </si>
  <si>
    <t>NTP 400.040</t>
  </si>
  <si>
    <t>ENSAYO PARA LA DETERMINACIÓN DEL PORCENTAJE DE PARTÍCULAS CON CARAS  FRACTURADAS EN AGREGADO GRUESO</t>
  </si>
  <si>
    <t>F-LEM-P-AG.11.02</t>
  </si>
  <si>
    <t>FORMATO N° F-LEM-P-AG-07.01</t>
  </si>
  <si>
    <t>Gradación de la muestra</t>
  </si>
  <si>
    <t>Tamaño de las particulas</t>
  </si>
  <si>
    <t>Abertura Tamiz</t>
  </si>
  <si>
    <t>TOTAL</t>
  </si>
  <si>
    <t>Peso Retenido (gr)</t>
  </si>
  <si>
    <t>Particulas Chatas</t>
  </si>
  <si>
    <t>(%) Retenido</t>
  </si>
  <si>
    <t>(%) Correg.</t>
  </si>
  <si>
    <t>Numero Partic.</t>
  </si>
  <si>
    <t>(%) Partic.</t>
  </si>
  <si>
    <t>Particulas Alargadas</t>
  </si>
  <si>
    <t>Pasa T.</t>
  </si>
  <si>
    <t>Particulas Chatas y Alargadas</t>
  </si>
  <si>
    <t>1:3</t>
  </si>
  <si>
    <t>1:4</t>
  </si>
  <si>
    <t>1:5</t>
  </si>
  <si>
    <t>1:2</t>
  </si>
  <si>
    <t>Rlación Dimencional</t>
  </si>
  <si>
    <t>Particulas Ni chatas Ni alargadas</t>
  </si>
  <si>
    <t>METODO DE ENSAYO PARA LA DETERMINACION DEL PORCENTAGE DE PARTICULAS CHATAS O ALARGADAS EN EL AGREGADO GRUESO</t>
  </si>
  <si>
    <t>Versión : 02 (02-01-2021)</t>
  </si>
  <si>
    <t>TMN</t>
  </si>
  <si>
    <t>Gradación de la muestra (1) - ASTM C136</t>
  </si>
  <si>
    <t>Muestra original</t>
  </si>
  <si>
    <t>Método de ensayo:</t>
  </si>
  <si>
    <t>Método A</t>
  </si>
  <si>
    <t>Masa 
(g)</t>
  </si>
  <si>
    <t>STANDARD TEST METHOD FOR FLAT PARTICLES, ELONGATED PARTICLES, OR FLAT AND ELONGATED PARTICLES IN COARSE AGGREGATE</t>
  </si>
  <si>
    <t>Retenido Tamiz</t>
  </si>
  <si>
    <t>Masa retenido 
(g)</t>
  </si>
  <si>
    <t>Masa Retenido original (g)</t>
  </si>
  <si>
    <t>Tamaño de las partículas</t>
  </si>
  <si>
    <t>Método B</t>
  </si>
  <si>
    <t>Número                 Partículas</t>
  </si>
  <si>
    <r>
      <rPr>
        <b/>
        <i/>
        <sz val="8"/>
        <rFont val="Arial"/>
        <family val="2"/>
      </rPr>
      <t>(*)</t>
    </r>
    <r>
      <rPr>
        <i/>
        <sz val="8"/>
        <rFont val="Arial"/>
        <family val="2"/>
      </rPr>
      <t xml:space="preserve"> Marcar con una Check o Aspa , aquellas mallas a evaluar o descartar; </t>
    </r>
    <r>
      <rPr>
        <b/>
        <i/>
        <sz val="8"/>
        <rFont val="Arial"/>
        <family val="2"/>
      </rPr>
      <t>(1)</t>
    </r>
    <r>
      <rPr>
        <i/>
        <sz val="8"/>
        <rFont val="Arial"/>
        <family val="2"/>
      </rPr>
      <t>Se realizará de no tener granulometría.</t>
    </r>
  </si>
  <si>
    <r>
      <rPr>
        <b/>
        <i/>
        <sz val="8"/>
        <rFont val="Arial"/>
        <family val="2"/>
      </rPr>
      <t>Nota:</t>
    </r>
    <r>
      <rPr>
        <i/>
        <sz val="8"/>
        <rFont val="Arial"/>
        <family val="2"/>
      </rPr>
      <t xml:space="preserve"> Para el método </t>
    </r>
    <r>
      <rPr>
        <b/>
        <i/>
        <sz val="8"/>
        <rFont val="Arial"/>
        <family val="2"/>
      </rPr>
      <t>A:</t>
    </r>
    <r>
      <rPr>
        <i/>
        <sz val="8"/>
        <rFont val="Arial"/>
        <family val="2"/>
      </rPr>
      <t xml:space="preserve"> Cumple el criterio del grupo 1 y Grupo 2; Método </t>
    </r>
    <r>
      <rPr>
        <b/>
        <i/>
        <sz val="8"/>
        <rFont val="Arial"/>
        <family val="2"/>
      </rPr>
      <t>B:</t>
    </r>
    <r>
      <rPr>
        <i/>
        <sz val="8"/>
        <rFont val="Arial"/>
        <family val="2"/>
      </rPr>
      <t xml:space="preserve"> Partículas en la relación de </t>
    </r>
    <r>
      <rPr>
        <i/>
        <u/>
        <sz val="8"/>
        <rFont val="Arial"/>
        <family val="2"/>
      </rPr>
      <t>Longitud - Espesor</t>
    </r>
  </si>
  <si>
    <t>Reducción de la mustra de prueba</t>
  </si>
  <si>
    <t>Número Partículas
 (Aprox. 100)</t>
  </si>
  <si>
    <r>
      <t xml:space="preserve">El </t>
    </r>
    <r>
      <rPr>
        <b/>
        <i/>
        <sz val="8"/>
        <rFont val="Arial"/>
        <family val="2"/>
      </rPr>
      <t>método A</t>
    </r>
    <r>
      <rPr>
        <i/>
        <sz val="8"/>
        <rFont val="Arial"/>
        <family val="2"/>
      </rPr>
      <t xml:space="preserve"> esta destinado para todas las aplicaciones, el </t>
    </r>
    <r>
      <rPr>
        <b/>
        <i/>
        <sz val="8"/>
        <rFont val="Arial"/>
        <family val="2"/>
      </rPr>
      <t>método B</t>
    </r>
    <r>
      <rPr>
        <i/>
        <sz val="8"/>
        <rFont val="Arial"/>
        <family val="2"/>
      </rPr>
      <t xml:space="preserve"> se realizara a solicitud del cliente (Superpave)</t>
    </r>
  </si>
  <si>
    <r>
      <t xml:space="preserve">Partículas Planas                                            Grupo 1                                                      </t>
    </r>
    <r>
      <rPr>
        <i/>
        <sz val="8"/>
        <rFont val="Arial"/>
        <family val="2"/>
      </rPr>
      <t>Ancho - espesor</t>
    </r>
  </si>
  <si>
    <r>
      <t>Partículas Alargadas
Grupo 2</t>
    </r>
    <r>
      <rPr>
        <b/>
        <i/>
        <sz val="8"/>
        <rFont val="Arial"/>
        <family val="2"/>
      </rPr>
      <t xml:space="preserve">
</t>
    </r>
    <r>
      <rPr>
        <i/>
        <sz val="8"/>
        <rFont val="Arial"/>
        <family val="2"/>
      </rPr>
      <t>Largo - ancho</t>
    </r>
  </si>
  <si>
    <t>Partículas Ni Planas Ni Alargadas
Grupo 4</t>
  </si>
  <si>
    <t xml:space="preserve">Nota: </t>
  </si>
  <si>
    <t>Horno</t>
  </si>
  <si>
    <t>Dispositivo de calibre proporcional</t>
  </si>
  <si>
    <t>Masa inicial</t>
  </si>
  <si>
    <t>Masa seca</t>
  </si>
  <si>
    <t>Masa seca constante</t>
  </si>
  <si>
    <r>
      <t xml:space="preserve">Criterio Acept.
≥10% </t>
    </r>
    <r>
      <rPr>
        <b/>
        <sz val="7.7"/>
        <rFont val="Arial"/>
        <family val="2"/>
      </rPr>
      <t>(*)</t>
    </r>
  </si>
  <si>
    <t>Tamiz requerido</t>
  </si>
  <si>
    <t>FORMATO N° F-LEM-P-AG-34.01</t>
  </si>
  <si>
    <t>No. 4</t>
  </si>
  <si>
    <t>Masa mín. (g)</t>
  </si>
  <si>
    <t>3/8 in.</t>
  </si>
  <si>
    <t>2 in.</t>
  </si>
  <si>
    <t>1 1/2 in.</t>
  </si>
  <si>
    <t>1 in.</t>
  </si>
  <si>
    <t>3/4 in.</t>
  </si>
  <si>
    <t>1/2 in.</t>
  </si>
  <si>
    <t>Balanza 0.1 g</t>
  </si>
  <si>
    <t>Codigo equipos utilizados</t>
  </si>
  <si>
    <t>ASTM D4791-19 (Reapproved 2023)</t>
  </si>
  <si>
    <t>WEB: www.geofal.com.pe   E-MAIL: laboratorio@geofal.com.pe                                                                                                                    
Av. Marañon 763, Los Olivos-Lima / Teléfono  01 754-3070</t>
  </si>
  <si>
    <t>Particulas que cumplen los criterios tanto del Grupo 1 como del Grupo 2
Grupo 3</t>
  </si>
  <si>
    <t>Versión: 02 (11-11-2024)</t>
  </si>
  <si>
    <t>MUESTRA</t>
  </si>
  <si>
    <t>No OT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</si>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</sst>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94" formatCode="0.0"/>
    <numFmt numFmtId="195" formatCode="0.000"/>
    <numFmt numFmtId="196" formatCode="dd\-mm\-yy"/>
    <numFmt numFmtId="197" formatCode="0.0%"/>
    <numFmt numFmtId="198" formatCode="0.0000"/>
    <numFmt numFmtId="199" formatCode="0.00000"/>
    <numFmt numFmtId="200" formatCode="dd\-mm\-yy;@"/>
    <numFmt numFmtId="201" formatCode="0.00000E+00"/>
    <numFmt numFmtId="202" formatCode="00\+000"/>
    <numFmt numFmtId="203" formatCode="0.00\ &quot;%&quot;"/>
    <numFmt numFmtId="204" formatCode="000\-\ &quot;20&quot;"/>
    <numFmt numFmtId="205" formatCode="000&quot;-SU-20&quot;"/>
    <numFmt numFmtId="206" formatCode="&quot;CERTIFICADO N°&quot;000&quot;-20 AG07&quot;"/>
    <numFmt numFmtId="207" formatCode="000&quot;-20 AG07&quot;"/>
    <numFmt numFmtId="210" formatCode="&quot;CERTIFICADO N°&quot;000&quot;-20 AG11&quot;"/>
    <numFmt numFmtId="211" formatCode="000&quot;-20 AG11&quot;"/>
  </numFmts>
  <fonts count="14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vertAlign val="superscript"/>
      <sz val="9"/>
      <name val="Times New Roman"/>
      <family val="1"/>
    </font>
    <font>
      <sz val="9"/>
      <color indexed="10"/>
      <name val="Times New Roman"/>
      <family val="1"/>
    </font>
    <font>
      <sz val="9"/>
      <color indexed="47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vertAlign val="superscript"/>
      <sz val="10"/>
      <name val="Times New Roman"/>
      <family val="1"/>
    </font>
    <font>
      <sz val="10"/>
      <color indexed="47"/>
      <name val="Times New Roman"/>
      <family val="1"/>
    </font>
    <font>
      <sz val="9"/>
      <name val="Arial"/>
      <family val="2"/>
    </font>
    <font>
      <sz val="11"/>
      <name val="Courier New"/>
      <family val="3"/>
    </font>
    <font>
      <sz val="8"/>
      <color indexed="17"/>
      <name val="Arial"/>
      <family val="2"/>
    </font>
    <font>
      <b/>
      <sz val="12"/>
      <color indexed="10"/>
      <name val="Times New Roman"/>
      <family val="1"/>
    </font>
    <font>
      <b/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8"/>
      <name val="Arial"/>
      <family val="2"/>
    </font>
    <font>
      <sz val="7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2"/>
      <name val="Times New Roman"/>
      <family val="1"/>
    </font>
    <font>
      <sz val="9"/>
      <color indexed="10"/>
      <name val="Arial"/>
      <family val="2"/>
    </font>
    <font>
      <sz val="8"/>
      <color indexed="9"/>
      <name val="Times New Roman"/>
      <family val="1"/>
    </font>
    <font>
      <sz val="8"/>
      <color indexed="10"/>
      <name val="Times New Roman"/>
      <family val="1"/>
    </font>
    <font>
      <b/>
      <sz val="8"/>
      <color indexed="10"/>
      <name val="Arial"/>
      <family val="2"/>
    </font>
    <font>
      <sz val="12"/>
      <color indexed="12"/>
      <name val="Times New Roman"/>
      <family val="1"/>
    </font>
    <font>
      <b/>
      <sz val="24"/>
      <color indexed="10"/>
      <name val="Times New Roman"/>
      <family val="1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i/>
      <sz val="8"/>
      <name val="Arial"/>
      <family val="2"/>
    </font>
    <font>
      <b/>
      <sz val="9"/>
      <color indexed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sz val="7"/>
      <color indexed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indexed="60"/>
      <name val="Arial"/>
      <family val="2"/>
    </font>
    <font>
      <vertAlign val="superscript"/>
      <sz val="10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10"/>
      <name val="Arial Narrow"/>
      <family val="2"/>
    </font>
    <font>
      <i/>
      <sz val="8"/>
      <name val="Arial"/>
      <family val="2"/>
    </font>
    <font>
      <b/>
      <i/>
      <sz val="8"/>
      <name val="Arial Narrow"/>
      <family val="2"/>
    </font>
    <font>
      <i/>
      <u/>
      <sz val="8"/>
      <name val="Arial"/>
      <family val="2"/>
    </font>
    <font>
      <sz val="7.7"/>
      <name val="Arial"/>
      <family val="2"/>
    </font>
    <font>
      <b/>
      <sz val="7.7"/>
      <name val="Arial"/>
      <family val="2"/>
    </font>
    <font>
      <sz val="10"/>
      <color rgb="FF0000FF"/>
      <name val="Times New Roman"/>
      <family val="1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b/>
      <sz val="8"/>
      <color theme="0"/>
      <name val="Arial"/>
      <family val="2"/>
    </font>
    <font>
      <sz val="8"/>
      <color theme="0" tint="-0.14999847407452621"/>
      <name val="Arial"/>
      <family val="2"/>
    </font>
    <font>
      <b/>
      <sz val="8"/>
      <color theme="0" tint="-0.14999847407452621"/>
      <name val="Arial"/>
      <family val="2"/>
    </font>
    <font>
      <sz val="7"/>
      <color theme="0" tint="-0.14999847407452621"/>
      <name val="Arial"/>
      <family val="2"/>
    </font>
    <font>
      <sz val="8"/>
      <color theme="0"/>
      <name val="Arial"/>
      <family val="2"/>
    </font>
    <font>
      <sz val="7"/>
      <color theme="0"/>
      <name val="Arial"/>
      <family val="2"/>
    </font>
    <font>
      <sz val="9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4">
    <border>
      <left/>
      <right/>
      <top/>
      <bottom/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15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9" fontId="1" fillId="0" borderId="0" applyFont="0" applyFill="0" applyBorder="0" applyAlignment="0" applyProtection="0"/>
  </cellStyleXfs>
  <cellXfs count="1386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vertical="center"/>
    </xf>
    <xf numFmtId="0" fontId="11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0" fontId="12" fillId="5" borderId="0" xfId="0" applyFont="1" applyFill="1" applyBorder="1" applyAlignment="1">
      <alignment vertical="center"/>
    </xf>
    <xf numFmtId="194" fontId="11" fillId="5" borderId="7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1" fillId="5" borderId="1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vertical="center"/>
    </xf>
    <xf numFmtId="0" fontId="12" fillId="6" borderId="0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6" fillId="4" borderId="0" xfId="0" applyFont="1" applyFill="1" applyAlignment="1">
      <alignment horizontal="center"/>
    </xf>
    <xf numFmtId="0" fontId="0" fillId="0" borderId="0" xfId="0" applyFill="1"/>
    <xf numFmtId="0" fontId="16" fillId="4" borderId="0" xfId="0" applyFont="1" applyFill="1" applyAlignment="1">
      <alignment horizontal="right"/>
    </xf>
    <xf numFmtId="2" fontId="16" fillId="4" borderId="0" xfId="0" applyNumberFormat="1" applyFont="1" applyFill="1" applyAlignment="1">
      <alignment horizontal="left"/>
    </xf>
    <xf numFmtId="2" fontId="16" fillId="4" borderId="0" xfId="0" quotePrefix="1" applyNumberFormat="1" applyFont="1" applyFill="1" applyAlignment="1">
      <alignment horizontal="left"/>
    </xf>
    <xf numFmtId="0" fontId="17" fillId="0" borderId="0" xfId="0" applyFont="1" applyFill="1" applyAlignment="1">
      <alignment horizontal="center"/>
    </xf>
    <xf numFmtId="0" fontId="18" fillId="4" borderId="0" xfId="0" applyFont="1" applyFill="1"/>
    <xf numFmtId="0" fontId="19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4" fillId="3" borderId="20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vertical="center" wrapText="1"/>
    </xf>
    <xf numFmtId="0" fontId="24" fillId="3" borderId="2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vertical="center" wrapText="1"/>
    </xf>
    <xf numFmtId="0" fontId="25" fillId="3" borderId="21" xfId="0" applyFont="1" applyFill="1" applyBorder="1" applyAlignment="1">
      <alignment vertical="center"/>
    </xf>
    <xf numFmtId="0" fontId="25" fillId="3" borderId="21" xfId="0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vertical="center" wrapText="1"/>
    </xf>
    <xf numFmtId="0" fontId="26" fillId="8" borderId="21" xfId="0" applyFont="1" applyFill="1" applyBorder="1" applyAlignment="1">
      <alignment vertical="center"/>
    </xf>
    <xf numFmtId="0" fontId="26" fillId="8" borderId="21" xfId="0" applyFont="1" applyFill="1" applyBorder="1" applyAlignment="1">
      <alignment horizontal="left" vertical="center" wrapText="1"/>
    </xf>
    <xf numFmtId="0" fontId="16" fillId="8" borderId="22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vertical="center" wrapText="1"/>
    </xf>
    <xf numFmtId="0" fontId="29" fillId="9" borderId="23" xfId="0" applyFont="1" applyFill="1" applyBorder="1" applyAlignment="1">
      <alignment vertical="center" wrapText="1"/>
    </xf>
    <xf numFmtId="0" fontId="30" fillId="4" borderId="0" xfId="0" applyFont="1" applyFill="1" applyAlignment="1">
      <alignment vertical="center"/>
    </xf>
    <xf numFmtId="0" fontId="16" fillId="10" borderId="21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vertical="center" wrapText="1"/>
    </xf>
    <xf numFmtId="0" fontId="16" fillId="10" borderId="20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vertical="center"/>
    </xf>
    <xf numFmtId="0" fontId="27" fillId="11" borderId="26" xfId="0" applyFont="1" applyFill="1" applyBorder="1"/>
    <xf numFmtId="0" fontId="27" fillId="11" borderId="27" xfId="0" applyFont="1" applyFill="1" applyBorder="1"/>
    <xf numFmtId="0" fontId="31" fillId="10" borderId="28" xfId="0" applyFont="1" applyFill="1" applyBorder="1" applyAlignment="1">
      <alignment horizontal="center"/>
    </xf>
    <xf numFmtId="0" fontId="32" fillId="10" borderId="29" xfId="0" applyFont="1" applyFill="1" applyBorder="1"/>
    <xf numFmtId="0" fontId="9" fillId="4" borderId="0" xfId="0" applyFont="1" applyFill="1"/>
    <xf numFmtId="0" fontId="33" fillId="4" borderId="0" xfId="0" applyFont="1" applyFill="1" applyAlignment="1">
      <alignment horizontal="center"/>
    </xf>
    <xf numFmtId="0" fontId="2" fillId="4" borderId="0" xfId="0" applyFont="1" applyFill="1"/>
    <xf numFmtId="0" fontId="20" fillId="4" borderId="0" xfId="0" applyFont="1" applyFill="1" applyAlignment="1">
      <alignment horizontal="center"/>
    </xf>
    <xf numFmtId="0" fontId="2" fillId="0" borderId="0" xfId="0" applyFont="1"/>
    <xf numFmtId="0" fontId="2" fillId="0" borderId="22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94" fontId="20" fillId="0" borderId="0" xfId="0" applyNumberFormat="1" applyFont="1"/>
    <xf numFmtId="0" fontId="37" fillId="12" borderId="0" xfId="0" applyFont="1" applyFill="1" applyBorder="1" applyAlignment="1">
      <alignment horizontal="center" vertical="center"/>
    </xf>
    <xf numFmtId="0" fontId="44" fillId="12" borderId="0" xfId="0" applyFont="1" applyFill="1" applyBorder="1" applyAlignment="1">
      <alignment horizontal="center" vertical="center"/>
    </xf>
    <xf numFmtId="195" fontId="2" fillId="0" borderId="0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195" fontId="4" fillId="0" borderId="3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94" fontId="0" fillId="0" borderId="0" xfId="0" applyNumberFormat="1" applyAlignment="1">
      <alignment vertical="center"/>
    </xf>
    <xf numFmtId="195" fontId="2" fillId="0" borderId="0" xfId="0" applyNumberFormat="1" applyFont="1" applyAlignment="1" applyProtection="1">
      <alignment horizontal="center" vertical="center"/>
      <protection hidden="1"/>
    </xf>
    <xf numFmtId="12" fontId="3" fillId="0" borderId="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94" fontId="0" fillId="0" borderId="21" xfId="0" applyNumberForma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51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0" fillId="12" borderId="0" xfId="0" applyFill="1" applyBorder="1" applyAlignment="1">
      <alignment vertical="center"/>
    </xf>
    <xf numFmtId="0" fontId="0" fillId="12" borderId="31" xfId="0" applyFill="1" applyBorder="1" applyAlignment="1">
      <alignment vertical="center"/>
    </xf>
    <xf numFmtId="0" fontId="0" fillId="12" borderId="32" xfId="0" applyFill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33" xfId="0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0" fillId="12" borderId="20" xfId="0" applyFill="1" applyBorder="1" applyAlignment="1">
      <alignment horizontal="center" vertical="center"/>
    </xf>
    <xf numFmtId="0" fontId="0" fillId="12" borderId="20" xfId="0" applyFill="1" applyBorder="1" applyAlignment="1">
      <alignment vertical="center"/>
    </xf>
    <xf numFmtId="0" fontId="0" fillId="12" borderId="34" xfId="0" applyFill="1" applyBorder="1" applyAlignment="1">
      <alignment vertical="center"/>
    </xf>
    <xf numFmtId="0" fontId="0" fillId="12" borderId="35" xfId="0" applyFill="1" applyBorder="1" applyAlignment="1">
      <alignment horizontal="center" vertical="center"/>
    </xf>
    <xf numFmtId="194" fontId="0" fillId="12" borderId="35" xfId="0" applyNumberFormat="1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194" fontId="20" fillId="12" borderId="20" xfId="0" applyNumberFormat="1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194" fontId="20" fillId="12" borderId="0" xfId="0" applyNumberFormat="1" applyFont="1" applyFill="1" applyBorder="1" applyAlignment="1">
      <alignment horizontal="center" vertical="center"/>
    </xf>
    <xf numFmtId="0" fontId="0" fillId="12" borderId="37" xfId="0" applyFill="1" applyBorder="1" applyAlignment="1">
      <alignment vertical="center"/>
    </xf>
    <xf numFmtId="0" fontId="0" fillId="12" borderId="38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0" fillId="12" borderId="0" xfId="0" applyFill="1" applyBorder="1"/>
    <xf numFmtId="0" fontId="20" fillId="12" borderId="0" xfId="0" applyFont="1" applyFill="1"/>
    <xf numFmtId="0" fontId="54" fillId="12" borderId="0" xfId="0" applyFont="1" applyFill="1"/>
    <xf numFmtId="0" fontId="0" fillId="12" borderId="0" xfId="0" applyFill="1" applyAlignment="1">
      <alignment horizontal="center"/>
    </xf>
    <xf numFmtId="0" fontId="0" fillId="12" borderId="39" xfId="0" applyFill="1" applyBorder="1"/>
    <xf numFmtId="0" fontId="0" fillId="12" borderId="40" xfId="0" applyFill="1" applyBorder="1"/>
    <xf numFmtId="0" fontId="20" fillId="12" borderId="24" xfId="0" applyFont="1" applyFill="1" applyBorder="1" applyAlignment="1">
      <alignment horizontal="center" vertical="center"/>
    </xf>
    <xf numFmtId="0" fontId="33" fillId="12" borderId="0" xfId="0" applyFont="1" applyFill="1"/>
    <xf numFmtId="197" fontId="20" fillId="12" borderId="0" xfId="10" applyNumberFormat="1" applyFont="1" applyFill="1" applyAlignment="1">
      <alignment horizontal="center"/>
    </xf>
    <xf numFmtId="196" fontId="0" fillId="12" borderId="39" xfId="0" applyNumberFormat="1" applyFill="1" applyBorder="1" applyAlignment="1">
      <alignment horizontal="left"/>
    </xf>
    <xf numFmtId="0" fontId="0" fillId="12" borderId="41" xfId="0" applyFill="1" applyBorder="1"/>
    <xf numFmtId="49" fontId="0" fillId="12" borderId="39" xfId="0" applyNumberFormat="1" applyFill="1" applyBorder="1"/>
    <xf numFmtId="194" fontId="0" fillId="12" borderId="36" xfId="0" applyNumberFormat="1" applyFill="1" applyBorder="1" applyAlignment="1">
      <alignment horizontal="center" vertical="center"/>
    </xf>
    <xf numFmtId="0" fontId="36" fillId="12" borderId="42" xfId="0" applyFont="1" applyFill="1" applyBorder="1" applyAlignment="1" applyProtection="1">
      <alignment horizontal="centerContinuous" vertical="center"/>
      <protection locked="0"/>
    </xf>
    <xf numFmtId="0" fontId="36" fillId="12" borderId="43" xfId="0" applyFont="1" applyFill="1" applyBorder="1" applyAlignment="1">
      <alignment horizontal="centerContinuous" vertical="center"/>
    </xf>
    <xf numFmtId="0" fontId="36" fillId="12" borderId="43" xfId="0" applyFont="1" applyFill="1" applyBorder="1" applyAlignment="1">
      <alignment vertical="center"/>
    </xf>
    <xf numFmtId="0" fontId="37" fillId="12" borderId="0" xfId="0" applyFont="1" applyFill="1" applyBorder="1" applyAlignment="1">
      <alignment horizontal="centerContinuous" vertical="center"/>
    </xf>
    <xf numFmtId="0" fontId="38" fillId="12" borderId="0" xfId="0" applyFont="1" applyFill="1" applyBorder="1" applyAlignment="1">
      <alignment horizontal="centerContinuous" vertical="center"/>
    </xf>
    <xf numFmtId="0" fontId="42" fillId="12" borderId="31" xfId="0" applyFont="1" applyFill="1" applyBorder="1" applyAlignment="1">
      <alignment vertical="center"/>
    </xf>
    <xf numFmtId="0" fontId="43" fillId="12" borderId="31" xfId="0" applyFont="1" applyFill="1" applyBorder="1" applyAlignment="1">
      <alignment vertical="center"/>
    </xf>
    <xf numFmtId="0" fontId="5" fillId="12" borderId="0" xfId="0" applyFont="1" applyFill="1"/>
    <xf numFmtId="0" fontId="43" fillId="12" borderId="20" xfId="0" applyFont="1" applyFill="1" applyBorder="1" applyAlignment="1">
      <alignment horizontal="center" vertical="center"/>
    </xf>
    <xf numFmtId="0" fontId="43" fillId="12" borderId="21" xfId="0" applyFont="1" applyFill="1" applyBorder="1" applyAlignment="1">
      <alignment horizontal="center" vertical="center"/>
    </xf>
    <xf numFmtId="2" fontId="43" fillId="12" borderId="21" xfId="0" applyNumberFormat="1" applyFont="1" applyFill="1" applyBorder="1" applyAlignment="1">
      <alignment horizontal="center" vertical="center"/>
    </xf>
    <xf numFmtId="0" fontId="38" fillId="12" borderId="0" xfId="0" applyFont="1" applyFill="1" applyAlignment="1">
      <alignment vertical="center"/>
    </xf>
    <xf numFmtId="0" fontId="36" fillId="12" borderId="0" xfId="0" applyFont="1" applyFill="1" applyBorder="1" applyAlignment="1">
      <alignment vertical="center"/>
    </xf>
    <xf numFmtId="0" fontId="37" fillId="12" borderId="0" xfId="0" applyFont="1" applyFill="1" applyBorder="1" applyAlignment="1">
      <alignment vertical="center"/>
    </xf>
    <xf numFmtId="0" fontId="37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49" fontId="37" fillId="12" borderId="39" xfId="0" applyNumberFormat="1" applyFont="1" applyFill="1" applyBorder="1" applyAlignment="1" applyProtection="1">
      <alignment vertical="center"/>
      <protection locked="0"/>
    </xf>
    <xf numFmtId="0" fontId="37" fillId="12" borderId="39" xfId="0" applyFont="1" applyFill="1" applyBorder="1" applyAlignment="1" applyProtection="1">
      <alignment vertical="center"/>
      <protection locked="0"/>
    </xf>
    <xf numFmtId="0" fontId="38" fillId="12" borderId="0" xfId="0" applyFont="1" applyFill="1" applyAlignment="1">
      <alignment horizontal="center" vertical="center"/>
    </xf>
    <xf numFmtId="0" fontId="37" fillId="12" borderId="40" xfId="0" applyFont="1" applyFill="1" applyBorder="1" applyAlignment="1" applyProtection="1">
      <alignment vertical="center"/>
      <protection locked="0"/>
    </xf>
    <xf numFmtId="0" fontId="43" fillId="12" borderId="32" xfId="0" applyFont="1" applyFill="1" applyBorder="1" applyAlignment="1">
      <alignment vertical="center"/>
    </xf>
    <xf numFmtId="194" fontId="38" fillId="12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vertical="center"/>
    </xf>
    <xf numFmtId="194" fontId="37" fillId="12" borderId="0" xfId="0" applyNumberFormat="1" applyFont="1" applyFill="1" applyBorder="1" applyAlignment="1">
      <alignment horizontal="left" vertical="center"/>
    </xf>
    <xf numFmtId="0" fontId="43" fillId="12" borderId="0" xfId="0" applyFont="1" applyFill="1" applyBorder="1" applyAlignment="1">
      <alignment vertical="center"/>
    </xf>
    <xf numFmtId="0" fontId="36" fillId="12" borderId="24" xfId="0" applyFont="1" applyFill="1" applyBorder="1" applyAlignment="1">
      <alignment horizontal="center" vertical="center"/>
    </xf>
    <xf numFmtId="0" fontId="36" fillId="12" borderId="44" xfId="0" applyFont="1" applyFill="1" applyBorder="1" applyAlignment="1">
      <alignment horizontal="center" vertical="center"/>
    </xf>
    <xf numFmtId="0" fontId="36" fillId="12" borderId="20" xfId="0" applyFont="1" applyFill="1" applyBorder="1" applyAlignment="1">
      <alignment horizontal="center" vertical="center"/>
    </xf>
    <xf numFmtId="0" fontId="36" fillId="12" borderId="33" xfId="0" applyFont="1" applyFill="1" applyBorder="1" applyAlignment="1">
      <alignment horizontal="center" vertical="center"/>
    </xf>
    <xf numFmtId="0" fontId="37" fillId="12" borderId="21" xfId="0" applyFont="1" applyFill="1" applyBorder="1" applyAlignment="1" applyProtection="1">
      <alignment horizontal="center" vertical="center"/>
      <protection hidden="1"/>
    </xf>
    <xf numFmtId="195" fontId="43" fillId="12" borderId="21" xfId="0" applyNumberFormat="1" applyFont="1" applyFill="1" applyBorder="1" applyAlignment="1" applyProtection="1">
      <alignment horizontal="center" vertical="center"/>
      <protection hidden="1"/>
    </xf>
    <xf numFmtId="194" fontId="37" fillId="12" borderId="21" xfId="0" applyNumberFormat="1" applyFont="1" applyFill="1" applyBorder="1" applyAlignment="1">
      <alignment horizontal="center" vertical="center"/>
    </xf>
    <xf numFmtId="194" fontId="37" fillId="12" borderId="34" xfId="0" applyNumberFormat="1" applyFont="1" applyFill="1" applyBorder="1" applyAlignment="1">
      <alignment horizontal="center" vertical="center"/>
    </xf>
    <xf numFmtId="194" fontId="37" fillId="12" borderId="33" xfId="0" applyNumberFormat="1" applyFont="1" applyFill="1" applyBorder="1" applyAlignment="1">
      <alignment horizontal="center" vertical="center"/>
    </xf>
    <xf numFmtId="194" fontId="37" fillId="12" borderId="31" xfId="0" applyNumberFormat="1" applyFont="1" applyFill="1" applyBorder="1" applyAlignment="1">
      <alignment horizontal="center" vertical="center"/>
    </xf>
    <xf numFmtId="194" fontId="37" fillId="12" borderId="32" xfId="0" applyNumberFormat="1" applyFont="1" applyFill="1" applyBorder="1" applyAlignment="1">
      <alignment horizontal="center" vertical="center"/>
    </xf>
    <xf numFmtId="194" fontId="37" fillId="12" borderId="0" xfId="0" applyNumberFormat="1" applyFont="1" applyFill="1" applyBorder="1" applyAlignment="1">
      <alignment horizontal="center" vertical="center"/>
    </xf>
    <xf numFmtId="0" fontId="57" fillId="12" borderId="0" xfId="0" applyFont="1" applyFill="1" applyAlignment="1">
      <alignment vertical="center"/>
    </xf>
    <xf numFmtId="2" fontId="38" fillId="12" borderId="0" xfId="0" applyNumberFormat="1" applyFont="1" applyFill="1" applyAlignment="1">
      <alignment vertical="center"/>
    </xf>
    <xf numFmtId="12" fontId="37" fillId="12" borderId="21" xfId="0" applyNumberFormat="1" applyFont="1" applyFill="1" applyBorder="1" applyAlignment="1" applyProtection="1">
      <alignment horizontal="center" vertical="center"/>
      <protection hidden="1"/>
    </xf>
    <xf numFmtId="1" fontId="37" fillId="12" borderId="0" xfId="0" applyNumberFormat="1" applyFont="1" applyFill="1" applyBorder="1" applyAlignment="1">
      <alignment horizontal="center" vertical="center"/>
    </xf>
    <xf numFmtId="2" fontId="43" fillId="12" borderId="0" xfId="0" applyNumberFormat="1" applyFont="1" applyFill="1" applyAlignment="1">
      <alignment vertical="center"/>
    </xf>
    <xf numFmtId="0" fontId="44" fillId="12" borderId="0" xfId="0" applyFont="1" applyFill="1" applyBorder="1" applyAlignment="1">
      <alignment horizontal="left" vertical="center"/>
    </xf>
    <xf numFmtId="194" fontId="38" fillId="12" borderId="0" xfId="0" applyNumberFormat="1" applyFont="1" applyFill="1" applyAlignment="1">
      <alignment vertical="center"/>
    </xf>
    <xf numFmtId="0" fontId="37" fillId="12" borderId="21" xfId="0" applyFont="1" applyFill="1" applyBorder="1" applyAlignment="1">
      <alignment horizontal="center" vertical="center"/>
    </xf>
    <xf numFmtId="194" fontId="37" fillId="12" borderId="45" xfId="0" quotePrefix="1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vertical="center"/>
    </xf>
    <xf numFmtId="0" fontId="49" fillId="12" borderId="0" xfId="0" applyFont="1" applyFill="1" applyAlignment="1">
      <alignment vertical="center"/>
    </xf>
    <xf numFmtId="194" fontId="40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 applyProtection="1">
      <alignment vertical="center"/>
      <protection locked="0"/>
    </xf>
    <xf numFmtId="2" fontId="38" fillId="12" borderId="0" xfId="0" applyNumberFormat="1" applyFont="1" applyFill="1" applyAlignment="1" applyProtection="1">
      <alignment vertical="center"/>
      <protection locked="0"/>
    </xf>
    <xf numFmtId="0" fontId="37" fillId="12" borderId="46" xfId="0" applyFont="1" applyFill="1" applyBorder="1" applyAlignment="1">
      <alignment vertical="center"/>
    </xf>
    <xf numFmtId="0" fontId="37" fillId="12" borderId="0" xfId="0" applyFont="1" applyFill="1" applyAlignment="1">
      <alignment horizontal="center" vertical="center"/>
    </xf>
    <xf numFmtId="194" fontId="43" fillId="12" borderId="21" xfId="0" applyNumberFormat="1" applyFont="1" applyFill="1" applyBorder="1" applyAlignment="1" applyProtection="1">
      <alignment horizontal="center" vertical="center"/>
      <protection locked="0"/>
    </xf>
    <xf numFmtId="0" fontId="43" fillId="12" borderId="21" xfId="0" quotePrefix="1" applyFont="1" applyFill="1" applyBorder="1" applyAlignment="1" applyProtection="1">
      <alignment horizontal="center" vertical="center"/>
      <protection locked="0"/>
    </xf>
    <xf numFmtId="194" fontId="43" fillId="12" borderId="21" xfId="0" quotePrefix="1" applyNumberFormat="1" applyFont="1" applyFill="1" applyBorder="1" applyAlignment="1" applyProtection="1">
      <alignment horizontal="center" vertical="center"/>
      <protection locked="0"/>
    </xf>
    <xf numFmtId="2" fontId="42" fillId="12" borderId="21" xfId="0" quotePrefix="1" applyNumberFormat="1" applyFont="1" applyFill="1" applyBorder="1" applyAlignment="1" applyProtection="1">
      <alignment horizontal="center" vertical="center"/>
      <protection locked="0"/>
    </xf>
    <xf numFmtId="0" fontId="37" fillId="12" borderId="47" xfId="0" applyFont="1" applyFill="1" applyBorder="1" applyAlignment="1">
      <alignment vertical="center"/>
    </xf>
    <xf numFmtId="0" fontId="37" fillId="12" borderId="48" xfId="0" applyFont="1" applyFill="1" applyBorder="1" applyAlignment="1">
      <alignment vertical="center"/>
    </xf>
    <xf numFmtId="0" fontId="36" fillId="12" borderId="48" xfId="0" applyFont="1" applyFill="1" applyBorder="1" applyAlignment="1">
      <alignment vertical="center"/>
    </xf>
    <xf numFmtId="0" fontId="37" fillId="12" borderId="0" xfId="0" applyFont="1" applyFill="1" applyBorder="1" applyAlignment="1">
      <alignment horizontal="left" vertical="center"/>
    </xf>
    <xf numFmtId="0" fontId="0" fillId="12" borderId="49" xfId="0" applyFill="1" applyBorder="1" applyAlignment="1">
      <alignment horizontal="centerContinuous" vertical="center"/>
    </xf>
    <xf numFmtId="0" fontId="0" fillId="12" borderId="50" xfId="0" applyFill="1" applyBorder="1" applyAlignment="1">
      <alignment horizontal="centerContinuous" vertical="center"/>
    </xf>
    <xf numFmtId="0" fontId="0" fillId="12" borderId="0" xfId="0" applyFill="1" applyBorder="1" applyAlignment="1">
      <alignment horizontal="centerContinuous" vertical="center"/>
    </xf>
    <xf numFmtId="0" fontId="0" fillId="12" borderId="51" xfId="0" applyFill="1" applyBorder="1" applyAlignment="1">
      <alignment horizontal="centerContinuous" vertical="center"/>
    </xf>
    <xf numFmtId="0" fontId="0" fillId="12" borderId="51" xfId="0" applyFill="1" applyBorder="1"/>
    <xf numFmtId="0" fontId="51" fillId="12" borderId="0" xfId="0" applyFont="1" applyFill="1" applyBorder="1" applyAlignment="1">
      <alignment vertical="center"/>
    </xf>
    <xf numFmtId="0" fontId="0" fillId="12" borderId="51" xfId="0" applyFill="1" applyBorder="1" applyAlignment="1">
      <alignment vertical="center"/>
    </xf>
    <xf numFmtId="0" fontId="0" fillId="12" borderId="48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37" fillId="12" borderId="53" xfId="0" applyFont="1" applyFill="1" applyBorder="1" applyAlignment="1">
      <alignment vertical="center"/>
    </xf>
    <xf numFmtId="0" fontId="38" fillId="12" borderId="53" xfId="0" applyFont="1" applyFill="1" applyBorder="1" applyAlignment="1">
      <alignment vertical="center"/>
    </xf>
    <xf numFmtId="0" fontId="36" fillId="12" borderId="0" xfId="0" applyFont="1" applyFill="1" applyBorder="1" applyAlignment="1">
      <alignment horizontal="center" vertical="center"/>
    </xf>
    <xf numFmtId="194" fontId="36" fillId="12" borderId="0" xfId="10" applyNumberFormat="1" applyFont="1" applyFill="1" applyBorder="1" applyAlignment="1">
      <alignment horizontal="left" vertical="center"/>
    </xf>
    <xf numFmtId="0" fontId="40" fillId="12" borderId="0" xfId="0" applyFont="1" applyFill="1" applyBorder="1" applyAlignment="1">
      <alignment vertical="center"/>
    </xf>
    <xf numFmtId="0" fontId="40" fillId="12" borderId="0" xfId="0" applyFont="1" applyFill="1" applyBorder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2" xfId="0" applyFont="1" applyFill="1" applyBorder="1" applyAlignment="1">
      <alignment horizontal="center" vertical="center"/>
    </xf>
    <xf numFmtId="2" fontId="38" fillId="12" borderId="21" xfId="0" applyNumberFormat="1" applyFont="1" applyFill="1" applyBorder="1" applyAlignment="1">
      <alignment horizontal="center" vertical="center"/>
    </xf>
    <xf numFmtId="194" fontId="38" fillId="12" borderId="21" xfId="0" applyNumberFormat="1" applyFont="1" applyFill="1" applyBorder="1" applyAlignment="1">
      <alignment horizontal="center" vertical="center"/>
    </xf>
    <xf numFmtId="2" fontId="58" fillId="12" borderId="21" xfId="0" applyNumberFormat="1" applyFont="1" applyFill="1" applyBorder="1" applyAlignment="1">
      <alignment horizontal="center" vertical="center"/>
    </xf>
    <xf numFmtId="0" fontId="38" fillId="12" borderId="0" xfId="0" applyFont="1" applyFill="1" applyBorder="1" applyAlignment="1">
      <alignment vertical="center"/>
    </xf>
    <xf numFmtId="0" fontId="38" fillId="12" borderId="0" xfId="0" applyFont="1" applyFill="1" applyBorder="1" applyAlignment="1">
      <alignment horizontal="center" vertical="center"/>
    </xf>
    <xf numFmtId="194" fontId="38" fillId="12" borderId="0" xfId="0" applyNumberFormat="1" applyFont="1" applyFill="1" applyBorder="1" applyAlignment="1">
      <alignment horizontal="left" vertical="center"/>
    </xf>
    <xf numFmtId="0" fontId="40" fillId="12" borderId="54" xfId="0" applyFont="1" applyFill="1" applyBorder="1" applyAlignment="1">
      <alignment horizontal="left" vertical="center"/>
    </xf>
    <xf numFmtId="0" fontId="42" fillId="12" borderId="0" xfId="0" applyFont="1" applyFill="1" applyBorder="1" applyAlignment="1">
      <alignment horizontal="left" vertical="center"/>
    </xf>
    <xf numFmtId="0" fontId="38" fillId="12" borderId="21" xfId="0" applyFont="1" applyFill="1" applyBorder="1" applyAlignment="1">
      <alignment horizontal="center" vertical="center"/>
    </xf>
    <xf numFmtId="0" fontId="38" fillId="12" borderId="55" xfId="0" applyFont="1" applyFill="1" applyBorder="1" applyAlignment="1">
      <alignment horizontal="center" vertical="center"/>
    </xf>
    <xf numFmtId="0" fontId="43" fillId="12" borderId="0" xfId="0" applyFont="1" applyFill="1" applyBorder="1" applyAlignment="1">
      <alignment horizontal="center" vertical="center"/>
    </xf>
    <xf numFmtId="195" fontId="38" fillId="12" borderId="56" xfId="0" applyNumberFormat="1" applyFont="1" applyFill="1" applyBorder="1" applyAlignment="1">
      <alignment horizontal="center" vertical="center"/>
    </xf>
    <xf numFmtId="195" fontId="38" fillId="12" borderId="57" xfId="0" applyNumberFormat="1" applyFont="1" applyFill="1" applyBorder="1" applyAlignment="1">
      <alignment horizontal="center" vertical="center"/>
    </xf>
    <xf numFmtId="195" fontId="38" fillId="12" borderId="56" xfId="0" quotePrefix="1" applyNumberFormat="1" applyFont="1" applyFill="1" applyBorder="1" applyAlignment="1">
      <alignment horizontal="center" vertical="center"/>
    </xf>
    <xf numFmtId="195" fontId="38" fillId="12" borderId="57" xfId="0" quotePrefix="1" applyNumberFormat="1" applyFont="1" applyFill="1" applyBorder="1" applyAlignment="1">
      <alignment horizontal="center" vertical="center"/>
    </xf>
    <xf numFmtId="1" fontId="38" fillId="12" borderId="0" xfId="0" applyNumberFormat="1" applyFont="1" applyFill="1" applyBorder="1" applyAlignment="1">
      <alignment vertical="center"/>
    </xf>
    <xf numFmtId="0" fontId="61" fillId="12" borderId="0" xfId="0" applyFont="1" applyFill="1" applyBorder="1" applyAlignment="1">
      <alignment vertical="center"/>
    </xf>
    <xf numFmtId="194" fontId="38" fillId="12" borderId="0" xfId="0" applyNumberFormat="1" applyFont="1" applyFill="1" applyBorder="1" applyAlignment="1">
      <alignment vertical="center"/>
    </xf>
    <xf numFmtId="0" fontId="36" fillId="12" borderId="0" xfId="0" applyFont="1" applyFill="1" applyAlignment="1">
      <alignment horizontal="center" vertical="center"/>
    </xf>
    <xf numFmtId="0" fontId="15" fillId="12" borderId="0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/>
    </xf>
    <xf numFmtId="2" fontId="64" fillId="0" borderId="21" xfId="0" applyNumberFormat="1" applyFont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95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13" borderId="0" xfId="0" applyNumberFormat="1" applyFont="1" applyFill="1" applyAlignment="1">
      <alignment horizontal="center" vertical="center"/>
    </xf>
    <xf numFmtId="194" fontId="2" fillId="0" borderId="55" xfId="0" applyNumberFormat="1" applyFont="1" applyBorder="1" applyAlignment="1">
      <alignment horizontal="center" vertical="center"/>
    </xf>
    <xf numFmtId="194" fontId="2" fillId="0" borderId="58" xfId="0" applyNumberFormat="1" applyFont="1" applyBorder="1" applyAlignment="1">
      <alignment horizontal="center" vertical="center"/>
    </xf>
    <xf numFmtId="2" fontId="2" fillId="0" borderId="55" xfId="0" applyNumberFormat="1" applyFont="1" applyBorder="1" applyAlignment="1">
      <alignment horizontal="center" vertical="center"/>
    </xf>
    <xf numFmtId="2" fontId="2" fillId="0" borderId="58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2" fontId="2" fillId="0" borderId="58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94" fontId="2" fillId="0" borderId="57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2" fontId="2" fillId="0" borderId="59" xfId="0" applyNumberFormat="1" applyFont="1" applyBorder="1" applyAlignment="1">
      <alignment horizontal="center" vertical="center"/>
    </xf>
    <xf numFmtId="2" fontId="2" fillId="14" borderId="58" xfId="0" applyNumberFormat="1" applyFont="1" applyFill="1" applyBorder="1" applyAlignment="1">
      <alignment horizontal="center" vertical="center"/>
    </xf>
    <xf numFmtId="0" fontId="39" fillId="12" borderId="49" xfId="0" applyFont="1" applyFill="1" applyBorder="1" applyAlignment="1">
      <alignment horizontal="center" vertical="center"/>
    </xf>
    <xf numFmtId="0" fontId="37" fillId="12" borderId="34" xfId="0" applyFont="1" applyFill="1" applyBorder="1" applyAlignment="1">
      <alignment vertical="center"/>
    </xf>
    <xf numFmtId="0" fontId="65" fillId="12" borderId="0" xfId="0" applyFont="1" applyFill="1" applyBorder="1" applyAlignment="1">
      <alignment horizontal="center" vertical="center"/>
    </xf>
    <xf numFmtId="0" fontId="38" fillId="12" borderId="40" xfId="0" applyFont="1" applyFill="1" applyBorder="1" applyAlignment="1">
      <alignment vertical="center"/>
    </xf>
    <xf numFmtId="0" fontId="38" fillId="12" borderId="60" xfId="0" applyFont="1" applyFill="1" applyBorder="1" applyAlignment="1">
      <alignment horizontal="center" vertical="center"/>
    </xf>
    <xf numFmtId="0" fontId="66" fillId="12" borderId="0" xfId="0" applyFont="1" applyFill="1" applyBorder="1" applyAlignment="1">
      <alignment horizontal="center" vertical="center"/>
    </xf>
    <xf numFmtId="0" fontId="37" fillId="12" borderId="40" xfId="0" applyFont="1" applyFill="1" applyBorder="1" applyAlignment="1">
      <alignment vertical="center"/>
    </xf>
    <xf numFmtId="49" fontId="37" fillId="12" borderId="0" xfId="0" applyNumberFormat="1" applyFont="1" applyFill="1" applyBorder="1" applyAlignment="1">
      <alignment vertical="center"/>
    </xf>
    <xf numFmtId="0" fontId="37" fillId="12" borderId="0" xfId="0" applyFont="1" applyFill="1" applyBorder="1" applyAlignment="1">
      <alignment horizontal="right" vertical="center"/>
    </xf>
    <xf numFmtId="195" fontId="37" fillId="12" borderId="0" xfId="0" applyNumberFormat="1" applyFont="1" applyFill="1" applyBorder="1" applyAlignment="1">
      <alignment horizontal="left" vertical="center"/>
    </xf>
    <xf numFmtId="0" fontId="42" fillId="12" borderId="0" xfId="0" applyFont="1" applyFill="1" applyBorder="1" applyAlignment="1">
      <alignment vertical="center"/>
    </xf>
    <xf numFmtId="0" fontId="43" fillId="12" borderId="0" xfId="0" applyFont="1" applyFill="1" applyBorder="1" applyAlignment="1">
      <alignment horizontal="left" vertical="center"/>
    </xf>
    <xf numFmtId="2" fontId="43" fillId="12" borderId="0" xfId="0" applyNumberFormat="1" applyFont="1" applyFill="1" applyBorder="1" applyAlignment="1">
      <alignment horizontal="center" vertical="center"/>
    </xf>
    <xf numFmtId="0" fontId="43" fillId="12" borderId="0" xfId="0" quotePrefix="1" applyFont="1" applyFill="1" applyBorder="1" applyAlignment="1">
      <alignment horizontal="center" vertical="center"/>
    </xf>
    <xf numFmtId="194" fontId="43" fillId="12" borderId="0" xfId="0" applyNumberFormat="1" applyFont="1" applyFill="1" applyBorder="1" applyAlignment="1">
      <alignment horizontal="center" vertical="center"/>
    </xf>
    <xf numFmtId="195" fontId="43" fillId="12" borderId="0" xfId="0" applyNumberFormat="1" applyFont="1" applyFill="1" applyBorder="1" applyAlignment="1">
      <alignment horizontal="center" vertical="center"/>
    </xf>
    <xf numFmtId="195" fontId="43" fillId="12" borderId="0" xfId="0" quotePrefix="1" applyNumberFormat="1" applyFont="1" applyFill="1" applyBorder="1" applyAlignment="1">
      <alignment horizontal="center" vertical="center"/>
    </xf>
    <xf numFmtId="0" fontId="42" fillId="12" borderId="0" xfId="0" applyFont="1" applyFill="1" applyBorder="1" applyAlignment="1">
      <alignment horizontal="center" vertical="center"/>
    </xf>
    <xf numFmtId="2" fontId="44" fillId="12" borderId="0" xfId="0" applyNumberFormat="1" applyFont="1" applyFill="1" applyBorder="1" applyAlignment="1">
      <alignment horizontal="center" vertical="center"/>
    </xf>
    <xf numFmtId="1" fontId="43" fillId="12" borderId="0" xfId="0" applyNumberFormat="1" applyFont="1" applyFill="1" applyBorder="1" applyAlignment="1">
      <alignment horizontal="center" vertical="center"/>
    </xf>
    <xf numFmtId="195" fontId="44" fillId="12" borderId="0" xfId="0" applyNumberFormat="1" applyFont="1" applyFill="1" applyBorder="1" applyAlignment="1">
      <alignment horizontal="left" vertical="center"/>
    </xf>
    <xf numFmtId="195" fontId="44" fillId="12" borderId="0" xfId="0" applyNumberFormat="1" applyFont="1" applyFill="1" applyBorder="1" applyAlignment="1">
      <alignment horizontal="center" vertical="center"/>
    </xf>
    <xf numFmtId="194" fontId="44" fillId="12" borderId="0" xfId="0" applyNumberFormat="1" applyFont="1" applyFill="1" applyBorder="1" applyAlignment="1">
      <alignment horizontal="center" vertical="center"/>
    </xf>
    <xf numFmtId="0" fontId="44" fillId="12" borderId="0" xfId="0" applyFont="1" applyFill="1" applyBorder="1" applyAlignment="1">
      <alignment vertical="center"/>
    </xf>
    <xf numFmtId="0" fontId="47" fillId="12" borderId="0" xfId="0" applyFont="1" applyFill="1" applyBorder="1" applyAlignment="1">
      <alignment vertical="center"/>
    </xf>
    <xf numFmtId="194" fontId="37" fillId="12" borderId="0" xfId="0" applyNumberFormat="1" applyFont="1" applyFill="1" applyBorder="1" applyAlignment="1">
      <alignment vertical="center"/>
    </xf>
    <xf numFmtId="0" fontId="37" fillId="12" borderId="0" xfId="0" applyNumberFormat="1" applyFont="1" applyFill="1" applyBorder="1" applyAlignment="1">
      <alignment vertical="center"/>
    </xf>
    <xf numFmtId="0" fontId="37" fillId="12" borderId="0" xfId="0" applyNumberFormat="1" applyFont="1" applyFill="1" applyBorder="1" applyAlignment="1">
      <alignment horizontal="left" vertical="center"/>
    </xf>
    <xf numFmtId="196" fontId="37" fillId="12" borderId="0" xfId="0" applyNumberFormat="1" applyFont="1" applyFill="1" applyBorder="1" applyAlignment="1">
      <alignment horizontal="left" vertical="center"/>
    </xf>
    <xf numFmtId="0" fontId="36" fillId="12" borderId="0" xfId="0" applyNumberFormat="1" applyFont="1" applyFill="1" applyBorder="1" applyAlignment="1">
      <alignment vertical="center"/>
    </xf>
    <xf numFmtId="0" fontId="37" fillId="12" borderId="60" xfId="0" applyFont="1" applyFill="1" applyBorder="1" applyAlignment="1">
      <alignment horizontal="center" vertical="center"/>
    </xf>
    <xf numFmtId="0" fontId="37" fillId="12" borderId="61" xfId="0" applyFont="1" applyFill="1" applyBorder="1" applyAlignment="1">
      <alignment vertical="center"/>
    </xf>
    <xf numFmtId="0" fontId="37" fillId="12" borderId="62" xfId="0" applyFont="1" applyFill="1" applyBorder="1" applyAlignment="1">
      <alignment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58" xfId="0" applyFont="1" applyFill="1" applyBorder="1" applyAlignment="1">
      <alignment vertical="center"/>
    </xf>
    <xf numFmtId="0" fontId="37" fillId="12" borderId="32" xfId="0" applyFont="1" applyFill="1" applyBorder="1" applyAlignment="1">
      <alignment vertical="center"/>
    </xf>
    <xf numFmtId="0" fontId="37" fillId="12" borderId="59" xfId="0" applyFont="1" applyFill="1" applyBorder="1" applyAlignment="1">
      <alignment vertical="center"/>
    </xf>
    <xf numFmtId="0" fontId="37" fillId="12" borderId="63" xfId="0" applyFont="1" applyFill="1" applyBorder="1" applyAlignment="1">
      <alignment vertical="center"/>
    </xf>
    <xf numFmtId="195" fontId="37" fillId="12" borderId="56" xfId="0" applyNumberFormat="1" applyFont="1" applyFill="1" applyBorder="1" applyAlignment="1">
      <alignment horizontal="center" vertical="center"/>
    </xf>
    <xf numFmtId="0" fontId="37" fillId="12" borderId="64" xfId="0" applyFont="1" applyFill="1" applyBorder="1" applyAlignment="1">
      <alignment vertical="center"/>
    </xf>
    <xf numFmtId="0" fontId="37" fillId="12" borderId="65" xfId="0" applyFont="1" applyFill="1" applyBorder="1" applyAlignment="1">
      <alignment vertical="center"/>
    </xf>
    <xf numFmtId="2" fontId="37" fillId="12" borderId="21" xfId="0" applyNumberFormat="1" applyFont="1" applyFill="1" applyBorder="1" applyAlignment="1">
      <alignment horizontal="center" vertical="center"/>
    </xf>
    <xf numFmtId="0" fontId="46" fillId="12" borderId="0" xfId="0" applyFont="1" applyFill="1" applyBorder="1" applyAlignment="1">
      <alignment vertical="center"/>
    </xf>
    <xf numFmtId="0" fontId="37" fillId="12" borderId="0" xfId="0" applyFont="1" applyFill="1" applyBorder="1" applyAlignment="1">
      <alignment horizontal="left" vertical="center" indent="1"/>
    </xf>
    <xf numFmtId="2" fontId="41" fillId="12" borderId="0" xfId="0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Continuous" vertical="center"/>
    </xf>
    <xf numFmtId="0" fontId="71" fillId="12" borderId="0" xfId="0" applyFont="1" applyFill="1" applyAlignment="1">
      <alignment vertical="center"/>
    </xf>
    <xf numFmtId="194" fontId="41" fillId="12" borderId="0" xfId="0" applyNumberFormat="1" applyFont="1" applyFill="1" applyAlignment="1">
      <alignment horizontal="center" vertical="center"/>
    </xf>
    <xf numFmtId="0" fontId="2" fillId="12" borderId="0" xfId="0" applyFont="1" applyFill="1" applyBorder="1" applyAlignment="1">
      <alignment vertical="center"/>
    </xf>
    <xf numFmtId="0" fontId="2" fillId="12" borderId="48" xfId="0" applyFont="1" applyFill="1" applyBorder="1" applyAlignment="1">
      <alignment vertical="center"/>
    </xf>
    <xf numFmtId="0" fontId="51" fillId="12" borderId="0" xfId="0" applyFont="1" applyFill="1" applyBorder="1" applyAlignment="1">
      <alignment horizontal="center" vertical="center"/>
    </xf>
    <xf numFmtId="0" fontId="50" fillId="12" borderId="0" xfId="0" applyFont="1" applyFill="1" applyAlignment="1">
      <alignment vertical="center"/>
    </xf>
    <xf numFmtId="0" fontId="52" fillId="12" borderId="0" xfId="0" applyFont="1" applyFill="1" applyAlignment="1">
      <alignment horizontal="center" vertical="center"/>
    </xf>
    <xf numFmtId="0" fontId="52" fillId="12" borderId="0" xfId="0" applyFont="1" applyFill="1" applyAlignment="1">
      <alignment vertical="center"/>
    </xf>
    <xf numFmtId="0" fontId="54" fillId="12" borderId="0" xfId="0" applyFont="1" applyFill="1" applyAlignment="1">
      <alignment vertical="center"/>
    </xf>
    <xf numFmtId="0" fontId="0" fillId="12" borderId="66" xfId="0" applyFill="1" applyBorder="1" applyAlignment="1">
      <alignment horizontal="left" vertical="center"/>
    </xf>
    <xf numFmtId="0" fontId="54" fillId="12" borderId="66" xfId="0" applyFont="1" applyFill="1" applyBorder="1" applyAlignment="1">
      <alignment vertical="center"/>
    </xf>
    <xf numFmtId="49" fontId="54" fillId="12" borderId="67" xfId="0" applyNumberFormat="1" applyFont="1" applyFill="1" applyBorder="1" applyAlignment="1">
      <alignment vertical="center"/>
    </xf>
    <xf numFmtId="196" fontId="0" fillId="12" borderId="66" xfId="0" applyNumberFormat="1" applyFill="1" applyBorder="1" applyAlignment="1">
      <alignment horizontal="left" vertical="center"/>
    </xf>
    <xf numFmtId="49" fontId="54" fillId="12" borderId="0" xfId="0" applyNumberFormat="1" applyFont="1" applyFill="1" applyBorder="1" applyAlignment="1">
      <alignment vertical="center"/>
    </xf>
    <xf numFmtId="0" fontId="0" fillId="12" borderId="68" xfId="0" applyFill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2" fontId="54" fillId="12" borderId="0" xfId="0" quotePrefix="1" applyNumberFormat="1" applyFont="1" applyFill="1" applyBorder="1" applyAlignment="1">
      <alignment horizontal="left" vertical="center"/>
    </xf>
    <xf numFmtId="0" fontId="0" fillId="12" borderId="0" xfId="0" applyNumberFormat="1" applyFill="1" applyBorder="1" applyAlignment="1">
      <alignment horizontal="center" vertical="center"/>
    </xf>
    <xf numFmtId="49" fontId="0" fillId="12" borderId="0" xfId="0" applyNumberFormat="1" applyFill="1" applyBorder="1" applyAlignment="1">
      <alignment horizontal="left" vertical="center"/>
    </xf>
    <xf numFmtId="0" fontId="0" fillId="12" borderId="0" xfId="0" applyNumberFormat="1" applyFill="1" applyBorder="1" applyAlignment="1">
      <alignment vertical="center"/>
    </xf>
    <xf numFmtId="0" fontId="0" fillId="12" borderId="0" xfId="0" applyNumberFormat="1" applyFill="1" applyAlignment="1">
      <alignment vertical="center"/>
    </xf>
    <xf numFmtId="0" fontId="62" fillId="12" borderId="21" xfId="0" applyFont="1" applyFill="1" applyBorder="1" applyAlignment="1">
      <alignment vertical="center"/>
    </xf>
    <xf numFmtId="0" fontId="58" fillId="12" borderId="21" xfId="0" quotePrefix="1" applyFont="1" applyFill="1" applyBorder="1" applyAlignment="1">
      <alignment horizontal="center" vertical="center"/>
    </xf>
    <xf numFmtId="0" fontId="20" fillId="12" borderId="44" xfId="0" applyFont="1" applyFill="1" applyBorder="1" applyAlignment="1">
      <alignment vertical="center"/>
    </xf>
    <xf numFmtId="0" fontId="0" fillId="12" borderId="69" xfId="0" applyFill="1" applyBorder="1" applyAlignment="1">
      <alignment horizontal="left" vertical="center"/>
    </xf>
    <xf numFmtId="0" fontId="0" fillId="12" borderId="69" xfId="0" applyFill="1" applyBorder="1" applyAlignment="1">
      <alignment horizontal="center" vertical="center"/>
    </xf>
    <xf numFmtId="0" fontId="0" fillId="12" borderId="70" xfId="0" applyFill="1" applyBorder="1" applyAlignment="1">
      <alignment horizontal="center" vertical="center"/>
    </xf>
    <xf numFmtId="0" fontId="0" fillId="12" borderId="71" xfId="0" applyFill="1" applyBorder="1" applyAlignment="1">
      <alignment vertical="center"/>
    </xf>
    <xf numFmtId="0" fontId="0" fillId="12" borderId="66" xfId="0" applyFill="1" applyBorder="1" applyAlignment="1">
      <alignment horizontal="center" vertical="center"/>
    </xf>
    <xf numFmtId="0" fontId="0" fillId="12" borderId="72" xfId="0" applyFill="1" applyBorder="1" applyAlignment="1">
      <alignment horizontal="center" vertical="center"/>
    </xf>
    <xf numFmtId="0" fontId="0" fillId="12" borderId="73" xfId="0" applyFill="1" applyBorder="1" applyAlignment="1">
      <alignment vertical="center"/>
    </xf>
    <xf numFmtId="2" fontId="0" fillId="12" borderId="67" xfId="0" applyNumberFormat="1" applyFill="1" applyBorder="1" applyAlignment="1">
      <alignment horizontal="center" vertical="center"/>
    </xf>
    <xf numFmtId="194" fontId="0" fillId="12" borderId="74" xfId="0" applyNumberFormat="1" applyFill="1" applyBorder="1" applyAlignment="1">
      <alignment horizontal="center" vertical="center"/>
    </xf>
    <xf numFmtId="0" fontId="20" fillId="12" borderId="73" xfId="0" applyFont="1" applyFill="1" applyBorder="1" applyAlignment="1">
      <alignment vertical="center"/>
    </xf>
    <xf numFmtId="0" fontId="0" fillId="12" borderId="74" xfId="0" applyFill="1" applyBorder="1" applyAlignment="1">
      <alignment vertical="center"/>
    </xf>
    <xf numFmtId="0" fontId="0" fillId="12" borderId="75" xfId="0" applyFill="1" applyBorder="1" applyAlignment="1">
      <alignment vertical="center"/>
    </xf>
    <xf numFmtId="0" fontId="0" fillId="12" borderId="76" xfId="0" applyFill="1" applyBorder="1" applyAlignment="1">
      <alignment vertical="center"/>
    </xf>
    <xf numFmtId="0" fontId="0" fillId="12" borderId="77" xfId="0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55" fillId="12" borderId="0" xfId="0" applyFont="1" applyFill="1" applyAlignment="1">
      <alignment vertical="center"/>
    </xf>
    <xf numFmtId="18" fontId="54" fillId="15" borderId="0" xfId="0" applyNumberFormat="1" applyFont="1" applyFill="1" applyAlignment="1" applyProtection="1">
      <alignment horizontal="left" vertical="center"/>
      <protection locked="0"/>
    </xf>
    <xf numFmtId="0" fontId="54" fillId="15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left" vertical="center"/>
    </xf>
    <xf numFmtId="0" fontId="72" fillId="12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 applyProtection="1">
      <alignment horizontal="center" vertical="center"/>
    </xf>
    <xf numFmtId="0" fontId="72" fillId="12" borderId="0" xfId="0" applyFont="1" applyFill="1" applyAlignment="1">
      <alignment horizontal="center" vertical="center"/>
    </xf>
    <xf numFmtId="0" fontId="72" fillId="12" borderId="0" xfId="0" applyFont="1" applyFill="1" applyBorder="1" applyAlignment="1" applyProtection="1">
      <alignment horizontal="center" vertical="center"/>
    </xf>
    <xf numFmtId="0" fontId="72" fillId="12" borderId="0" xfId="0" applyFont="1" applyFill="1" applyBorder="1" applyAlignment="1">
      <alignment horizontal="center" vertical="center"/>
    </xf>
    <xf numFmtId="0" fontId="73" fillId="12" borderId="0" xfId="0" applyFont="1" applyFill="1" applyBorder="1" applyAlignment="1" applyProtection="1">
      <alignment horizontal="center" vertical="center"/>
      <protection locked="0"/>
    </xf>
    <xf numFmtId="1" fontId="73" fillId="12" borderId="0" xfId="0" applyNumberFormat="1" applyFont="1" applyFill="1" applyBorder="1" applyAlignment="1" applyProtection="1">
      <alignment horizontal="center" vertical="center"/>
      <protection locked="0"/>
    </xf>
    <xf numFmtId="0" fontId="74" fillId="12" borderId="0" xfId="0" applyFont="1" applyFill="1" applyBorder="1" applyAlignment="1" applyProtection="1">
      <alignment horizontal="center" vertical="center"/>
      <protection locked="0"/>
    </xf>
    <xf numFmtId="198" fontId="72" fillId="12" borderId="0" xfId="0" applyNumberFormat="1" applyFont="1" applyFill="1" applyBorder="1" applyAlignment="1" applyProtection="1">
      <alignment horizontal="center" vertical="center"/>
      <protection locked="0"/>
    </xf>
    <xf numFmtId="195" fontId="72" fillId="12" borderId="0" xfId="0" applyNumberFormat="1" applyFont="1" applyFill="1" applyBorder="1" applyAlignment="1" applyProtection="1">
      <alignment horizontal="center" vertical="center"/>
      <protection locked="0"/>
    </xf>
    <xf numFmtId="2" fontId="72" fillId="12" borderId="0" xfId="0" applyNumberFormat="1" applyFont="1" applyFill="1" applyBorder="1" applyAlignment="1" applyProtection="1">
      <alignment horizontal="center" vertical="center"/>
      <protection locked="0"/>
    </xf>
    <xf numFmtId="195" fontId="74" fillId="12" borderId="0" xfId="0" applyNumberFormat="1" applyFont="1" applyFill="1" applyBorder="1" applyAlignment="1" applyProtection="1">
      <alignment horizontal="center" vertical="center"/>
      <protection locked="0"/>
    </xf>
    <xf numFmtId="2" fontId="74" fillId="12" borderId="0" xfId="0" applyNumberFormat="1" applyFont="1" applyFill="1" applyBorder="1" applyAlignment="1" applyProtection="1">
      <alignment horizontal="center" vertical="center"/>
      <protection locked="0"/>
    </xf>
    <xf numFmtId="0" fontId="54" fillId="12" borderId="0" xfId="0" applyFont="1" applyFill="1" applyAlignment="1">
      <alignment horizontal="left" vertical="center"/>
    </xf>
    <xf numFmtId="0" fontId="54" fillId="12" borderId="0" xfId="0" applyFont="1" applyFill="1" applyAlignment="1">
      <alignment horizontal="center" vertical="center"/>
    </xf>
    <xf numFmtId="0" fontId="54" fillId="12" borderId="0" xfId="0" applyFont="1" applyFill="1" applyAlignment="1" applyProtection="1">
      <alignment horizontal="center" vertical="center"/>
      <protection locked="0"/>
    </xf>
    <xf numFmtId="194" fontId="54" fillId="12" borderId="0" xfId="0" applyNumberFormat="1" applyFont="1" applyFill="1" applyAlignment="1" applyProtection="1">
      <alignment horizontal="left" vertical="center"/>
      <protection locked="0"/>
    </xf>
    <xf numFmtId="198" fontId="54" fillId="12" borderId="0" xfId="0" applyNumberFormat="1" applyFont="1" applyFill="1" applyAlignment="1" applyProtection="1">
      <alignment horizontal="left" vertical="center"/>
      <protection locked="0"/>
    </xf>
    <xf numFmtId="0" fontId="72" fillId="12" borderId="0" xfId="0" applyFont="1" applyFill="1" applyBorder="1" applyAlignment="1">
      <alignment vertical="center"/>
    </xf>
    <xf numFmtId="49" fontId="72" fillId="12" borderId="39" xfId="0" applyNumberFormat="1" applyFont="1" applyFill="1" applyBorder="1" applyAlignment="1" applyProtection="1">
      <alignment horizontal="left" vertical="center"/>
    </xf>
    <xf numFmtId="195" fontId="76" fillId="12" borderId="21" xfId="0" applyNumberFormat="1" applyFont="1" applyFill="1" applyBorder="1" applyAlignment="1" applyProtection="1">
      <alignment horizontal="center" vertical="center"/>
      <protection locked="0"/>
    </xf>
    <xf numFmtId="198" fontId="0" fillId="0" borderId="0" xfId="0" applyNumberFormat="1" applyAlignment="1">
      <alignment vertical="center"/>
    </xf>
    <xf numFmtId="198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2" fontId="0" fillId="0" borderId="21" xfId="0" applyNumberFormat="1" applyBorder="1" applyAlignment="1">
      <alignment horizontal="center" vertical="center"/>
    </xf>
    <xf numFmtId="198" fontId="78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94" fontId="78" fillId="0" borderId="0" xfId="0" applyNumberFormat="1" applyFont="1" applyAlignment="1">
      <alignment horizontal="center" vertical="center"/>
    </xf>
    <xf numFmtId="198" fontId="79" fillId="0" borderId="30" xfId="0" applyNumberFormat="1" applyFont="1" applyBorder="1" applyAlignment="1">
      <alignment horizontal="center" vertical="center"/>
    </xf>
    <xf numFmtId="198" fontId="79" fillId="0" borderId="78" xfId="0" applyNumberFormat="1" applyFont="1" applyBorder="1" applyAlignment="1">
      <alignment horizontal="center" vertical="center"/>
    </xf>
    <xf numFmtId="0" fontId="80" fillId="12" borderId="0" xfId="0" applyFont="1" applyFill="1" applyAlignment="1">
      <alignment vertical="center"/>
    </xf>
    <xf numFmtId="194" fontId="37" fillId="12" borderId="0" xfId="0" applyNumberFormat="1" applyFont="1" applyFill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1" fontId="41" fillId="12" borderId="21" xfId="0" applyNumberFormat="1" applyFont="1" applyFill="1" applyBorder="1" applyAlignment="1">
      <alignment horizontal="center" vertical="center"/>
    </xf>
    <xf numFmtId="2" fontId="34" fillId="13" borderId="0" xfId="0" applyNumberFormat="1" applyFont="1" applyFill="1" applyBorder="1" applyAlignment="1">
      <alignment horizontal="center" vertical="center"/>
    </xf>
    <xf numFmtId="2" fontId="34" fillId="13" borderId="0" xfId="0" applyNumberFormat="1" applyFont="1" applyFill="1" applyAlignment="1">
      <alignment horizontal="center" vertical="center"/>
    </xf>
    <xf numFmtId="0" fontId="46" fillId="12" borderId="20" xfId="0" applyFont="1" applyFill="1" applyBorder="1" applyAlignment="1">
      <alignment horizontal="center" vertical="center"/>
    </xf>
    <xf numFmtId="0" fontId="46" fillId="12" borderId="21" xfId="0" applyFont="1" applyFill="1" applyBorder="1" applyAlignment="1">
      <alignment horizontal="center" vertical="center"/>
    </xf>
    <xf numFmtId="194" fontId="46" fillId="12" borderId="21" xfId="0" applyNumberFormat="1" applyFont="1" applyFill="1" applyBorder="1" applyAlignment="1">
      <alignment horizontal="center" vertical="center"/>
    </xf>
    <xf numFmtId="2" fontId="83" fillId="12" borderId="21" xfId="0" applyNumberFormat="1" applyFont="1" applyFill="1" applyBorder="1" applyAlignment="1">
      <alignment horizontal="center" vertical="center"/>
    </xf>
    <xf numFmtId="0" fontId="62" fillId="0" borderId="0" xfId="0" applyFont="1"/>
    <xf numFmtId="0" fontId="62" fillId="0" borderId="0" xfId="0" applyFont="1" applyBorder="1"/>
    <xf numFmtId="0" fontId="72" fillId="0" borderId="0" xfId="0" applyFont="1"/>
    <xf numFmtId="0" fontId="0" fillId="0" borderId="0" xfId="0" applyAlignment="1">
      <alignment horizontal="center"/>
    </xf>
    <xf numFmtId="0" fontId="86" fillId="0" borderId="0" xfId="0" applyFont="1"/>
    <xf numFmtId="0" fontId="54" fillId="0" borderId="0" xfId="0" applyFont="1"/>
    <xf numFmtId="0" fontId="54" fillId="15" borderId="0" xfId="0" applyFont="1" applyFill="1" applyAlignment="1" applyProtection="1">
      <alignment horizontal="center" vertical="center"/>
      <protection locked="0"/>
    </xf>
    <xf numFmtId="0" fontId="0" fillId="0" borderId="0" xfId="0" applyBorder="1"/>
    <xf numFmtId="195" fontId="0" fillId="0" borderId="0" xfId="0" applyNumberFormat="1" applyBorder="1"/>
    <xf numFmtId="0" fontId="51" fillId="0" borderId="0" xfId="0" applyFont="1" applyBorder="1" applyAlignment="1">
      <alignment horizontal="center"/>
    </xf>
    <xf numFmtId="0" fontId="62" fillId="12" borderId="0" xfId="0" applyFont="1" applyFill="1" applyBorder="1"/>
    <xf numFmtId="0" fontId="51" fillId="12" borderId="48" xfId="0" applyFont="1" applyFill="1" applyBorder="1" applyAlignment="1"/>
    <xf numFmtId="0" fontId="51" fillId="12" borderId="0" xfId="0" applyFont="1" applyFill="1" applyBorder="1" applyAlignment="1"/>
    <xf numFmtId="0" fontId="72" fillId="12" borderId="0" xfId="0" applyFont="1" applyFill="1"/>
    <xf numFmtId="0" fontId="72" fillId="12" borderId="0" xfId="0" applyFont="1" applyFill="1" applyAlignment="1" applyProtection="1">
      <alignment horizontal="center" vertical="center"/>
      <protection locked="0"/>
    </xf>
    <xf numFmtId="0" fontId="72" fillId="12" borderId="0" xfId="0" applyFont="1" applyFill="1" applyAlignment="1" applyProtection="1">
      <alignment horizontal="left" vertical="center"/>
    </xf>
    <xf numFmtId="0" fontId="72" fillId="12" borderId="0" xfId="0" quotePrefix="1" applyFont="1" applyFill="1" applyAlignment="1" applyProtection="1">
      <alignment horizontal="left" vertical="center"/>
    </xf>
    <xf numFmtId="0" fontId="72" fillId="12" borderId="24" xfId="0" applyFont="1" applyFill="1" applyBorder="1" applyAlignment="1">
      <alignment horizontal="center" vertical="center"/>
    </xf>
    <xf numFmtId="0" fontId="72" fillId="12" borderId="20" xfId="0" applyFont="1" applyFill="1" applyBorder="1" applyAlignment="1">
      <alignment horizontal="center" vertical="center"/>
    </xf>
    <xf numFmtId="0" fontId="86" fillId="12" borderId="21" xfId="0" applyFont="1" applyFill="1" applyBorder="1" applyAlignment="1">
      <alignment horizontal="center" vertical="center"/>
    </xf>
    <xf numFmtId="198" fontId="86" fillId="12" borderId="21" xfId="0" applyNumberFormat="1" applyFont="1" applyFill="1" applyBorder="1" applyAlignment="1" applyProtection="1">
      <alignment horizontal="center" vertical="center"/>
      <protection locked="0"/>
    </xf>
    <xf numFmtId="195" fontId="86" fillId="12" borderId="21" xfId="0" applyNumberFormat="1" applyFont="1" applyFill="1" applyBorder="1" applyAlignment="1" applyProtection="1">
      <alignment horizontal="center" vertical="center"/>
      <protection locked="0"/>
    </xf>
    <xf numFmtId="2" fontId="86" fillId="12" borderId="21" xfId="0" applyNumberFormat="1" applyFont="1" applyFill="1" applyBorder="1" applyAlignment="1" applyProtection="1">
      <alignment horizontal="center" vertical="center"/>
      <protection locked="0"/>
    </xf>
    <xf numFmtId="0" fontId="54" fillId="12" borderId="0" xfId="0" applyFont="1" applyFill="1" applyAlignment="1" applyProtection="1">
      <alignment horizontal="left" vertical="center"/>
    </xf>
    <xf numFmtId="194" fontId="73" fillId="15" borderId="21" xfId="0" applyNumberFormat="1" applyFont="1" applyFill="1" applyBorder="1" applyAlignment="1" applyProtection="1">
      <alignment horizontal="center" vertical="center"/>
      <protection locked="0"/>
    </xf>
    <xf numFmtId="0" fontId="73" fillId="15" borderId="21" xfId="0" applyFont="1" applyFill="1" applyBorder="1" applyAlignment="1" applyProtection="1">
      <alignment horizontal="center" vertical="center"/>
      <protection locked="0"/>
    </xf>
    <xf numFmtId="198" fontId="73" fillId="15" borderId="21" xfId="0" applyNumberFormat="1" applyFont="1" applyFill="1" applyBorder="1" applyAlignment="1" applyProtection="1">
      <alignment horizontal="center" vertical="center"/>
      <protection locked="0"/>
    </xf>
    <xf numFmtId="195" fontId="51" fillId="12" borderId="0" xfId="0" applyNumberFormat="1" applyFont="1" applyFill="1" applyAlignment="1" applyProtection="1">
      <alignment horizontal="center" vertical="center"/>
      <protection locked="0"/>
    </xf>
    <xf numFmtId="195" fontId="51" fillId="12" borderId="0" xfId="0" quotePrefix="1" applyNumberFormat="1" applyFont="1" applyFill="1" applyAlignment="1" applyProtection="1">
      <alignment horizontal="center" vertical="center"/>
      <protection locked="0"/>
    </xf>
    <xf numFmtId="194" fontId="54" fillId="12" borderId="0" xfId="0" applyNumberFormat="1" applyFont="1" applyFill="1" applyAlignment="1" applyProtection="1">
      <alignment horizontal="center" vertical="center"/>
      <protection locked="0"/>
    </xf>
    <xf numFmtId="0" fontId="62" fillId="0" borderId="0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73" fillId="16" borderId="44" xfId="0" applyFont="1" applyFill="1" applyBorder="1" applyAlignment="1">
      <alignment horizontal="center"/>
    </xf>
    <xf numFmtId="0" fontId="73" fillId="16" borderId="37" xfId="0" applyFont="1" applyFill="1" applyBorder="1" applyAlignment="1">
      <alignment horizontal="center"/>
    </xf>
    <xf numFmtId="0" fontId="81" fillId="16" borderId="37" xfId="0" applyFont="1" applyFill="1" applyBorder="1" applyAlignment="1">
      <alignment horizontal="center"/>
    </xf>
    <xf numFmtId="198" fontId="81" fillId="16" borderId="37" xfId="0" applyNumberFormat="1" applyFont="1" applyFill="1" applyBorder="1" applyAlignment="1">
      <alignment horizontal="center"/>
    </xf>
    <xf numFmtId="198" fontId="81" fillId="16" borderId="79" xfId="0" applyNumberFormat="1" applyFont="1" applyFill="1" applyBorder="1" applyAlignment="1">
      <alignment horizontal="center"/>
    </xf>
    <xf numFmtId="0" fontId="73" fillId="16" borderId="61" xfId="0" applyFont="1" applyFill="1" applyBorder="1" applyAlignment="1">
      <alignment horizontal="center"/>
    </xf>
    <xf numFmtId="0" fontId="73" fillId="16" borderId="0" xfId="0" applyFont="1" applyFill="1" applyBorder="1" applyAlignment="1">
      <alignment horizontal="center"/>
    </xf>
    <xf numFmtId="0" fontId="81" fillId="16" borderId="0" xfId="0" applyFont="1" applyFill="1" applyBorder="1" applyAlignment="1">
      <alignment horizontal="center"/>
    </xf>
    <xf numFmtId="0" fontId="81" fillId="16" borderId="80" xfId="0" applyFont="1" applyFill="1" applyBorder="1" applyAlignment="1">
      <alignment horizontal="center"/>
    </xf>
    <xf numFmtId="0" fontId="73" fillId="16" borderId="33" xfId="0" applyFont="1" applyFill="1" applyBorder="1" applyAlignment="1">
      <alignment horizontal="center"/>
    </xf>
    <xf numFmtId="0" fontId="73" fillId="16" borderId="38" xfId="0" applyFont="1" applyFill="1" applyBorder="1" applyAlignment="1">
      <alignment horizontal="center"/>
    </xf>
    <xf numFmtId="0" fontId="81" fillId="16" borderId="38" xfId="0" applyFont="1" applyFill="1" applyBorder="1" applyAlignment="1">
      <alignment horizontal="center"/>
    </xf>
    <xf numFmtId="198" fontId="81" fillId="16" borderId="34" xfId="0" applyNumberFormat="1" applyFont="1" applyFill="1" applyBorder="1" applyAlignment="1">
      <alignment horizontal="center"/>
    </xf>
    <xf numFmtId="0" fontId="43" fillId="12" borderId="31" xfId="0" applyFont="1" applyFill="1" applyBorder="1" applyAlignment="1">
      <alignment horizontal="center" vertical="center"/>
    </xf>
    <xf numFmtId="0" fontId="38" fillId="12" borderId="81" xfId="0" applyFont="1" applyFill="1" applyBorder="1" applyAlignment="1">
      <alignment horizontal="center" vertical="center"/>
    </xf>
    <xf numFmtId="2" fontId="38" fillId="12" borderId="55" xfId="0" applyNumberFormat="1" applyFont="1" applyFill="1" applyBorder="1" applyAlignment="1">
      <alignment horizontal="center" vertical="center"/>
    </xf>
    <xf numFmtId="194" fontId="38" fillId="12" borderId="55" xfId="0" applyNumberFormat="1" applyFont="1" applyFill="1" applyBorder="1" applyAlignment="1">
      <alignment horizontal="center" vertical="center"/>
    </xf>
    <xf numFmtId="0" fontId="87" fillId="12" borderId="0" xfId="0" applyFont="1" applyFill="1" applyAlignment="1">
      <alignment vertical="center"/>
    </xf>
    <xf numFmtId="0" fontId="42" fillId="12" borderId="21" xfId="0" applyFont="1" applyFill="1" applyBorder="1" applyAlignment="1">
      <alignment horizontal="center" vertical="center"/>
    </xf>
    <xf numFmtId="0" fontId="37" fillId="12" borderId="82" xfId="0" applyFont="1" applyFill="1" applyBorder="1" applyAlignment="1">
      <alignment vertical="center"/>
    </xf>
    <xf numFmtId="0" fontId="37" fillId="12" borderId="83" xfId="0" applyFont="1" applyFill="1" applyBorder="1" applyAlignment="1">
      <alignment vertical="center"/>
    </xf>
    <xf numFmtId="0" fontId="37" fillId="12" borderId="83" xfId="0" applyFont="1" applyFill="1" applyBorder="1" applyAlignment="1">
      <alignment horizontal="right" vertical="center"/>
    </xf>
    <xf numFmtId="0" fontId="36" fillId="12" borderId="83" xfId="0" applyFont="1" applyFill="1" applyBorder="1" applyAlignment="1">
      <alignment horizontal="center" vertical="center"/>
    </xf>
    <xf numFmtId="0" fontId="37" fillId="12" borderId="83" xfId="0" applyFont="1" applyFill="1" applyBorder="1" applyAlignment="1">
      <alignment horizontal="left" vertical="center"/>
    </xf>
    <xf numFmtId="0" fontId="37" fillId="12" borderId="84" xfId="0" applyFont="1" applyFill="1" applyBorder="1" applyAlignment="1">
      <alignment vertical="center"/>
    </xf>
    <xf numFmtId="0" fontId="37" fillId="12" borderId="54" xfId="0" applyFont="1" applyFill="1" applyBorder="1" applyAlignment="1">
      <alignment vertical="center"/>
    </xf>
    <xf numFmtId="0" fontId="37" fillId="12" borderId="54" xfId="0" applyFont="1" applyFill="1" applyBorder="1" applyAlignment="1">
      <alignment horizontal="right" vertical="center"/>
    </xf>
    <xf numFmtId="0" fontId="36" fillId="12" borderId="54" xfId="0" applyFont="1" applyFill="1" applyBorder="1" applyAlignment="1">
      <alignment horizontal="left" vertical="center"/>
    </xf>
    <xf numFmtId="0" fontId="37" fillId="12" borderId="54" xfId="0" applyFont="1" applyFill="1" applyBorder="1" applyAlignment="1">
      <alignment horizontal="left" vertical="center"/>
    </xf>
    <xf numFmtId="0" fontId="37" fillId="12" borderId="85" xfId="0" applyFont="1" applyFill="1" applyBorder="1" applyAlignment="1">
      <alignment horizontal="right" vertical="center"/>
    </xf>
    <xf numFmtId="0" fontId="37" fillId="12" borderId="86" xfId="0" applyFont="1" applyFill="1" applyBorder="1" applyAlignment="1">
      <alignment horizontal="right" vertical="center"/>
    </xf>
    <xf numFmtId="195" fontId="36" fillId="12" borderId="87" xfId="0" applyNumberFormat="1" applyFont="1" applyFill="1" applyBorder="1" applyAlignment="1">
      <alignment horizontal="center" vertical="center"/>
    </xf>
    <xf numFmtId="194" fontId="36" fillId="12" borderId="88" xfId="0" applyNumberFormat="1" applyFont="1" applyFill="1" applyBorder="1" applyAlignment="1">
      <alignment horizontal="center" vertical="center"/>
    </xf>
    <xf numFmtId="1" fontId="37" fillId="12" borderId="0" xfId="0" applyNumberFormat="1" applyFont="1" applyFill="1" applyBorder="1" applyAlignment="1">
      <alignment vertical="center"/>
    </xf>
    <xf numFmtId="1" fontId="37" fillId="12" borderId="0" xfId="0" applyNumberFormat="1" applyFont="1" applyFill="1" applyBorder="1" applyAlignment="1">
      <alignment horizontal="left" vertical="center"/>
    </xf>
    <xf numFmtId="195" fontId="2" fillId="0" borderId="58" xfId="0" applyNumberFormat="1" applyFont="1" applyBorder="1" applyAlignment="1">
      <alignment horizontal="center" vertical="center"/>
    </xf>
    <xf numFmtId="195" fontId="2" fillId="0" borderId="59" xfId="0" applyNumberFormat="1" applyFont="1" applyBorder="1" applyAlignment="1">
      <alignment horizontal="center" vertical="center"/>
    </xf>
    <xf numFmtId="195" fontId="2" fillId="0" borderId="55" xfId="0" applyNumberFormat="1" applyFont="1" applyBorder="1" applyAlignment="1">
      <alignment horizontal="center" vertical="center"/>
    </xf>
    <xf numFmtId="195" fontId="2" fillId="0" borderId="57" xfId="0" applyNumberFormat="1" applyFont="1" applyBorder="1" applyAlignment="1">
      <alignment horizontal="center" vertical="center"/>
    </xf>
    <xf numFmtId="0" fontId="38" fillId="12" borderId="21" xfId="0" quotePrefix="1" applyFont="1" applyFill="1" applyBorder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7" fillId="12" borderId="0" xfId="0" applyFont="1" applyFill="1" applyAlignment="1">
      <alignment horizontal="right" vertical="center"/>
    </xf>
    <xf numFmtId="0" fontId="43" fillId="12" borderId="0" xfId="0" applyFont="1" applyFill="1" applyAlignment="1">
      <alignment vertical="center"/>
    </xf>
    <xf numFmtId="2" fontId="90" fillId="0" borderId="89" xfId="0" applyNumberFormat="1" applyFont="1" applyFill="1" applyBorder="1" applyAlignment="1" applyProtection="1">
      <alignment horizontal="center"/>
      <protection locked="0"/>
    </xf>
    <xf numFmtId="2" fontId="90" fillId="0" borderId="90" xfId="0" applyNumberFormat="1" applyFont="1" applyFill="1" applyBorder="1" applyAlignment="1" applyProtection="1">
      <alignment horizontal="center"/>
      <protection locked="0"/>
    </xf>
    <xf numFmtId="194" fontId="2" fillId="12" borderId="0" xfId="6" applyNumberFormat="1" applyFont="1" applyFill="1" applyBorder="1" applyAlignment="1" applyProtection="1">
      <alignment horizontal="right"/>
      <protection hidden="1"/>
    </xf>
    <xf numFmtId="0" fontId="70" fillId="12" borderId="0" xfId="0" applyFont="1" applyFill="1" applyBorder="1" applyAlignment="1">
      <alignment horizontal="left" vertical="center"/>
    </xf>
    <xf numFmtId="0" fontId="71" fillId="12" borderId="0" xfId="0" applyFont="1" applyFill="1" applyBorder="1" applyAlignment="1">
      <alignment horizontal="centerContinuous" vertical="center"/>
    </xf>
    <xf numFmtId="0" fontId="37" fillId="12" borderId="0" xfId="0" quotePrefix="1" applyFont="1" applyFill="1" applyBorder="1" applyAlignment="1">
      <alignment vertical="center"/>
    </xf>
    <xf numFmtId="194" fontId="40" fillId="12" borderId="0" xfId="0" applyNumberFormat="1" applyFont="1" applyFill="1" applyBorder="1" applyAlignment="1">
      <alignment horizontal="left" vertical="center"/>
    </xf>
    <xf numFmtId="0" fontId="37" fillId="12" borderId="0" xfId="0" quotePrefix="1" applyFont="1" applyFill="1" applyAlignment="1">
      <alignment vertical="center"/>
    </xf>
    <xf numFmtId="1" fontId="38" fillId="12" borderId="0" xfId="0" applyNumberFormat="1" applyFont="1" applyFill="1" applyAlignment="1">
      <alignment vertical="center"/>
    </xf>
    <xf numFmtId="0" fontId="37" fillId="12" borderId="40" xfId="0" applyFont="1" applyFill="1" applyBorder="1" applyAlignment="1" applyProtection="1">
      <alignment horizontal="right" vertical="center"/>
      <protection locked="0"/>
    </xf>
    <xf numFmtId="0" fontId="38" fillId="12" borderId="40" xfId="0" applyFont="1" applyFill="1" applyBorder="1" applyAlignment="1">
      <alignment horizontal="right" vertical="center"/>
    </xf>
    <xf numFmtId="195" fontId="44" fillId="12" borderId="0" xfId="0" applyNumberFormat="1" applyFont="1" applyFill="1" applyBorder="1" applyAlignment="1">
      <alignment vertical="center"/>
    </xf>
    <xf numFmtId="0" fontId="93" fillId="0" borderId="0" xfId="0" applyFont="1" applyAlignment="1">
      <alignment horizontal="center" vertical="center"/>
    </xf>
    <xf numFmtId="0" fontId="42" fillId="12" borderId="32" xfId="0" applyFont="1" applyFill="1" applyBorder="1" applyAlignment="1">
      <alignment vertical="center"/>
    </xf>
    <xf numFmtId="0" fontId="92" fillId="12" borderId="21" xfId="0" applyFont="1" applyFill="1" applyBorder="1" applyAlignment="1">
      <alignment horizontal="center" vertical="center"/>
    </xf>
    <xf numFmtId="2" fontId="92" fillId="12" borderId="21" xfId="0" applyNumberFormat="1" applyFont="1" applyFill="1" applyBorder="1" applyAlignment="1">
      <alignment horizontal="center" vertical="center"/>
    </xf>
    <xf numFmtId="195" fontId="87" fillId="12" borderId="0" xfId="0" applyNumberFormat="1" applyFont="1" applyFill="1" applyBorder="1" applyAlignment="1">
      <alignment vertical="center"/>
    </xf>
    <xf numFmtId="0" fontId="42" fillId="7" borderId="0" xfId="0" applyFont="1" applyFill="1" applyBorder="1" applyAlignment="1">
      <alignment vertical="center"/>
    </xf>
    <xf numFmtId="0" fontId="92" fillId="12" borderId="20" xfId="0" applyFont="1" applyFill="1" applyBorder="1" applyAlignment="1">
      <alignment horizontal="center" vertical="center"/>
    </xf>
    <xf numFmtId="0" fontId="87" fillId="12" borderId="0" xfId="0" applyFont="1" applyFill="1" applyBorder="1" applyAlignment="1">
      <alignment vertical="center"/>
    </xf>
    <xf numFmtId="0" fontId="94" fillId="12" borderId="46" xfId="0" applyFont="1" applyFill="1" applyBorder="1" applyAlignment="1">
      <alignment vertical="center"/>
    </xf>
    <xf numFmtId="194" fontId="40" fillId="12" borderId="0" xfId="0" applyNumberFormat="1" applyFont="1" applyFill="1" applyBorder="1" applyAlignment="1">
      <alignment horizontal="center" vertical="center"/>
    </xf>
    <xf numFmtId="194" fontId="36" fillId="12" borderId="91" xfId="0" applyNumberFormat="1" applyFont="1" applyFill="1" applyBorder="1" applyAlignment="1">
      <alignment horizontal="center" vertical="center"/>
    </xf>
    <xf numFmtId="194" fontId="36" fillId="12" borderId="92" xfId="0" applyNumberFormat="1" applyFont="1" applyFill="1" applyBorder="1" applyAlignment="1">
      <alignment horizontal="center" vertical="center"/>
    </xf>
    <xf numFmtId="0" fontId="17" fillId="12" borderId="0" xfId="6" applyFont="1" applyFill="1" applyBorder="1" applyAlignment="1">
      <alignment horizontal="centerContinuous"/>
    </xf>
    <xf numFmtId="0" fontId="96" fillId="12" borderId="0" xfId="6" applyFont="1" applyFill="1" applyBorder="1" applyAlignment="1">
      <alignment horizontal="centerContinuous"/>
    </xf>
    <xf numFmtId="0" fontId="97" fillId="12" borderId="0" xfId="6" applyFont="1" applyFill="1" applyBorder="1" applyAlignment="1">
      <alignment horizontal="center"/>
    </xf>
    <xf numFmtId="0" fontId="97" fillId="12" borderId="0" xfId="6" applyFont="1" applyFill="1" applyBorder="1" applyAlignment="1">
      <alignment horizontal="left"/>
    </xf>
    <xf numFmtId="0" fontId="98" fillId="12" borderId="0" xfId="6" applyFont="1" applyFill="1" applyBorder="1" applyAlignment="1">
      <alignment horizontal="centerContinuous"/>
    </xf>
    <xf numFmtId="0" fontId="20" fillId="12" borderId="0" xfId="6" applyFont="1" applyFill="1" applyBorder="1" applyAlignment="1">
      <alignment horizontal="center"/>
    </xf>
    <xf numFmtId="0" fontId="20" fillId="12" borderId="0" xfId="6" applyFont="1" applyFill="1" applyBorder="1" applyAlignment="1">
      <alignment horizontal="left"/>
    </xf>
    <xf numFmtId="0" fontId="99" fillId="12" borderId="0" xfId="0" applyFont="1" applyFill="1" applyBorder="1"/>
    <xf numFmtId="0" fontId="33" fillId="12" borderId="0" xfId="6" applyFont="1" applyFill="1" applyBorder="1" applyAlignment="1">
      <alignment horizontal="center"/>
    </xf>
    <xf numFmtId="0" fontId="100" fillId="12" borderId="0" xfId="0" applyFont="1" applyFill="1" applyBorder="1"/>
    <xf numFmtId="0" fontId="101" fillId="12" borderId="0" xfId="0" applyFont="1" applyFill="1" applyBorder="1"/>
    <xf numFmtId="0" fontId="100" fillId="12" borderId="0" xfId="8" applyFont="1" applyFill="1" applyBorder="1" applyAlignment="1">
      <alignment horizontal="centerContinuous"/>
    </xf>
    <xf numFmtId="0" fontId="102" fillId="12" borderId="0" xfId="8" applyFont="1" applyFill="1" applyBorder="1" applyAlignment="1">
      <alignment horizontal="centerContinuous"/>
    </xf>
    <xf numFmtId="0" fontId="98" fillId="12" borderId="0" xfId="8" applyFont="1" applyFill="1" applyBorder="1" applyAlignment="1">
      <alignment horizontal="left"/>
    </xf>
    <xf numFmtId="0" fontId="103" fillId="12" borderId="0" xfId="6" applyFont="1" applyFill="1" applyBorder="1" applyAlignment="1">
      <alignment horizontal="center"/>
    </xf>
    <xf numFmtId="0" fontId="0" fillId="12" borderId="48" xfId="0" applyFill="1" applyBorder="1"/>
    <xf numFmtId="0" fontId="103" fillId="12" borderId="48" xfId="6" applyFont="1" applyFill="1" applyBorder="1" applyAlignment="1">
      <alignment horizontal="left" vertical="center"/>
    </xf>
    <xf numFmtId="0" fontId="103" fillId="12" borderId="0" xfId="6" applyFont="1" applyFill="1" applyBorder="1" applyAlignment="1">
      <alignment horizontal="left" vertical="center"/>
    </xf>
    <xf numFmtId="0" fontId="1" fillId="12" borderId="0" xfId="6" applyFill="1" applyBorder="1" applyAlignment="1">
      <alignment horizontal="center"/>
    </xf>
    <xf numFmtId="0" fontId="50" fillId="12" borderId="0" xfId="0" applyFont="1" applyFill="1" applyBorder="1"/>
    <xf numFmtId="0" fontId="50" fillId="12" borderId="0" xfId="6" applyFont="1" applyFill="1" applyBorder="1"/>
    <xf numFmtId="0" fontId="50" fillId="12" borderId="0" xfId="0" applyFont="1" applyFill="1"/>
    <xf numFmtId="0" fontId="105" fillId="12" borderId="0" xfId="8" applyFont="1" applyFill="1" applyBorder="1" applyAlignment="1">
      <alignment horizontal="left"/>
    </xf>
    <xf numFmtId="0" fontId="50" fillId="12" borderId="0" xfId="8" applyFont="1" applyFill="1" applyBorder="1" applyAlignment="1">
      <alignment horizontal="left"/>
    </xf>
    <xf numFmtId="0" fontId="2" fillId="12" borderId="0" xfId="6" applyFont="1" applyFill="1" applyBorder="1" applyAlignment="1">
      <alignment horizontal="left"/>
    </xf>
    <xf numFmtId="0" fontId="62" fillId="12" borderId="93" xfId="6" applyFont="1" applyFill="1" applyBorder="1" applyAlignment="1">
      <alignment horizontal="left"/>
    </xf>
    <xf numFmtId="0" fontId="62" fillId="12" borderId="41" xfId="6" applyFont="1" applyFill="1" applyBorder="1" applyAlignment="1">
      <alignment horizontal="left"/>
    </xf>
    <xf numFmtId="0" fontId="62" fillId="12" borderId="41" xfId="6" applyFont="1" applyFill="1" applyBorder="1" applyAlignment="1">
      <alignment horizontal="center"/>
    </xf>
    <xf numFmtId="0" fontId="62" fillId="12" borderId="0" xfId="6" applyFont="1" applyFill="1" applyBorder="1" applyAlignment="1">
      <alignment horizontal="left"/>
    </xf>
    <xf numFmtId="0" fontId="62" fillId="12" borderId="41" xfId="6" applyFont="1" applyFill="1" applyBorder="1"/>
    <xf numFmtId="0" fontId="27" fillId="12" borderId="41" xfId="6" applyFont="1" applyFill="1" applyBorder="1"/>
    <xf numFmtId="0" fontId="62" fillId="12" borderId="94" xfId="0" applyFont="1" applyFill="1" applyBorder="1"/>
    <xf numFmtId="0" fontId="62" fillId="12" borderId="95" xfId="6" applyFont="1" applyFill="1" applyBorder="1" applyAlignment="1">
      <alignment horizontal="left"/>
    </xf>
    <xf numFmtId="0" fontId="62" fillId="12" borderId="0" xfId="6" applyFont="1" applyFill="1" applyBorder="1" applyAlignment="1">
      <alignment horizontal="center"/>
    </xf>
    <xf numFmtId="0" fontId="62" fillId="12" borderId="0" xfId="6" applyFont="1" applyFill="1" applyBorder="1"/>
    <xf numFmtId="0" fontId="62" fillId="12" borderId="96" xfId="0" applyFont="1" applyFill="1" applyBorder="1"/>
    <xf numFmtId="0" fontId="62" fillId="12" borderId="97" xfId="6" applyFont="1" applyFill="1" applyBorder="1" applyAlignment="1">
      <alignment horizontal="left"/>
    </xf>
    <xf numFmtId="0" fontId="62" fillId="12" borderId="39" xfId="6" applyFont="1" applyFill="1" applyBorder="1" applyAlignment="1">
      <alignment horizontal="left"/>
    </xf>
    <xf numFmtId="0" fontId="62" fillId="12" borderId="39" xfId="6" applyFont="1" applyFill="1" applyBorder="1" applyAlignment="1">
      <alignment horizontal="center"/>
    </xf>
    <xf numFmtId="202" fontId="62" fillId="12" borderId="39" xfId="6" applyNumberFormat="1" applyFont="1" applyFill="1" applyBorder="1" applyAlignment="1">
      <alignment horizontal="left"/>
    </xf>
    <xf numFmtId="0" fontId="62" fillId="12" borderId="39" xfId="6" applyFont="1" applyFill="1" applyBorder="1" applyAlignment="1">
      <alignment horizontal="right"/>
    </xf>
    <xf numFmtId="0" fontId="62" fillId="12" borderId="39" xfId="0" applyFont="1" applyFill="1" applyBorder="1"/>
    <xf numFmtId="0" fontId="62" fillId="12" borderId="39" xfId="6" applyFont="1" applyFill="1" applyBorder="1"/>
    <xf numFmtId="14" fontId="62" fillId="12" borderId="39" xfId="6" applyNumberFormat="1" applyFont="1" applyFill="1" applyBorder="1" applyAlignment="1">
      <alignment horizontal="left"/>
    </xf>
    <xf numFmtId="0" fontId="62" fillId="12" borderId="98" xfId="0" applyFont="1" applyFill="1" applyBorder="1"/>
    <xf numFmtId="0" fontId="2" fillId="12" borderId="41" xfId="6" applyFont="1" applyFill="1" applyBorder="1"/>
    <xf numFmtId="0" fontId="50" fillId="12" borderId="94" xfId="0" applyFont="1" applyFill="1" applyBorder="1"/>
    <xf numFmtId="49" fontId="27" fillId="12" borderId="0" xfId="6" applyNumberFormat="1" applyFont="1" applyFill="1" applyBorder="1" applyAlignment="1">
      <alignment horizontal="left"/>
    </xf>
    <xf numFmtId="0" fontId="2" fillId="12" borderId="0" xfId="6" applyFont="1" applyFill="1" applyBorder="1"/>
    <xf numFmtId="0" fontId="50" fillId="12" borderId="96" xfId="0" applyFont="1" applyFill="1" applyBorder="1"/>
    <xf numFmtId="2" fontId="62" fillId="12" borderId="39" xfId="6" applyNumberFormat="1" applyFont="1" applyFill="1" applyBorder="1" applyAlignment="1">
      <alignment horizontal="left"/>
    </xf>
    <xf numFmtId="0" fontId="2" fillId="12" borderId="39" xfId="6" applyFont="1" applyFill="1" applyBorder="1"/>
    <xf numFmtId="0" fontId="50" fillId="12" borderId="98" xfId="0" applyFont="1" applyFill="1" applyBorder="1"/>
    <xf numFmtId="0" fontId="62" fillId="12" borderId="0" xfId="0" applyFont="1" applyFill="1"/>
    <xf numFmtId="0" fontId="62" fillId="12" borderId="99" xfId="0" applyFont="1" applyFill="1" applyBorder="1" applyAlignment="1">
      <alignment horizontal="center"/>
    </xf>
    <xf numFmtId="0" fontId="62" fillId="12" borderId="99" xfId="0" applyFont="1" applyFill="1" applyBorder="1"/>
    <xf numFmtId="0" fontId="50" fillId="12" borderId="99" xfId="0" applyFont="1" applyFill="1" applyBorder="1"/>
    <xf numFmtId="194" fontId="27" fillId="12" borderId="99" xfId="0" applyNumberFormat="1" applyFont="1" applyFill="1" applyBorder="1" applyAlignment="1" applyProtection="1">
      <alignment horizontal="center"/>
      <protection locked="0"/>
    </xf>
    <xf numFmtId="0" fontId="27" fillId="12" borderId="99" xfId="0" applyFont="1" applyFill="1" applyBorder="1" applyAlignment="1" applyProtection="1">
      <alignment horizontal="center"/>
      <protection locked="0"/>
    </xf>
    <xf numFmtId="0" fontId="27" fillId="12" borderId="99" xfId="0" applyFont="1" applyFill="1" applyBorder="1"/>
    <xf numFmtId="194" fontId="27" fillId="12" borderId="99" xfId="0" applyNumberFormat="1" applyFont="1" applyFill="1" applyBorder="1" applyAlignment="1">
      <alignment horizontal="center"/>
    </xf>
    <xf numFmtId="0" fontId="27" fillId="12" borderId="99" xfId="0" applyFont="1" applyFill="1" applyBorder="1" applyAlignment="1">
      <alignment horizontal="center"/>
    </xf>
    <xf numFmtId="2" fontId="27" fillId="12" borderId="99" xfId="0" applyNumberFormat="1" applyFont="1" applyFill="1" applyBorder="1" applyAlignment="1" applyProtection="1">
      <alignment horizontal="center"/>
      <protection hidden="1"/>
    </xf>
    <xf numFmtId="0" fontId="27" fillId="12" borderId="99" xfId="0" applyFont="1" applyFill="1" applyBorder="1" applyAlignment="1" applyProtection="1">
      <alignment horizontal="center"/>
      <protection hidden="1"/>
    </xf>
    <xf numFmtId="195" fontId="27" fillId="12" borderId="99" xfId="0" applyNumberFormat="1" applyFont="1" applyFill="1" applyBorder="1" applyAlignment="1" applyProtection="1">
      <alignment horizontal="center"/>
      <protection hidden="1"/>
    </xf>
    <xf numFmtId="0" fontId="62" fillId="12" borderId="0" xfId="0" applyFont="1" applyFill="1" applyBorder="1" applyAlignment="1">
      <alignment horizontal="center"/>
    </xf>
    <xf numFmtId="195" fontId="62" fillId="12" borderId="0" xfId="0" applyNumberFormat="1" applyFont="1" applyFill="1" applyBorder="1" applyAlignment="1">
      <alignment horizontal="center"/>
    </xf>
    <xf numFmtId="0" fontId="2" fillId="12" borderId="0" xfId="0" applyFont="1" applyFill="1"/>
    <xf numFmtId="194" fontId="90" fillId="12" borderId="99" xfId="0" applyNumberFormat="1" applyFont="1" applyFill="1" applyBorder="1" applyAlignment="1" applyProtection="1">
      <alignment horizontal="center"/>
      <protection locked="0"/>
    </xf>
    <xf numFmtId="0" fontId="62" fillId="12" borderId="99" xfId="0" applyFont="1" applyFill="1" applyBorder="1" applyAlignment="1" applyProtection="1">
      <alignment horizontal="center"/>
      <protection locked="0"/>
    </xf>
    <xf numFmtId="0" fontId="62" fillId="12" borderId="99" xfId="0" applyFont="1" applyFill="1" applyBorder="1" applyAlignment="1" applyProtection="1">
      <alignment horizontal="center"/>
      <protection hidden="1"/>
    </xf>
    <xf numFmtId="195" fontId="62" fillId="12" borderId="99" xfId="0" applyNumberFormat="1" applyFont="1" applyFill="1" applyBorder="1" applyAlignment="1" applyProtection="1">
      <alignment horizontal="center"/>
      <protection hidden="1"/>
    </xf>
    <xf numFmtId="2" fontId="62" fillId="12" borderId="99" xfId="0" applyNumberFormat="1" applyFont="1" applyFill="1" applyBorder="1" applyAlignment="1" applyProtection="1">
      <alignment horizontal="center"/>
      <protection hidden="1"/>
    </xf>
    <xf numFmtId="194" fontId="62" fillId="12" borderId="99" xfId="0" applyNumberFormat="1" applyFont="1" applyFill="1" applyBorder="1" applyAlignment="1" applyProtection="1">
      <alignment horizontal="center"/>
      <protection hidden="1"/>
    </xf>
    <xf numFmtId="0" fontId="50" fillId="12" borderId="0" xfId="0" applyFont="1" applyFill="1" applyBorder="1" applyAlignment="1" applyProtection="1">
      <alignment horizontal="center" vertical="center"/>
    </xf>
    <xf numFmtId="0" fontId="50" fillId="12" borderId="0" xfId="0" applyFont="1" applyFill="1" applyBorder="1" applyAlignment="1">
      <alignment horizontal="center" vertical="center"/>
    </xf>
    <xf numFmtId="0" fontId="106" fillId="12" borderId="0" xfId="0" applyFont="1" applyFill="1" applyBorder="1" applyAlignment="1" applyProtection="1">
      <alignment horizontal="left" vertical="center"/>
    </xf>
    <xf numFmtId="0" fontId="107" fillId="12" borderId="0" xfId="0" applyFont="1" applyFill="1" applyBorder="1" applyAlignment="1" applyProtection="1">
      <alignment horizontal="left" vertical="center"/>
    </xf>
    <xf numFmtId="0" fontId="5" fillId="12" borderId="0" xfId="0" applyFont="1" applyFill="1" applyBorder="1" applyAlignment="1" applyProtection="1">
      <alignment horizontal="left" vertical="center"/>
    </xf>
    <xf numFmtId="0" fontId="62" fillId="12" borderId="0" xfId="0" applyFont="1" applyFill="1" applyBorder="1" applyAlignment="1"/>
    <xf numFmtId="0" fontId="50" fillId="12" borderId="0" xfId="0" applyFont="1" applyFill="1" applyBorder="1" applyAlignment="1" applyProtection="1">
      <alignment horizontal="left" vertical="center"/>
    </xf>
    <xf numFmtId="0" fontId="5" fillId="12" borderId="0" xfId="0" quotePrefix="1" applyFont="1" applyFill="1" applyBorder="1" applyAlignment="1" applyProtection="1">
      <alignment horizontal="left" vertical="center"/>
    </xf>
    <xf numFmtId="0" fontId="33" fillId="12" borderId="0" xfId="0" applyFont="1" applyFill="1" applyBorder="1" applyAlignment="1">
      <alignment horizontal="center"/>
    </xf>
    <xf numFmtId="0" fontId="108" fillId="12" borderId="0" xfId="0" applyFont="1" applyFill="1" applyBorder="1" applyAlignment="1">
      <alignment horizontal="center"/>
    </xf>
    <xf numFmtId="0" fontId="109" fillId="12" borderId="0" xfId="0" applyFont="1" applyFill="1" applyBorder="1" applyAlignment="1"/>
    <xf numFmtId="0" fontId="0" fillId="12" borderId="0" xfId="0" applyFill="1" applyBorder="1" applyAlignment="1"/>
    <xf numFmtId="0" fontId="50" fillId="12" borderId="0" xfId="0" applyFont="1" applyFill="1" applyBorder="1" applyAlignment="1"/>
    <xf numFmtId="0" fontId="46" fillId="12" borderId="0" xfId="0" applyFont="1" applyFill="1" applyBorder="1" applyAlignment="1">
      <alignment horizontal="center" vertical="center"/>
    </xf>
    <xf numFmtId="49" fontId="62" fillId="12" borderId="0" xfId="6" applyNumberFormat="1" applyFont="1" applyFill="1" applyBorder="1"/>
    <xf numFmtId="199" fontId="44" fillId="12" borderId="0" xfId="0" applyNumberFormat="1" applyFont="1" applyFill="1" applyBorder="1" applyAlignment="1">
      <alignment vertical="center"/>
    </xf>
    <xf numFmtId="0" fontId="104" fillId="12" borderId="0" xfId="8" applyFont="1" applyFill="1" applyBorder="1" applyAlignment="1">
      <alignment horizontal="left"/>
    </xf>
    <xf numFmtId="2" fontId="50" fillId="12" borderId="99" xfId="0" applyNumberFormat="1" applyFont="1" applyFill="1" applyBorder="1" applyAlignment="1" applyProtection="1">
      <alignment horizontal="center"/>
      <protection hidden="1"/>
    </xf>
    <xf numFmtId="0" fontId="50" fillId="12" borderId="99" xfId="0" applyFont="1" applyFill="1" applyBorder="1" applyAlignment="1">
      <alignment horizontal="center"/>
    </xf>
    <xf numFmtId="2" fontId="50" fillId="12" borderId="99" xfId="0" applyNumberFormat="1" applyFont="1" applyFill="1" applyBorder="1" applyAlignment="1">
      <alignment horizontal="center"/>
    </xf>
    <xf numFmtId="2" fontId="37" fillId="12" borderId="0" xfId="0" applyNumberFormat="1" applyFont="1" applyFill="1" applyBorder="1" applyAlignment="1" applyProtection="1">
      <alignment vertical="center"/>
      <protection locked="0"/>
    </xf>
    <xf numFmtId="20" fontId="50" fillId="12" borderId="99" xfId="0" quotePrefix="1" applyNumberFormat="1" applyFont="1" applyFill="1" applyBorder="1" applyAlignment="1">
      <alignment horizontal="center"/>
    </xf>
    <xf numFmtId="0" fontId="50" fillId="12" borderId="100" xfId="0" applyFont="1" applyFill="1" applyBorder="1" applyAlignment="1">
      <alignment horizontal="center"/>
    </xf>
    <xf numFmtId="2" fontId="50" fillId="12" borderId="99" xfId="0" quotePrefix="1" applyNumberFormat="1" applyFont="1" applyFill="1" applyBorder="1" applyAlignment="1">
      <alignment horizontal="center"/>
    </xf>
    <xf numFmtId="0" fontId="98" fillId="12" borderId="0" xfId="6" applyFont="1" applyFill="1" applyBorder="1" applyAlignment="1">
      <alignment horizontal="left"/>
    </xf>
    <xf numFmtId="0" fontId="50" fillId="12" borderId="39" xfId="0" applyFont="1" applyFill="1" applyBorder="1" applyAlignment="1" applyProtection="1">
      <alignment horizontal="left" vertical="center"/>
    </xf>
    <xf numFmtId="49" fontId="11" fillId="12" borderId="39" xfId="0" applyNumberFormat="1" applyFont="1" applyFill="1" applyBorder="1" applyAlignment="1" applyProtection="1">
      <alignment horizontal="left" vertical="center"/>
    </xf>
    <xf numFmtId="0" fontId="50" fillId="12" borderId="98" xfId="0" applyFont="1" applyFill="1" applyBorder="1" applyAlignment="1" applyProtection="1">
      <alignment horizontal="left" vertical="center"/>
    </xf>
    <xf numFmtId="0" fontId="50" fillId="12" borderId="101" xfId="0" applyFont="1" applyFill="1" applyBorder="1"/>
    <xf numFmtId="20" fontId="11" fillId="12" borderId="100" xfId="0" applyNumberFormat="1" applyFont="1" applyFill="1" applyBorder="1" applyAlignment="1">
      <alignment horizontal="center"/>
    </xf>
    <xf numFmtId="20" fontId="50" fillId="12" borderId="99" xfId="0" quotePrefix="1" applyNumberFormat="1" applyFont="1" applyFill="1" applyBorder="1" applyAlignment="1" applyProtection="1">
      <alignment horizontal="center"/>
      <protection hidden="1"/>
    </xf>
    <xf numFmtId="20" fontId="50" fillId="12" borderId="100" xfId="0" applyNumberFormat="1" applyFont="1" applyFill="1" applyBorder="1" applyAlignment="1">
      <alignment horizontal="center"/>
    </xf>
    <xf numFmtId="0" fontId="50" fillId="12" borderId="0" xfId="0" applyFont="1" applyFill="1" applyBorder="1" applyAlignment="1">
      <alignment horizontal="center"/>
    </xf>
    <xf numFmtId="2" fontId="20" fillId="12" borderId="0" xfId="0" applyNumberFormat="1" applyFont="1" applyFill="1" applyBorder="1" applyAlignment="1">
      <alignment horizontal="center"/>
    </xf>
    <xf numFmtId="0" fontId="110" fillId="12" borderId="0" xfId="0" applyFont="1" applyFill="1"/>
    <xf numFmtId="0" fontId="50" fillId="12" borderId="0" xfId="0" applyFont="1" applyFill="1" applyAlignment="1">
      <alignment horizontal="center"/>
    </xf>
    <xf numFmtId="0" fontId="50" fillId="12" borderId="0" xfId="0" applyFont="1" applyFill="1" applyAlignment="1"/>
    <xf numFmtId="1" fontId="44" fillId="12" borderId="31" xfId="0" applyNumberFormat="1" applyFont="1" applyFill="1" applyBorder="1" applyAlignment="1">
      <alignment horizontal="right" vertical="center"/>
    </xf>
    <xf numFmtId="1" fontId="44" fillId="12" borderId="45" xfId="0" quotePrefix="1" applyNumberFormat="1" applyFont="1" applyFill="1" applyBorder="1" applyAlignment="1">
      <alignment horizontal="center" vertical="center"/>
    </xf>
    <xf numFmtId="1" fontId="44" fillId="12" borderId="32" xfId="0" applyNumberFormat="1" applyFont="1" applyFill="1" applyBorder="1" applyAlignment="1">
      <alignment horizontal="left" vertical="center"/>
    </xf>
    <xf numFmtId="1" fontId="111" fillId="12" borderId="32" xfId="0" applyNumberFormat="1" applyFont="1" applyFill="1" applyBorder="1" applyAlignment="1">
      <alignment horizontal="left" vertical="center"/>
    </xf>
    <xf numFmtId="1" fontId="90" fillId="0" borderId="24" xfId="0" applyNumberFormat="1" applyFont="1" applyFill="1" applyBorder="1" applyAlignment="1" applyProtection="1">
      <alignment horizontal="center"/>
      <protection locked="0"/>
    </xf>
    <xf numFmtId="194" fontId="62" fillId="12" borderId="99" xfId="0" applyNumberFormat="1" applyFont="1" applyFill="1" applyBorder="1" applyAlignment="1" applyProtection="1">
      <alignment horizontal="center"/>
      <protection locked="0"/>
    </xf>
    <xf numFmtId="200" fontId="37" fillId="12" borderId="40" xfId="0" applyNumberFormat="1" applyFont="1" applyFill="1" applyBorder="1" applyAlignment="1" applyProtection="1">
      <alignment vertical="center"/>
      <protection locked="0"/>
    </xf>
    <xf numFmtId="0" fontId="41" fillId="12" borderId="0" xfId="0" applyFont="1" applyFill="1" applyBorder="1" applyAlignment="1">
      <alignment vertical="center"/>
    </xf>
    <xf numFmtId="0" fontId="88" fillId="12" borderId="0" xfId="0" applyFont="1" applyFill="1" applyBorder="1" applyAlignment="1">
      <alignment vertical="center"/>
    </xf>
    <xf numFmtId="0" fontId="88" fillId="12" borderId="42" xfId="0" applyFont="1" applyFill="1" applyBorder="1" applyAlignment="1">
      <alignment vertical="center"/>
    </xf>
    <xf numFmtId="0" fontId="88" fillId="12" borderId="49" xfId="0" applyFont="1" applyFill="1" applyBorder="1" applyAlignment="1">
      <alignment vertical="center"/>
    </xf>
    <xf numFmtId="0" fontId="37" fillId="12" borderId="49" xfId="0" applyFont="1" applyFill="1" applyBorder="1" applyAlignment="1">
      <alignment horizontal="centerContinuous" vertical="center"/>
    </xf>
    <xf numFmtId="0" fontId="88" fillId="12" borderId="43" xfId="0" applyFont="1" applyFill="1" applyBorder="1" applyAlignment="1">
      <alignment vertical="center"/>
    </xf>
    <xf numFmtId="0" fontId="37" fillId="12" borderId="51" xfId="0" applyFont="1" applyFill="1" applyBorder="1" applyAlignment="1">
      <alignment vertical="center"/>
    </xf>
    <xf numFmtId="0" fontId="36" fillId="12" borderId="47" xfId="0" applyFont="1" applyFill="1" applyBorder="1" applyAlignment="1">
      <alignment vertical="center"/>
    </xf>
    <xf numFmtId="0" fontId="37" fillId="12" borderId="52" xfId="0" applyFont="1" applyFill="1" applyBorder="1" applyAlignment="1">
      <alignment vertical="center"/>
    </xf>
    <xf numFmtId="0" fontId="67" fillId="0" borderId="61" xfId="0" applyFont="1" applyFill="1" applyBorder="1" applyAlignment="1">
      <alignment vertical="center"/>
    </xf>
    <xf numFmtId="0" fontId="67" fillId="0" borderId="61" xfId="0" applyFont="1" applyFill="1" applyBorder="1" applyAlignment="1">
      <alignment horizontal="left" vertical="center"/>
    </xf>
    <xf numFmtId="0" fontId="68" fillId="12" borderId="40" xfId="0" applyFont="1" applyFill="1" applyBorder="1" applyAlignment="1">
      <alignment horizontal="left" vertical="center"/>
    </xf>
    <xf numFmtId="0" fontId="68" fillId="12" borderId="0" xfId="0" applyFont="1" applyFill="1" applyBorder="1" applyAlignment="1">
      <alignment horizontal="left" vertical="center"/>
    </xf>
    <xf numFmtId="0" fontId="67" fillId="0" borderId="0" xfId="0" applyFont="1" applyFill="1" applyBorder="1" applyAlignment="1">
      <alignment vertical="center"/>
    </xf>
    <xf numFmtId="0" fontId="37" fillId="12" borderId="37" xfId="0" applyFont="1" applyFill="1" applyBorder="1" applyAlignment="1">
      <alignment vertical="center"/>
    </xf>
    <xf numFmtId="0" fontId="67" fillId="0" borderId="37" xfId="0" applyFont="1" applyFill="1" applyBorder="1" applyAlignment="1">
      <alignment vertical="center"/>
    </xf>
    <xf numFmtId="0" fontId="67" fillId="0" borderId="33" xfId="0" applyFont="1" applyFill="1" applyBorder="1" applyAlignment="1">
      <alignment vertical="center"/>
    </xf>
    <xf numFmtId="0" fontId="37" fillId="12" borderId="38" xfId="0" applyFont="1" applyFill="1" applyBorder="1" applyAlignment="1">
      <alignment vertical="center"/>
    </xf>
    <xf numFmtId="0" fontId="37" fillId="12" borderId="38" xfId="0" applyFont="1" applyFill="1" applyBorder="1" applyAlignment="1">
      <alignment horizontal="center" vertical="center"/>
    </xf>
    <xf numFmtId="49" fontId="37" fillId="12" borderId="38" xfId="0" applyNumberFormat="1" applyFont="1" applyFill="1" applyBorder="1" applyAlignment="1">
      <alignment vertical="center"/>
    </xf>
    <xf numFmtId="0" fontId="37" fillId="12" borderId="50" xfId="0" applyFont="1" applyFill="1" applyBorder="1" applyAlignment="1">
      <alignment vertical="center"/>
    </xf>
    <xf numFmtId="0" fontId="37" fillId="12" borderId="79" xfId="0" applyFont="1" applyFill="1" applyBorder="1" applyAlignment="1">
      <alignment vertical="center"/>
    </xf>
    <xf numFmtId="0" fontId="37" fillId="12" borderId="80" xfId="0" applyFont="1" applyFill="1" applyBorder="1" applyAlignment="1">
      <alignment vertical="center"/>
    </xf>
    <xf numFmtId="15" fontId="68" fillId="0" borderId="40" xfId="0" applyNumberFormat="1" applyFont="1" applyBorder="1" applyAlignment="1" applyProtection="1">
      <alignment horizontal="left"/>
      <protection hidden="1"/>
    </xf>
    <xf numFmtId="0" fontId="68" fillId="12" borderId="102" xfId="0" applyFont="1" applyFill="1" applyBorder="1" applyAlignment="1">
      <alignment vertical="center"/>
    </xf>
    <xf numFmtId="0" fontId="68" fillId="12" borderId="40" xfId="0" applyFont="1" applyFill="1" applyBorder="1" applyAlignment="1">
      <alignment vertical="center"/>
    </xf>
    <xf numFmtId="17" fontId="68" fillId="12" borderId="40" xfId="0" applyNumberFormat="1" applyFont="1" applyFill="1" applyBorder="1" applyAlignment="1">
      <alignment vertical="center"/>
    </xf>
    <xf numFmtId="17" fontId="68" fillId="12" borderId="103" xfId="0" applyNumberFormat="1" applyFont="1" applyFill="1" applyBorder="1" applyAlignment="1">
      <alignment vertical="center"/>
    </xf>
    <xf numFmtId="0" fontId="68" fillId="12" borderId="104" xfId="0" applyFont="1" applyFill="1" applyBorder="1" applyAlignment="1">
      <alignment vertical="center"/>
    </xf>
    <xf numFmtId="0" fontId="40" fillId="12" borderId="37" xfId="0" applyFont="1" applyFill="1" applyBorder="1" applyAlignment="1">
      <alignment vertical="center"/>
    </xf>
    <xf numFmtId="0" fontId="38" fillId="12" borderId="37" xfId="0" applyFont="1" applyFill="1" applyBorder="1" applyAlignment="1">
      <alignment vertical="center"/>
    </xf>
    <xf numFmtId="0" fontId="38" fillId="12" borderId="38" xfId="0" applyFont="1" applyFill="1" applyBorder="1" applyAlignment="1">
      <alignment vertical="center"/>
    </xf>
    <xf numFmtId="0" fontId="38" fillId="12" borderId="38" xfId="0" applyFont="1" applyFill="1" applyBorder="1" applyAlignment="1">
      <alignment horizontal="center" vertical="center"/>
    </xf>
    <xf numFmtId="0" fontId="68" fillId="12" borderId="38" xfId="0" applyFont="1" applyFill="1" applyBorder="1" applyAlignment="1">
      <alignment vertical="center"/>
    </xf>
    <xf numFmtId="0" fontId="38" fillId="12" borderId="102" xfId="0" applyFont="1" applyFill="1" applyBorder="1" applyAlignment="1">
      <alignment vertical="center"/>
    </xf>
    <xf numFmtId="0" fontId="38" fillId="12" borderId="102" xfId="0" applyFont="1" applyFill="1" applyBorder="1" applyAlignment="1">
      <alignment horizontal="left" vertical="center"/>
    </xf>
    <xf numFmtId="0" fontId="38" fillId="12" borderId="40" xfId="0" applyFont="1" applyFill="1" applyBorder="1" applyAlignment="1">
      <alignment horizontal="left" vertical="center"/>
    </xf>
    <xf numFmtId="0" fontId="38" fillId="12" borderId="40" xfId="0" applyFont="1" applyFill="1" applyBorder="1" applyAlignment="1">
      <alignment horizontal="center" vertical="center"/>
    </xf>
    <xf numFmtId="49" fontId="38" fillId="12" borderId="40" xfId="0" applyNumberFormat="1" applyFont="1" applyFill="1" applyBorder="1" applyAlignment="1">
      <alignment vertical="center"/>
    </xf>
    <xf numFmtId="0" fontId="38" fillId="12" borderId="44" xfId="0" applyFont="1" applyFill="1" applyBorder="1" applyAlignment="1">
      <alignment vertical="center"/>
    </xf>
    <xf numFmtId="0" fontId="38" fillId="12" borderId="37" xfId="0" applyFont="1" applyFill="1" applyBorder="1" applyAlignment="1">
      <alignment horizontal="right" vertical="center"/>
    </xf>
    <xf numFmtId="195" fontId="38" fillId="12" borderId="37" xfId="0" applyNumberFormat="1" applyFont="1" applyFill="1" applyBorder="1" applyAlignment="1">
      <alignment horizontal="left" vertical="center"/>
    </xf>
    <xf numFmtId="195" fontId="38" fillId="12" borderId="37" xfId="0" applyNumberFormat="1" applyFont="1" applyFill="1" applyBorder="1" applyAlignment="1">
      <alignment vertical="center"/>
    </xf>
    <xf numFmtId="0" fontId="38" fillId="12" borderId="61" xfId="0" applyFont="1" applyFill="1" applyBorder="1" applyAlignment="1">
      <alignment vertical="center"/>
    </xf>
    <xf numFmtId="0" fontId="40" fillId="12" borderId="61" xfId="0" applyFont="1" applyFill="1" applyBorder="1" applyAlignment="1">
      <alignment vertical="center"/>
    </xf>
    <xf numFmtId="0" fontId="42" fillId="12" borderId="80" xfId="0" applyFont="1" applyFill="1" applyBorder="1" applyAlignment="1">
      <alignment horizontal="left" vertical="center"/>
    </xf>
    <xf numFmtId="0" fontId="43" fillId="12" borderId="80" xfId="0" applyFont="1" applyFill="1" applyBorder="1" applyAlignment="1">
      <alignment vertical="center"/>
    </xf>
    <xf numFmtId="0" fontId="91" fillId="0" borderId="80" xfId="0" applyFont="1" applyFill="1" applyBorder="1" applyAlignment="1">
      <alignment vertical="center"/>
    </xf>
    <xf numFmtId="0" fontId="37" fillId="12" borderId="33" xfId="0" applyFont="1" applyFill="1" applyBorder="1" applyAlignment="1">
      <alignment vertical="center"/>
    </xf>
    <xf numFmtId="0" fontId="37" fillId="12" borderId="44" xfId="0" applyFont="1" applyFill="1" applyBorder="1" applyAlignment="1">
      <alignment vertical="center"/>
    </xf>
    <xf numFmtId="0" fontId="37" fillId="12" borderId="37" xfId="0" applyFont="1" applyFill="1" applyBorder="1" applyAlignment="1">
      <alignment horizontal="right" vertical="center"/>
    </xf>
    <xf numFmtId="0" fontId="37" fillId="12" borderId="37" xfId="0" applyFont="1" applyFill="1" applyBorder="1" applyAlignment="1">
      <alignment horizontal="left" vertical="center"/>
    </xf>
    <xf numFmtId="195" fontId="37" fillId="12" borderId="37" xfId="0" applyNumberFormat="1" applyFont="1" applyFill="1" applyBorder="1" applyAlignment="1">
      <alignment horizontal="left" vertical="center"/>
    </xf>
    <xf numFmtId="195" fontId="37" fillId="12" borderId="37" xfId="0" applyNumberFormat="1" applyFont="1" applyFill="1" applyBorder="1" applyAlignment="1">
      <alignment vertical="center"/>
    </xf>
    <xf numFmtId="0" fontId="42" fillId="12" borderId="61" xfId="0" applyFont="1" applyFill="1" applyBorder="1" applyAlignment="1">
      <alignment vertical="center"/>
    </xf>
    <xf numFmtId="0" fontId="43" fillId="12" borderId="61" xfId="0" applyFont="1" applyFill="1" applyBorder="1" applyAlignment="1">
      <alignment horizontal="left" vertical="center"/>
    </xf>
    <xf numFmtId="0" fontId="43" fillId="12" borderId="61" xfId="0" applyFont="1" applyFill="1" applyBorder="1" applyAlignment="1">
      <alignment vertical="center"/>
    </xf>
    <xf numFmtId="0" fontId="42" fillId="12" borderId="61" xfId="0" applyFont="1" applyFill="1" applyBorder="1" applyAlignment="1">
      <alignment horizontal="center" vertical="center"/>
    </xf>
    <xf numFmtId="0" fontId="44" fillId="12" borderId="61" xfId="0" applyFont="1" applyFill="1" applyBorder="1" applyAlignment="1">
      <alignment horizontal="center" vertical="center"/>
    </xf>
    <xf numFmtId="195" fontId="43" fillId="12" borderId="61" xfId="0" applyNumberFormat="1" applyFont="1" applyFill="1" applyBorder="1" applyAlignment="1">
      <alignment horizontal="center" vertical="center"/>
    </xf>
    <xf numFmtId="195" fontId="44" fillId="12" borderId="61" xfId="0" applyNumberFormat="1" applyFont="1" applyFill="1" applyBorder="1" applyAlignment="1">
      <alignment horizontal="left" vertical="center"/>
    </xf>
    <xf numFmtId="195" fontId="37" fillId="12" borderId="61" xfId="0" applyNumberFormat="1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vertical="center"/>
    </xf>
    <xf numFmtId="0" fontId="43" fillId="18" borderId="0" xfId="0" applyFont="1" applyFill="1" applyBorder="1" applyAlignment="1">
      <alignment vertical="center"/>
    </xf>
    <xf numFmtId="0" fontId="43" fillId="18" borderId="0" xfId="0" applyFont="1" applyFill="1" applyBorder="1" applyAlignment="1">
      <alignment horizontal="center" vertical="center"/>
    </xf>
    <xf numFmtId="0" fontId="37" fillId="18" borderId="0" xfId="0" applyFont="1" applyFill="1" applyBorder="1" applyAlignment="1">
      <alignment horizontal="center" vertical="center"/>
    </xf>
    <xf numFmtId="0" fontId="40" fillId="12" borderId="38" xfId="0" applyFont="1" applyFill="1" applyBorder="1" applyAlignment="1">
      <alignment vertical="center"/>
    </xf>
    <xf numFmtId="194" fontId="37" fillId="12" borderId="38" xfId="0" applyNumberFormat="1" applyFont="1" applyFill="1" applyBorder="1" applyAlignment="1">
      <alignment vertical="center"/>
    </xf>
    <xf numFmtId="0" fontId="68" fillId="12" borderId="0" xfId="0" applyFont="1" applyFill="1" applyAlignment="1">
      <alignment vertical="center" wrapText="1"/>
    </xf>
    <xf numFmtId="0" fontId="0" fillId="12" borderId="42" xfId="0" applyFill="1" applyBorder="1"/>
    <xf numFmtId="0" fontId="17" fillId="12" borderId="49" xfId="6" applyFont="1" applyFill="1" applyBorder="1" applyAlignment="1">
      <alignment horizontal="centerContinuous"/>
    </xf>
    <xf numFmtId="0" fontId="96" fillId="12" borderId="49" xfId="6" applyFont="1" applyFill="1" applyBorder="1" applyAlignment="1">
      <alignment horizontal="centerContinuous"/>
    </xf>
    <xf numFmtId="0" fontId="97" fillId="12" borderId="49" xfId="6" applyFont="1" applyFill="1" applyBorder="1" applyAlignment="1">
      <alignment horizontal="center"/>
    </xf>
    <xf numFmtId="0" fontId="0" fillId="12" borderId="43" xfId="0" applyFill="1" applyBorder="1"/>
    <xf numFmtId="0" fontId="50" fillId="12" borderId="47" xfId="0" applyFont="1" applyFill="1" applyBorder="1"/>
    <xf numFmtId="2" fontId="62" fillId="12" borderId="0" xfId="0" applyNumberFormat="1" applyFont="1" applyFill="1" applyBorder="1"/>
    <xf numFmtId="14" fontId="62" fillId="12" borderId="0" xfId="0" applyNumberFormat="1" applyFont="1" applyFill="1" applyBorder="1" applyAlignment="1"/>
    <xf numFmtId="0" fontId="0" fillId="12" borderId="50" xfId="0" applyFill="1" applyBorder="1"/>
    <xf numFmtId="0" fontId="1" fillId="12" borderId="51" xfId="6" applyFill="1" applyBorder="1" applyAlignment="1">
      <alignment horizontal="center"/>
    </xf>
    <xf numFmtId="0" fontId="50" fillId="12" borderId="52" xfId="0" applyFont="1" applyFill="1" applyBorder="1"/>
    <xf numFmtId="20" fontId="11" fillId="12" borderId="0" xfId="0" applyNumberFormat="1" applyFont="1" applyFill="1" applyBorder="1" applyAlignment="1">
      <alignment horizontal="center"/>
    </xf>
    <xf numFmtId="0" fontId="50" fillId="12" borderId="44" xfId="0" applyFont="1" applyFill="1" applyBorder="1" applyAlignment="1" applyProtection="1">
      <alignment horizontal="left" vertical="center"/>
    </xf>
    <xf numFmtId="0" fontId="50" fillId="12" borderId="37" xfId="0" applyFont="1" applyFill="1" applyBorder="1" applyAlignment="1" applyProtection="1">
      <alignment horizontal="left" vertical="center"/>
    </xf>
    <xf numFmtId="49" fontId="50" fillId="12" borderId="37" xfId="0" applyNumberFormat="1" applyFont="1" applyFill="1" applyBorder="1" applyAlignment="1" applyProtection="1">
      <alignment horizontal="left" vertical="center"/>
    </xf>
    <xf numFmtId="0" fontId="50" fillId="12" borderId="105" xfId="0" applyFont="1" applyFill="1" applyBorder="1" applyAlignment="1" applyProtection="1">
      <alignment horizontal="left" vertical="center"/>
    </xf>
    <xf numFmtId="0" fontId="50" fillId="12" borderId="106" xfId="0" applyFont="1" applyFill="1" applyBorder="1" applyAlignment="1">
      <alignment horizontal="center"/>
    </xf>
    <xf numFmtId="0" fontId="50" fillId="12" borderId="107" xfId="0" applyFont="1" applyFill="1" applyBorder="1" applyAlignment="1" applyProtection="1">
      <alignment horizontal="left" vertical="center"/>
    </xf>
    <xf numFmtId="0" fontId="50" fillId="12" borderId="108" xfId="0" applyFont="1" applyFill="1" applyBorder="1" applyAlignment="1">
      <alignment horizontal="center"/>
    </xf>
    <xf numFmtId="0" fontId="50" fillId="12" borderId="109" xfId="0" applyFont="1" applyFill="1" applyBorder="1"/>
    <xf numFmtId="2" fontId="50" fillId="12" borderId="110" xfId="0" applyNumberFormat="1" applyFont="1" applyFill="1" applyBorder="1" applyAlignment="1">
      <alignment horizontal="center"/>
    </xf>
    <xf numFmtId="194" fontId="20" fillId="12" borderId="110" xfId="0" applyNumberFormat="1" applyFont="1" applyFill="1" applyBorder="1" applyAlignment="1" applyProtection="1">
      <alignment horizontal="center"/>
      <protection hidden="1"/>
    </xf>
    <xf numFmtId="0" fontId="50" fillId="12" borderId="111" xfId="0" applyFont="1" applyFill="1" applyBorder="1"/>
    <xf numFmtId="0" fontId="50" fillId="12" borderId="104" xfId="0" applyFont="1" applyFill="1" applyBorder="1"/>
    <xf numFmtId="0" fontId="50" fillId="12" borderId="104" xfId="0" applyFont="1" applyFill="1" applyBorder="1" applyAlignment="1">
      <alignment horizontal="center"/>
    </xf>
    <xf numFmtId="2" fontId="20" fillId="12" borderId="104" xfId="0" applyNumberFormat="1" applyFont="1" applyFill="1" applyBorder="1" applyAlignment="1">
      <alignment horizontal="center"/>
    </xf>
    <xf numFmtId="2" fontId="20" fillId="12" borderId="112" xfId="0" applyNumberFormat="1" applyFont="1" applyFill="1" applyBorder="1" applyAlignment="1">
      <alignment horizontal="center"/>
    </xf>
    <xf numFmtId="0" fontId="50" fillId="12" borderId="61" xfId="0" applyFont="1" applyFill="1" applyBorder="1"/>
    <xf numFmtId="0" fontId="67" fillId="0" borderId="0" xfId="0" applyFont="1" applyFill="1" applyBorder="1" applyAlignment="1">
      <alignment horizontal="left" vertical="center"/>
    </xf>
    <xf numFmtId="0" fontId="50" fillId="12" borderId="80" xfId="6" applyFont="1" applyFill="1" applyBorder="1"/>
    <xf numFmtId="0" fontId="50" fillId="12" borderId="33" xfId="0" applyFont="1" applyFill="1" applyBorder="1"/>
    <xf numFmtId="0" fontId="67" fillId="0" borderId="38" xfId="0" applyFont="1" applyFill="1" applyBorder="1" applyAlignment="1">
      <alignment vertical="center"/>
    </xf>
    <xf numFmtId="0" fontId="50" fillId="12" borderId="38" xfId="0" applyFont="1" applyFill="1" applyBorder="1" applyAlignment="1" applyProtection="1">
      <alignment horizontal="center" vertical="center"/>
    </xf>
    <xf numFmtId="0" fontId="50" fillId="12" borderId="38" xfId="0" applyFont="1" applyFill="1" applyBorder="1" applyAlignment="1" applyProtection="1">
      <alignment horizontal="left" vertical="center"/>
    </xf>
    <xf numFmtId="0" fontId="50" fillId="12" borderId="38" xfId="0" applyFont="1" applyFill="1" applyBorder="1" applyAlignment="1" applyProtection="1">
      <alignment horizontal="left" vertical="center"/>
      <protection locked="0"/>
    </xf>
    <xf numFmtId="0" fontId="50" fillId="12" borderId="38" xfId="0" applyFont="1" applyFill="1" applyBorder="1"/>
    <xf numFmtId="0" fontId="50" fillId="12" borderId="34" xfId="0" applyFont="1" applyFill="1" applyBorder="1"/>
    <xf numFmtId="0" fontId="37" fillId="12" borderId="42" xfId="0" applyFont="1" applyFill="1" applyBorder="1" applyAlignment="1">
      <alignment horizontal="right" vertical="center"/>
    </xf>
    <xf numFmtId="0" fontId="37" fillId="12" borderId="49" xfId="0" applyFont="1" applyFill="1" applyBorder="1" applyAlignment="1">
      <alignment vertical="center"/>
    </xf>
    <xf numFmtId="0" fontId="37" fillId="12" borderId="49" xfId="0" applyFont="1" applyFill="1" applyBorder="1" applyAlignment="1">
      <alignment horizontal="right" vertical="center"/>
    </xf>
    <xf numFmtId="194" fontId="2" fillId="12" borderId="49" xfId="6" applyNumberFormat="1" applyFont="1" applyFill="1" applyBorder="1" applyAlignment="1" applyProtection="1">
      <alignment horizontal="right"/>
      <protection hidden="1"/>
    </xf>
    <xf numFmtId="0" fontId="37" fillId="12" borderId="47" xfId="0" applyFont="1" applyFill="1" applyBorder="1" applyAlignment="1">
      <alignment horizontal="right" vertical="center"/>
    </xf>
    <xf numFmtId="0" fontId="37" fillId="12" borderId="48" xfId="0" applyFont="1" applyFill="1" applyBorder="1" applyAlignment="1">
      <alignment horizontal="right" vertical="center"/>
    </xf>
    <xf numFmtId="194" fontId="2" fillId="12" borderId="48" xfId="6" applyNumberFormat="1" applyFont="1" applyFill="1" applyBorder="1" applyAlignment="1" applyProtection="1">
      <alignment horizontal="right"/>
      <protection hidden="1"/>
    </xf>
    <xf numFmtId="0" fontId="68" fillId="12" borderId="39" xfId="0" applyFont="1" applyFill="1" applyBorder="1" applyAlignment="1">
      <alignment vertical="center"/>
    </xf>
    <xf numFmtId="0" fontId="115" fillId="0" borderId="0" xfId="5" applyNumberFormat="1"/>
    <xf numFmtId="0" fontId="118" fillId="0" borderId="0" xfId="7" applyFont="1" applyBorder="1" applyAlignment="1">
      <alignment horizontal="center"/>
    </xf>
    <xf numFmtId="0" fontId="115" fillId="0" borderId="0" xfId="5"/>
    <xf numFmtId="0" fontId="96" fillId="0" borderId="0" xfId="7" applyFont="1" applyBorder="1" applyAlignment="1">
      <alignment horizontal="center"/>
    </xf>
    <xf numFmtId="0" fontId="98" fillId="0" borderId="0" xfId="7" applyFont="1" applyBorder="1" applyAlignment="1">
      <alignment horizontal="center"/>
    </xf>
    <xf numFmtId="0" fontId="33" fillId="0" borderId="0" xfId="7" applyFont="1" applyBorder="1" applyAlignment="1">
      <alignment horizontal="center"/>
    </xf>
    <xf numFmtId="0" fontId="103" fillId="0" borderId="0" xfId="7" applyFont="1" applyBorder="1" applyAlignment="1">
      <alignment horizontal="left" vertical="center"/>
    </xf>
    <xf numFmtId="0" fontId="116" fillId="0" borderId="0" xfId="7" applyBorder="1" applyAlignment="1">
      <alignment horizontal="center"/>
    </xf>
    <xf numFmtId="0" fontId="116" fillId="0" borderId="0" xfId="7" applyBorder="1"/>
    <xf numFmtId="0" fontId="104" fillId="12" borderId="0" xfId="9" applyFont="1" applyFill="1" applyBorder="1" applyAlignment="1">
      <alignment horizontal="center"/>
    </xf>
    <xf numFmtId="0" fontId="104" fillId="12" borderId="0" xfId="9" applyFont="1" applyFill="1" applyBorder="1" applyAlignment="1">
      <alignment horizontal="left"/>
    </xf>
    <xf numFmtId="0" fontId="116" fillId="0" borderId="0" xfId="7"/>
    <xf numFmtId="202" fontId="2" fillId="0" borderId="38" xfId="7" applyNumberFormat="1" applyFont="1" applyFill="1" applyBorder="1" applyAlignment="1">
      <alignment horizontal="left"/>
    </xf>
    <xf numFmtId="0" fontId="116" fillId="0" borderId="38" xfId="7" applyFill="1" applyBorder="1"/>
    <xf numFmtId="0" fontId="33" fillId="0" borderId="38" xfId="7" applyFont="1" applyBorder="1" applyAlignment="1">
      <alignment horizontal="left"/>
    </xf>
    <xf numFmtId="0" fontId="115" fillId="0" borderId="0" xfId="5" applyNumberFormat="1" applyBorder="1"/>
    <xf numFmtId="0" fontId="20" fillId="0" borderId="32" xfId="5" applyNumberFormat="1" applyFont="1" applyFill="1" applyBorder="1" applyAlignment="1">
      <alignment horizontal="center" vertical="center"/>
    </xf>
    <xf numFmtId="0" fontId="20" fillId="0" borderId="21" xfId="5" applyNumberFormat="1" applyFont="1" applyFill="1" applyBorder="1" applyAlignment="1">
      <alignment horizontal="center" vertical="center"/>
    </xf>
    <xf numFmtId="0" fontId="50" fillId="0" borderId="21" xfId="5" applyNumberFormat="1" applyFont="1" applyBorder="1" applyAlignment="1" applyProtection="1">
      <alignment horizontal="center" vertical="center"/>
      <protection locked="0"/>
    </xf>
    <xf numFmtId="0" fontId="11" fillId="0" borderId="21" xfId="5" applyNumberFormat="1" applyFont="1" applyBorder="1" applyAlignment="1" applyProtection="1">
      <alignment horizontal="center"/>
      <protection locked="0"/>
    </xf>
    <xf numFmtId="0" fontId="50" fillId="0" borderId="21" xfId="5" applyNumberFormat="1" applyFont="1" applyBorder="1" applyAlignment="1" applyProtection="1">
      <alignment horizontal="center"/>
      <protection locked="0"/>
    </xf>
    <xf numFmtId="194" fontId="50" fillId="0" borderId="21" xfId="5" applyNumberFormat="1" applyFont="1" applyBorder="1" applyAlignment="1" applyProtection="1">
      <alignment horizontal="center" vertical="center"/>
      <protection locked="0"/>
    </xf>
    <xf numFmtId="0" fontId="11" fillId="0" borderId="21" xfId="5" applyNumberFormat="1" applyFont="1" applyBorder="1" applyAlignment="1" applyProtection="1">
      <alignment horizontal="center" vertical="center"/>
      <protection locked="0"/>
    </xf>
    <xf numFmtId="3" fontId="50" fillId="0" borderId="21" xfId="5" applyNumberFormat="1" applyFont="1" applyBorder="1" applyAlignment="1" applyProtection="1">
      <alignment horizontal="center" vertical="center"/>
      <protection locked="0"/>
    </xf>
    <xf numFmtId="194" fontId="50" fillId="0" borderId="21" xfId="5" applyNumberFormat="1" applyFont="1" applyBorder="1" applyAlignment="1" applyProtection="1">
      <alignment horizontal="center" vertical="center"/>
      <protection hidden="1"/>
    </xf>
    <xf numFmtId="0" fontId="11" fillId="0" borderId="21" xfId="5" applyNumberFormat="1" applyFont="1" applyBorder="1" applyAlignment="1" applyProtection="1">
      <alignment horizontal="center" vertical="center"/>
      <protection hidden="1"/>
    </xf>
    <xf numFmtId="0" fontId="50" fillId="0" borderId="21" xfId="5" applyNumberFormat="1" applyFont="1" applyBorder="1" applyAlignment="1" applyProtection="1">
      <alignment horizontal="center"/>
      <protection hidden="1"/>
    </xf>
    <xf numFmtId="194" fontId="50" fillId="0" borderId="24" xfId="5" applyNumberFormat="1" applyFont="1" applyBorder="1" applyAlignment="1" applyProtection="1">
      <alignment horizontal="center" vertical="center"/>
      <protection locked="0"/>
    </xf>
    <xf numFmtId="0" fontId="11" fillId="0" borderId="24" xfId="5" applyNumberFormat="1" applyFont="1" applyBorder="1" applyAlignment="1" applyProtection="1">
      <alignment horizontal="center" vertical="center"/>
      <protection locked="0"/>
    </xf>
    <xf numFmtId="0" fontId="50" fillId="0" borderId="24" xfId="5" applyNumberFormat="1" applyFont="1" applyBorder="1" applyAlignment="1" applyProtection="1">
      <alignment horizontal="center" vertical="center"/>
      <protection locked="0"/>
    </xf>
    <xf numFmtId="3" fontId="50" fillId="0" borderId="21" xfId="5" applyNumberFormat="1" applyFont="1" applyBorder="1" applyAlignment="1" applyProtection="1">
      <alignment horizontal="center" vertical="center"/>
      <protection hidden="1"/>
    </xf>
    <xf numFmtId="10" fontId="20" fillId="0" borderId="21" xfId="5" applyNumberFormat="1" applyFont="1" applyBorder="1" applyAlignment="1" applyProtection="1">
      <alignment horizontal="center" vertical="center"/>
      <protection hidden="1"/>
    </xf>
    <xf numFmtId="194" fontId="120" fillId="0" borderId="45" xfId="5" applyNumberFormat="1" applyFont="1" applyBorder="1" applyAlignment="1" applyProtection="1">
      <alignment horizontal="centerContinuous" vertical="top"/>
      <protection hidden="1"/>
    </xf>
    <xf numFmtId="0" fontId="62" fillId="0" borderId="21" xfId="5" applyFont="1" applyBorder="1" applyAlignment="1" applyProtection="1">
      <alignment horizontal="center" vertical="center"/>
      <protection hidden="1"/>
    </xf>
    <xf numFmtId="0" fontId="20" fillId="0" borderId="0" xfId="5" applyNumberFormat="1" applyFont="1" applyBorder="1"/>
    <xf numFmtId="0" fontId="62" fillId="0" borderId="0" xfId="5" applyNumberFormat="1" applyFont="1" applyBorder="1"/>
    <xf numFmtId="0" fontId="115" fillId="0" borderId="0" xfId="5" applyNumberFormat="1" applyFill="1" applyBorder="1"/>
    <xf numFmtId="0" fontId="33" fillId="0" borderId="0" xfId="7" applyFont="1" applyBorder="1" applyAlignment="1">
      <alignment horizontal="left"/>
    </xf>
    <xf numFmtId="0" fontId="38" fillId="12" borderId="37" xfId="0" applyFont="1" applyFill="1" applyBorder="1" applyAlignment="1">
      <alignment horizontal="center" vertical="center"/>
    </xf>
    <xf numFmtId="0" fontId="59" fillId="0" borderId="44" xfId="5" applyNumberFormat="1" applyFont="1" applyFill="1" applyBorder="1" applyAlignment="1"/>
    <xf numFmtId="0" fontId="59" fillId="0" borderId="37" xfId="5" applyNumberFormat="1" applyFont="1" applyFill="1" applyBorder="1" applyAlignment="1"/>
    <xf numFmtId="0" fontId="59" fillId="0" borderId="79" xfId="5" applyNumberFormat="1" applyFont="1" applyFill="1" applyBorder="1" applyAlignment="1"/>
    <xf numFmtId="0" fontId="33" fillId="0" borderId="80" xfId="7" applyFont="1" applyBorder="1" applyAlignment="1">
      <alignment horizontal="left"/>
    </xf>
    <xf numFmtId="0" fontId="33" fillId="0" borderId="34" xfId="7" applyFont="1" applyBorder="1" applyAlignment="1">
      <alignment horizontal="left"/>
    </xf>
    <xf numFmtId="0" fontId="62" fillId="0" borderId="39" xfId="7" applyFont="1" applyBorder="1"/>
    <xf numFmtId="0" fontId="62" fillId="0" borderId="40" xfId="7" applyFont="1" applyBorder="1"/>
    <xf numFmtId="0" fontId="62" fillId="0" borderId="40" xfId="7" applyFont="1" applyFill="1" applyBorder="1"/>
    <xf numFmtId="202" fontId="62" fillId="0" borderId="40" xfId="7" applyNumberFormat="1" applyFont="1" applyFill="1" applyBorder="1" applyAlignment="1">
      <alignment horizontal="left"/>
    </xf>
    <xf numFmtId="202" fontId="2" fillId="0" borderId="40" xfId="7" applyNumberFormat="1" applyFont="1" applyFill="1" applyBorder="1" applyAlignment="1">
      <alignment horizontal="left"/>
    </xf>
    <xf numFmtId="0" fontId="116" fillId="0" borderId="40" xfId="7" applyFill="1" applyBorder="1"/>
    <xf numFmtId="0" fontId="68" fillId="12" borderId="113" xfId="0" applyFont="1" applyFill="1" applyBorder="1" applyAlignment="1">
      <alignment vertical="center"/>
    </xf>
    <xf numFmtId="0" fontId="117" fillId="0" borderId="42" xfId="7" applyFont="1" applyBorder="1" applyAlignment="1">
      <alignment vertical="center"/>
    </xf>
    <xf numFmtId="0" fontId="117" fillId="0" borderId="49" xfId="7" applyFont="1" applyBorder="1" applyAlignment="1">
      <alignment vertical="center"/>
    </xf>
    <xf numFmtId="0" fontId="117" fillId="0" borderId="50" xfId="7" applyFont="1" applyBorder="1" applyAlignment="1">
      <alignment vertical="center"/>
    </xf>
    <xf numFmtId="0" fontId="117" fillId="0" borderId="43" xfId="7" applyFont="1" applyBorder="1" applyAlignment="1">
      <alignment vertical="center"/>
    </xf>
    <xf numFmtId="0" fontId="117" fillId="0" borderId="0" xfId="7" applyFont="1" applyBorder="1" applyAlignment="1">
      <alignment vertical="center"/>
    </xf>
    <xf numFmtId="0" fontId="117" fillId="0" borderId="51" xfId="7" applyFont="1" applyBorder="1" applyAlignment="1">
      <alignment vertical="center"/>
    </xf>
    <xf numFmtId="0" fontId="117" fillId="0" borderId="47" xfId="7" applyFont="1" applyBorder="1" applyAlignment="1">
      <alignment vertical="center"/>
    </xf>
    <xf numFmtId="0" fontId="117" fillId="0" borderId="48" xfId="7" applyFont="1" applyBorder="1" applyAlignment="1">
      <alignment vertical="center"/>
    </xf>
    <xf numFmtId="0" fontId="117" fillId="0" borderId="52" xfId="7" applyFont="1" applyBorder="1" applyAlignment="1">
      <alignment vertical="center"/>
    </xf>
    <xf numFmtId="0" fontId="130" fillId="12" borderId="60" xfId="0" applyFont="1" applyFill="1" applyBorder="1" applyAlignment="1">
      <alignment horizontal="center" vertical="center"/>
    </xf>
    <xf numFmtId="0" fontId="130" fillId="12" borderId="81" xfId="0" applyFont="1" applyFill="1" applyBorder="1" applyAlignment="1">
      <alignment horizontal="center" vertical="center"/>
    </xf>
    <xf numFmtId="0" fontId="130" fillId="12" borderId="21" xfId="0" applyFont="1" applyFill="1" applyBorder="1" applyAlignment="1">
      <alignment horizontal="center" vertical="center"/>
    </xf>
    <xf numFmtId="0" fontId="130" fillId="12" borderId="55" xfId="0" applyFont="1" applyFill="1" applyBorder="1" applyAlignment="1">
      <alignment horizontal="center" vertical="center"/>
    </xf>
    <xf numFmtId="2" fontId="130" fillId="12" borderId="21" xfId="0" applyNumberFormat="1" applyFont="1" applyFill="1" applyBorder="1" applyAlignment="1">
      <alignment horizontal="center" vertical="center"/>
    </xf>
    <xf numFmtId="2" fontId="130" fillId="12" borderId="55" xfId="0" applyNumberFormat="1" applyFont="1" applyFill="1" applyBorder="1" applyAlignment="1">
      <alignment horizontal="center" vertical="center"/>
    </xf>
    <xf numFmtId="1" fontId="130" fillId="12" borderId="21" xfId="0" applyNumberFormat="1" applyFont="1" applyFill="1" applyBorder="1" applyAlignment="1">
      <alignment horizontal="center" vertical="center"/>
    </xf>
    <xf numFmtId="196" fontId="131" fillId="12" borderId="21" xfId="0" applyNumberFormat="1" applyFont="1" applyFill="1" applyBorder="1" applyAlignment="1">
      <alignment horizontal="center" vertical="center"/>
    </xf>
    <xf numFmtId="195" fontId="132" fillId="12" borderId="21" xfId="0" applyNumberFormat="1" applyFont="1" applyFill="1" applyBorder="1" applyAlignment="1">
      <alignment horizontal="center" vertical="center"/>
    </xf>
    <xf numFmtId="0" fontId="58" fillId="17" borderId="0" xfId="6" applyFont="1" applyFill="1" applyBorder="1" applyAlignment="1"/>
    <xf numFmtId="0" fontId="59" fillId="12" borderId="80" xfId="6" applyFont="1" applyFill="1" applyBorder="1" applyAlignment="1">
      <alignment horizontal="center"/>
    </xf>
    <xf numFmtId="0" fontId="50" fillId="12" borderId="39" xfId="0" applyFont="1" applyFill="1" applyBorder="1"/>
    <xf numFmtId="0" fontId="50" fillId="12" borderId="39" xfId="0" applyFont="1" applyFill="1" applyBorder="1" applyAlignment="1">
      <alignment horizontal="center"/>
    </xf>
    <xf numFmtId="200" fontId="37" fillId="12" borderId="39" xfId="0" applyNumberFormat="1" applyFont="1" applyFill="1" applyBorder="1" applyAlignment="1" applyProtection="1">
      <alignment vertical="center"/>
      <protection locked="0"/>
    </xf>
    <xf numFmtId="9" fontId="37" fillId="12" borderId="39" xfId="0" applyNumberFormat="1" applyFont="1" applyFill="1" applyBorder="1" applyAlignment="1">
      <alignment vertical="center"/>
    </xf>
    <xf numFmtId="0" fontId="37" fillId="12" borderId="39" xfId="0" applyFont="1" applyFill="1" applyBorder="1" applyAlignment="1">
      <alignment vertical="center"/>
    </xf>
    <xf numFmtId="0" fontId="50" fillId="12" borderId="40" xfId="0" applyFont="1" applyFill="1" applyBorder="1"/>
    <xf numFmtId="0" fontId="50" fillId="12" borderId="40" xfId="0" applyFont="1" applyFill="1" applyBorder="1" applyAlignment="1">
      <alignment horizontal="center"/>
    </xf>
    <xf numFmtId="2" fontId="20" fillId="12" borderId="40" xfId="0" applyNumberFormat="1" applyFont="1" applyFill="1" applyBorder="1" applyAlignment="1">
      <alignment horizontal="center"/>
    </xf>
    <xf numFmtId="2" fontId="50" fillId="12" borderId="40" xfId="0" applyNumberFormat="1" applyFont="1" applyFill="1" applyBorder="1" applyAlignment="1">
      <alignment horizontal="center"/>
    </xf>
    <xf numFmtId="0" fontId="50" fillId="12" borderId="44" xfId="0" applyFont="1" applyFill="1" applyBorder="1"/>
    <xf numFmtId="0" fontId="50" fillId="12" borderId="37" xfId="0" applyFont="1" applyFill="1" applyBorder="1" applyAlignment="1" applyProtection="1">
      <alignment horizontal="center" vertical="center"/>
    </xf>
    <xf numFmtId="0" fontId="68" fillId="12" borderId="37" xfId="0" applyFont="1" applyFill="1" applyBorder="1" applyAlignment="1">
      <alignment vertical="center"/>
    </xf>
    <xf numFmtId="0" fontId="50" fillId="12" borderId="37" xfId="0" applyFont="1" applyFill="1" applyBorder="1" applyAlignment="1" applyProtection="1">
      <alignment horizontal="left" vertical="center"/>
      <protection locked="0"/>
    </xf>
    <xf numFmtId="0" fontId="50" fillId="12" borderId="37" xfId="0" applyFont="1" applyFill="1" applyBorder="1"/>
    <xf numFmtId="0" fontId="50" fillId="12" borderId="79" xfId="0" applyFont="1" applyFill="1" applyBorder="1"/>
    <xf numFmtId="0" fontId="50" fillId="12" borderId="80" xfId="0" applyFont="1" applyFill="1" applyBorder="1"/>
    <xf numFmtId="0" fontId="110" fillId="12" borderId="0" xfId="0" applyFont="1" applyFill="1" applyBorder="1"/>
    <xf numFmtId="0" fontId="106" fillId="12" borderId="38" xfId="0" applyFont="1" applyFill="1" applyBorder="1"/>
    <xf numFmtId="2" fontId="50" fillId="12" borderId="38" xfId="0" applyNumberFormat="1" applyFont="1" applyFill="1" applyBorder="1"/>
    <xf numFmtId="14" fontId="68" fillId="12" borderId="103" xfId="0" applyNumberFormat="1" applyFont="1" applyFill="1" applyBorder="1" applyAlignment="1">
      <alignment horizontal="left" vertical="center"/>
    </xf>
    <xf numFmtId="0" fontId="62" fillId="0" borderId="41" xfId="5" applyNumberFormat="1" applyFont="1" applyBorder="1"/>
    <xf numFmtId="0" fontId="20" fillId="0" borderId="40" xfId="5" applyNumberFormat="1" applyFont="1" applyBorder="1"/>
    <xf numFmtId="0" fontId="62" fillId="0" borderId="40" xfId="5" applyNumberFormat="1" applyFont="1" applyBorder="1"/>
    <xf numFmtId="0" fontId="115" fillId="0" borderId="44" xfId="5" applyNumberFormat="1" applyBorder="1"/>
    <xf numFmtId="0" fontId="115" fillId="0" borderId="37" xfId="5" applyNumberFormat="1" applyBorder="1"/>
    <xf numFmtId="0" fontId="115" fillId="0" borderId="79" xfId="5" applyNumberFormat="1" applyBorder="1"/>
    <xf numFmtId="0" fontId="20" fillId="0" borderId="61" xfId="5" applyNumberFormat="1" applyFont="1" applyBorder="1"/>
    <xf numFmtId="0" fontId="62" fillId="0" borderId="80" xfId="5" applyNumberFormat="1" applyFont="1" applyBorder="1"/>
    <xf numFmtId="0" fontId="62" fillId="0" borderId="114" xfId="5" applyNumberFormat="1" applyFont="1" applyBorder="1"/>
    <xf numFmtId="0" fontId="20" fillId="0" borderId="115" xfId="5" applyNumberFormat="1" applyFont="1" applyBorder="1"/>
    <xf numFmtId="0" fontId="62" fillId="0" borderId="103" xfId="5" applyNumberFormat="1" applyFont="1" applyBorder="1"/>
    <xf numFmtId="0" fontId="20" fillId="0" borderId="33" xfId="5" applyNumberFormat="1" applyFont="1" applyBorder="1"/>
    <xf numFmtId="0" fontId="20" fillId="0" borderId="38" xfId="5" applyNumberFormat="1" applyFont="1" applyBorder="1"/>
    <xf numFmtId="0" fontId="62" fillId="0" borderId="38" xfId="5" applyNumberFormat="1" applyFont="1" applyBorder="1"/>
    <xf numFmtId="0" fontId="62" fillId="0" borderId="34" xfId="5" applyNumberFormat="1" applyFont="1" applyBorder="1"/>
    <xf numFmtId="194" fontId="0" fillId="12" borderId="20" xfId="0" applyNumberFormat="1" applyFill="1" applyBorder="1" applyAlignment="1">
      <alignment horizontal="center" vertical="center"/>
    </xf>
    <xf numFmtId="0" fontId="67" fillId="12" borderId="0" xfId="0" applyFont="1" applyFill="1" applyBorder="1" applyAlignment="1">
      <alignment vertical="center"/>
    </xf>
    <xf numFmtId="0" fontId="68" fillId="12" borderId="39" xfId="0" applyFont="1" applyFill="1" applyBorder="1" applyAlignment="1">
      <alignment horizontal="left" vertical="center"/>
    </xf>
    <xf numFmtId="196" fontId="43" fillId="12" borderId="21" xfId="0" applyNumberFormat="1" applyFont="1" applyFill="1" applyBorder="1" applyAlignment="1">
      <alignment horizontal="center" vertical="center"/>
    </xf>
    <xf numFmtId="195" fontId="38" fillId="12" borderId="21" xfId="0" applyNumberFormat="1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center" vertical="center"/>
    </xf>
    <xf numFmtId="194" fontId="40" fillId="12" borderId="21" xfId="0" applyNumberFormat="1" applyFont="1" applyFill="1" applyBorder="1" applyAlignment="1">
      <alignment horizontal="center" vertical="center"/>
    </xf>
    <xf numFmtId="0" fontId="0" fillId="12" borderId="45" xfId="0" applyFill="1" applyBorder="1" applyAlignment="1">
      <alignment vertical="center"/>
    </xf>
    <xf numFmtId="0" fontId="67" fillId="12" borderId="38" xfId="0" applyFont="1" applyFill="1" applyBorder="1" applyAlignment="1">
      <alignment vertical="center"/>
    </xf>
    <xf numFmtId="0" fontId="36" fillId="12" borderId="38" xfId="0" applyFont="1" applyFill="1" applyBorder="1" applyAlignment="1">
      <alignment horizontal="left" vertical="center"/>
    </xf>
    <xf numFmtId="0" fontId="36" fillId="12" borderId="37" xfId="0" applyFont="1" applyFill="1" applyBorder="1" applyAlignment="1">
      <alignment horizontal="left" vertical="center"/>
    </xf>
    <xf numFmtId="0" fontId="36" fillId="12" borderId="0" xfId="0" applyFont="1" applyFill="1" applyBorder="1" applyAlignment="1">
      <alignment horizontal="left" vertical="center"/>
    </xf>
    <xf numFmtId="0" fontId="50" fillId="12" borderId="24" xfId="0" applyFont="1" applyFill="1" applyBorder="1" applyAlignment="1">
      <alignment horizontal="center" vertical="center"/>
    </xf>
    <xf numFmtId="0" fontId="50" fillId="12" borderId="20" xfId="0" applyFont="1" applyFill="1" applyBorder="1" applyAlignment="1">
      <alignment horizontal="center" vertical="center"/>
    </xf>
    <xf numFmtId="197" fontId="0" fillId="12" borderId="89" xfId="0" applyNumberFormat="1" applyFill="1" applyBorder="1" applyAlignment="1">
      <alignment horizontal="center" vertical="center"/>
    </xf>
    <xf numFmtId="197" fontId="0" fillId="12" borderId="36" xfId="0" applyNumberFormat="1" applyFill="1" applyBorder="1" applyAlignment="1">
      <alignment horizontal="center" vertical="center"/>
    </xf>
    <xf numFmtId="0" fontId="37" fillId="12" borderId="102" xfId="0" applyFont="1" applyFill="1" applyBorder="1" applyAlignment="1">
      <alignment vertical="center"/>
    </xf>
    <xf numFmtId="0" fontId="68" fillId="12" borderId="104" xfId="0" applyFont="1" applyFill="1" applyBorder="1" applyAlignment="1">
      <alignment horizontal="left" vertical="center"/>
    </xf>
    <xf numFmtId="0" fontId="122" fillId="12" borderId="0" xfId="0" applyFont="1" applyFill="1" applyAlignment="1">
      <alignment horizontal="center" vertical="center"/>
    </xf>
    <xf numFmtId="0" fontId="33" fillId="12" borderId="0" xfId="6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33" fillId="12" borderId="0" xfId="6" applyFont="1" applyFill="1" applyAlignment="1">
      <alignment horizontal="right" vertical="center"/>
    </xf>
    <xf numFmtId="204" fontId="2" fillId="12" borderId="0" xfId="0" applyNumberFormat="1" applyFont="1" applyFill="1" applyAlignment="1">
      <alignment horizontal="left" vertical="center"/>
    </xf>
    <xf numFmtId="0" fontId="113" fillId="12" borderId="0" xfId="0" applyFont="1" applyFill="1" applyBorder="1" applyAlignment="1">
      <alignment vertical="center" wrapText="1"/>
    </xf>
    <xf numFmtId="0" fontId="20" fillId="19" borderId="0" xfId="0" applyFont="1" applyFill="1" applyBorder="1" applyAlignment="1">
      <alignment vertical="center"/>
    </xf>
    <xf numFmtId="0" fontId="33" fillId="19" borderId="44" xfId="6" applyFont="1" applyFill="1" applyBorder="1" applyAlignment="1">
      <alignment vertical="center"/>
    </xf>
    <xf numFmtId="0" fontId="33" fillId="19" borderId="37" xfId="6" applyFont="1" applyFill="1" applyBorder="1" applyAlignment="1">
      <alignment horizontal="center" vertical="center"/>
    </xf>
    <xf numFmtId="0" fontId="2" fillId="19" borderId="37" xfId="0" applyFont="1" applyFill="1" applyBorder="1" applyAlignment="1">
      <alignment horizontal="left" vertical="center" wrapText="1"/>
    </xf>
    <xf numFmtId="0" fontId="33" fillId="19" borderId="37" xfId="6" applyFont="1" applyFill="1" applyBorder="1" applyAlignment="1">
      <alignment horizontal="right" vertical="center"/>
    </xf>
    <xf numFmtId="0" fontId="33" fillId="19" borderId="79" xfId="6" applyFont="1" applyFill="1" applyBorder="1" applyAlignment="1">
      <alignment horizontal="center" vertical="center"/>
    </xf>
    <xf numFmtId="0" fontId="123" fillId="19" borderId="61" xfId="6" applyFont="1" applyFill="1" applyBorder="1" applyAlignment="1">
      <alignment vertical="center"/>
    </xf>
    <xf numFmtId="0" fontId="123" fillId="19" borderId="0" xfId="6" applyFont="1" applyFill="1" applyBorder="1" applyAlignment="1">
      <alignment vertical="center"/>
    </xf>
    <xf numFmtId="0" fontId="123" fillId="19" borderId="80" xfId="6" applyFont="1" applyFill="1" applyBorder="1" applyAlignment="1">
      <alignment vertical="center"/>
    </xf>
    <xf numFmtId="0" fontId="2" fillId="19" borderId="61" xfId="6" applyFont="1" applyFill="1" applyBorder="1" applyAlignment="1">
      <alignment vertical="center"/>
    </xf>
    <xf numFmtId="0" fontId="2" fillId="19" borderId="0" xfId="6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vertical="center"/>
    </xf>
    <xf numFmtId="0" fontId="58" fillId="19" borderId="0" xfId="0" applyFont="1" applyFill="1" applyBorder="1" applyProtection="1">
      <protection hidden="1"/>
    </xf>
    <xf numFmtId="0" fontId="2" fillId="19" borderId="0" xfId="6" applyFont="1" applyFill="1" applyBorder="1" applyAlignment="1">
      <alignment horizontal="right" vertical="center"/>
    </xf>
    <xf numFmtId="205" fontId="2" fillId="19" borderId="80" xfId="0" applyNumberFormat="1" applyFont="1" applyFill="1" applyBorder="1" applyAlignment="1" applyProtection="1">
      <alignment horizontal="left" vertical="center"/>
      <protection hidden="1"/>
    </xf>
    <xf numFmtId="14" fontId="2" fillId="19" borderId="80" xfId="0" applyNumberFormat="1" applyFont="1" applyFill="1" applyBorder="1" applyAlignment="1" applyProtection="1">
      <alignment horizontal="left" vertical="center"/>
      <protection hidden="1"/>
    </xf>
    <xf numFmtId="0" fontId="68" fillId="19" borderId="33" xfId="0" applyFont="1" applyFill="1" applyBorder="1" applyProtection="1">
      <protection hidden="1"/>
    </xf>
    <xf numFmtId="0" fontId="68" fillId="19" borderId="38" xfId="0" applyFont="1" applyFill="1" applyBorder="1" applyProtection="1">
      <protection hidden="1"/>
    </xf>
    <xf numFmtId="0" fontId="68" fillId="19" borderId="34" xfId="0" applyFont="1" applyFill="1" applyBorder="1" applyProtection="1">
      <protection hidden="1"/>
    </xf>
    <xf numFmtId="0" fontId="0" fillId="19" borderId="0" xfId="0" applyFill="1" applyBorder="1" applyAlignment="1">
      <alignment vertical="center"/>
    </xf>
    <xf numFmtId="0" fontId="20" fillId="0" borderId="0" xfId="0" applyFont="1" applyProtection="1">
      <protection hidden="1"/>
    </xf>
    <xf numFmtId="0" fontId="2" fillId="19" borderId="0" xfId="0" applyFont="1" applyFill="1" applyAlignment="1" applyProtection="1">
      <alignment vertical="center"/>
      <protection hidden="1"/>
    </xf>
    <xf numFmtId="0" fontId="0" fillId="19" borderId="0" xfId="0" applyFill="1" applyAlignment="1">
      <alignment vertical="center"/>
    </xf>
    <xf numFmtId="0" fontId="20" fillId="19" borderId="42" xfId="0" applyFont="1" applyFill="1" applyBorder="1" applyAlignment="1">
      <alignment vertical="center"/>
    </xf>
    <xf numFmtId="0" fontId="20" fillId="19" borderId="49" xfId="0" applyFont="1" applyFill="1" applyBorder="1" applyAlignment="1">
      <alignment vertical="center"/>
    </xf>
    <xf numFmtId="0" fontId="104" fillId="19" borderId="49" xfId="0" applyFont="1" applyFill="1" applyBorder="1" applyAlignment="1">
      <alignment vertical="center"/>
    </xf>
    <xf numFmtId="0" fontId="20" fillId="19" borderId="43" xfId="0" applyFont="1" applyFill="1" applyBorder="1" applyAlignment="1">
      <alignment vertical="center"/>
    </xf>
    <xf numFmtId="0" fontId="68" fillId="19" borderId="49" xfId="0" applyFont="1" applyFill="1" applyBorder="1" applyProtection="1">
      <protection hidden="1"/>
    </xf>
    <xf numFmtId="0" fontId="67" fillId="19" borderId="47" xfId="0" applyFont="1" applyFill="1" applyBorder="1" applyAlignment="1">
      <alignment vertical="center"/>
    </xf>
    <xf numFmtId="0" fontId="67" fillId="19" borderId="48" xfId="0" applyFont="1" applyFill="1" applyBorder="1" applyAlignment="1">
      <alignment vertical="center"/>
    </xf>
    <xf numFmtId="0" fontId="67" fillId="19" borderId="0" xfId="0" applyFont="1" applyFill="1" applyAlignment="1">
      <alignment vertical="center"/>
    </xf>
    <xf numFmtId="0" fontId="122" fillId="19" borderId="0" xfId="0" applyFont="1" applyFill="1" applyAlignment="1">
      <alignment horizontal="center" vertical="center"/>
    </xf>
    <xf numFmtId="0" fontId="33" fillId="19" borderId="0" xfId="6" applyFont="1" applyFill="1" applyAlignment="1">
      <alignment vertical="center"/>
    </xf>
    <xf numFmtId="0" fontId="33" fillId="19" borderId="0" xfId="6" applyFont="1" applyFill="1" applyAlignment="1">
      <alignment horizontal="center" vertical="center"/>
    </xf>
    <xf numFmtId="0" fontId="2" fillId="19" borderId="0" xfId="0" applyFont="1" applyFill="1" applyAlignment="1">
      <alignment vertical="center"/>
    </xf>
    <xf numFmtId="0" fontId="2" fillId="19" borderId="0" xfId="0" applyFont="1" applyFill="1" applyAlignment="1">
      <alignment vertical="center" wrapText="1"/>
    </xf>
    <xf numFmtId="0" fontId="33" fillId="19" borderId="0" xfId="0" applyFont="1" applyFill="1" applyAlignment="1">
      <alignment horizontal="right" vertical="center"/>
    </xf>
    <xf numFmtId="0" fontId="33" fillId="19" borderId="0" xfId="0" applyFont="1" applyFill="1" applyAlignment="1">
      <alignment horizontal="center" vertical="center"/>
    </xf>
    <xf numFmtId="0" fontId="33" fillId="19" borderId="0" xfId="6" applyFont="1" applyFill="1" applyAlignment="1">
      <alignment horizontal="right" vertical="center"/>
    </xf>
    <xf numFmtId="204" fontId="2" fillId="19" borderId="0" xfId="0" applyNumberFormat="1" applyFont="1" applyFill="1" applyAlignment="1">
      <alignment horizontal="left" vertical="center"/>
    </xf>
    <xf numFmtId="0" fontId="2" fillId="19" borderId="0" xfId="0" applyFont="1" applyFill="1" applyAlignment="1">
      <alignment horizontal="left" vertical="center" wrapText="1"/>
    </xf>
    <xf numFmtId="0" fontId="68" fillId="19" borderId="50" xfId="0" applyFont="1" applyFill="1" applyBorder="1" applyProtection="1">
      <protection hidden="1"/>
    </xf>
    <xf numFmtId="0" fontId="104" fillId="19" borderId="0" xfId="0" applyFont="1" applyFill="1" applyBorder="1" applyAlignment="1">
      <alignment vertical="center"/>
    </xf>
    <xf numFmtId="0" fontId="68" fillId="19" borderId="0" xfId="0" applyFont="1" applyFill="1" applyBorder="1" applyProtection="1">
      <protection hidden="1"/>
    </xf>
    <xf numFmtId="0" fontId="68" fillId="19" borderId="51" xfId="0" applyFont="1" applyFill="1" applyBorder="1" applyProtection="1">
      <protection hidden="1"/>
    </xf>
    <xf numFmtId="0" fontId="67" fillId="19" borderId="52" xfId="0" applyFont="1" applyFill="1" applyBorder="1" applyAlignment="1">
      <alignment vertical="center"/>
    </xf>
    <xf numFmtId="0" fontId="2" fillId="12" borderId="21" xfId="0" applyFont="1" applyFill="1" applyBorder="1" applyAlignment="1">
      <alignment vertical="center"/>
    </xf>
    <xf numFmtId="207" fontId="2" fillId="12" borderId="0" xfId="0" applyNumberFormat="1" applyFont="1" applyFill="1" applyAlignment="1">
      <alignment horizontal="left" vertical="center"/>
    </xf>
    <xf numFmtId="211" fontId="2" fillId="19" borderId="0" xfId="0" applyNumberFormat="1" applyFont="1" applyFill="1" applyAlignment="1">
      <alignment horizontal="left" vertical="center"/>
    </xf>
    <xf numFmtId="0" fontId="50" fillId="12" borderId="0" xfId="0" applyFont="1" applyFill="1" applyBorder="1" applyAlignment="1">
      <alignment vertical="center"/>
    </xf>
    <xf numFmtId="0" fontId="2" fillId="12" borderId="44" xfId="0" applyFont="1" applyFill="1" applyBorder="1" applyAlignment="1">
      <alignment horizontal="left" vertical="center"/>
    </xf>
    <xf numFmtId="0" fontId="2" fillId="12" borderId="37" xfId="0" applyFont="1" applyFill="1" applyBorder="1" applyAlignment="1">
      <alignment horizontal="left" vertical="center"/>
    </xf>
    <xf numFmtId="0" fontId="33" fillId="12" borderId="37" xfId="0" applyFont="1" applyFill="1" applyBorder="1" applyAlignment="1">
      <alignment horizontal="center" vertical="center"/>
    </xf>
    <xf numFmtId="0" fontId="0" fillId="12" borderId="79" xfId="0" applyFill="1" applyBorder="1" applyAlignment="1">
      <alignment vertical="center"/>
    </xf>
    <xf numFmtId="0" fontId="33" fillId="12" borderId="33" xfId="0" applyFont="1" applyFill="1" applyBorder="1" applyAlignment="1">
      <alignment horizontal="left" vertical="center"/>
    </xf>
    <xf numFmtId="0" fontId="33" fillId="12" borderId="38" xfId="0" applyFont="1" applyFill="1" applyBorder="1" applyAlignment="1">
      <alignment horizontal="left" vertical="center"/>
    </xf>
    <xf numFmtId="49" fontId="2" fillId="12" borderId="38" xfId="0" applyNumberFormat="1" applyFont="1" applyFill="1" applyBorder="1" applyAlignment="1">
      <alignment horizontal="center" vertical="center"/>
    </xf>
    <xf numFmtId="0" fontId="33" fillId="12" borderId="38" xfId="0" applyFont="1" applyFill="1" applyBorder="1" applyAlignment="1">
      <alignment horizontal="center" vertical="center"/>
    </xf>
    <xf numFmtId="49" fontId="33" fillId="12" borderId="38" xfId="0" applyNumberFormat="1" applyFont="1" applyFill="1" applyBorder="1" applyAlignment="1">
      <alignment horizontal="left" vertical="center"/>
    </xf>
    <xf numFmtId="194" fontId="133" fillId="12" borderId="21" xfId="0" applyNumberFormat="1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vertical="center"/>
    </xf>
    <xf numFmtId="0" fontId="2" fillId="12" borderId="32" xfId="0" applyFont="1" applyFill="1" applyBorder="1" applyAlignment="1">
      <alignment vertical="center"/>
    </xf>
    <xf numFmtId="197" fontId="20" fillId="12" borderId="0" xfId="10" applyNumberFormat="1" applyFont="1" applyFill="1" applyBorder="1" applyAlignment="1">
      <alignment vertical="center"/>
    </xf>
    <xf numFmtId="0" fontId="98" fillId="12" borderId="0" xfId="0" applyFont="1" applyFill="1" applyBorder="1" applyAlignment="1">
      <alignment vertical="center" wrapText="1"/>
    </xf>
    <xf numFmtId="203" fontId="62" fillId="12" borderId="0" xfId="0" applyNumberFormat="1" applyFont="1" applyFill="1" applyBorder="1" applyAlignment="1">
      <alignment vertical="center"/>
    </xf>
    <xf numFmtId="0" fontId="33" fillId="12" borderId="0" xfId="6" applyFont="1" applyFill="1" applyBorder="1" applyAlignment="1">
      <alignment vertical="center"/>
    </xf>
    <xf numFmtId="0" fontId="20" fillId="12" borderId="38" xfId="0" applyFont="1" applyFill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94" fontId="33" fillId="12" borderId="37" xfId="0" applyNumberFormat="1" applyFont="1" applyFill="1" applyBorder="1" applyAlignment="1">
      <alignment horizontal="center" vertical="center"/>
    </xf>
    <xf numFmtId="0" fontId="20" fillId="12" borderId="0" xfId="0" applyFont="1" applyFill="1" applyBorder="1" applyAlignment="1">
      <alignment horizontal="center" vertical="center" wrapText="1"/>
    </xf>
    <xf numFmtId="0" fontId="2" fillId="12" borderId="44" xfId="0" applyFont="1" applyFill="1" applyBorder="1" applyAlignment="1">
      <alignment horizontal="center" vertical="center"/>
    </xf>
    <xf numFmtId="194" fontId="133" fillId="12" borderId="79" xfId="0" applyNumberFormat="1" applyFont="1" applyFill="1" applyBorder="1" applyAlignment="1">
      <alignment horizontal="center" vertical="center"/>
    </xf>
    <xf numFmtId="0" fontId="62" fillId="12" borderId="0" xfId="0" applyFont="1" applyFill="1" applyBorder="1" applyAlignment="1">
      <alignment vertical="center"/>
    </xf>
    <xf numFmtId="0" fontId="50" fillId="12" borderId="0" xfId="0" quotePrefix="1" applyFont="1" applyFill="1" applyAlignment="1">
      <alignment vertical="center"/>
    </xf>
    <xf numFmtId="194" fontId="55" fillId="20" borderId="21" xfId="0" applyNumberFormat="1" applyFont="1" applyFill="1" applyBorder="1" applyAlignment="1">
      <alignment vertical="center"/>
    </xf>
    <xf numFmtId="194" fontId="2" fillId="20" borderId="21" xfId="0" applyNumberFormat="1" applyFont="1" applyFill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 wrapText="1"/>
    </xf>
    <xf numFmtId="0" fontId="62" fillId="12" borderId="37" xfId="0" applyFont="1" applyFill="1" applyBorder="1" applyAlignment="1">
      <alignment vertical="center"/>
    </xf>
    <xf numFmtId="194" fontId="98" fillId="12" borderId="37" xfId="0" applyNumberFormat="1" applyFont="1" applyFill="1" applyBorder="1" applyAlignment="1">
      <alignment horizontal="center" vertical="center"/>
    </xf>
    <xf numFmtId="0" fontId="62" fillId="12" borderId="0" xfId="0" applyFont="1" applyFill="1" applyBorder="1" applyAlignment="1">
      <alignment horizontal="center" vertical="center"/>
    </xf>
    <xf numFmtId="194" fontId="98" fillId="12" borderId="0" xfId="0" applyNumberFormat="1" applyFont="1" applyFill="1" applyBorder="1" applyAlignment="1">
      <alignment horizontal="center" vertical="center"/>
    </xf>
    <xf numFmtId="0" fontId="62" fillId="19" borderId="0" xfId="0" applyFont="1" applyFill="1" applyBorder="1" applyAlignment="1">
      <alignment vertical="center"/>
    </xf>
    <xf numFmtId="0" fontId="62" fillId="12" borderId="0" xfId="0" applyFont="1" applyFill="1" applyAlignment="1">
      <alignment vertical="center"/>
    </xf>
    <xf numFmtId="0" fontId="134" fillId="20" borderId="21" xfId="0" applyFont="1" applyFill="1" applyBorder="1" applyAlignment="1">
      <alignment horizontal="center" vertical="center"/>
    </xf>
    <xf numFmtId="194" fontId="134" fillId="20" borderId="21" xfId="0" applyNumberFormat="1" applyFont="1" applyFill="1" applyBorder="1" applyAlignment="1" applyProtection="1">
      <alignment horizontal="center" vertical="center"/>
      <protection hidden="1"/>
    </xf>
    <xf numFmtId="194" fontId="135" fillId="20" borderId="21" xfId="0" applyNumberFormat="1" applyFont="1" applyFill="1" applyBorder="1" applyAlignment="1">
      <alignment horizontal="center" vertical="center"/>
    </xf>
    <xf numFmtId="194" fontId="136" fillId="20" borderId="21" xfId="0" applyNumberFormat="1" applyFont="1" applyFill="1" applyBorder="1" applyAlignment="1">
      <alignment vertical="center"/>
    </xf>
    <xf numFmtId="194" fontId="134" fillId="20" borderId="21" xfId="0" applyNumberFormat="1" applyFont="1" applyFill="1" applyBorder="1" applyAlignment="1">
      <alignment horizontal="center" vertical="center"/>
    </xf>
    <xf numFmtId="194" fontId="137" fillId="0" borderId="21" xfId="0" applyNumberFormat="1" applyFont="1" applyBorder="1" applyAlignment="1">
      <alignment horizontal="center" vertical="center"/>
    </xf>
    <xf numFmtId="194" fontId="137" fillId="12" borderId="21" xfId="0" applyNumberFormat="1" applyFont="1" applyFill="1" applyBorder="1" applyAlignment="1">
      <alignment horizontal="center" vertical="center"/>
    </xf>
    <xf numFmtId="194" fontId="138" fillId="0" borderId="21" xfId="0" applyNumberFormat="1" applyFont="1" applyBorder="1" applyAlignment="1">
      <alignment vertical="center"/>
    </xf>
    <xf numFmtId="0" fontId="137" fillId="12" borderId="44" xfId="0" applyFont="1" applyFill="1" applyBorder="1" applyAlignment="1">
      <alignment horizontal="center" vertical="center"/>
    </xf>
    <xf numFmtId="194" fontId="133" fillId="12" borderId="37" xfId="0" applyNumberFormat="1" applyFont="1" applyFill="1" applyBorder="1" applyAlignment="1">
      <alignment horizontal="center" vertical="center"/>
    </xf>
    <xf numFmtId="0" fontId="33" fillId="19" borderId="0" xfId="6" applyFont="1" applyFill="1" applyBorder="1" applyAlignment="1">
      <alignment horizontal="center" vertical="center"/>
    </xf>
    <xf numFmtId="194" fontId="135" fillId="0" borderId="24" xfId="0" applyNumberFormat="1" applyFont="1" applyFill="1" applyBorder="1" applyAlignment="1">
      <alignment horizontal="center" vertical="center"/>
    </xf>
    <xf numFmtId="0" fontId="125" fillId="12" borderId="37" xfId="0" applyFont="1" applyFill="1" applyBorder="1" applyAlignment="1">
      <alignment vertical="center"/>
    </xf>
    <xf numFmtId="0" fontId="20" fillId="12" borderId="0" xfId="0" applyFont="1" applyFill="1" applyBorder="1" applyAlignment="1">
      <alignment vertical="center" wrapText="1"/>
    </xf>
    <xf numFmtId="194" fontId="137" fillId="12" borderId="0" xfId="0" applyNumberFormat="1" applyFont="1" applyFill="1" applyBorder="1" applyAlignment="1">
      <alignment horizontal="center" vertical="center"/>
    </xf>
    <xf numFmtId="0" fontId="126" fillId="12" borderId="0" xfId="0" applyFont="1" applyFill="1" applyBorder="1" applyAlignment="1">
      <alignment vertical="center"/>
    </xf>
    <xf numFmtId="0" fontId="124" fillId="12" borderId="0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98" fillId="12" borderId="33" xfId="0" applyFont="1" applyFill="1" applyBorder="1" applyAlignment="1">
      <alignment vertical="top"/>
    </xf>
    <xf numFmtId="0" fontId="98" fillId="12" borderId="38" xfId="0" applyFont="1" applyFill="1" applyBorder="1" applyAlignment="1">
      <alignment vertical="top"/>
    </xf>
    <xf numFmtId="194" fontId="133" fillId="12" borderId="0" xfId="0" applyNumberFormat="1" applyFont="1" applyFill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33" fillId="19" borderId="0" xfId="0" applyFont="1" applyFill="1" applyBorder="1" applyAlignment="1">
      <alignment vertical="center"/>
    </xf>
    <xf numFmtId="0" fontId="137" fillId="12" borderId="0" xfId="0" applyFont="1" applyFill="1" applyBorder="1" applyAlignment="1">
      <alignment horizontal="center" vertical="center"/>
    </xf>
    <xf numFmtId="0" fontId="98" fillId="12" borderId="32" xfId="0" applyFont="1" applyFill="1" applyBorder="1" applyAlignment="1">
      <alignment vertical="center"/>
    </xf>
    <xf numFmtId="0" fontId="0" fillId="12" borderId="61" xfId="0" applyFill="1" applyBorder="1" applyAlignment="1">
      <alignment vertical="center"/>
    </xf>
    <xf numFmtId="0" fontId="98" fillId="12" borderId="31" xfId="0" applyFont="1" applyFill="1" applyBorder="1" applyAlignment="1">
      <alignment horizontal="center" vertical="center"/>
    </xf>
    <xf numFmtId="0" fontId="125" fillId="12" borderId="0" xfId="0" applyFont="1" applyFill="1" applyBorder="1" applyAlignment="1">
      <alignment vertical="center"/>
    </xf>
    <xf numFmtId="0" fontId="0" fillId="12" borderId="39" xfId="0" applyFill="1" applyBorder="1" applyAlignment="1">
      <alignment vertical="center"/>
    </xf>
    <xf numFmtId="0" fontId="0" fillId="12" borderId="39" xfId="0" applyFill="1" applyBorder="1" applyAlignment="1">
      <alignment horizontal="center" vertical="center"/>
    </xf>
    <xf numFmtId="0" fontId="50" fillId="12" borderId="39" xfId="0" applyFont="1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12" borderId="21" xfId="0" applyFont="1" applyFill="1" applyBorder="1" applyAlignment="1">
      <alignment horizontal="center" vertical="center" wrapText="1"/>
    </xf>
    <xf numFmtId="0" fontId="20" fillId="12" borderId="21" xfId="0" applyFont="1" applyFill="1" applyBorder="1" applyAlignment="1">
      <alignment horizontal="center" vertical="center" wrapText="1"/>
    </xf>
    <xf numFmtId="0" fontId="20" fillId="0" borderId="0" xfId="0" applyFont="1" applyBorder="1" applyAlignment="1" applyProtection="1">
      <alignment horizontal="right"/>
      <protection hidden="1"/>
    </xf>
    <xf numFmtId="0" fontId="33" fillId="19" borderId="45" xfId="0" applyFont="1" applyFill="1" applyBorder="1" applyAlignment="1">
      <alignment vertical="center" wrapText="1"/>
    </xf>
    <xf numFmtId="0" fontId="62" fillId="12" borderId="45" xfId="0" applyFont="1" applyFill="1" applyBorder="1" applyAlignment="1">
      <alignment vertical="center"/>
    </xf>
    <xf numFmtId="0" fontId="62" fillId="12" borderId="32" xfId="0" applyFont="1" applyFill="1" applyBorder="1" applyAlignment="1">
      <alignment vertical="center"/>
    </xf>
    <xf numFmtId="0" fontId="20" fillId="12" borderId="32" xfId="0" applyFont="1" applyFill="1" applyBorder="1" applyAlignment="1">
      <alignment horizontal="center" vertical="center" wrapText="1"/>
    </xf>
    <xf numFmtId="0" fontId="62" fillId="12" borderId="31" xfId="0" applyFont="1" applyFill="1" applyBorder="1" applyAlignment="1">
      <alignment vertical="center"/>
    </xf>
    <xf numFmtId="0" fontId="20" fillId="12" borderId="21" xfId="0" applyFont="1" applyFill="1" applyBorder="1" applyAlignment="1">
      <alignment vertical="center" wrapText="1"/>
    </xf>
    <xf numFmtId="0" fontId="20" fillId="12" borderId="32" xfId="0" applyFont="1" applyFill="1" applyBorder="1" applyAlignment="1">
      <alignment vertical="center" wrapText="1"/>
    </xf>
    <xf numFmtId="0" fontId="2" fillId="12" borderId="31" xfId="0" applyFont="1" applyFill="1" applyBorder="1" applyAlignment="1">
      <alignment horizontal="center" vertical="center" wrapText="1"/>
    </xf>
    <xf numFmtId="0" fontId="2" fillId="12" borderId="31" xfId="0" quotePrefix="1" applyFont="1" applyFill="1" applyBorder="1" applyAlignment="1">
      <alignment horizontal="left" vertical="center" wrapText="1" indent="1"/>
    </xf>
    <xf numFmtId="0" fontId="69" fillId="12" borderId="0" xfId="0" applyFont="1" applyFill="1" applyBorder="1" applyAlignment="1">
      <alignment horizontal="center" vertical="center"/>
    </xf>
    <xf numFmtId="0" fontId="88" fillId="12" borderId="0" xfId="0" applyFont="1" applyFill="1" applyBorder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36" fillId="12" borderId="44" xfId="0" applyFont="1" applyFill="1" applyBorder="1" applyAlignment="1">
      <alignment horizontal="center" vertical="center"/>
    </xf>
    <xf numFmtId="0" fontId="36" fillId="12" borderId="37" xfId="0" applyFont="1" applyFill="1" applyBorder="1" applyAlignment="1">
      <alignment horizontal="center" vertical="center"/>
    </xf>
    <xf numFmtId="0" fontId="36" fillId="12" borderId="79" xfId="0" applyFont="1" applyFill="1" applyBorder="1" applyAlignment="1">
      <alignment horizontal="center" vertical="center"/>
    </xf>
    <xf numFmtId="0" fontId="36" fillId="12" borderId="33" xfId="0" applyFont="1" applyFill="1" applyBorder="1" applyAlignment="1">
      <alignment horizontal="center" vertical="center"/>
    </xf>
    <xf numFmtId="0" fontId="36" fillId="12" borderId="38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6" fillId="12" borderId="32" xfId="0" applyFont="1" applyFill="1" applyBorder="1" applyAlignment="1">
      <alignment horizontal="center" vertical="center"/>
    </xf>
    <xf numFmtId="200" fontId="37" fillId="12" borderId="40" xfId="0" applyNumberFormat="1" applyFont="1" applyFill="1" applyBorder="1" applyAlignment="1" applyProtection="1">
      <alignment horizontal="left" vertical="center"/>
      <protection locked="0"/>
    </xf>
    <xf numFmtId="194" fontId="36" fillId="12" borderId="31" xfId="0" applyNumberFormat="1" applyFont="1" applyFill="1" applyBorder="1" applyAlignment="1">
      <alignment horizontal="center" vertical="center"/>
    </xf>
    <xf numFmtId="194" fontId="36" fillId="12" borderId="45" xfId="0" applyNumberFormat="1" applyFont="1" applyFill="1" applyBorder="1" applyAlignment="1">
      <alignment horizontal="center" vertical="center"/>
    </xf>
    <xf numFmtId="194" fontId="36" fillId="12" borderId="32" xfId="0" applyNumberFormat="1" applyFont="1" applyFill="1" applyBorder="1" applyAlignment="1">
      <alignment horizontal="center" vertical="center"/>
    </xf>
    <xf numFmtId="194" fontId="46" fillId="12" borderId="0" xfId="0" applyNumberFormat="1" applyFont="1" applyFill="1" applyBorder="1" applyAlignment="1">
      <alignment horizontal="center" vertical="center"/>
    </xf>
    <xf numFmtId="194" fontId="37" fillId="12" borderId="0" xfId="0" applyNumberFormat="1" applyFont="1" applyFill="1" applyBorder="1" applyAlignment="1">
      <alignment horizontal="center" vertical="center"/>
    </xf>
    <xf numFmtId="194" fontId="37" fillId="12" borderId="31" xfId="0" applyNumberFormat="1" applyFont="1" applyFill="1" applyBorder="1" applyAlignment="1">
      <alignment horizontal="center" vertical="center"/>
    </xf>
    <xf numFmtId="194" fontId="37" fillId="12" borderId="45" xfId="0" applyNumberFormat="1" applyFont="1" applyFill="1" applyBorder="1" applyAlignment="1">
      <alignment horizontal="center" vertical="center"/>
    </xf>
    <xf numFmtId="194" fontId="37" fillId="12" borderId="32" xfId="0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2" fontId="36" fillId="12" borderId="83" xfId="0" applyNumberFormat="1" applyFont="1" applyFill="1" applyBorder="1" applyAlignment="1">
      <alignment horizontal="center" vertical="center"/>
    </xf>
    <xf numFmtId="2" fontId="36" fillId="12" borderId="87" xfId="0" applyNumberFormat="1" applyFont="1" applyFill="1" applyBorder="1" applyAlignment="1">
      <alignment horizontal="center" vertical="center"/>
    </xf>
    <xf numFmtId="2" fontId="36" fillId="12" borderId="54" xfId="0" applyNumberFormat="1" applyFont="1" applyFill="1" applyBorder="1" applyAlignment="1">
      <alignment horizontal="center" vertical="center"/>
    </xf>
    <xf numFmtId="2" fontId="36" fillId="12" borderId="88" xfId="0" applyNumberFormat="1" applyFont="1" applyFill="1" applyBorder="1" applyAlignment="1">
      <alignment horizontal="center" vertical="center"/>
    </xf>
    <xf numFmtId="0" fontId="39" fillId="12" borderId="0" xfId="0" applyFont="1" applyFill="1" applyBorder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7" fillId="12" borderId="64" xfId="0" applyFont="1" applyFill="1" applyBorder="1" applyAlignment="1">
      <alignment horizontal="left" vertical="center"/>
    </xf>
    <xf numFmtId="0" fontId="37" fillId="12" borderId="65" xfId="0" applyFont="1" applyFill="1" applyBorder="1" applyAlignment="1">
      <alignment horizontal="left" vertical="center"/>
    </xf>
    <xf numFmtId="0" fontId="37" fillId="12" borderId="116" xfId="0" applyFont="1" applyFill="1" applyBorder="1" applyAlignment="1">
      <alignment horizontal="left" vertical="center"/>
    </xf>
    <xf numFmtId="0" fontId="37" fillId="12" borderId="32" xfId="0" applyFont="1" applyFill="1" applyBorder="1" applyAlignment="1">
      <alignment horizontal="left" vertical="center"/>
    </xf>
    <xf numFmtId="194" fontId="40" fillId="12" borderId="0" xfId="0" applyNumberFormat="1" applyFont="1" applyFill="1" applyBorder="1" applyAlignment="1">
      <alignment horizontal="center" vertical="center"/>
    </xf>
    <xf numFmtId="0" fontId="95" fillId="12" borderId="0" xfId="0" applyFont="1" applyFill="1" applyAlignment="1">
      <alignment horizontal="center" vertical="center"/>
    </xf>
    <xf numFmtId="1" fontId="37" fillId="12" borderId="0" xfId="0" applyNumberFormat="1" applyFont="1" applyFill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0" xfId="0" applyFont="1" applyFill="1" applyBorder="1" applyAlignment="1">
      <alignment horizontal="center" vertical="center"/>
    </xf>
    <xf numFmtId="0" fontId="43" fillId="12" borderId="31" xfId="0" applyFont="1" applyFill="1" applyBorder="1" applyAlignment="1">
      <alignment horizontal="center" vertical="center"/>
    </xf>
    <xf numFmtId="0" fontId="43" fillId="12" borderId="45" xfId="0" applyFont="1" applyFill="1" applyBorder="1" applyAlignment="1">
      <alignment horizontal="center" vertical="center"/>
    </xf>
    <xf numFmtId="0" fontId="43" fillId="12" borderId="32" xfId="0" applyFont="1" applyFill="1" applyBorder="1" applyAlignment="1">
      <alignment horizontal="center" vertical="center"/>
    </xf>
    <xf numFmtId="0" fontId="40" fillId="12" borderId="61" xfId="0" applyFont="1" applyFill="1" applyBorder="1" applyAlignment="1">
      <alignment horizontal="center" vertical="center"/>
    </xf>
    <xf numFmtId="0" fontId="40" fillId="12" borderId="0" xfId="0" applyFont="1" applyFill="1" applyBorder="1" applyAlignment="1">
      <alignment horizontal="center" vertical="center"/>
    </xf>
    <xf numFmtId="0" fontId="37" fillId="12" borderId="45" xfId="0" applyFont="1" applyFill="1" applyBorder="1" applyAlignment="1">
      <alignment horizontal="left" vertical="center"/>
    </xf>
    <xf numFmtId="0" fontId="37" fillId="12" borderId="120" xfId="0" applyFont="1" applyFill="1" applyBorder="1" applyAlignment="1">
      <alignment horizontal="left" vertical="center"/>
    </xf>
    <xf numFmtId="0" fontId="37" fillId="12" borderId="21" xfId="0" applyFont="1" applyFill="1" applyBorder="1" applyAlignment="1">
      <alignment horizontal="left" vertical="center"/>
    </xf>
    <xf numFmtId="0" fontId="37" fillId="12" borderId="56" xfId="0" applyFont="1" applyFill="1" applyBorder="1" applyAlignment="1">
      <alignment horizontal="left" vertical="center"/>
    </xf>
    <xf numFmtId="0" fontId="37" fillId="12" borderId="63" xfId="0" applyFont="1" applyFill="1" applyBorder="1" applyAlignment="1">
      <alignment horizontal="left" vertical="center"/>
    </xf>
    <xf numFmtId="0" fontId="37" fillId="12" borderId="118" xfId="0" applyFont="1" applyFill="1" applyBorder="1" applyAlignment="1">
      <alignment horizontal="left" vertical="center"/>
    </xf>
    <xf numFmtId="0" fontId="37" fillId="12" borderId="119" xfId="0" applyFont="1" applyFill="1" applyBorder="1" applyAlignment="1">
      <alignment horizontal="left" vertical="center"/>
    </xf>
    <xf numFmtId="0" fontId="43" fillId="12" borderId="22" xfId="0" applyFont="1" applyFill="1" applyBorder="1" applyAlignment="1">
      <alignment horizontal="center" vertical="center"/>
    </xf>
    <xf numFmtId="14" fontId="38" fillId="12" borderId="40" xfId="0" applyNumberFormat="1" applyFont="1" applyFill="1" applyBorder="1" applyAlignment="1">
      <alignment horizontal="left" vertical="center"/>
    </xf>
    <xf numFmtId="0" fontId="112" fillId="12" borderId="117" xfId="0" applyFont="1" applyFill="1" applyBorder="1" applyAlignment="1">
      <alignment horizontal="center" vertical="center" wrapText="1"/>
    </xf>
    <xf numFmtId="0" fontId="68" fillId="12" borderId="0" xfId="0" applyFont="1" applyFill="1" applyAlignment="1">
      <alignment horizontal="center" vertical="top" wrapText="1"/>
    </xf>
    <xf numFmtId="201" fontId="2" fillId="12" borderId="0" xfId="6" applyNumberFormat="1" applyFont="1" applyFill="1" applyBorder="1" applyAlignment="1" applyProtection="1">
      <alignment horizontal="left"/>
    </xf>
    <xf numFmtId="0" fontId="37" fillId="12" borderId="60" xfId="0" applyFont="1" applyFill="1" applyBorder="1" applyAlignment="1">
      <alignment horizontal="left" vertical="center"/>
    </xf>
    <xf numFmtId="15" fontId="68" fillId="0" borderId="40" xfId="0" applyNumberFormat="1" applyFont="1" applyBorder="1" applyAlignment="1" applyProtection="1">
      <alignment horizontal="left"/>
      <protection hidden="1"/>
    </xf>
    <xf numFmtId="195" fontId="37" fillId="12" borderId="0" xfId="0" applyNumberFormat="1" applyFont="1" applyFill="1" applyBorder="1" applyAlignment="1">
      <alignment horizontal="left" vertical="center"/>
    </xf>
    <xf numFmtId="195" fontId="36" fillId="12" borderId="61" xfId="0" applyNumberFormat="1" applyFont="1" applyFill="1" applyBorder="1" applyAlignment="1">
      <alignment horizontal="center" vertical="center"/>
    </xf>
    <xf numFmtId="195" fontId="36" fillId="12" borderId="0" xfId="0" applyNumberFormat="1" applyFont="1" applyFill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9" fillId="12" borderId="0" xfId="8" applyFont="1" applyFill="1" applyBorder="1" applyAlignment="1">
      <alignment horizontal="center"/>
    </xf>
    <xf numFmtId="0" fontId="20" fillId="12" borderId="48" xfId="6" applyFont="1" applyFill="1" applyBorder="1" applyAlignment="1">
      <alignment horizontal="center"/>
    </xf>
    <xf numFmtId="20" fontId="50" fillId="12" borderId="101" xfId="0" quotePrefix="1" applyNumberFormat="1" applyFont="1" applyFill="1" applyBorder="1" applyAlignment="1">
      <alignment horizontal="center"/>
    </xf>
    <xf numFmtId="20" fontId="50" fillId="12" borderId="100" xfId="0" quotePrefix="1" applyNumberFormat="1" applyFont="1" applyFill="1" applyBorder="1" applyAlignment="1">
      <alignment horizontal="center"/>
    </xf>
    <xf numFmtId="9" fontId="37" fillId="12" borderId="0" xfId="0" applyNumberFormat="1" applyFont="1" applyFill="1" applyBorder="1" applyAlignment="1">
      <alignment horizontal="left" vertical="center"/>
    </xf>
    <xf numFmtId="0" fontId="37" fillId="12" borderId="0" xfId="0" applyFont="1" applyFill="1" applyBorder="1" applyAlignment="1">
      <alignment horizontal="left" vertical="center"/>
    </xf>
    <xf numFmtId="0" fontId="37" fillId="12" borderId="80" xfId="0" applyFont="1" applyFill="1" applyBorder="1" applyAlignment="1">
      <alignment horizontal="left" vertical="center"/>
    </xf>
    <xf numFmtId="0" fontId="15" fillId="12" borderId="122" xfId="8" applyFont="1" applyFill="1" applyBorder="1" applyAlignment="1">
      <alignment horizontal="center" wrapText="1"/>
    </xf>
    <xf numFmtId="0" fontId="15" fillId="12" borderId="117" xfId="8" applyFont="1" applyFill="1" applyBorder="1" applyAlignment="1">
      <alignment horizontal="center" wrapText="1"/>
    </xf>
    <xf numFmtId="0" fontId="15" fillId="12" borderId="123" xfId="8" applyFont="1" applyFill="1" applyBorder="1" applyAlignment="1">
      <alignment horizontal="center" wrapText="1"/>
    </xf>
    <xf numFmtId="0" fontId="50" fillId="12" borderId="101" xfId="0" applyFont="1" applyFill="1" applyBorder="1" applyAlignment="1">
      <alignment horizontal="center"/>
    </xf>
    <xf numFmtId="0" fontId="50" fillId="12" borderId="100" xfId="0" applyFont="1" applyFill="1" applyBorder="1" applyAlignment="1">
      <alignment horizontal="center"/>
    </xf>
    <xf numFmtId="20" fontId="50" fillId="12" borderId="101" xfId="0" applyNumberFormat="1" applyFont="1" applyFill="1" applyBorder="1" applyAlignment="1">
      <alignment horizontal="center"/>
    </xf>
    <xf numFmtId="20" fontId="50" fillId="12" borderId="100" xfId="0" applyNumberFormat="1" applyFont="1" applyFill="1" applyBorder="1" applyAlignment="1">
      <alignment horizontal="center"/>
    </xf>
    <xf numFmtId="0" fontId="50" fillId="12" borderId="124" xfId="0" applyFont="1" applyFill="1" applyBorder="1" applyAlignment="1">
      <alignment horizontal="center"/>
    </xf>
    <xf numFmtId="0" fontId="50" fillId="12" borderId="102" xfId="0" applyFont="1" applyFill="1" applyBorder="1" applyAlignment="1">
      <alignment horizontal="center"/>
    </xf>
    <xf numFmtId="0" fontId="50" fillId="12" borderId="125" xfId="0" applyFont="1" applyFill="1" applyBorder="1" applyAlignment="1">
      <alignment horizontal="center"/>
    </xf>
    <xf numFmtId="2" fontId="50" fillId="12" borderId="101" xfId="0" quotePrefix="1" applyNumberFormat="1" applyFont="1" applyFill="1" applyBorder="1" applyAlignment="1">
      <alignment horizontal="center"/>
    </xf>
    <xf numFmtId="2" fontId="50" fillId="12" borderId="100" xfId="0" quotePrefix="1" applyNumberFormat="1" applyFont="1" applyFill="1" applyBorder="1" applyAlignment="1">
      <alignment horizontal="center"/>
    </xf>
    <xf numFmtId="0" fontId="50" fillId="12" borderId="0" xfId="0" applyFont="1" applyFill="1" applyAlignment="1">
      <alignment horizontal="center" vertical="top" wrapText="1"/>
    </xf>
    <xf numFmtId="2" fontId="20" fillId="12" borderId="104" xfId="0" applyNumberFormat="1" applyFont="1" applyFill="1" applyBorder="1" applyAlignment="1">
      <alignment horizontal="center"/>
    </xf>
    <xf numFmtId="2" fontId="50" fillId="12" borderId="101" xfId="0" applyNumberFormat="1" applyFont="1" applyFill="1" applyBorder="1" applyAlignment="1">
      <alignment horizontal="center"/>
    </xf>
    <xf numFmtId="2" fontId="50" fillId="12" borderId="100" xfId="0" applyNumberFormat="1" applyFont="1" applyFill="1" applyBorder="1" applyAlignment="1">
      <alignment horizontal="center"/>
    </xf>
    <xf numFmtId="2" fontId="50" fillId="12" borderId="101" xfId="0" applyNumberFormat="1" applyFont="1" applyFill="1" applyBorder="1" applyAlignment="1" applyProtection="1">
      <alignment horizontal="center"/>
      <protection hidden="1"/>
    </xf>
    <xf numFmtId="2" fontId="50" fillId="12" borderId="100" xfId="0" applyNumberFormat="1" applyFont="1" applyFill="1" applyBorder="1" applyAlignment="1" applyProtection="1">
      <alignment horizontal="center"/>
      <protection hidden="1"/>
    </xf>
    <xf numFmtId="0" fontId="20" fillId="0" borderId="31" xfId="5" applyNumberFormat="1" applyFont="1" applyFill="1" applyBorder="1" applyAlignment="1">
      <alignment horizontal="center" vertical="center"/>
    </xf>
    <xf numFmtId="0" fontId="20" fillId="0" borderId="32" xfId="5" applyNumberFormat="1" applyFont="1" applyFill="1" applyBorder="1" applyAlignment="1">
      <alignment horizontal="center" vertical="center"/>
    </xf>
    <xf numFmtId="0" fontId="50" fillId="0" borderId="31" xfId="5" applyNumberFormat="1" applyFont="1" applyBorder="1" applyAlignment="1">
      <alignment horizontal="left" vertical="center"/>
    </xf>
    <xf numFmtId="0" fontId="50" fillId="0" borderId="45" xfId="5" applyNumberFormat="1" applyFont="1" applyBorder="1" applyAlignment="1">
      <alignment horizontal="left" vertical="center"/>
    </xf>
    <xf numFmtId="0" fontId="50" fillId="0" borderId="32" xfId="5" applyNumberFormat="1" applyFont="1" applyBorder="1" applyAlignment="1">
      <alignment horizontal="left" vertical="center"/>
    </xf>
    <xf numFmtId="0" fontId="50" fillId="0" borderId="21" xfId="5" applyNumberFormat="1" applyFont="1" applyBorder="1" applyAlignment="1">
      <alignment horizontal="center" vertical="center"/>
    </xf>
    <xf numFmtId="0" fontId="50" fillId="0" borderId="0" xfId="5" applyNumberFormat="1" applyFont="1" applyAlignment="1">
      <alignment horizontal="center" vertical="top" wrapText="1"/>
    </xf>
    <xf numFmtId="0" fontId="50" fillId="0" borderId="44" xfId="5" applyNumberFormat="1" applyFont="1" applyBorder="1" applyAlignment="1">
      <alignment horizontal="left" vertical="center"/>
    </xf>
    <xf numFmtId="0" fontId="50" fillId="0" borderId="37" xfId="5" applyNumberFormat="1" applyFont="1" applyBorder="1" applyAlignment="1">
      <alignment horizontal="left" vertical="center"/>
    </xf>
    <xf numFmtId="0" fontId="50" fillId="0" borderId="79" xfId="5" applyNumberFormat="1" applyFont="1" applyBorder="1" applyAlignment="1">
      <alignment horizontal="left" vertical="center"/>
    </xf>
    <xf numFmtId="0" fontId="15" fillId="12" borderId="122" xfId="9" applyFont="1" applyFill="1" applyBorder="1" applyAlignment="1">
      <alignment horizontal="center" vertical="center" wrapText="1"/>
    </xf>
    <xf numFmtId="0" fontId="15" fillId="12" borderId="117" xfId="9" applyFont="1" applyFill="1" applyBorder="1" applyAlignment="1">
      <alignment horizontal="center" vertical="center" wrapText="1"/>
    </xf>
    <xf numFmtId="0" fontId="15" fillId="12" borderId="123" xfId="9" applyFont="1" applyFill="1" applyBorder="1" applyAlignment="1">
      <alignment horizontal="center" vertical="center" wrapText="1"/>
    </xf>
    <xf numFmtId="0" fontId="104" fillId="0" borderId="44" xfId="5" applyNumberFormat="1" applyFont="1" applyFill="1" applyBorder="1" applyAlignment="1">
      <alignment horizontal="center" vertical="center"/>
    </xf>
    <xf numFmtId="0" fontId="104" fillId="0" borderId="37" xfId="5" applyNumberFormat="1" applyFont="1" applyFill="1" applyBorder="1" applyAlignment="1">
      <alignment horizontal="center" vertical="center"/>
    </xf>
    <xf numFmtId="0" fontId="104" fillId="0" borderId="79" xfId="5" applyNumberFormat="1" applyFont="1" applyFill="1" applyBorder="1" applyAlignment="1">
      <alignment horizontal="center" vertical="center"/>
    </xf>
    <xf numFmtId="0" fontId="104" fillId="0" borderId="33" xfId="5" applyNumberFormat="1" applyFont="1" applyFill="1" applyBorder="1" applyAlignment="1">
      <alignment horizontal="center" vertical="center"/>
    </xf>
    <xf numFmtId="0" fontId="104" fillId="0" borderId="38" xfId="5" applyNumberFormat="1" applyFont="1" applyFill="1" applyBorder="1" applyAlignment="1">
      <alignment horizontal="center" vertical="center"/>
    </xf>
    <xf numFmtId="0" fontId="104" fillId="0" borderId="34" xfId="5" applyNumberFormat="1" applyFont="1" applyFill="1" applyBorder="1" applyAlignment="1">
      <alignment horizontal="center" vertical="center"/>
    </xf>
    <xf numFmtId="0" fontId="20" fillId="0" borderId="45" xfId="5" applyNumberFormat="1" applyFont="1" applyFill="1" applyBorder="1" applyAlignment="1">
      <alignment horizontal="center" vertical="center"/>
    </xf>
    <xf numFmtId="0" fontId="50" fillId="12" borderId="0" xfId="0" applyFont="1" applyFill="1" applyBorder="1" applyAlignment="1" applyProtection="1">
      <alignment horizontal="center" vertical="center"/>
    </xf>
    <xf numFmtId="0" fontId="50" fillId="12" borderId="0" xfId="0" applyFont="1" applyFill="1" applyBorder="1" applyAlignment="1">
      <alignment horizontal="center" vertical="center"/>
    </xf>
    <xf numFmtId="0" fontId="104" fillId="12" borderId="0" xfId="8" applyFont="1" applyFill="1" applyBorder="1" applyAlignment="1">
      <alignment horizontal="center"/>
    </xf>
    <xf numFmtId="0" fontId="50" fillId="12" borderId="0" xfId="8" applyFont="1" applyFill="1" applyBorder="1" applyAlignment="1">
      <alignment horizontal="center"/>
    </xf>
    <xf numFmtId="0" fontId="20" fillId="12" borderId="101" xfId="6" applyFont="1" applyFill="1" applyBorder="1" applyAlignment="1">
      <alignment horizontal="center"/>
    </xf>
    <xf numFmtId="0" fontId="20" fillId="12" borderId="40" xfId="6" applyFont="1" applyFill="1" applyBorder="1" applyAlignment="1">
      <alignment horizontal="center"/>
    </xf>
    <xf numFmtId="0" fontId="20" fillId="12" borderId="100" xfId="6" applyFont="1" applyFill="1" applyBorder="1" applyAlignment="1">
      <alignment horizontal="center"/>
    </xf>
    <xf numFmtId="0" fontId="50" fillId="12" borderId="101" xfId="6" applyFont="1" applyFill="1" applyBorder="1" applyAlignment="1">
      <alignment horizontal="center"/>
    </xf>
    <xf numFmtId="0" fontId="50" fillId="12" borderId="40" xfId="6" applyFont="1" applyFill="1" applyBorder="1" applyAlignment="1">
      <alignment horizontal="center"/>
    </xf>
    <xf numFmtId="0" fontId="50" fillId="12" borderId="100" xfId="6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textRotation="90" wrapText="1"/>
    </xf>
    <xf numFmtId="0" fontId="25" fillId="3" borderId="33" xfId="0" applyFont="1" applyFill="1" applyBorder="1" applyAlignment="1">
      <alignment horizontal="center" vertical="center" wrapText="1"/>
    </xf>
    <xf numFmtId="0" fontId="25" fillId="3" borderId="134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left" vertical="center" wrapText="1"/>
    </xf>
    <xf numFmtId="0" fontId="25" fillId="3" borderId="132" xfId="0" applyFont="1" applyFill="1" applyBorder="1" applyAlignment="1">
      <alignment horizontal="left"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126" xfId="0" applyFont="1" applyFill="1" applyBorder="1" applyAlignment="1">
      <alignment horizontal="center" vertical="center" wrapText="1"/>
    </xf>
    <xf numFmtId="0" fontId="11" fillId="11" borderId="127" xfId="0" applyFont="1" applyFill="1" applyBorder="1" applyAlignment="1">
      <alignment horizontal="center" vertical="center" textRotation="90" wrapText="1"/>
    </xf>
    <xf numFmtId="0" fontId="11" fillId="11" borderId="128" xfId="0" applyFont="1" applyFill="1" applyBorder="1" applyAlignment="1">
      <alignment horizontal="center" vertical="center" textRotation="90" wrapText="1"/>
    </xf>
    <xf numFmtId="0" fontId="11" fillId="11" borderId="129" xfId="0" applyFont="1" applyFill="1" applyBorder="1" applyAlignment="1">
      <alignment horizontal="center" vertical="center" textRotation="90" wrapText="1"/>
    </xf>
    <xf numFmtId="0" fontId="27" fillId="11" borderId="44" xfId="0" applyFont="1" applyFill="1" applyBorder="1" applyAlignment="1">
      <alignment horizontal="center" vertical="center" textRotation="90" wrapText="1"/>
    </xf>
    <xf numFmtId="0" fontId="27" fillId="11" borderId="79" xfId="0" applyFont="1" applyFill="1" applyBorder="1" applyAlignment="1">
      <alignment horizontal="center" vertical="center" textRotation="90" wrapText="1"/>
    </xf>
    <xf numFmtId="0" fontId="27" fillId="11" borderId="61" xfId="0" applyFont="1" applyFill="1" applyBorder="1" applyAlignment="1">
      <alignment horizontal="center" vertical="center" textRotation="90" wrapText="1"/>
    </xf>
    <xf numFmtId="0" fontId="27" fillId="11" borderId="80" xfId="0" applyFont="1" applyFill="1" applyBorder="1" applyAlignment="1">
      <alignment horizontal="center" vertical="center" textRotation="90" wrapText="1"/>
    </xf>
    <xf numFmtId="0" fontId="27" fillId="11" borderId="33" xfId="0" applyFont="1" applyFill="1" applyBorder="1" applyAlignment="1">
      <alignment horizontal="center" vertical="center" textRotation="90" wrapText="1"/>
    </xf>
    <xf numFmtId="0" fontId="27" fillId="11" borderId="34" xfId="0" applyFont="1" applyFill="1" applyBorder="1" applyAlignment="1">
      <alignment horizontal="center" vertical="center" textRotation="90" wrapText="1"/>
    </xf>
    <xf numFmtId="0" fontId="29" fillId="9" borderId="44" xfId="0" applyFont="1" applyFill="1" applyBorder="1" applyAlignment="1">
      <alignment horizontal="left" vertical="center" wrapText="1"/>
    </xf>
    <xf numFmtId="0" fontId="29" fillId="9" borderId="130" xfId="0" applyFont="1" applyFill="1" applyBorder="1" applyAlignment="1">
      <alignment horizontal="left" vertical="center" wrapText="1"/>
    </xf>
    <xf numFmtId="0" fontId="29" fillId="9" borderId="26" xfId="0" applyFont="1" applyFill="1" applyBorder="1" applyAlignment="1">
      <alignment horizontal="left" vertical="center" wrapText="1"/>
    </xf>
    <xf numFmtId="0" fontId="29" fillId="9" borderId="131" xfId="0" applyFont="1" applyFill="1" applyBorder="1" applyAlignment="1">
      <alignment horizontal="left" vertical="center" wrapText="1"/>
    </xf>
    <xf numFmtId="0" fontId="27" fillId="11" borderId="0" xfId="0" applyFont="1" applyFill="1" applyBorder="1" applyAlignment="1">
      <alignment horizontal="center" vertical="center" textRotation="90" wrapText="1"/>
    </xf>
    <xf numFmtId="0" fontId="27" fillId="11" borderId="38" xfId="0" applyFont="1" applyFill="1" applyBorder="1" applyAlignment="1">
      <alignment horizontal="center" vertical="center" textRotation="90" wrapText="1"/>
    </xf>
    <xf numFmtId="0" fontId="26" fillId="8" borderId="25" xfId="0" applyFont="1" applyFill="1" applyBorder="1" applyAlignment="1">
      <alignment horizontal="left" vertical="center" wrapText="1"/>
    </xf>
    <xf numFmtId="0" fontId="26" fillId="8" borderId="132" xfId="0" applyFont="1" applyFill="1" applyBorder="1" applyAlignment="1">
      <alignment horizontal="left" vertical="center" wrapText="1"/>
    </xf>
    <xf numFmtId="0" fontId="9" fillId="5" borderId="128" xfId="0" applyFont="1" applyFill="1" applyBorder="1" applyAlignment="1">
      <alignment horizontal="center" vertical="center" textRotation="90" wrapText="1"/>
    </xf>
    <xf numFmtId="0" fontId="9" fillId="5" borderId="133" xfId="0" applyFont="1" applyFill="1" applyBorder="1" applyAlignment="1">
      <alignment horizontal="center" vertical="center" textRotation="90" wrapText="1"/>
    </xf>
    <xf numFmtId="0" fontId="23" fillId="5" borderId="22" xfId="0" applyFont="1" applyFill="1" applyBorder="1" applyAlignment="1">
      <alignment horizontal="center" vertical="center" textRotation="90" wrapText="1"/>
    </xf>
    <xf numFmtId="0" fontId="23" fillId="5" borderId="20" xfId="0" applyFont="1" applyFill="1" applyBorder="1" applyAlignment="1">
      <alignment horizontal="center" vertical="center" textRotation="90" wrapText="1"/>
    </xf>
    <xf numFmtId="0" fontId="21" fillId="0" borderId="0" xfId="0" applyFont="1" applyAlignment="1">
      <alignment horizontal="center" wrapText="1"/>
    </xf>
    <xf numFmtId="0" fontId="26" fillId="8" borderId="31" xfId="0" applyFont="1" applyFill="1" applyBorder="1" applyAlignment="1">
      <alignment horizontal="center" vertical="center" wrapText="1"/>
    </xf>
    <xf numFmtId="0" fontId="26" fillId="8" borderId="126" xfId="0" applyFont="1" applyFill="1" applyBorder="1" applyAlignment="1">
      <alignment horizontal="center" vertical="center" wrapText="1"/>
    </xf>
    <xf numFmtId="0" fontId="6" fillId="4" borderId="142" xfId="0" applyFont="1" applyFill="1" applyBorder="1" applyAlignment="1">
      <alignment horizontal="center" vertical="center" wrapText="1"/>
    </xf>
    <xf numFmtId="0" fontId="6" fillId="4" borderId="143" xfId="0" applyFont="1" applyFill="1" applyBorder="1" applyAlignment="1">
      <alignment horizontal="center" vertical="center" wrapText="1"/>
    </xf>
    <xf numFmtId="0" fontId="7" fillId="4" borderId="143" xfId="0" applyFont="1" applyFill="1" applyBorder="1" applyAlignment="1">
      <alignment horizontal="center" vertical="center" wrapText="1"/>
    </xf>
    <xf numFmtId="0" fontId="8" fillId="4" borderId="143" xfId="0" applyFont="1" applyFill="1" applyBorder="1" applyAlignment="1">
      <alignment horizontal="center" vertical="center" wrapText="1"/>
    </xf>
    <xf numFmtId="0" fontId="8" fillId="4" borderId="143" xfId="0" applyFont="1" applyFill="1" applyBorder="1" applyAlignment="1">
      <alignment horizontal="center" vertical="center"/>
    </xf>
    <xf numFmtId="0" fontId="8" fillId="4" borderId="144" xfId="0" applyFont="1" applyFill="1" applyBorder="1" applyAlignment="1">
      <alignment horizontal="center" vertical="center"/>
    </xf>
    <xf numFmtId="0" fontId="6" fillId="4" borderId="137" xfId="0" applyFont="1" applyFill="1" applyBorder="1" applyAlignment="1">
      <alignment horizontal="center" vertical="center" wrapText="1"/>
    </xf>
    <xf numFmtId="0" fontId="6" fillId="4" borderId="14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6" xfId="0" applyFont="1" applyFill="1" applyBorder="1" applyAlignment="1">
      <alignment horizontal="center" vertical="center"/>
    </xf>
    <xf numFmtId="0" fontId="9" fillId="4" borderId="138" xfId="0" applyFont="1" applyFill="1" applyBorder="1" applyAlignment="1">
      <alignment horizontal="center" vertical="center"/>
    </xf>
    <xf numFmtId="0" fontId="9" fillId="4" borderId="147" xfId="0" applyFont="1" applyFill="1" applyBorder="1" applyAlignment="1">
      <alignment horizontal="center" vertical="center"/>
    </xf>
    <xf numFmtId="0" fontId="9" fillId="4" borderId="13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48" xfId="0" applyFont="1" applyFill="1" applyBorder="1" applyAlignment="1">
      <alignment horizontal="center" vertical="center"/>
    </xf>
    <xf numFmtId="0" fontId="10" fillId="4" borderId="13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3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5" fillId="12" borderId="31" xfId="0" applyFont="1" applyFill="1" applyBorder="1" applyAlignment="1">
      <alignment horizontal="center"/>
    </xf>
    <xf numFmtId="0" fontId="15" fillId="12" borderId="32" xfId="0" applyFont="1" applyFill="1" applyBorder="1" applyAlignment="1">
      <alignment horizontal="center"/>
    </xf>
    <xf numFmtId="0" fontId="10" fillId="4" borderId="138" xfId="0" applyFont="1" applyFill="1" applyBorder="1" applyAlignment="1">
      <alignment horizontal="center" vertical="center"/>
    </xf>
    <xf numFmtId="0" fontId="10" fillId="4" borderId="13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40" xfId="0" applyFont="1" applyFill="1" applyBorder="1" applyAlignment="1">
      <alignment horizontal="center" vertical="center"/>
    </xf>
    <xf numFmtId="0" fontId="9" fillId="2" borderId="14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88" fillId="12" borderId="42" xfId="0" applyFont="1" applyFill="1" applyBorder="1" applyAlignment="1">
      <alignment horizontal="center" vertical="center"/>
    </xf>
    <xf numFmtId="0" fontId="88" fillId="12" borderId="49" xfId="0" applyFont="1" applyFill="1" applyBorder="1" applyAlignment="1">
      <alignment horizontal="center" vertical="center"/>
    </xf>
    <xf numFmtId="0" fontId="88" fillId="12" borderId="50" xfId="0" applyFont="1" applyFill="1" applyBorder="1" applyAlignment="1">
      <alignment horizontal="center" vertical="center"/>
    </xf>
    <xf numFmtId="0" fontId="88" fillId="12" borderId="43" xfId="0" applyFont="1" applyFill="1" applyBorder="1" applyAlignment="1">
      <alignment horizontal="center" vertical="center"/>
    </xf>
    <xf numFmtId="0" fontId="88" fillId="12" borderId="51" xfId="0" applyFont="1" applyFill="1" applyBorder="1" applyAlignment="1">
      <alignment horizontal="center" vertical="center"/>
    </xf>
    <xf numFmtId="0" fontId="88" fillId="12" borderId="47" xfId="0" applyFont="1" applyFill="1" applyBorder="1" applyAlignment="1">
      <alignment horizontal="center" vertical="center"/>
    </xf>
    <xf numFmtId="0" fontId="88" fillId="12" borderId="48" xfId="0" applyFont="1" applyFill="1" applyBorder="1" applyAlignment="1">
      <alignment horizontal="center" vertical="center"/>
    </xf>
    <xf numFmtId="0" fontId="88" fillId="12" borderId="52" xfId="0" applyFont="1" applyFill="1" applyBorder="1" applyAlignment="1">
      <alignment horizontal="center" vertical="center"/>
    </xf>
    <xf numFmtId="0" fontId="72" fillId="12" borderId="21" xfId="0" applyFont="1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/>
    </xf>
    <xf numFmtId="0" fontId="84" fillId="12" borderId="21" xfId="0" applyFont="1" applyFill="1" applyBorder="1" applyAlignment="1">
      <alignment horizontal="center" vertical="center" wrapText="1"/>
    </xf>
    <xf numFmtId="0" fontId="85" fillId="12" borderId="21" xfId="0" applyFont="1" applyFill="1" applyBorder="1" applyAlignment="1">
      <alignment horizontal="center" vertical="center" wrapText="1"/>
    </xf>
    <xf numFmtId="0" fontId="51" fillId="12" borderId="0" xfId="0" applyFont="1" applyFill="1" applyBorder="1" applyAlignment="1">
      <alignment horizontal="center"/>
    </xf>
    <xf numFmtId="14" fontId="72" fillId="12" borderId="0" xfId="0" applyNumberFormat="1" applyFont="1" applyFill="1" applyAlignment="1" applyProtection="1">
      <alignment horizontal="left" vertical="center"/>
    </xf>
    <xf numFmtId="0" fontId="77" fillId="12" borderId="0" xfId="0" applyFont="1" applyFill="1" applyBorder="1" applyAlignment="1">
      <alignment horizontal="center" vertical="center"/>
    </xf>
    <xf numFmtId="0" fontId="75" fillId="12" borderId="0" xfId="0" applyFont="1" applyFill="1" applyBorder="1" applyAlignment="1">
      <alignment horizontal="center" vertical="center"/>
    </xf>
    <xf numFmtId="14" fontId="72" fillId="12" borderId="40" xfId="0" applyNumberFormat="1" applyFont="1" applyFill="1" applyBorder="1" applyAlignment="1" applyProtection="1">
      <alignment horizontal="left" vertical="center"/>
    </xf>
    <xf numFmtId="0" fontId="82" fillId="0" borderId="79" xfId="0" applyFont="1" applyBorder="1" applyAlignment="1">
      <alignment horizontal="center" vertical="center"/>
    </xf>
    <xf numFmtId="0" fontId="82" fillId="0" borderId="34" xfId="0" applyFont="1" applyBorder="1" applyAlignment="1">
      <alignment horizontal="center" vertical="center"/>
    </xf>
    <xf numFmtId="0" fontId="82" fillId="0" borderId="37" xfId="0" applyFont="1" applyBorder="1" applyAlignment="1">
      <alignment horizontal="center" vertical="center"/>
    </xf>
    <xf numFmtId="0" fontId="82" fillId="0" borderId="38" xfId="0" applyFont="1" applyBorder="1" applyAlignment="1">
      <alignment horizontal="center" vertical="center"/>
    </xf>
    <xf numFmtId="0" fontId="82" fillId="0" borderId="44" xfId="0" applyFont="1" applyBorder="1" applyAlignment="1">
      <alignment horizontal="center" vertical="center"/>
    </xf>
    <xf numFmtId="0" fontId="82" fillId="0" borderId="33" xfId="0" applyFont="1" applyBorder="1" applyAlignment="1">
      <alignment horizontal="center" vertical="center"/>
    </xf>
    <xf numFmtId="0" fontId="88" fillId="12" borderId="149" xfId="0" applyFont="1" applyFill="1" applyBorder="1" applyAlignment="1">
      <alignment horizontal="center" vertical="center"/>
    </xf>
    <xf numFmtId="0" fontId="88" fillId="12" borderId="150" xfId="0" applyFont="1" applyFill="1" applyBorder="1" applyAlignment="1">
      <alignment horizontal="center" vertical="center"/>
    </xf>
    <xf numFmtId="0" fontId="88" fillId="12" borderId="151" xfId="0" applyFont="1" applyFill="1" applyBorder="1" applyAlignment="1">
      <alignment horizontal="center" vertical="center"/>
    </xf>
    <xf numFmtId="0" fontId="52" fillId="12" borderId="0" xfId="0" applyFont="1" applyFill="1" applyAlignment="1">
      <alignment horizontal="center" vertical="center"/>
    </xf>
    <xf numFmtId="10" fontId="1" fillId="12" borderId="67" xfId="10" applyNumberFormat="1" applyFill="1" applyBorder="1" applyAlignment="1">
      <alignment horizontal="center" vertical="center"/>
    </xf>
    <xf numFmtId="0" fontId="51" fillId="12" borderId="0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97" fontId="59" fillId="12" borderId="31" xfId="10" applyNumberFormat="1" applyFont="1" applyFill="1" applyBorder="1" applyAlignment="1">
      <alignment horizontal="center" vertical="center"/>
    </xf>
    <xf numFmtId="197" fontId="59" fillId="12" borderId="45" xfId="10" applyNumberFormat="1" applyFont="1" applyFill="1" applyBorder="1" applyAlignment="1">
      <alignment horizontal="center" vertical="center"/>
    </xf>
    <xf numFmtId="197" fontId="59" fillId="12" borderId="32" xfId="10" applyNumberFormat="1" applyFont="1" applyFill="1" applyBorder="1" applyAlignment="1">
      <alignment horizontal="center" vertical="center"/>
    </xf>
    <xf numFmtId="0" fontId="33" fillId="19" borderId="21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194" fontId="139" fillId="12" borderId="31" xfId="0" applyNumberFormat="1" applyFont="1" applyFill="1" applyBorder="1" applyAlignment="1">
      <alignment horizontal="center" vertical="center" wrapText="1"/>
    </xf>
    <xf numFmtId="0" fontId="139" fillId="12" borderId="32" xfId="0" applyFont="1" applyFill="1" applyBorder="1" applyAlignment="1">
      <alignment horizontal="center" vertical="center" wrapText="1"/>
    </xf>
    <xf numFmtId="0" fontId="139" fillId="12" borderId="31" xfId="0" applyFont="1" applyFill="1" applyBorder="1" applyAlignment="1">
      <alignment horizontal="center" vertical="center" wrapText="1"/>
    </xf>
    <xf numFmtId="0" fontId="33" fillId="19" borderId="0" xfId="6" applyFont="1" applyFill="1" applyBorder="1" applyAlignment="1">
      <alignment horizontal="center" vertical="center"/>
    </xf>
    <xf numFmtId="0" fontId="62" fillId="12" borderId="0" xfId="0" applyFont="1" applyFill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/>
    </xf>
    <xf numFmtId="0" fontId="36" fillId="12" borderId="42" xfId="0" applyFont="1" applyFill="1" applyBorder="1" applyAlignment="1" applyProtection="1">
      <alignment horizontal="center" vertical="center"/>
      <protection locked="0"/>
    </xf>
    <xf numFmtId="0" fontId="36" fillId="12" borderId="49" xfId="0" applyFont="1" applyFill="1" applyBorder="1" applyAlignment="1" applyProtection="1">
      <alignment horizontal="center" vertical="center"/>
      <protection locked="0"/>
    </xf>
    <xf numFmtId="0" fontId="36" fillId="12" borderId="50" xfId="0" applyFont="1" applyFill="1" applyBorder="1" applyAlignment="1" applyProtection="1">
      <alignment horizontal="center" vertical="center"/>
      <protection locked="0"/>
    </xf>
    <xf numFmtId="0" fontId="36" fillId="12" borderId="43" xfId="0" applyFont="1" applyFill="1" applyBorder="1" applyAlignment="1" applyProtection="1">
      <alignment horizontal="center" vertical="center"/>
      <protection locked="0"/>
    </xf>
    <xf numFmtId="0" fontId="36" fillId="12" borderId="0" xfId="0" applyFont="1" applyFill="1" applyBorder="1" applyAlignment="1" applyProtection="1">
      <alignment horizontal="center" vertical="center"/>
      <protection locked="0"/>
    </xf>
    <xf numFmtId="0" fontId="36" fillId="12" borderId="51" xfId="0" applyFont="1" applyFill="1" applyBorder="1" applyAlignment="1" applyProtection="1">
      <alignment horizontal="center" vertical="center"/>
      <protection locked="0"/>
    </xf>
    <xf numFmtId="0" fontId="36" fillId="12" borderId="47" xfId="0" applyFont="1" applyFill="1" applyBorder="1" applyAlignment="1" applyProtection="1">
      <alignment horizontal="center" vertical="center"/>
      <protection locked="0"/>
    </xf>
    <xf numFmtId="0" fontId="36" fillId="12" borderId="48" xfId="0" applyFont="1" applyFill="1" applyBorder="1" applyAlignment="1" applyProtection="1">
      <alignment horizontal="center" vertical="center"/>
      <protection locked="0"/>
    </xf>
    <xf numFmtId="0" fontId="36" fillId="12" borderId="52" xfId="0" applyFont="1" applyFill="1" applyBorder="1" applyAlignment="1" applyProtection="1">
      <alignment horizontal="center" vertical="center"/>
      <protection locked="0"/>
    </xf>
    <xf numFmtId="0" fontId="121" fillId="12" borderId="0" xfId="0" applyFont="1" applyFill="1" applyBorder="1" applyAlignment="1">
      <alignment horizontal="center" vertical="center"/>
    </xf>
    <xf numFmtId="206" fontId="121" fillId="0" borderId="0" xfId="0" applyNumberFormat="1" applyFont="1" applyBorder="1" applyAlignment="1" applyProtection="1">
      <alignment horizontal="center"/>
      <protection hidden="1"/>
    </xf>
    <xf numFmtId="0" fontId="20" fillId="12" borderId="33" xfId="0" applyFont="1" applyFill="1" applyBorder="1" applyAlignment="1">
      <alignment horizontal="center" vertical="center" wrapText="1"/>
    </xf>
    <xf numFmtId="0" fontId="20" fillId="12" borderId="38" xfId="0" applyFont="1" applyFill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 vertical="center" wrapText="1"/>
    </xf>
    <xf numFmtId="0" fontId="33" fillId="19" borderId="20" xfId="0" applyFont="1" applyFill="1" applyBorder="1" applyAlignment="1">
      <alignment horizontal="center" vertical="center" wrapText="1"/>
    </xf>
    <xf numFmtId="0" fontId="33" fillId="19" borderId="24" xfId="6" applyFont="1" applyFill="1" applyBorder="1" applyAlignment="1">
      <alignment horizontal="center" vertical="center" wrapText="1"/>
    </xf>
    <xf numFmtId="0" fontId="33" fillId="19" borderId="20" xfId="6" applyFont="1" applyFill="1" applyBorder="1" applyAlignment="1">
      <alignment horizontal="center" vertical="center" wrapText="1"/>
    </xf>
    <xf numFmtId="0" fontId="20" fillId="12" borderId="44" xfId="0" applyFont="1" applyFill="1" applyBorder="1" applyAlignment="1">
      <alignment horizontal="center"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20" fillId="12" borderId="79" xfId="0" applyFont="1" applyFill="1" applyBorder="1" applyAlignment="1">
      <alignment horizontal="center" vertical="center" wrapText="1"/>
    </xf>
    <xf numFmtId="0" fontId="98" fillId="12" borderId="31" xfId="0" applyFont="1" applyFill="1" applyBorder="1" applyAlignment="1">
      <alignment horizontal="center" vertical="center" wrapText="1"/>
    </xf>
    <xf numFmtId="0" fontId="98" fillId="12" borderId="45" xfId="0" applyFont="1" applyFill="1" applyBorder="1" applyAlignment="1">
      <alignment horizontal="center" vertical="center" wrapText="1"/>
    </xf>
    <xf numFmtId="0" fontId="98" fillId="12" borderId="32" xfId="0" applyFont="1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134" fillId="0" borderId="31" xfId="0" applyFont="1" applyFill="1" applyBorder="1" applyAlignment="1">
      <alignment horizontal="center" vertical="center"/>
    </xf>
    <xf numFmtId="0" fontId="134" fillId="0" borderId="32" xfId="0" applyFont="1" applyFill="1" applyBorder="1" applyAlignment="1">
      <alignment horizontal="center" vertical="center"/>
    </xf>
    <xf numFmtId="194" fontId="137" fillId="0" borderId="31" xfId="0" applyNumberFormat="1" applyFont="1" applyFill="1" applyBorder="1" applyAlignment="1">
      <alignment horizontal="center" vertical="center"/>
    </xf>
    <xf numFmtId="194" fontId="137" fillId="0" borderId="32" xfId="0" applyNumberFormat="1" applyFont="1" applyFill="1" applyBorder="1" applyAlignment="1">
      <alignment horizontal="center" vertical="center"/>
    </xf>
    <xf numFmtId="0" fontId="62" fillId="12" borderId="24" xfId="0" applyFont="1" applyFill="1" applyBorder="1" applyAlignment="1">
      <alignment horizontal="center" vertical="center" wrapText="1"/>
    </xf>
    <xf numFmtId="0" fontId="62" fillId="12" borderId="20" xfId="0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33" fillId="19" borderId="44" xfId="6" applyFont="1" applyFill="1" applyBorder="1" applyAlignment="1">
      <alignment horizontal="center" vertical="center" wrapText="1"/>
    </xf>
    <xf numFmtId="0" fontId="33" fillId="19" borderId="79" xfId="6" applyFont="1" applyFill="1" applyBorder="1" applyAlignment="1">
      <alignment horizontal="center" vertical="center" wrapText="1"/>
    </xf>
    <xf numFmtId="0" fontId="33" fillId="19" borderId="33" xfId="6" applyFont="1" applyFill="1" applyBorder="1" applyAlignment="1">
      <alignment horizontal="center" vertical="center" wrapText="1"/>
    </xf>
    <xf numFmtId="0" fontId="33" fillId="19" borderId="34" xfId="6" applyFont="1" applyFill="1" applyBorder="1" applyAlignment="1">
      <alignment horizontal="center" vertical="center" wrapText="1"/>
    </xf>
    <xf numFmtId="0" fontId="33" fillId="19" borderId="31" xfId="0" applyFont="1" applyFill="1" applyBorder="1" applyAlignment="1">
      <alignment horizontal="center" vertical="center" wrapText="1"/>
    </xf>
    <xf numFmtId="0" fontId="33" fillId="19" borderId="45" xfId="0" applyFont="1" applyFill="1" applyBorder="1" applyAlignment="1">
      <alignment horizontal="center" vertical="center" wrapText="1"/>
    </xf>
    <xf numFmtId="0" fontId="33" fillId="19" borderId="32" xfId="0" applyFont="1" applyFill="1" applyBorder="1" applyAlignment="1">
      <alignment horizontal="center" vertical="center" wrapText="1"/>
    </xf>
    <xf numFmtId="0" fontId="33" fillId="19" borderId="44" xfId="0" applyFont="1" applyFill="1" applyBorder="1" applyAlignment="1">
      <alignment horizontal="center" vertical="center" wrapText="1"/>
    </xf>
    <xf numFmtId="0" fontId="33" fillId="19" borderId="37" xfId="0" applyFont="1" applyFill="1" applyBorder="1" applyAlignment="1">
      <alignment horizontal="center" vertical="center" wrapText="1"/>
    </xf>
    <xf numFmtId="0" fontId="33" fillId="19" borderId="79" xfId="0" applyFont="1" applyFill="1" applyBorder="1" applyAlignment="1">
      <alignment horizontal="center" vertical="center" wrapText="1"/>
    </xf>
    <xf numFmtId="0" fontId="33" fillId="19" borderId="33" xfId="0" applyFont="1" applyFill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vertical="center" wrapText="1"/>
    </xf>
    <xf numFmtId="0" fontId="33" fillId="19" borderId="34" xfId="0" applyFont="1" applyFill="1" applyBorder="1" applyAlignment="1">
      <alignment horizontal="center" vertical="center" wrapText="1"/>
    </xf>
    <xf numFmtId="0" fontId="98" fillId="12" borderId="31" xfId="0" applyFont="1" applyFill="1" applyBorder="1" applyAlignment="1">
      <alignment horizontal="center" vertical="center"/>
    </xf>
    <xf numFmtId="0" fontId="98" fillId="12" borderId="45" xfId="0" applyFont="1" applyFill="1" applyBorder="1" applyAlignment="1">
      <alignment horizontal="center" vertical="center"/>
    </xf>
    <xf numFmtId="0" fontId="98" fillId="12" borderId="32" xfId="0" applyFont="1" applyFill="1" applyBorder="1" applyAlignment="1">
      <alignment horizontal="center" vertical="center"/>
    </xf>
    <xf numFmtId="0" fontId="98" fillId="12" borderId="44" xfId="0" applyFont="1" applyFill="1" applyBorder="1" applyAlignment="1">
      <alignment horizontal="center" vertical="top"/>
    </xf>
    <xf numFmtId="0" fontId="98" fillId="12" borderId="37" xfId="0" applyFont="1" applyFill="1" applyBorder="1" applyAlignment="1">
      <alignment horizontal="center" vertical="top"/>
    </xf>
    <xf numFmtId="0" fontId="98" fillId="12" borderId="79" xfId="0" applyFont="1" applyFill="1" applyBorder="1" applyAlignment="1">
      <alignment horizontal="center" vertical="top"/>
    </xf>
    <xf numFmtId="0" fontId="98" fillId="12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2" fillId="0" borderId="21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 wrapText="1"/>
    </xf>
    <xf numFmtId="0" fontId="2" fillId="0" borderId="32" xfId="3" applyFont="1" applyBorder="1" applyAlignment="1">
      <alignment horizontal="center" vertical="center" wrapText="1"/>
    </xf>
    <xf numFmtId="194" fontId="134" fillId="0" borderId="21" xfId="0" applyNumberFormat="1" applyFont="1" applyFill="1" applyBorder="1" applyAlignment="1">
      <alignment horizontal="center" vertical="center"/>
    </xf>
    <xf numFmtId="194" fontId="136" fillId="0" borderId="21" xfId="0" applyNumberFormat="1" applyFont="1" applyFill="1" applyBorder="1" applyAlignment="1">
      <alignment horizontal="center" vertical="center"/>
    </xf>
    <xf numFmtId="194" fontId="55" fillId="0" borderId="21" xfId="0" applyNumberFormat="1" applyFont="1" applyFill="1" applyBorder="1" applyAlignment="1">
      <alignment horizontal="center" vertical="center"/>
    </xf>
    <xf numFmtId="0" fontId="98" fillId="0" borderId="21" xfId="0" applyFont="1" applyBorder="1" applyAlignment="1" applyProtection="1">
      <alignment horizontal="center" vertical="center" wrapText="1"/>
      <protection hidden="1"/>
    </xf>
    <xf numFmtId="0" fontId="2" fillId="12" borderId="44" xfId="0" applyFont="1" applyFill="1" applyBorder="1" applyAlignment="1">
      <alignment horizontal="center" vertical="center"/>
    </xf>
    <xf numFmtId="0" fontId="2" fillId="12" borderId="79" xfId="0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 wrapText="1"/>
    </xf>
    <xf numFmtId="0" fontId="128" fillId="12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62" fillId="12" borderId="21" xfId="0" applyFont="1" applyFill="1" applyBorder="1" applyAlignment="1">
      <alignment horizontal="center" vertical="center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2" fillId="12" borderId="31" xfId="0" applyFont="1" applyFill="1" applyBorder="1" applyAlignment="1">
      <alignment horizontal="center" vertical="center"/>
    </xf>
    <xf numFmtId="0" fontId="62" fillId="12" borderId="32" xfId="0" applyFont="1" applyFill="1" applyBorder="1" applyAlignment="1">
      <alignment horizontal="center" vertical="center"/>
    </xf>
    <xf numFmtId="0" fontId="50" fillId="12" borderId="21" xfId="0" applyFont="1" applyFill="1" applyBorder="1" applyAlignment="1">
      <alignment horizontal="center" vertical="center"/>
    </xf>
    <xf numFmtId="194" fontId="20" fillId="12" borderId="21" xfId="0" applyNumberFormat="1" applyFont="1" applyFill="1" applyBorder="1" applyAlignment="1">
      <alignment horizontal="center" vertical="center"/>
    </xf>
    <xf numFmtId="2" fontId="0" fillId="12" borderId="44" xfId="0" applyNumberFormat="1" applyFill="1" applyBorder="1" applyAlignment="1">
      <alignment horizontal="center" vertical="center"/>
    </xf>
    <xf numFmtId="2" fontId="0" fillId="12" borderId="79" xfId="0" applyNumberFormat="1" applyFill="1" applyBorder="1" applyAlignment="1">
      <alignment horizontal="center" vertical="center"/>
    </xf>
    <xf numFmtId="2" fontId="0" fillId="12" borderId="61" xfId="0" applyNumberFormat="1" applyFill="1" applyBorder="1" applyAlignment="1">
      <alignment horizontal="center" vertical="center"/>
    </xf>
    <xf numFmtId="2" fontId="0" fillId="12" borderId="80" xfId="0" applyNumberFormat="1" applyFill="1" applyBorder="1" applyAlignment="1">
      <alignment horizontal="center" vertical="center"/>
    </xf>
    <xf numFmtId="2" fontId="0" fillId="12" borderId="33" xfId="0" applyNumberFormat="1" applyFill="1" applyBorder="1" applyAlignment="1">
      <alignment horizontal="center" vertical="center"/>
    </xf>
    <xf numFmtId="2" fontId="0" fillId="12" borderId="34" xfId="0" applyNumberFormat="1" applyFill="1" applyBorder="1" applyAlignment="1">
      <alignment horizontal="center" vertical="center"/>
    </xf>
    <xf numFmtId="194" fontId="20" fillId="12" borderId="31" xfId="0" applyNumberFormat="1" applyFont="1" applyFill="1" applyBorder="1" applyAlignment="1">
      <alignment horizontal="center" vertical="center"/>
    </xf>
    <xf numFmtId="194" fontId="20" fillId="12" borderId="32" xfId="0" applyNumberFormat="1" applyFont="1" applyFill="1" applyBorder="1" applyAlignment="1">
      <alignment horizontal="center" vertical="center"/>
    </xf>
    <xf numFmtId="194" fontId="0" fillId="12" borderId="44" xfId="0" applyNumberFormat="1" applyFill="1" applyBorder="1" applyAlignment="1">
      <alignment horizontal="center" vertical="center"/>
    </xf>
    <xf numFmtId="194" fontId="0" fillId="12" borderId="79" xfId="0" applyNumberFormat="1" applyFill="1" applyBorder="1" applyAlignment="1">
      <alignment horizontal="center" vertical="center"/>
    </xf>
    <xf numFmtId="194" fontId="0" fillId="12" borderId="61" xfId="0" applyNumberFormat="1" applyFill="1" applyBorder="1" applyAlignment="1">
      <alignment horizontal="center" vertical="center"/>
    </xf>
    <xf numFmtId="194" fontId="0" fillId="12" borderId="80" xfId="0" applyNumberFormat="1" applyFill="1" applyBorder="1" applyAlignment="1">
      <alignment horizontal="center" vertical="center"/>
    </xf>
    <xf numFmtId="194" fontId="0" fillId="12" borderId="33" xfId="0" applyNumberFormat="1" applyFill="1" applyBorder="1" applyAlignment="1">
      <alignment horizontal="center" vertical="center"/>
    </xf>
    <xf numFmtId="194" fontId="0" fillId="12" borderId="34" xfId="0" applyNumberFormat="1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197" fontId="20" fillId="12" borderId="0" xfId="10" applyNumberFormat="1" applyFont="1" applyFill="1" applyBorder="1" applyAlignment="1">
      <alignment horizontal="center" vertical="center"/>
    </xf>
    <xf numFmtId="0" fontId="50" fillId="12" borderId="33" xfId="0" applyFont="1" applyFill="1" applyBorder="1" applyAlignment="1">
      <alignment horizontal="center" vertical="center"/>
    </xf>
    <xf numFmtId="0" fontId="50" fillId="12" borderId="34" xfId="0" applyFont="1" applyFill="1" applyBorder="1" applyAlignment="1">
      <alignment horizontal="center" vertical="center"/>
    </xf>
    <xf numFmtId="0" fontId="50" fillId="12" borderId="44" xfId="0" applyFont="1" applyFill="1" applyBorder="1" applyAlignment="1">
      <alignment horizontal="center" vertical="center"/>
    </xf>
    <xf numFmtId="0" fontId="50" fillId="12" borderId="79" xfId="0" applyFont="1" applyFill="1" applyBorder="1" applyAlignment="1">
      <alignment horizontal="center" vertical="center"/>
    </xf>
    <xf numFmtId="0" fontId="121" fillId="19" borderId="0" xfId="0" applyFont="1" applyFill="1" applyAlignment="1">
      <alignment horizontal="center" vertical="center"/>
    </xf>
    <xf numFmtId="210" fontId="121" fillId="19" borderId="0" xfId="0" applyNumberFormat="1" applyFont="1" applyFill="1" applyAlignment="1" applyProtection="1">
      <alignment horizontal="center"/>
      <protection hidden="1"/>
    </xf>
    <xf numFmtId="0" fontId="20" fillId="19" borderId="44" xfId="0" applyFont="1" applyFill="1" applyBorder="1" applyAlignment="1" applyProtection="1">
      <alignment horizontal="center" vertical="center" wrapText="1"/>
      <protection hidden="1"/>
    </xf>
    <xf numFmtId="0" fontId="20" fillId="19" borderId="37" xfId="0" applyFont="1" applyFill="1" applyBorder="1" applyAlignment="1" applyProtection="1">
      <alignment horizontal="center" vertical="center" wrapText="1"/>
      <protection hidden="1"/>
    </xf>
    <xf numFmtId="0" fontId="20" fillId="19" borderId="79" xfId="0" applyFont="1" applyFill="1" applyBorder="1" applyAlignment="1" applyProtection="1">
      <alignment horizontal="center" vertical="center" wrapText="1"/>
      <protection hidden="1"/>
    </xf>
    <xf numFmtId="0" fontId="20" fillId="19" borderId="33" xfId="0" applyFont="1" applyFill="1" applyBorder="1" applyAlignment="1" applyProtection="1">
      <alignment horizontal="center" vertical="center" wrapText="1"/>
      <protection hidden="1"/>
    </xf>
    <xf numFmtId="0" fontId="20" fillId="19" borderId="38" xfId="0" applyFont="1" applyFill="1" applyBorder="1" applyAlignment="1" applyProtection="1">
      <alignment horizontal="center" vertical="center" wrapText="1"/>
      <protection hidden="1"/>
    </xf>
    <xf numFmtId="0" fontId="20" fillId="19" borderId="34" xfId="0" applyFont="1" applyFill="1" applyBorder="1" applyAlignment="1" applyProtection="1">
      <alignment horizontal="center" vertical="center" wrapText="1"/>
      <protection hidden="1"/>
    </xf>
    <xf numFmtId="0" fontId="0" fillId="12" borderId="111" xfId="0" applyFill="1" applyBorder="1" applyAlignment="1">
      <alignment horizontal="center" vertical="center"/>
    </xf>
    <xf numFmtId="0" fontId="0" fillId="12" borderId="112" xfId="0" applyFill="1" applyBorder="1" applyAlignment="1">
      <alignment horizontal="center" vertical="center"/>
    </xf>
    <xf numFmtId="16" fontId="0" fillId="12" borderId="115" xfId="0" applyNumberFormat="1" applyFill="1" applyBorder="1" applyAlignment="1">
      <alignment horizontal="center" vertical="center"/>
    </xf>
    <xf numFmtId="16" fontId="0" fillId="12" borderId="103" xfId="0" applyNumberFormat="1" applyFill="1" applyBorder="1" applyAlignment="1">
      <alignment horizontal="center" vertical="center"/>
    </xf>
    <xf numFmtId="0" fontId="0" fillId="12" borderId="115" xfId="0" applyFill="1" applyBorder="1" applyAlignment="1">
      <alignment horizontal="center" vertical="center"/>
    </xf>
    <xf numFmtId="0" fontId="0" fillId="12" borderId="103" xfId="0" applyFill="1" applyBorder="1" applyAlignment="1">
      <alignment horizontal="center" vertical="center"/>
    </xf>
    <xf numFmtId="0" fontId="20" fillId="12" borderId="152" xfId="0" applyFont="1" applyFill="1" applyBorder="1" applyAlignment="1">
      <alignment horizontal="right" vertical="center"/>
    </xf>
    <xf numFmtId="0" fontId="20" fillId="12" borderId="153" xfId="0" applyFont="1" applyFill="1" applyBorder="1" applyAlignment="1">
      <alignment horizontal="right" vertical="center"/>
    </xf>
    <xf numFmtId="0" fontId="20" fillId="12" borderId="111" xfId="0" applyFont="1" applyFill="1" applyBorder="1" applyAlignment="1">
      <alignment horizontal="right" vertical="center"/>
    </xf>
    <xf numFmtId="0" fontId="20" fillId="12" borderId="112" xfId="0" applyFont="1" applyFill="1" applyBorder="1" applyAlignment="1">
      <alignment horizontal="right" vertical="center"/>
    </xf>
    <xf numFmtId="0" fontId="50" fillId="12" borderId="31" xfId="0" applyFont="1" applyFill="1" applyBorder="1" applyAlignment="1">
      <alignment horizontal="center" vertical="center"/>
    </xf>
    <xf numFmtId="0" fontId="50" fillId="12" borderId="45" xfId="0" applyFont="1" applyFill="1" applyBorder="1" applyAlignment="1">
      <alignment horizontal="center" vertical="center"/>
    </xf>
    <xf numFmtId="0" fontId="50" fillId="12" borderId="32" xfId="0" applyFont="1" applyFill="1" applyBorder="1" applyAlignment="1">
      <alignment horizontal="center" vertical="center"/>
    </xf>
    <xf numFmtId="0" fontId="0" fillId="12" borderId="44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79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194" fontId="0" fillId="12" borderId="24" xfId="0" applyNumberFormat="1" applyFill="1" applyBorder="1" applyAlignment="1">
      <alignment horizontal="center" vertical="center"/>
    </xf>
    <xf numFmtId="194" fontId="0" fillId="12" borderId="20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center"/>
    </xf>
    <xf numFmtId="0" fontId="20" fillId="12" borderId="24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33" fillId="12" borderId="21" xfId="6" applyFont="1" applyFill="1" applyBorder="1" applyAlignment="1">
      <alignment horizontal="center" vertical="center"/>
    </xf>
    <xf numFmtId="0" fontId="33" fillId="12" borderId="31" xfId="6" applyFont="1" applyFill="1" applyBorder="1" applyAlignment="1">
      <alignment horizontal="center" vertical="center"/>
    </xf>
    <xf numFmtId="0" fontId="33" fillId="12" borderId="45" xfId="6" applyFont="1" applyFill="1" applyBorder="1" applyAlignment="1">
      <alignment horizontal="center" vertical="center"/>
    </xf>
    <xf numFmtId="0" fontId="33" fillId="12" borderId="32" xfId="6" applyFont="1" applyFill="1" applyBorder="1" applyAlignment="1">
      <alignment horizontal="center" vertical="center"/>
    </xf>
    <xf numFmtId="0" fontId="33" fillId="12" borderId="31" xfId="6" applyFont="1" applyFill="1" applyBorder="1" applyAlignment="1">
      <alignment vertical="center"/>
    </xf>
    <xf numFmtId="0" fontId="33" fillId="12" borderId="45" xfId="6" applyFont="1" applyFill="1" applyBorder="1" applyAlignment="1">
      <alignment vertical="center"/>
    </xf>
    <xf numFmtId="0" fontId="33" fillId="12" borderId="32" xfId="6" applyFont="1" applyFill="1" applyBorder="1" applyAlignment="1">
      <alignment vertical="center"/>
    </xf>
    <xf numFmtId="204" fontId="2" fillId="12" borderId="31" xfId="0" applyNumberFormat="1" applyFont="1" applyFill="1" applyBorder="1" applyAlignment="1">
      <alignment horizontal="center" vertical="center"/>
    </xf>
    <xf numFmtId="204" fontId="2" fillId="12" borderId="45" xfId="0" applyNumberFormat="1" applyFont="1" applyFill="1" applyBorder="1" applyAlignment="1">
      <alignment horizontal="center" vertical="center"/>
    </xf>
    <xf numFmtId="204" fontId="2" fillId="12" borderId="32" xfId="0" applyNumberFormat="1" applyFont="1" applyFill="1" applyBorder="1" applyAlignment="1">
      <alignment horizontal="center" vertical="center"/>
    </xf>
  </cellXfs>
  <cellStyles count="11">
    <cellStyle name="Normal" xfId="0" builtinId="0"/>
    <cellStyle name="Normal 2" xfId="1" xr:uid="{BE733FAA-0F7F-4296-8EE8-A1977598FB8F}"/>
    <cellStyle name="Normal 2 2" xfId="2" xr:uid="{DE66E570-4E6F-46F0-9DE6-F6B53A06FE4E}"/>
    <cellStyle name="Normal 3" xfId="3" xr:uid="{8187F10B-D87F-457E-9FF7-E94F5F705F63}"/>
    <cellStyle name="Normal 4" xfId="4" xr:uid="{E0905FFA-A793-49CE-AC22-576884DB93B2}"/>
    <cellStyle name="Normal_ABG-01" xfId="5" xr:uid="{5575FE69-F1C1-4250-9658-A17D776043AB}"/>
    <cellStyle name="Normal_ENSAYOS" xfId="6" xr:uid="{D580D1F5-1998-4DEE-A4BD-3D29BAEA4F20}"/>
    <cellStyle name="Normal_ENSAYOS 2" xfId="7" xr:uid="{C8151206-5F6E-4A68-80A9-75526208CD15}"/>
    <cellStyle name="Normal_Produc. 07-09-99" xfId="8" xr:uid="{F7D0A64A-F3FD-4F0D-AD65-D4E884D5A489}"/>
    <cellStyle name="Normal_Produc. 07-09-99 2" xfId="9" xr:uid="{C6BEC66D-88B4-4E1A-BD0D-0247FB48F954}"/>
    <cellStyle name="Porcentaje" xfId="10" builtinId="5"/>
  </cellStyles>
  <dxfs count="3">
    <dxf>
      <font>
        <b/>
        <i val="0"/>
        <strike val="0"/>
        <condense val="0"/>
        <extend val="0"/>
      </font>
    </dxf>
    <dxf>
      <font>
        <b/>
        <i val="0"/>
        <strike val="0"/>
        <condense val="0"/>
        <extend val="0"/>
      </font>
    </dxf>
    <dxf>
      <font>
        <b/>
        <i val="0"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GRANULOMETRICA</a:t>
            </a:r>
          </a:p>
        </c:rich>
      </c:tx>
      <c:layout>
        <c:manualLayout>
          <c:xMode val="edge"/>
          <c:yMode val="edge"/>
          <c:x val="0.38095312605155124"/>
          <c:y val="3.3536448647436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68E-2"/>
          <c:y val="0.17073196147931574"/>
          <c:w val="0.86535442540670127"/>
          <c:h val="0.61585457533610322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9-48CC-81DE-E7F3B1920AF7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9-48CC-81DE-E7F3B1920AF7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F9-48CC-81DE-E7F3B1920A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EF9-48CC-81DE-E7F3B1920A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EF9-48CC-81DE-E7F3B1920A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EF9-48CC-81DE-E7F3B1920A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EF9-48CC-81DE-E7F3B1920A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EF9-48CC-81DE-E7F3B1920A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EF9-48CC-81DE-E7F3B1920A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EF9-48CC-81DE-E7F3B1920A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EF9-48CC-81DE-E7F3B1920A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EF9-48CC-81DE-E7F3B1920A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EF9-48CC-81DE-E7F3B1920A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EF9-48CC-81DE-E7F3B1920A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EF9-48CC-81DE-E7F3B1920A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EF9-48CC-81DE-E7F3B1920A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EF9-48CC-81DE-E7F3B1920A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EF9-48CC-81DE-E7F3B1920A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EF9-48CC-81DE-E7F3B1920A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EF9-48CC-81DE-E7F3B1920A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EF9-48CC-81DE-E7F3B1920A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EF9-48CC-81DE-E7F3B1920A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PE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EF9-48CC-81DE-E7F3B1920A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EF9-48CC-81DE-E7F3B1920AF7}"/>
            </c:ext>
          </c:extLst>
        </c:ser>
        <c:ser>
          <c:idx val="3"/>
          <c:order val="3"/>
          <c:tx>
            <c:v>Muestra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'Gran-LLyLP'!$B$23:$B$40</c:f>
              <c:numCache>
                <c:formatCode>0.000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'Gran-LLyLP'!$F$23:$F$40</c:f>
              <c:numCache>
                <c:formatCode>0.0</c:formatCode>
                <c:ptCount val="18"/>
                <c:pt idx="1">
                  <c:v>100</c:v>
                </c:pt>
                <c:pt idx="2">
                  <c:v>100</c:v>
                </c:pt>
                <c:pt idx="3">
                  <c:v>94.6</c:v>
                </c:pt>
                <c:pt idx="4">
                  <c:v>81.900000000000006</c:v>
                </c:pt>
                <c:pt idx="5">
                  <c:v>72.5</c:v>
                </c:pt>
                <c:pt idx="6">
                  <c:v>56.7</c:v>
                </c:pt>
                <c:pt idx="7">
                  <c:v>49</c:v>
                </c:pt>
                <c:pt idx="8">
                  <c:v>40.6</c:v>
                </c:pt>
                <c:pt idx="9">
                  <c:v>37.300000000000004</c:v>
                </c:pt>
                <c:pt idx="10">
                  <c:v>27.800000000000011</c:v>
                </c:pt>
                <c:pt idx="11">
                  <c:v>26.400000000000006</c:v>
                </c:pt>
                <c:pt idx="12">
                  <c:v>19.900000000000006</c:v>
                </c:pt>
                <c:pt idx="13">
                  <c:v>12.600000000000009</c:v>
                </c:pt>
                <c:pt idx="14">
                  <c:v>11.100000000000009</c:v>
                </c:pt>
                <c:pt idx="15">
                  <c:v>9.3000000000000114</c:v>
                </c:pt>
                <c:pt idx="16">
                  <c:v>7.4000000000000057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EF9-48CC-81DE-E7F3B1920AF7}"/>
            </c:ext>
          </c:extLst>
        </c:ser>
        <c:ser>
          <c:idx val="4"/>
          <c:order val="4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'Gran-LLyLP'!$R$50:$R$52</c:f>
              <c:numCache>
                <c:formatCode>0.00</c:formatCode>
                <c:ptCount val="3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</c:numCache>
            </c:numRef>
          </c:xVal>
          <c:yVal>
            <c:numRef>
              <c:f>'Gran-LLyLP'!$S$50:$S$52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EF9-48CC-81DE-E7F3B1920AF7}"/>
            </c:ext>
          </c:extLst>
        </c:ser>
        <c:ser>
          <c:idx val="5"/>
          <c:order val="5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'Gran-LLyLP'!$R$55:$R$57</c:f>
              <c:numCache>
                <c:formatCode>0.00</c:formatCode>
                <c:ptCount val="3"/>
                <c:pt idx="0">
                  <c:v>2.89</c:v>
                </c:pt>
                <c:pt idx="1">
                  <c:v>2.89</c:v>
                </c:pt>
                <c:pt idx="2">
                  <c:v>2.89</c:v>
                </c:pt>
              </c:numCache>
            </c:numRef>
          </c:xVal>
          <c:yVal>
            <c:numRef>
              <c:f>'Gran-LLyLP'!$S$55:$S$57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EF9-48CC-81DE-E7F3B1920AF7}"/>
            </c:ext>
          </c:extLst>
        </c:ser>
        <c:ser>
          <c:idx val="6"/>
          <c:order val="6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'Gran-LLyLP'!$R$60:$R$62</c:f>
              <c:numCache>
                <c:formatCode>0.00</c:formatCode>
                <c:ptCount val="3"/>
                <c:pt idx="0">
                  <c:v>13.68</c:v>
                </c:pt>
                <c:pt idx="1">
                  <c:v>13.68</c:v>
                </c:pt>
                <c:pt idx="2">
                  <c:v>13.68</c:v>
                </c:pt>
              </c:numCache>
            </c:numRef>
          </c:xVal>
          <c:yVal>
            <c:numRef>
              <c:f>'Gran-LLyLP'!$S$60:$S$62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EF9-48CC-81DE-E7F3B1920AF7}"/>
            </c:ext>
          </c:extLst>
        </c:ser>
        <c:ser>
          <c:idx val="7"/>
          <c:order val="7"/>
          <c:tx>
            <c:v>MIN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('Gran-LLyLP'!$B$25,'Gran-LLyLP'!$B$30,'Gran-LLyLP'!$B$32,'Gran-LLyLP'!$B$34,'Gran-LLyLP'!$B$37,'Gran-LLyLP'!$B$40)</c:f>
              <c:numCache>
                <c:formatCode>0.000</c:formatCode>
                <c:ptCount val="6"/>
                <c:pt idx="0">
                  <c:v>50.6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('Gran-LLyLP'!$G$25,'Gran-LLyLP'!$G$30,'Gran-LLyLP'!$G$32,'Gran-LLyLP'!$G$34,'Gran-LLyLP'!$G$37,'Gran-LLyLP'!$G$40)</c:f>
              <c:numCache>
                <c:formatCode>0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EF9-48CC-81DE-E7F3B1920AF7}"/>
            </c:ext>
          </c:extLst>
        </c:ser>
        <c:ser>
          <c:idx val="8"/>
          <c:order val="8"/>
          <c:tx>
            <c:v>MAX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('Gran-LLyLP'!$B$26,'Gran-LLyLP'!$B$30,'Gran-LLyLP'!$B$32,'Gran-LLyLP'!$B$34,'Gran-LLyLP'!$B$37,'Gran-LLyLP'!$B$40)</c:f>
              <c:numCache>
                <c:formatCode>0.000</c:formatCode>
                <c:ptCount val="6"/>
                <c:pt idx="0">
                  <c:v>38.1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('Gran-LLyLP'!$I$26,'Gran-LLyLP'!$I$30,'Gran-LLyLP'!$I$32,'Gran-LLyLP'!$I$34,'Gran-LLyLP'!$I$37,'Gran-LLyLP'!$I$40)</c:f>
              <c:numCache>
                <c:formatCode>0</c:formatCode>
                <c:ptCount val="6"/>
                <c:pt idx="0">
                  <c:v>100</c:v>
                </c:pt>
                <c:pt idx="1">
                  <c:v>65</c:v>
                </c:pt>
                <c:pt idx="2">
                  <c:v>55</c:v>
                </c:pt>
                <c:pt idx="3">
                  <c:v>40</c:v>
                </c:pt>
                <c:pt idx="4">
                  <c:v>20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EF9-48CC-81DE-E7F3B1920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52640"/>
        <c:axId val="1"/>
      </c:scatterChart>
      <c:valAx>
        <c:axId val="2040652640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573137492428834"/>
              <c:y val="0.8902451892005961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0.94088818224644999"/>
              <c:y val="0.37195195135783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40652640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72116388677"/>
          <c:y val="2.77775771147872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3"/>
          <c:y val="0.11111171393073964"/>
          <c:w val="0.76976203340459015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'Gran-LLyLP'!$R$10:$R$12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'Gran-LLyLP'!$S$10:$S$12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1-4989-85CA-1A17ADB74B18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'Gran-LLyLP'!$R$15:$R$17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'Gran-LLyLP'!$S$15:$S$17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01-4989-85CA-1A17ADB74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40640"/>
        <c:axId val="1"/>
      </c:scatterChart>
      <c:valAx>
        <c:axId val="2040640640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91011204246"/>
              <c:y val="0.883338149245105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orientation val="minMax"/>
          <c:max val="20"/>
          <c:min val="1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07603081873E-2"/>
              <c:y val="0.3166684726335813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40640640"/>
        <c:crosses val="autoZero"/>
        <c:crossBetween val="midCat"/>
        <c:majorUnit val="1"/>
        <c:minorUnit val="0.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ENSAYO DE PROCTOR MODIFICADO</a:t>
            </a:r>
          </a:p>
        </c:rich>
      </c:tx>
      <c:layout>
        <c:manualLayout>
          <c:xMode val="edge"/>
          <c:yMode val="edge"/>
          <c:x val="0.30483297715506896"/>
          <c:y val="1.6393521675932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556"/>
          <c:y val="0.10491803278688525"/>
          <c:w val="0.78438732899930386"/>
          <c:h val="0.68524590163934429"/>
        </c:manualLayout>
      </c:layou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00"/>
              </a:solidFill>
              <a:ln w="9525">
                <a:noFill/>
              </a:ln>
            </c:spPr>
          </c:marker>
          <c:xVal>
            <c:numRef>
              <c:f>Proctor!$J$47:$J$49</c:f>
              <c:numCache>
                <c:formatCode>General</c:formatCode>
                <c:ptCount val="3"/>
                <c:pt idx="0">
                  <c:v>7.2</c:v>
                </c:pt>
                <c:pt idx="1">
                  <c:v>7.2</c:v>
                </c:pt>
                <c:pt idx="2">
                  <c:v>0</c:v>
                </c:pt>
              </c:numCache>
            </c:numRef>
          </c:xVal>
          <c:yVal>
            <c:numRef>
              <c:f>Proctor!$I$47:$I$49</c:f>
              <c:numCache>
                <c:formatCode>General</c:formatCode>
                <c:ptCount val="3"/>
                <c:pt idx="0">
                  <c:v>0</c:v>
                </c:pt>
                <c:pt idx="1">
                  <c:v>2.2650000000000001</c:v>
                </c:pt>
                <c:pt idx="2">
                  <c:v>2.2650000000000001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3C-423D-9F43-1DE7BF35ED7C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Proctor!$C$36:$G$36</c:f>
              <c:numCache>
                <c:formatCode>0.0</c:formatCode>
                <c:ptCount val="5"/>
                <c:pt idx="0">
                  <c:v>3.1889763779527645</c:v>
                </c:pt>
                <c:pt idx="1">
                  <c:v>5.3289318556944032</c:v>
                </c:pt>
                <c:pt idx="2">
                  <c:v>7.8008298755186765</c:v>
                </c:pt>
                <c:pt idx="3">
                  <c:v>10.466034755134283</c:v>
                </c:pt>
              </c:numCache>
            </c:numRef>
          </c:xVal>
          <c:yVal>
            <c:numRef>
              <c:f>Proctor!$C$37:$G$37</c:f>
              <c:numCache>
                <c:formatCode>0.000</c:formatCode>
                <c:ptCount val="5"/>
                <c:pt idx="0">
                  <c:v>2.2295147967220865</c:v>
                </c:pt>
                <c:pt idx="1">
                  <c:v>2.2550090734073889</c:v>
                </c:pt>
                <c:pt idx="2">
                  <c:v>2.263713583723785</c:v>
                </c:pt>
                <c:pt idx="3">
                  <c:v>2.2257582999920866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3C-423D-9F43-1DE7BF35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44960"/>
        <c:axId val="1"/>
      </c:scatterChart>
      <c:valAx>
        <c:axId val="2040644960"/>
        <c:scaling>
          <c:orientation val="minMax"/>
          <c:max val="11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Humedad (%)</a:t>
                </a:r>
              </a:p>
            </c:rich>
          </c:tx>
          <c:layout>
            <c:manualLayout>
              <c:xMode val="edge"/>
              <c:yMode val="edge"/>
              <c:x val="0.49814158752652288"/>
              <c:y val="0.878688490710314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2.27"/>
          <c:min val="2.2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s-PE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s-PE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2750915206716721E-2"/>
              <c:y val="0.2196722949001453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40644960"/>
        <c:crosses val="autoZero"/>
        <c:crossBetween val="midCat"/>
        <c:majorUnit val="0.0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C.B.R. (56 golpes)</a:t>
            </a:r>
          </a:p>
        </c:rich>
      </c:tx>
      <c:layout>
        <c:manualLayout>
          <c:xMode val="edge"/>
          <c:yMode val="edge"/>
          <c:x val="0.3078796990927315"/>
          <c:y val="2.042309425218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98-4F15-A65D-E50554306CC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98-4F15-A65D-E50554306CC3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98-4F15-A65D-E50554306C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98-4F15-A65D-E50554306CC3}"/>
                </c:ext>
              </c:extLst>
            </c:dLbl>
            <c:dLbl>
              <c:idx val="2"/>
              <c:layout>
                <c:manualLayout>
                  <c:x val="4.1727255563836635E-2"/>
                  <c:y val="-4.716589330103306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98-4F15-A65D-E50554306CC3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Apoyo!$E$19:$E$21</c:f>
              <c:numCache>
                <c:formatCode>0.00</c:formatCode>
                <c:ptCount val="3"/>
                <c:pt idx="0">
                  <c:v>2.6683117197915402</c:v>
                </c:pt>
                <c:pt idx="1">
                  <c:v>2.6683117197915402</c:v>
                </c:pt>
                <c:pt idx="2">
                  <c:v>0</c:v>
                </c:pt>
              </c:numCache>
            </c:numRef>
          </c:xVal>
          <c:yVal>
            <c:numRef>
              <c:f>Apoyo!$E$22:$E$24</c:f>
              <c:numCache>
                <c:formatCode>0.00</c:formatCode>
                <c:ptCount val="3"/>
                <c:pt idx="0">
                  <c:v>0</c:v>
                </c:pt>
                <c:pt idx="1">
                  <c:v>74</c:v>
                </c:pt>
                <c:pt idx="2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98-4F15-A65D-E50554306CC3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98-4F15-A65D-E50554306C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98-4F15-A65D-E50554306CC3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98-4F15-A65D-E50554306CC3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Apoyo!$E$25:$E$27</c:f>
              <c:numCache>
                <c:formatCode>0.00</c:formatCode>
                <c:ptCount val="3"/>
              </c:numCache>
            </c:numRef>
          </c:xVal>
          <c:yVal>
            <c:numRef>
              <c:f>Apoyo!$E$28:$E$30</c:f>
              <c:numCache>
                <c:formatCode>0.00</c:formatCode>
                <c:ptCount val="3"/>
                <c:pt idx="1">
                  <c:v>129.47534153204381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98-4F15-A65D-E5055430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798400"/>
        <c:axId val="1"/>
      </c:scatterChart>
      <c:valAx>
        <c:axId val="2039798400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302116270899206"/>
              <c:y val="0.919047823381750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s-PE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3.5330770661541319E-2"/>
              <c:y val="0.384638875181474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39798400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INDICE C.B.R.</a:t>
            </a:r>
          </a:p>
        </c:rich>
      </c:tx>
      <c:layout>
        <c:manualLayout>
          <c:xMode val="edge"/>
          <c:yMode val="edge"/>
          <c:x val="0.40548843211700675"/>
          <c:y val="1.80504814419811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7562609509887"/>
          <c:y val="0.11552366934311073"/>
          <c:w val="0.84146466729091329"/>
          <c:h val="0.71480270406049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Apoyo!$B$35:$B$37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71.428571428571431</c:v>
                </c:pt>
                <c:pt idx="2">
                  <c:v>48.571428571428577</c:v>
                </c:pt>
              </c:numCache>
            </c:numRef>
          </c:xVal>
          <c:yVal>
            <c:numRef>
              <c:f>Apoyo!$A$35:$A$37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D2-4871-BE9F-5B457EFE1D64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Apoyo!$D$35:$D$37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105.71428571428572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Apoyo!$E$35:$E$37</c:f>
              <c:numCache>
                <c:formatCode>0.000</c:formatCode>
                <c:ptCount val="3"/>
                <c:pt idx="0" formatCode="0.0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D2-4871-BE9F-5B457EFE1D64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Apoyo!$G$35:$G$37</c:f>
              <c:numCache>
                <c:formatCode>0.00</c:formatCode>
                <c:ptCount val="3"/>
                <c:pt idx="0">
                  <c:v>63.58</c:v>
                </c:pt>
                <c:pt idx="1">
                  <c:v>63.58</c:v>
                </c:pt>
                <c:pt idx="2">
                  <c:v>0</c:v>
                </c:pt>
              </c:numCache>
            </c:numRef>
          </c:xVal>
          <c:yVal>
            <c:numRef>
              <c:f>Apoyo!$H$35:$H$37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2.1669499999999999</c:v>
                </c:pt>
                <c:pt idx="2">
                  <c:v>2.1669499999999999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D2-4871-BE9F-5B457EFE1D64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Apoyo!$B$40:$B$42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83.594549296220933</c:v>
                </c:pt>
                <c:pt idx="2">
                  <c:v>58.568997826409166</c:v>
                </c:pt>
              </c:numCache>
            </c:numRef>
          </c:xVal>
          <c:yVal>
            <c:numRef>
              <c:f>Apoyo!$A$40:$A$42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D2-4871-BE9F-5B457EFE1D64}"/>
            </c:ext>
          </c:extLst>
        </c:ser>
        <c:ser>
          <c:idx val="4"/>
          <c:order val="4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Apoyo!$D$40:$D$42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124.49552070388827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Apoyo!$E$40:$E$42</c:f>
              <c:numCache>
                <c:formatCode>0.00</c:formatCode>
                <c:ptCount val="3"/>
                <c:pt idx="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D2-4871-BE9F-5B457EFE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799360"/>
        <c:axId val="1"/>
      </c:scatterChart>
      <c:valAx>
        <c:axId val="2039799360"/>
        <c:scaling>
          <c:orientation val="minMax"/>
          <c:max val="14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C.B.R. (%)</a:t>
                </a:r>
              </a:p>
            </c:rich>
          </c:tx>
          <c:layout>
            <c:manualLayout>
              <c:xMode val="edge"/>
              <c:yMode val="edge"/>
              <c:x val="0.43902500607851574"/>
              <c:y val="0.913358974940812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2.3199999999999998"/>
          <c:min val="2.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Maxima Densidad Seca (gr/cm3)</a:t>
                </a:r>
              </a:p>
            </c:rich>
          </c:tx>
          <c:layout>
            <c:manualLayout>
              <c:xMode val="edge"/>
              <c:yMode val="edge"/>
              <c:x val="1.5243982269437224E-2"/>
              <c:y val="0.169675584500064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39799360"/>
        <c:crosses val="autoZero"/>
        <c:crossBetween val="midCat"/>
        <c:maj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C.B.R. (10 golpes)</a:t>
            </a:r>
          </a:p>
        </c:rich>
      </c:tx>
      <c:layout>
        <c:manualLayout>
          <c:xMode val="edge"/>
          <c:yMode val="edge"/>
          <c:x val="0.31020187417979006"/>
          <c:y val="2.042309425218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1272741782665"/>
          <c:y val="9.5308666461495675E-2"/>
          <c:w val="0.7404829891893191"/>
          <c:h val="0.779488736417232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Apoyo!$D$4:$D$12</c:f>
              <c:numCache>
                <c:formatCode>0.00</c:formatCode>
                <c:ptCount val="9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B-4FD3-9148-B448D59AF4F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EB-4FD3-9148-B448D59AF4FD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EB-4FD3-9148-B448D59AF4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EB-4FD3-9148-B448D59AF4FD}"/>
                </c:ext>
              </c:extLst>
            </c:dLbl>
            <c:dLbl>
              <c:idx val="2"/>
              <c:layout>
                <c:manualLayout>
                  <c:x val="-2.4388267427279398E-3"/>
                  <c:y val="-3.779877698691058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EB-4FD3-9148-B448D59AF4FD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Apoyo!$G$19:$G$21</c:f>
              <c:numCache>
                <c:formatCode>0.00</c:formatCode>
                <c:ptCount val="3"/>
                <c:pt idx="0">
                  <c:v>2.6559046199701939</c:v>
                </c:pt>
                <c:pt idx="1">
                  <c:v>2.6559046199701939</c:v>
                </c:pt>
                <c:pt idx="2">
                  <c:v>0</c:v>
                </c:pt>
              </c:numCache>
            </c:numRef>
          </c:xVal>
          <c:yVal>
            <c:numRef>
              <c:f>Apoyo!$G$22:$G$24</c:f>
              <c:numCache>
                <c:formatCode>0.00</c:formatCode>
                <c:ptCount val="3"/>
                <c:pt idx="0">
                  <c:v>0</c:v>
                </c:pt>
                <c:pt idx="1">
                  <c:v>34</c:v>
                </c:pt>
                <c:pt idx="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EB-4FD3-9148-B448D59AF4FD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EB-4FD3-9148-B448D59AF4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EB-4FD3-9148-B448D59AF4FD}"/>
                </c:ext>
              </c:extLst>
            </c:dLbl>
            <c:dLbl>
              <c:idx val="2"/>
              <c:layout>
                <c:manualLayout>
                  <c:x val="-0.84502198923434868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EB-4FD3-9148-B448D59AF4FD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Apoyo!$G$25:$G$27</c:f>
              <c:numCache>
                <c:formatCode>0.00</c:formatCode>
                <c:ptCount val="3"/>
              </c:numCache>
            </c:numRef>
          </c:xVal>
          <c:yVal>
            <c:numRef>
              <c:f>Apoyo!$G$28:$G$30</c:f>
              <c:numCache>
                <c:formatCode>0.00</c:formatCode>
                <c:ptCount val="3"/>
                <c:pt idx="1">
                  <c:v>60.911757739465536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7EB-4FD3-9148-B448D59A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787360"/>
        <c:axId val="1"/>
      </c:scatterChart>
      <c:valAx>
        <c:axId val="2039787360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52122293307087"/>
              <c:y val="0.932663577134602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1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s-PE" sz="55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5016404199475064E-2"/>
              <c:y val="0.4186773656017793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39787360"/>
        <c:crossesAt val="0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C.B.R. (25 golpes)</a:t>
            </a:r>
          </a:p>
        </c:rich>
      </c:tx>
      <c:layout>
        <c:manualLayout>
          <c:xMode val="edge"/>
          <c:yMode val="edge"/>
          <c:x val="0.31114472177464303"/>
          <c:y val="2.042309425218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79692707387146"/>
          <c:y val="9.5308666461495675E-2"/>
          <c:w val="0.72600411888497507"/>
          <c:h val="0.765873212637018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Apoyo!$C$4:$C$12</c:f>
              <c:numCache>
                <c:formatCode>0.00</c:formatCode>
                <c:ptCount val="9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3-45F5-8ADF-0CF4CAE09EA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Apoyo!$F$4:$F$15</c:f>
              <c:numCache>
                <c:formatCode>0.00</c:formatCode>
                <c:ptCount val="12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B3-45F5-8ADF-0CF4CAE09EAB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B3-45F5-8ADF-0CF4CAE09EA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B3-45F5-8ADF-0CF4CAE09EAB}"/>
                </c:ext>
              </c:extLst>
            </c:dLbl>
            <c:dLbl>
              <c:idx val="2"/>
              <c:layout>
                <c:manualLayout>
                  <c:x val="1.3192577111415598E-2"/>
                  <c:y val="-4.4596788686421279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B3-45F5-8ADF-0CF4CAE09EAB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Apoyo!$F$19:$F$21</c:f>
              <c:numCache>
                <c:formatCode>0.00</c:formatCode>
                <c:ptCount val="3"/>
                <c:pt idx="0">
                  <c:v>2.659831445878325</c:v>
                </c:pt>
                <c:pt idx="1">
                  <c:v>2.659831445878325</c:v>
                </c:pt>
                <c:pt idx="2">
                  <c:v>0</c:v>
                </c:pt>
              </c:numCache>
            </c:numRef>
          </c:xVal>
          <c:yVal>
            <c:numRef>
              <c:f>Apoyo!$F$22:$F$24</c:f>
              <c:numCache>
                <c:formatCode>0.00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B3-45F5-8ADF-0CF4CAE09EAB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B3-45F5-8ADF-0CF4CAE09EA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3-45F5-8ADF-0CF4CAE09EAB}"/>
                </c:ext>
              </c:extLst>
            </c:dLbl>
            <c:dLbl>
              <c:idx val="2"/>
              <c:layout>
                <c:manualLayout>
                  <c:x val="-0.8468983744594185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B3-45F5-8ADF-0CF4CAE09EAB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Apoyo!$F$25:$F$27</c:f>
              <c:numCache>
                <c:formatCode>0.00</c:formatCode>
                <c:ptCount val="3"/>
              </c:numCache>
            </c:numRef>
          </c:xVal>
          <c:yVal>
            <c:numRef>
              <c:f>Apoyo!$F$28:$F$30</c:f>
              <c:numCache>
                <c:formatCode>0.00</c:formatCode>
                <c:ptCount val="3"/>
                <c:pt idx="1">
                  <c:v>86.938331268069774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B3-45F5-8ADF-0CF4CAE0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41600"/>
        <c:axId val="1"/>
      </c:scatterChart>
      <c:valAx>
        <c:axId val="2040641600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1114472177464303"/>
              <c:y val="0.9224516724237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s-PE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4694210520982172E-2"/>
              <c:y val="0.411869667517718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40641600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PRUEBA DE PENETRACION</a:t>
            </a:r>
          </a:p>
        </c:rich>
      </c:tx>
      <c:layout>
        <c:manualLayout>
          <c:xMode val="edge"/>
          <c:yMode val="edge"/>
          <c:x val="0.3195602278438599"/>
          <c:y val="1.53061526093022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3669544350315"/>
          <c:y val="8.9285714285714288E-2"/>
          <c:w val="0.75757779565307459"/>
          <c:h val="0.83163265306122447"/>
        </c:manualLayout>
      </c:layout>
      <c:scatterChart>
        <c:scatterStyle val="lineMarker"/>
        <c:varyColors val="0"/>
        <c:ser>
          <c:idx val="0"/>
          <c:order val="0"/>
          <c:tx>
            <c:v>Molde I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2-4C4D-9804-D12A53A4D79B}"/>
            </c:ext>
          </c:extLst>
        </c:ser>
        <c:ser>
          <c:idx val="1"/>
          <c:order val="1"/>
          <c:tx>
            <c:v>Molde II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Apoyo!$C$4:$C$16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F2-4C4D-9804-D12A53A4D79B}"/>
            </c:ext>
          </c:extLst>
        </c:ser>
        <c:ser>
          <c:idx val="2"/>
          <c:order val="2"/>
          <c:tx>
            <c:v>Molde III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Apoyo!$D$4:$D$16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F2-4C4D-9804-D12A53A4D79B}"/>
            </c:ext>
          </c:extLst>
        </c:ser>
        <c:ser>
          <c:idx val="3"/>
          <c:order val="3"/>
          <c:tx>
            <c:v>L-I</c:v>
          </c:tx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245345952335"/>
                  <c:y val="-7.653061224489794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F2-4C4D-9804-D12A53A4D79B}"/>
            </c:ext>
          </c:extLst>
        </c:ser>
        <c:ser>
          <c:idx val="4"/>
          <c:order val="4"/>
          <c:tx>
            <c:v>L-II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6.219133322620387E-2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8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5F2-4C4D-9804-D12A53A4D79B}"/>
            </c:ext>
          </c:extLst>
        </c:ser>
        <c:ser>
          <c:idx val="5"/>
          <c:order val="5"/>
          <c:tx>
            <c:v>L-III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0.32473967539771814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5F2-4C4D-9804-D12A53A4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563120"/>
        <c:axId val="1"/>
      </c:scatterChart>
      <c:valAx>
        <c:axId val="2037563120"/>
        <c:scaling>
          <c:orientation val="minMax"/>
          <c:max val="12.7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46832076841458647"/>
              <c:y val="0.951530467475349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Presión (Kg/cm</a:t>
                </a:r>
                <a:r>
                  <a:rPr lang="es-PE" sz="5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s-PE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3774222371139778E-2"/>
              <c:y val="0.400510155825116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3756312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78740157480314965" l="0.78740157480314965" r="0.78740157480314965" t="0.78740157480314965" header="0" footer="0"/>
    <c:pageSetup paperSize="9" orientation="portrait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ANALISIS GRANULOMETRICO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7D5-4261-B1C6-F63F579468A2}"/>
            </c:ext>
          </c:extLst>
        </c:ser>
        <c:ser>
          <c:idx val="1"/>
          <c:order val="1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7D5-4261-B1C6-F63F579468A2}"/>
            </c:ext>
          </c:extLst>
        </c:ser>
        <c:ser>
          <c:idx val="2"/>
          <c:order val="2"/>
          <c:tx>
            <c:v/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7D5-4261-B1C6-F63F57946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564560"/>
        <c:axId val="1"/>
      </c:scatterChart>
      <c:valAx>
        <c:axId val="20375645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037564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wmf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6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1.wmf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jpeg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76200</xdr:rowOff>
    </xdr:from>
    <xdr:to>
      <xdr:col>15</xdr:col>
      <xdr:colOff>0</xdr:colOff>
      <xdr:row>68</xdr:row>
      <xdr:rowOff>0</xdr:rowOff>
    </xdr:to>
    <xdr:graphicFrame macro="">
      <xdr:nvGraphicFramePr>
        <xdr:cNvPr id="1799" name="Gráfico 4">
          <a:extLst>
            <a:ext uri="{FF2B5EF4-FFF2-40B4-BE49-F238E27FC236}">
              <a16:creationId xmlns:a16="http://schemas.microsoft.com/office/drawing/2014/main" id="{D3E92D61-79DF-7516-8723-7FF734FC2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22860</xdr:rowOff>
    </xdr:from>
    <xdr:to>
      <xdr:col>15</xdr:col>
      <xdr:colOff>0</xdr:colOff>
      <xdr:row>41</xdr:row>
      <xdr:rowOff>0</xdr:rowOff>
    </xdr:to>
    <xdr:graphicFrame macro="">
      <xdr:nvGraphicFramePr>
        <xdr:cNvPr id="1800" name="Gráfico 16">
          <a:extLst>
            <a:ext uri="{FF2B5EF4-FFF2-40B4-BE49-F238E27FC236}">
              <a16:creationId xmlns:a16="http://schemas.microsoft.com/office/drawing/2014/main" id="{EDF97BC8-B33E-17EE-C90F-786831BFE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220980</xdr:colOff>
      <xdr:row>0</xdr:row>
      <xdr:rowOff>0</xdr:rowOff>
    </xdr:from>
    <xdr:to>
      <xdr:col>15</xdr:col>
      <xdr:colOff>53340</xdr:colOff>
      <xdr:row>4</xdr:row>
      <xdr:rowOff>30480</xdr:rowOff>
    </xdr:to>
    <xdr:pic>
      <xdr:nvPicPr>
        <xdr:cNvPr id="1801" name="Picture 24" descr="mtc">
          <a:extLst>
            <a:ext uri="{FF2B5EF4-FFF2-40B4-BE49-F238E27FC236}">
              <a16:creationId xmlns:a16="http://schemas.microsoft.com/office/drawing/2014/main" id="{05665F13-1253-5E3C-6FCB-61243B27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0"/>
          <a:ext cx="161544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381000</xdr:colOff>
      <xdr:row>4</xdr:row>
      <xdr:rowOff>0</xdr:rowOff>
    </xdr:to>
    <xdr:pic>
      <xdr:nvPicPr>
        <xdr:cNvPr id="1802" name="Picture 26" descr="logo conirsa t2">
          <a:extLst>
            <a:ext uri="{FF2B5EF4-FFF2-40B4-BE49-F238E27FC236}">
              <a16:creationId xmlns:a16="http://schemas.microsoft.com/office/drawing/2014/main" id="{9B6A700F-F87A-EAAE-D5BC-99158947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6596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30480</xdr:rowOff>
    </xdr:from>
    <xdr:to>
      <xdr:col>6</xdr:col>
      <xdr:colOff>670560</xdr:colOff>
      <xdr:row>59</xdr:row>
      <xdr:rowOff>38100</xdr:rowOff>
    </xdr:to>
    <xdr:graphicFrame macro="">
      <xdr:nvGraphicFramePr>
        <xdr:cNvPr id="7937" name="Gráfico 3">
          <a:extLst>
            <a:ext uri="{FF2B5EF4-FFF2-40B4-BE49-F238E27FC236}">
              <a16:creationId xmlns:a16="http://schemas.microsoft.com/office/drawing/2014/main" id="{1461A4BF-973F-011D-333C-9F2D58998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721995</xdr:colOff>
      <xdr:row>12</xdr:row>
      <xdr:rowOff>133350</xdr:rowOff>
    </xdr:from>
    <xdr:to>
      <xdr:col>1</xdr:col>
      <xdr:colOff>2891</xdr:colOff>
      <xdr:row>17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1340E547-211C-34F2-C561-7BF9B25A8011}"/>
            </a:ext>
          </a:extLst>
        </xdr:cNvPr>
        <xdr:cNvSpPr txBox="1">
          <a:spLocks noChangeArrowheads="1"/>
        </xdr:cNvSpPr>
      </xdr:nvSpPr>
      <xdr:spPr bwMode="auto">
        <a:xfrm>
          <a:off x="695325" y="1590675"/>
          <a:ext cx="66675" cy="628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</xdr:col>
      <xdr:colOff>708660</xdr:colOff>
      <xdr:row>0</xdr:row>
      <xdr:rowOff>0</xdr:rowOff>
    </xdr:from>
    <xdr:to>
      <xdr:col>7</xdr:col>
      <xdr:colOff>129540</xdr:colOff>
      <xdr:row>4</xdr:row>
      <xdr:rowOff>53340</xdr:rowOff>
    </xdr:to>
    <xdr:pic>
      <xdr:nvPicPr>
        <xdr:cNvPr id="7939" name="Picture 19" descr="mtc">
          <a:extLst>
            <a:ext uri="{FF2B5EF4-FFF2-40B4-BE49-F238E27FC236}">
              <a16:creationId xmlns:a16="http://schemas.microsoft.com/office/drawing/2014/main" id="{51ABE0C2-E65B-0802-8757-0F3EE666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5240" y="0"/>
          <a:ext cx="16154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320040</xdr:colOff>
      <xdr:row>4</xdr:row>
      <xdr:rowOff>0</xdr:rowOff>
    </xdr:to>
    <xdr:pic>
      <xdr:nvPicPr>
        <xdr:cNvPr id="7940" name="Picture 20" descr="logo conirsa t2">
          <a:extLst>
            <a:ext uri="{FF2B5EF4-FFF2-40B4-BE49-F238E27FC236}">
              <a16:creationId xmlns:a16="http://schemas.microsoft.com/office/drawing/2014/main" id="{00E7F1D1-BED5-7D95-A7FE-033DF9CA6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35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146685</xdr:colOff>
      <xdr:row>12</xdr:row>
      <xdr:rowOff>66675</xdr:rowOff>
    </xdr:from>
    <xdr:ext cx="54117" cy="361005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875AEF4F-BC8C-9D05-231A-5A1807A2B171}"/>
            </a:ext>
          </a:extLst>
        </xdr:cNvPr>
        <xdr:cNvSpPr txBox="1">
          <a:spLocks noChangeArrowheads="1"/>
        </xdr:cNvSpPr>
      </xdr:nvSpPr>
      <xdr:spPr bwMode="auto">
        <a:xfrm>
          <a:off x="1956435" y="2752725"/>
          <a:ext cx="5411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>
    <xdr:from>
      <xdr:col>26</xdr:col>
      <xdr:colOff>99060</xdr:colOff>
      <xdr:row>26</xdr:row>
      <xdr:rowOff>38100</xdr:rowOff>
    </xdr:from>
    <xdr:to>
      <xdr:col>26</xdr:col>
      <xdr:colOff>99060</xdr:colOff>
      <xdr:row>28</xdr:row>
      <xdr:rowOff>167640</xdr:rowOff>
    </xdr:to>
    <xdr:sp macro="" textlink="">
      <xdr:nvSpPr>
        <xdr:cNvPr id="5000" name="Line 16">
          <a:extLst>
            <a:ext uri="{FF2B5EF4-FFF2-40B4-BE49-F238E27FC236}">
              <a16:creationId xmlns:a16="http://schemas.microsoft.com/office/drawing/2014/main" id="{E1808605-084F-3A79-AD90-60E3019013E8}"/>
            </a:ext>
          </a:extLst>
        </xdr:cNvPr>
        <xdr:cNvSpPr>
          <a:spLocks noChangeShapeType="1"/>
        </xdr:cNvSpPr>
      </xdr:nvSpPr>
      <xdr:spPr bwMode="auto">
        <a:xfrm>
          <a:off x="10767060" y="5379720"/>
          <a:ext cx="0" cy="51054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236220</xdr:colOff>
      <xdr:row>0</xdr:row>
      <xdr:rowOff>121920</xdr:rowOff>
    </xdr:from>
    <xdr:to>
      <xdr:col>12</xdr:col>
      <xdr:colOff>60960</xdr:colOff>
      <xdr:row>5</xdr:row>
      <xdr:rowOff>99060</xdr:rowOff>
    </xdr:to>
    <xdr:pic>
      <xdr:nvPicPr>
        <xdr:cNvPr id="5001" name="2 Imagen">
          <a:extLst>
            <a:ext uri="{FF2B5EF4-FFF2-40B4-BE49-F238E27FC236}">
              <a16:creationId xmlns:a16="http://schemas.microsoft.com/office/drawing/2014/main" id="{81119FED-655E-E218-08E7-87BAB1894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121920"/>
          <a:ext cx="3901440" cy="96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50</xdr:row>
      <xdr:rowOff>53340</xdr:rowOff>
    </xdr:from>
    <xdr:to>
      <xdr:col>14</xdr:col>
      <xdr:colOff>449580</xdr:colOff>
      <xdr:row>50</xdr:row>
      <xdr:rowOff>114300</xdr:rowOff>
    </xdr:to>
    <xdr:pic>
      <xdr:nvPicPr>
        <xdr:cNvPr id="5002" name="3 Imagen">
          <a:extLst>
            <a:ext uri="{FF2B5EF4-FFF2-40B4-BE49-F238E27FC236}">
              <a16:creationId xmlns:a16="http://schemas.microsoft.com/office/drawing/2014/main" id="{44CB495F-D284-BB8F-81F6-8584DF348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921240"/>
          <a:ext cx="624840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411480</xdr:colOff>
      <xdr:row>43</xdr:row>
      <xdr:rowOff>0</xdr:rowOff>
    </xdr:from>
    <xdr:to>
      <xdr:col>14</xdr:col>
      <xdr:colOff>175260</xdr:colOff>
      <xdr:row>48</xdr:row>
      <xdr:rowOff>160020</xdr:rowOff>
    </xdr:to>
    <xdr:pic>
      <xdr:nvPicPr>
        <xdr:cNvPr id="5003" name="5 Imagen">
          <a:extLst>
            <a:ext uri="{FF2B5EF4-FFF2-40B4-BE49-F238E27FC236}">
              <a16:creationId xmlns:a16="http://schemas.microsoft.com/office/drawing/2014/main" id="{5846232B-3E73-F608-50E2-C8E3E80E1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780" y="8580120"/>
          <a:ext cx="129540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14</xdr:row>
      <xdr:rowOff>60960</xdr:rowOff>
    </xdr:from>
    <xdr:to>
      <xdr:col>5</xdr:col>
      <xdr:colOff>91440</xdr:colOff>
      <xdr:row>29</xdr:row>
      <xdr:rowOff>0</xdr:rowOff>
    </xdr:to>
    <xdr:graphicFrame macro="">
      <xdr:nvGraphicFramePr>
        <xdr:cNvPr id="931795" name="Gráfico 2">
          <a:extLst>
            <a:ext uri="{FF2B5EF4-FFF2-40B4-BE49-F238E27FC236}">
              <a16:creationId xmlns:a16="http://schemas.microsoft.com/office/drawing/2014/main" id="{4FEBC1B8-F0D8-CF97-F262-4FF45AE91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33</xdr:row>
      <xdr:rowOff>45720</xdr:rowOff>
    </xdr:from>
    <xdr:to>
      <xdr:col>8</xdr:col>
      <xdr:colOff>167640</xdr:colOff>
      <xdr:row>47</xdr:row>
      <xdr:rowOff>22860</xdr:rowOff>
    </xdr:to>
    <xdr:graphicFrame macro="">
      <xdr:nvGraphicFramePr>
        <xdr:cNvPr id="931796" name="Gráfico 3">
          <a:extLst>
            <a:ext uri="{FF2B5EF4-FFF2-40B4-BE49-F238E27FC236}">
              <a16:creationId xmlns:a16="http://schemas.microsoft.com/office/drawing/2014/main" id="{38E7018B-301F-6D44-0C8C-93E2F1696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14</xdr:row>
      <xdr:rowOff>60960</xdr:rowOff>
    </xdr:from>
    <xdr:to>
      <xdr:col>15</xdr:col>
      <xdr:colOff>350520</xdr:colOff>
      <xdr:row>29</xdr:row>
      <xdr:rowOff>0</xdr:rowOff>
    </xdr:to>
    <xdr:graphicFrame macro="">
      <xdr:nvGraphicFramePr>
        <xdr:cNvPr id="931797" name="Gráfico 4">
          <a:extLst>
            <a:ext uri="{FF2B5EF4-FFF2-40B4-BE49-F238E27FC236}">
              <a16:creationId xmlns:a16="http://schemas.microsoft.com/office/drawing/2014/main" id="{3E3437D9-6FFF-8333-A696-384C5B0E3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167640</xdr:colOff>
      <xdr:row>14</xdr:row>
      <xdr:rowOff>68580</xdr:rowOff>
    </xdr:from>
    <xdr:to>
      <xdr:col>10</xdr:col>
      <xdr:colOff>236220</xdr:colOff>
      <xdr:row>29</xdr:row>
      <xdr:rowOff>7620</xdr:rowOff>
    </xdr:to>
    <xdr:graphicFrame macro="">
      <xdr:nvGraphicFramePr>
        <xdr:cNvPr id="931798" name="Gráfico 5">
          <a:extLst>
            <a:ext uri="{FF2B5EF4-FFF2-40B4-BE49-F238E27FC236}">
              <a16:creationId xmlns:a16="http://schemas.microsoft.com/office/drawing/2014/main" id="{B44C7DAC-C111-0ADC-BC54-3119789ED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68580</xdr:colOff>
      <xdr:row>57</xdr:row>
      <xdr:rowOff>0</xdr:rowOff>
    </xdr:to>
    <xdr:sp macro="" textlink="">
      <xdr:nvSpPr>
        <xdr:cNvPr id="931799" name="Text Box 6">
          <a:extLst>
            <a:ext uri="{FF2B5EF4-FFF2-40B4-BE49-F238E27FC236}">
              <a16:creationId xmlns:a16="http://schemas.microsoft.com/office/drawing/2014/main" id="{F7A7521C-2027-0FFC-AED6-B54817FB17D7}"/>
            </a:ext>
          </a:extLst>
        </xdr:cNvPr>
        <xdr:cNvSpPr txBox="1">
          <a:spLocks noChangeArrowheads="1"/>
        </xdr:cNvSpPr>
      </xdr:nvSpPr>
      <xdr:spPr bwMode="auto">
        <a:xfrm>
          <a:off x="3048000" y="10660380"/>
          <a:ext cx="685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236220</xdr:colOff>
      <xdr:row>42</xdr:row>
      <xdr:rowOff>38100</xdr:rowOff>
    </xdr:from>
    <xdr:to>
      <xdr:col>14</xdr:col>
      <xdr:colOff>304800</xdr:colOff>
      <xdr:row>43</xdr:row>
      <xdr:rowOff>38100</xdr:rowOff>
    </xdr:to>
    <xdr:sp macro="" textlink="">
      <xdr:nvSpPr>
        <xdr:cNvPr id="931800" name="Text Box 7">
          <a:extLst>
            <a:ext uri="{FF2B5EF4-FFF2-40B4-BE49-F238E27FC236}">
              <a16:creationId xmlns:a16="http://schemas.microsoft.com/office/drawing/2014/main" id="{AAFFD025-9568-C947-B20F-A38A481519BE}"/>
            </a:ext>
          </a:extLst>
        </xdr:cNvPr>
        <xdr:cNvSpPr txBox="1">
          <a:spLocks noChangeArrowheads="1"/>
        </xdr:cNvSpPr>
      </xdr:nvSpPr>
      <xdr:spPr bwMode="auto">
        <a:xfrm>
          <a:off x="5570220" y="8008620"/>
          <a:ext cx="685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333375</xdr:colOff>
      <xdr:row>35</xdr:row>
      <xdr:rowOff>185737</xdr:rowOff>
    </xdr:from>
    <xdr:to>
      <xdr:col>5</xdr:col>
      <xdr:colOff>75896</xdr:colOff>
      <xdr:row>36</xdr:row>
      <xdr:rowOff>128587</xdr:rowOff>
    </xdr:to>
    <xdr:sp macro="" textlink="">
      <xdr:nvSpPr>
        <xdr:cNvPr id="6153" name="Rectangle 9">
          <a:extLst>
            <a:ext uri="{FF2B5EF4-FFF2-40B4-BE49-F238E27FC236}">
              <a16:creationId xmlns:a16="http://schemas.microsoft.com/office/drawing/2014/main" id="{F25BAD5F-33D9-6ABF-0405-0C8CACE1CA8E}"/>
            </a:ext>
          </a:extLst>
        </xdr:cNvPr>
        <xdr:cNvSpPr>
          <a:spLocks noChangeArrowheads="1"/>
        </xdr:cNvSpPr>
      </xdr:nvSpPr>
      <xdr:spPr bwMode="auto">
        <a:xfrm>
          <a:off x="1076325" y="6853237"/>
          <a:ext cx="8572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100%  M.D.S.</a:t>
          </a:r>
        </a:p>
      </xdr:txBody>
    </xdr:sp>
    <xdr:clientData/>
  </xdr:twoCellAnchor>
  <xdr:twoCellAnchor>
    <xdr:from>
      <xdr:col>1</xdr:col>
      <xdr:colOff>104775</xdr:colOff>
      <xdr:row>41</xdr:row>
      <xdr:rowOff>85725</xdr:rowOff>
    </xdr:from>
    <xdr:to>
      <xdr:col>2</xdr:col>
      <xdr:colOff>223668</xdr:colOff>
      <xdr:row>42</xdr:row>
      <xdr:rowOff>19050</xdr:rowOff>
    </xdr:to>
    <xdr:sp macro="" textlink="">
      <xdr:nvSpPr>
        <xdr:cNvPr id="6154" name="Rectangle 10">
          <a:extLst>
            <a:ext uri="{FF2B5EF4-FFF2-40B4-BE49-F238E27FC236}">
              <a16:creationId xmlns:a16="http://schemas.microsoft.com/office/drawing/2014/main" id="{DF6733E3-EDF8-D38F-BF25-61A627A4CBEE}"/>
            </a:ext>
          </a:extLst>
        </xdr:cNvPr>
        <xdr:cNvSpPr>
          <a:spLocks noChangeArrowheads="1"/>
        </xdr:cNvSpPr>
      </xdr:nvSpPr>
      <xdr:spPr bwMode="auto">
        <a:xfrm>
          <a:off x="476250" y="7553325"/>
          <a:ext cx="50482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95%  M.D.S.</a:t>
          </a:r>
        </a:p>
      </xdr:txBody>
    </xdr:sp>
    <xdr:clientData/>
  </xdr:twoCellAnchor>
  <xdr:twoCellAnchor editAs="oneCell">
    <xdr:from>
      <xdr:col>2</xdr:col>
      <xdr:colOff>137160</xdr:colOff>
      <xdr:row>0</xdr:row>
      <xdr:rowOff>114300</xdr:rowOff>
    </xdr:from>
    <xdr:to>
      <xdr:col>12</xdr:col>
      <xdr:colOff>243840</xdr:colOff>
      <xdr:row>5</xdr:row>
      <xdr:rowOff>83820</xdr:rowOff>
    </xdr:to>
    <xdr:pic>
      <xdr:nvPicPr>
        <xdr:cNvPr id="931803" name="2 Imagen">
          <a:extLst>
            <a:ext uri="{FF2B5EF4-FFF2-40B4-BE49-F238E27FC236}">
              <a16:creationId xmlns:a16="http://schemas.microsoft.com/office/drawing/2014/main" id="{1676B003-C472-8483-ADC3-6959CC38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114300"/>
          <a:ext cx="391668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54</xdr:row>
      <xdr:rowOff>60960</xdr:rowOff>
    </xdr:from>
    <xdr:to>
      <xdr:col>17</xdr:col>
      <xdr:colOff>38100</xdr:colOff>
      <xdr:row>54</xdr:row>
      <xdr:rowOff>114300</xdr:rowOff>
    </xdr:to>
    <xdr:pic>
      <xdr:nvPicPr>
        <xdr:cNvPr id="931804" name="3 Imagen">
          <a:extLst>
            <a:ext uri="{FF2B5EF4-FFF2-40B4-BE49-F238E27FC236}">
              <a16:creationId xmlns:a16="http://schemas.microsoft.com/office/drawing/2014/main" id="{93E587CD-5D21-8958-E9AF-10F2C6DD2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340340"/>
          <a:ext cx="647700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175260</xdr:colOff>
      <xdr:row>48</xdr:row>
      <xdr:rowOff>76200</xdr:rowOff>
    </xdr:from>
    <xdr:to>
      <xdr:col>15</xdr:col>
      <xdr:colOff>335280</xdr:colOff>
      <xdr:row>53</xdr:row>
      <xdr:rowOff>160020</xdr:rowOff>
    </xdr:to>
    <xdr:pic>
      <xdr:nvPicPr>
        <xdr:cNvPr id="931805" name="11 Imagen">
          <a:extLst>
            <a:ext uri="{FF2B5EF4-FFF2-40B4-BE49-F238E27FC236}">
              <a16:creationId xmlns:a16="http://schemas.microsoft.com/office/drawing/2014/main" id="{67F1B286-EA50-EBE2-5253-B7C6C358B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7260" y="9189720"/>
          <a:ext cx="130302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13</xdr:col>
      <xdr:colOff>190500</xdr:colOff>
      <xdr:row>26</xdr:row>
      <xdr:rowOff>15240</xdr:rowOff>
    </xdr:to>
    <xdr:graphicFrame macro="">
      <xdr:nvGraphicFramePr>
        <xdr:cNvPr id="5309" name="Gráfico 1">
          <a:extLst>
            <a:ext uri="{FF2B5EF4-FFF2-40B4-BE49-F238E27FC236}">
              <a16:creationId xmlns:a16="http://schemas.microsoft.com/office/drawing/2014/main" id="{56323FFE-F0CB-1224-E861-2F7D36D4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15</xdr:col>
      <xdr:colOff>7620</xdr:colOff>
      <xdr:row>12</xdr:row>
      <xdr:rowOff>0</xdr:rowOff>
    </xdr:to>
    <xdr:sp macro="" textlink="">
      <xdr:nvSpPr>
        <xdr:cNvPr id="22113" name="Rectangle 1">
          <a:extLst>
            <a:ext uri="{FF2B5EF4-FFF2-40B4-BE49-F238E27FC236}">
              <a16:creationId xmlns:a16="http://schemas.microsoft.com/office/drawing/2014/main" id="{99F7FC48-708B-C67C-A90A-BF3FA1EEA059}"/>
            </a:ext>
          </a:extLst>
        </xdr:cNvPr>
        <xdr:cNvSpPr>
          <a:spLocks noChangeArrowheads="1"/>
        </xdr:cNvSpPr>
      </xdr:nvSpPr>
      <xdr:spPr bwMode="auto">
        <a:xfrm>
          <a:off x="8854440" y="2598420"/>
          <a:ext cx="762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853440</xdr:colOff>
      <xdr:row>0</xdr:row>
      <xdr:rowOff>137160</xdr:rowOff>
    </xdr:from>
    <xdr:to>
      <xdr:col>9</xdr:col>
      <xdr:colOff>243840</xdr:colOff>
      <xdr:row>5</xdr:row>
      <xdr:rowOff>114300</xdr:rowOff>
    </xdr:to>
    <xdr:pic>
      <xdr:nvPicPr>
        <xdr:cNvPr id="22114" name="2 Imagen">
          <a:extLst>
            <a:ext uri="{FF2B5EF4-FFF2-40B4-BE49-F238E27FC236}">
              <a16:creationId xmlns:a16="http://schemas.microsoft.com/office/drawing/2014/main" id="{3283B653-0596-045E-176C-4E5E8C61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37160"/>
          <a:ext cx="4191000" cy="96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45720</xdr:colOff>
      <xdr:row>45</xdr:row>
      <xdr:rowOff>45720</xdr:rowOff>
    </xdr:from>
    <xdr:to>
      <xdr:col>11</xdr:col>
      <xdr:colOff>114300</xdr:colOff>
      <xdr:row>45</xdr:row>
      <xdr:rowOff>106680</xdr:rowOff>
    </xdr:to>
    <xdr:pic>
      <xdr:nvPicPr>
        <xdr:cNvPr id="22115" name="3 Imagen">
          <a:extLst>
            <a:ext uri="{FF2B5EF4-FFF2-40B4-BE49-F238E27FC236}">
              <a16:creationId xmlns:a16="http://schemas.microsoft.com/office/drawing/2014/main" id="{A3BD228D-152E-D954-8BAD-43D5FF2C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10386060"/>
          <a:ext cx="638556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1727576" name="Gráfico 1">
          <a:extLst>
            <a:ext uri="{FF2B5EF4-FFF2-40B4-BE49-F238E27FC236}">
              <a16:creationId xmlns:a16="http://schemas.microsoft.com/office/drawing/2014/main" id="{A1D35CE7-2D5D-E551-84A9-8DC67B28C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0</xdr:row>
      <xdr:rowOff>0</xdr:rowOff>
    </xdr:from>
    <xdr:to>
      <xdr:col>8</xdr:col>
      <xdr:colOff>1429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E63215-0A74-F664-6DAC-5E30E9CF845C}"/>
            </a:ext>
          </a:extLst>
        </xdr:cNvPr>
        <xdr:cNvSpPr>
          <a:spLocks noChangeArrowheads="1"/>
        </xdr:cNvSpPr>
      </xdr:nvSpPr>
      <xdr:spPr bwMode="auto">
        <a:xfrm>
          <a:off x="6772275" y="0"/>
          <a:ext cx="7620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Nº200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C97A79-DCF1-0382-BCF4-D844725D4B6E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5716AA-0BD8-C675-1BD3-99EC1752A255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FF9DB2-777B-CB72-00C3-975B15340098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80</a:t>
          </a:r>
        </a:p>
      </xdr:txBody>
    </xdr:sp>
    <xdr:clientData/>
  </xdr:twoCellAnchor>
  <xdr:twoCellAnchor>
    <xdr:from>
      <xdr:col>5</xdr:col>
      <xdr:colOff>485775</xdr:colOff>
      <xdr:row>0</xdr:row>
      <xdr:rowOff>0</xdr:rowOff>
    </xdr:from>
    <xdr:to>
      <xdr:col>5</xdr:col>
      <xdr:colOff>759562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FCE4279-3460-E6D5-82D0-46A2F94EB9B9}"/>
            </a:ext>
          </a:extLst>
        </xdr:cNvPr>
        <xdr:cNvSpPr>
          <a:spLocks noChangeArrowheads="1"/>
        </xdr:cNvSpPr>
      </xdr:nvSpPr>
      <xdr:spPr bwMode="auto">
        <a:xfrm>
          <a:off x="5524500" y="0"/>
          <a:ext cx="2667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Nº50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18764B2-4B86-4890-837C-7FD20BEC52A6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690CB1C-F020-CC58-3A26-896F8F193CD3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D8AED-CF8A-5A2D-337D-A90008272B26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D814F9E-F844-3B1F-6D3D-794424A980EA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16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79FDA35-B659-B1C7-CE2A-2E35AAB9E3E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</a:t>
          </a:r>
        </a:p>
      </xdr:txBody>
    </xdr:sp>
    <xdr:clientData/>
  </xdr:twoCellAnchor>
  <xdr:twoCellAnchor>
    <xdr:from>
      <xdr:col>4</xdr:col>
      <xdr:colOff>85725</xdr:colOff>
      <xdr:row>0</xdr:row>
      <xdr:rowOff>0</xdr:rowOff>
    </xdr:from>
    <xdr:to>
      <xdr:col>4</xdr:col>
      <xdr:colOff>266700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CCAD37A-D782-7E13-15E0-F449BC4876C6}"/>
            </a:ext>
          </a:extLst>
        </xdr:cNvPr>
        <xdr:cNvSpPr>
          <a:spLocks noChangeArrowheads="1"/>
        </xdr:cNvSpPr>
      </xdr:nvSpPr>
      <xdr:spPr bwMode="auto">
        <a:xfrm>
          <a:off x="3933825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Nº8</a:t>
          </a:r>
        </a:p>
      </xdr:txBody>
    </xdr:sp>
    <xdr:clientData/>
  </xdr:twoCellAnchor>
  <xdr:twoCellAnchor>
    <xdr:from>
      <xdr:col>3</xdr:col>
      <xdr:colOff>403860</xdr:colOff>
      <xdr:row>0</xdr:row>
      <xdr:rowOff>0</xdr:rowOff>
    </xdr:from>
    <xdr:to>
      <xdr:col>3</xdr:col>
      <xdr:colOff>564957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1149B47-C2FE-2585-0DFC-C790040EFF8C}"/>
            </a:ext>
          </a:extLst>
        </xdr:cNvPr>
        <xdr:cNvSpPr>
          <a:spLocks noChangeArrowheads="1"/>
        </xdr:cNvSpPr>
      </xdr:nvSpPr>
      <xdr:spPr bwMode="auto">
        <a:xfrm>
          <a:off x="3048000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Nº4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ED4482-05AC-8E89-0875-051F73578B57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3/8"</a:t>
          </a:r>
        </a:p>
      </xdr:txBody>
    </xdr:sp>
    <xdr:clientData/>
  </xdr:twoCellAnchor>
  <xdr:twoCellAnchor>
    <xdr:from>
      <xdr:col>2</xdr:col>
      <xdr:colOff>638175</xdr:colOff>
      <xdr:row>0</xdr:row>
      <xdr:rowOff>0</xdr:rowOff>
    </xdr:from>
    <xdr:to>
      <xdr:col>3</xdr:col>
      <xdr:colOff>98115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3D73B01-1707-7AD8-8F61-05DF1D2B16CB}"/>
            </a:ext>
          </a:extLst>
        </xdr:cNvPr>
        <xdr:cNvSpPr>
          <a:spLocks noChangeArrowheads="1"/>
        </xdr:cNvSpPr>
      </xdr:nvSpPr>
      <xdr:spPr bwMode="auto">
        <a:xfrm>
          <a:off x="2114550" y="0"/>
          <a:ext cx="6381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1/2"</a:t>
          </a:r>
        </a:p>
      </xdr:txBody>
    </xdr:sp>
    <xdr:clientData/>
  </xdr:twoCellAnchor>
  <xdr:twoCellAnchor>
    <xdr:from>
      <xdr:col>2</xdr:col>
      <xdr:colOff>333375</xdr:colOff>
      <xdr:row>0</xdr:row>
      <xdr:rowOff>0</xdr:rowOff>
    </xdr:from>
    <xdr:to>
      <xdr:col>2</xdr:col>
      <xdr:colOff>535693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931966D-464C-17C3-9F10-3CEB9B664B27}"/>
            </a:ext>
          </a:extLst>
        </xdr:cNvPr>
        <xdr:cNvSpPr>
          <a:spLocks noChangeArrowheads="1"/>
        </xdr:cNvSpPr>
      </xdr:nvSpPr>
      <xdr:spPr bwMode="auto">
        <a:xfrm>
          <a:off x="1790700" y="0"/>
          <a:ext cx="2095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3/4"</a:t>
          </a:r>
        </a:p>
      </xdr:txBody>
    </xdr:sp>
    <xdr:clientData/>
  </xdr:twoCellAnchor>
  <xdr:twoCellAnchor>
    <xdr:from>
      <xdr:col>2</xdr:col>
      <xdr:colOff>457200</xdr:colOff>
      <xdr:row>0</xdr:row>
      <xdr:rowOff>0</xdr:rowOff>
    </xdr:from>
    <xdr:to>
      <xdr:col>2</xdr:col>
      <xdr:colOff>457200</xdr:colOff>
      <xdr:row>0</xdr:row>
      <xdr:rowOff>0</xdr:rowOff>
    </xdr:to>
    <xdr:sp macro="" textlink="">
      <xdr:nvSpPr>
        <xdr:cNvPr id="1727592" name="Line 17">
          <a:extLst>
            <a:ext uri="{FF2B5EF4-FFF2-40B4-BE49-F238E27FC236}">
              <a16:creationId xmlns:a16="http://schemas.microsoft.com/office/drawing/2014/main" id="{C6BA412E-7795-1370-8E9A-6E0F26AA40BC}"/>
            </a:ext>
          </a:extLst>
        </xdr:cNvPr>
        <xdr:cNvSpPr>
          <a:spLocks noChangeShapeType="1"/>
        </xdr:cNvSpPr>
      </xdr:nvSpPr>
      <xdr:spPr bwMode="auto">
        <a:xfrm flipV="1">
          <a:off x="134112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762000</xdr:colOff>
      <xdr:row>0</xdr:row>
      <xdr:rowOff>0</xdr:rowOff>
    </xdr:from>
    <xdr:to>
      <xdr:col>2</xdr:col>
      <xdr:colOff>762000</xdr:colOff>
      <xdr:row>0</xdr:row>
      <xdr:rowOff>0</xdr:rowOff>
    </xdr:to>
    <xdr:sp macro="" textlink="">
      <xdr:nvSpPr>
        <xdr:cNvPr id="1727593" name="Line 18">
          <a:extLst>
            <a:ext uri="{FF2B5EF4-FFF2-40B4-BE49-F238E27FC236}">
              <a16:creationId xmlns:a16="http://schemas.microsoft.com/office/drawing/2014/main" id="{153DFCAD-9C35-ADBD-21B9-02195EF98CF2}"/>
            </a:ext>
          </a:extLst>
        </xdr:cNvPr>
        <xdr:cNvSpPr>
          <a:spLocks noChangeShapeType="1"/>
        </xdr:cNvSpPr>
      </xdr:nvSpPr>
      <xdr:spPr bwMode="auto">
        <a:xfrm flipV="1">
          <a:off x="164592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487680</xdr:colOff>
      <xdr:row>0</xdr:row>
      <xdr:rowOff>0</xdr:rowOff>
    </xdr:from>
    <xdr:to>
      <xdr:col>3</xdr:col>
      <xdr:colOff>487680</xdr:colOff>
      <xdr:row>0</xdr:row>
      <xdr:rowOff>0</xdr:rowOff>
    </xdr:to>
    <xdr:sp macro="" textlink="">
      <xdr:nvSpPr>
        <xdr:cNvPr id="1727594" name="Line 19">
          <a:extLst>
            <a:ext uri="{FF2B5EF4-FFF2-40B4-BE49-F238E27FC236}">
              <a16:creationId xmlns:a16="http://schemas.microsoft.com/office/drawing/2014/main" id="{C471800A-57BD-2A67-43A3-C8F051AFAF16}"/>
            </a:ext>
          </a:extLst>
        </xdr:cNvPr>
        <xdr:cNvSpPr>
          <a:spLocks noChangeShapeType="1"/>
        </xdr:cNvSpPr>
      </xdr:nvSpPr>
      <xdr:spPr bwMode="auto">
        <a:xfrm flipV="1">
          <a:off x="223266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144780</xdr:colOff>
      <xdr:row>0</xdr:row>
      <xdr:rowOff>0</xdr:rowOff>
    </xdr:from>
    <xdr:to>
      <xdr:col>4</xdr:col>
      <xdr:colOff>144780</xdr:colOff>
      <xdr:row>0</xdr:row>
      <xdr:rowOff>0</xdr:rowOff>
    </xdr:to>
    <xdr:sp macro="" textlink="">
      <xdr:nvSpPr>
        <xdr:cNvPr id="1727595" name="Line 20">
          <a:extLst>
            <a:ext uri="{FF2B5EF4-FFF2-40B4-BE49-F238E27FC236}">
              <a16:creationId xmlns:a16="http://schemas.microsoft.com/office/drawing/2014/main" id="{5F8F19D3-A3CD-EB2B-2D2F-67ABDE9DD30E}"/>
            </a:ext>
          </a:extLst>
        </xdr:cNvPr>
        <xdr:cNvSpPr>
          <a:spLocks noChangeShapeType="1"/>
        </xdr:cNvSpPr>
      </xdr:nvSpPr>
      <xdr:spPr bwMode="auto">
        <a:xfrm flipV="1">
          <a:off x="302514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586740</xdr:colOff>
      <xdr:row>0</xdr:row>
      <xdr:rowOff>0</xdr:rowOff>
    </xdr:from>
    <xdr:to>
      <xdr:col>5</xdr:col>
      <xdr:colOff>586740</xdr:colOff>
      <xdr:row>0</xdr:row>
      <xdr:rowOff>0</xdr:rowOff>
    </xdr:to>
    <xdr:sp macro="" textlink="">
      <xdr:nvSpPr>
        <xdr:cNvPr id="1727596" name="Line 21">
          <a:extLst>
            <a:ext uri="{FF2B5EF4-FFF2-40B4-BE49-F238E27FC236}">
              <a16:creationId xmlns:a16="http://schemas.microsoft.com/office/drawing/2014/main" id="{755D2C6D-2F5C-E3A1-21FE-C67503448730}"/>
            </a:ext>
          </a:extLst>
        </xdr:cNvPr>
        <xdr:cNvSpPr>
          <a:spLocks noChangeShapeType="1"/>
        </xdr:cNvSpPr>
      </xdr:nvSpPr>
      <xdr:spPr bwMode="auto">
        <a:xfrm flipV="1">
          <a:off x="460248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647700</xdr:colOff>
      <xdr:row>0</xdr:row>
      <xdr:rowOff>0</xdr:rowOff>
    </xdr:from>
    <xdr:to>
      <xdr:col>7</xdr:col>
      <xdr:colOff>647700</xdr:colOff>
      <xdr:row>0</xdr:row>
      <xdr:rowOff>0</xdr:rowOff>
    </xdr:to>
    <xdr:sp macro="" textlink="">
      <xdr:nvSpPr>
        <xdr:cNvPr id="1727597" name="Line 22">
          <a:extLst>
            <a:ext uri="{FF2B5EF4-FFF2-40B4-BE49-F238E27FC236}">
              <a16:creationId xmlns:a16="http://schemas.microsoft.com/office/drawing/2014/main" id="{500695FF-840C-326D-0569-EB528321D8D8}"/>
            </a:ext>
          </a:extLst>
        </xdr:cNvPr>
        <xdr:cNvSpPr>
          <a:spLocks noChangeShapeType="1"/>
        </xdr:cNvSpPr>
      </xdr:nvSpPr>
      <xdr:spPr bwMode="auto">
        <a:xfrm flipV="1">
          <a:off x="580644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30480</xdr:colOff>
      <xdr:row>0</xdr:row>
      <xdr:rowOff>83820</xdr:rowOff>
    </xdr:from>
    <xdr:to>
      <xdr:col>5</xdr:col>
      <xdr:colOff>723900</xdr:colOff>
      <xdr:row>5</xdr:row>
      <xdr:rowOff>53340</xdr:rowOff>
    </xdr:to>
    <xdr:pic>
      <xdr:nvPicPr>
        <xdr:cNvPr id="1727598" name="2 Imagen">
          <a:extLst>
            <a:ext uri="{FF2B5EF4-FFF2-40B4-BE49-F238E27FC236}">
              <a16:creationId xmlns:a16="http://schemas.microsoft.com/office/drawing/2014/main" id="{1405C932-5E5B-F74D-A46A-B7144528F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83820"/>
          <a:ext cx="392430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</xdr:colOff>
      <xdr:row>43</xdr:row>
      <xdr:rowOff>68580</xdr:rowOff>
    </xdr:from>
    <xdr:to>
      <xdr:col>8</xdr:col>
      <xdr:colOff>0</xdr:colOff>
      <xdr:row>43</xdr:row>
      <xdr:rowOff>121920</xdr:rowOff>
    </xdr:to>
    <xdr:pic>
      <xdr:nvPicPr>
        <xdr:cNvPr id="1727599" name="3 Imagen">
          <a:extLst>
            <a:ext uri="{FF2B5EF4-FFF2-40B4-BE49-F238E27FC236}">
              <a16:creationId xmlns:a16="http://schemas.microsoft.com/office/drawing/2014/main" id="{3FA4834B-C649-82DA-14A9-15E788527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0401300"/>
          <a:ext cx="623316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0</xdr:rowOff>
    </xdr:from>
    <xdr:to>
      <xdr:col>4</xdr:col>
      <xdr:colOff>335280</xdr:colOff>
      <xdr:row>0</xdr:row>
      <xdr:rowOff>0</xdr:rowOff>
    </xdr:to>
    <xdr:grpSp>
      <xdr:nvGrpSpPr>
        <xdr:cNvPr id="19374" name="Group 1">
          <a:extLst>
            <a:ext uri="{FF2B5EF4-FFF2-40B4-BE49-F238E27FC236}">
              <a16:creationId xmlns:a16="http://schemas.microsoft.com/office/drawing/2014/main" id="{24C680A1-8867-729D-8E31-37B026BBF6FE}"/>
            </a:ext>
          </a:extLst>
        </xdr:cNvPr>
        <xdr:cNvGrpSpPr>
          <a:grpSpLocks/>
        </xdr:cNvGrpSpPr>
      </xdr:nvGrpSpPr>
      <xdr:grpSpPr bwMode="auto">
        <a:xfrm>
          <a:off x="83820" y="0"/>
          <a:ext cx="2712720" cy="0"/>
          <a:chOff x="3" y="19"/>
          <a:chExt cx="324" cy="32"/>
        </a:xfrm>
      </xdr:grpSpPr>
      <xdr:pic>
        <xdr:nvPicPr>
          <xdr:cNvPr id="19377" name="Picture 2">
            <a:extLst>
              <a:ext uri="{FF2B5EF4-FFF2-40B4-BE49-F238E27FC236}">
                <a16:creationId xmlns:a16="http://schemas.microsoft.com/office/drawing/2014/main" id="{CFB89C06-2F86-9C7F-E903-325B1CF3D4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435" name="Text Box 3">
            <a:extLst>
              <a:ext uri="{FF2B5EF4-FFF2-40B4-BE49-F238E27FC236}">
                <a16:creationId xmlns:a16="http://schemas.microsoft.com/office/drawing/2014/main" id="{3E3B709D-340B-6E33-0B47-EF93615328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-9269668940940" y="0"/>
            <a:ext cx="0" cy="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u="none" strike="noStrike" baseline="0">
                <a:solidFill>
                  <a:srgbClr val="000000"/>
                </a:solidFill>
                <a:latin typeface="Arial Black"/>
                <a:cs typeface="Arial"/>
              </a:rPr>
              <a:t> -</a:t>
            </a:r>
            <a:endParaRPr lang="es-PE" sz="1200" b="1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</xdr:grpSp>
    <xdr:clientData/>
  </xdr:twoCellAnchor>
  <xdr:twoCellAnchor editAs="oneCell">
    <xdr:from>
      <xdr:col>7</xdr:col>
      <xdr:colOff>83820</xdr:colOff>
      <xdr:row>0</xdr:row>
      <xdr:rowOff>0</xdr:rowOff>
    </xdr:from>
    <xdr:to>
      <xdr:col>8</xdr:col>
      <xdr:colOff>792480</xdr:colOff>
      <xdr:row>3</xdr:row>
      <xdr:rowOff>99060</xdr:rowOff>
    </xdr:to>
    <xdr:pic>
      <xdr:nvPicPr>
        <xdr:cNvPr id="19375" name="Picture 5" descr="mtc">
          <a:extLst>
            <a:ext uri="{FF2B5EF4-FFF2-40B4-BE49-F238E27FC236}">
              <a16:creationId xmlns:a16="http://schemas.microsoft.com/office/drawing/2014/main" id="{8660ED2E-EF5F-9379-9F4F-F2801DFB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6340" y="0"/>
          <a:ext cx="15087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</xdr:row>
      <xdr:rowOff>106680</xdr:rowOff>
    </xdr:to>
    <xdr:pic>
      <xdr:nvPicPr>
        <xdr:cNvPr id="19376" name="Picture 6" descr="logo conirsa t2">
          <a:extLst>
            <a:ext uri="{FF2B5EF4-FFF2-40B4-BE49-F238E27FC236}">
              <a16:creationId xmlns:a16="http://schemas.microsoft.com/office/drawing/2014/main" id="{D87555A0-8D7E-4284-A6A5-A275C937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1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369570</xdr:colOff>
      <xdr:row>0</xdr:row>
      <xdr:rowOff>104775</xdr:rowOff>
    </xdr:from>
    <xdr:to>
      <xdr:col>14</xdr:col>
      <xdr:colOff>213373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3954D5A2-DB44-F126-6488-BB168D3BC08D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 baseline="0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541020</xdr:colOff>
          <xdr:row>0</xdr:row>
          <xdr:rowOff>53340</xdr:rowOff>
        </xdr:from>
        <xdr:to>
          <xdr:col>14</xdr:col>
          <xdr:colOff>518160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76A41E34-CD6F-0CC2-BEC6-FD25948C4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16</xdr:row>
      <xdr:rowOff>0</xdr:rowOff>
    </xdr:from>
    <xdr:to>
      <xdr:col>0</xdr:col>
      <xdr:colOff>1172198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133FF099-208A-B9A5-85B4-19F1D29CB944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1127760</xdr:colOff>
          <xdr:row>0</xdr:row>
          <xdr:rowOff>45720</xdr:rowOff>
        </xdr:from>
        <xdr:to>
          <xdr:col>3</xdr:col>
          <xdr:colOff>1173480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F4481017-2DFB-40BE-F916-986825329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121920</xdr:rowOff>
    </xdr:from>
    <xdr:to>
      <xdr:col>17</xdr:col>
      <xdr:colOff>38100</xdr:colOff>
      <xdr:row>57</xdr:row>
      <xdr:rowOff>190500</xdr:rowOff>
    </xdr:to>
    <xdr:pic>
      <xdr:nvPicPr>
        <xdr:cNvPr id="1478330" name="3 Imagen">
          <a:extLst>
            <a:ext uri="{FF2B5EF4-FFF2-40B4-BE49-F238E27FC236}">
              <a16:creationId xmlns:a16="http://schemas.microsoft.com/office/drawing/2014/main" id="{E334C7B0-861A-02B8-92A0-A9F97058A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9520"/>
          <a:ext cx="7421880" cy="68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76200</xdr:colOff>
      <xdr:row>9</xdr:row>
      <xdr:rowOff>152400</xdr:rowOff>
    </xdr:from>
    <xdr:to>
      <xdr:col>6</xdr:col>
      <xdr:colOff>224538</xdr:colOff>
      <xdr:row>11</xdr:row>
      <xdr:rowOff>30480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5BBB9DA8-2FB7-F07A-A9FE-E92D4C777023}"/>
            </a:ext>
          </a:extLst>
        </xdr:cNvPr>
        <xdr:cNvSpPr txBox="1"/>
      </xdr:nvSpPr>
      <xdr:spPr>
        <a:xfrm>
          <a:off x="1333500" y="1952625"/>
          <a:ext cx="1392480" cy="2781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6</xdr:col>
      <xdr:colOff>236220</xdr:colOff>
      <xdr:row>9</xdr:row>
      <xdr:rowOff>152400</xdr:rowOff>
    </xdr:from>
    <xdr:to>
      <xdr:col>10</xdr:col>
      <xdr:colOff>504</xdr:colOff>
      <xdr:row>11</xdr:row>
      <xdr:rowOff>30480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6538F021-5C0D-52D7-38DB-59FE32AEB601}"/>
            </a:ext>
          </a:extLst>
        </xdr:cNvPr>
        <xdr:cNvSpPr txBox="1"/>
      </xdr:nvSpPr>
      <xdr:spPr>
        <a:xfrm>
          <a:off x="2764155" y="1952625"/>
          <a:ext cx="1405786" cy="2781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13335</xdr:colOff>
      <xdr:row>9</xdr:row>
      <xdr:rowOff>152400</xdr:rowOff>
    </xdr:from>
    <xdr:to>
      <xdr:col>13</xdr:col>
      <xdr:colOff>146508</xdr:colOff>
      <xdr:row>11</xdr:row>
      <xdr:rowOff>30480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3AEE8D99-F81C-2EE9-2ABD-1DBCEE996522}"/>
            </a:ext>
          </a:extLst>
        </xdr:cNvPr>
        <xdr:cNvSpPr txBox="1"/>
      </xdr:nvSpPr>
      <xdr:spPr>
        <a:xfrm>
          <a:off x="4215765" y="1952625"/>
          <a:ext cx="1379068" cy="2781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3</xdr:col>
      <xdr:colOff>76200</xdr:colOff>
      <xdr:row>11</xdr:row>
      <xdr:rowOff>64770</xdr:rowOff>
    </xdr:from>
    <xdr:to>
      <xdr:col>6</xdr:col>
      <xdr:colOff>224538</xdr:colOff>
      <xdr:row>12</xdr:row>
      <xdr:rowOff>159291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C7158B7C-BEEF-01CF-06CA-8A9BFCED3CB9}"/>
            </a:ext>
          </a:extLst>
        </xdr:cNvPr>
        <xdr:cNvSpPr/>
      </xdr:nvSpPr>
      <xdr:spPr>
        <a:xfrm>
          <a:off x="1333500" y="2261235"/>
          <a:ext cx="1392480" cy="32229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6</xdr:col>
      <xdr:colOff>236220</xdr:colOff>
      <xdr:row>11</xdr:row>
      <xdr:rowOff>68580</xdr:rowOff>
    </xdr:from>
    <xdr:to>
      <xdr:col>10</xdr:col>
      <xdr:colOff>504</xdr:colOff>
      <xdr:row>12</xdr:row>
      <xdr:rowOff>190845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43EC0638-07F9-B321-7759-5AEA225E3773}"/>
            </a:ext>
          </a:extLst>
        </xdr:cNvPr>
        <xdr:cNvSpPr/>
      </xdr:nvSpPr>
      <xdr:spPr>
        <a:xfrm>
          <a:off x="2764155" y="2268855"/>
          <a:ext cx="1405786" cy="32229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10</xdr:col>
      <xdr:colOff>13335</xdr:colOff>
      <xdr:row>11</xdr:row>
      <xdr:rowOff>68580</xdr:rowOff>
    </xdr:from>
    <xdr:to>
      <xdr:col>13</xdr:col>
      <xdr:colOff>146508</xdr:colOff>
      <xdr:row>12</xdr:row>
      <xdr:rowOff>190845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4E091636-9DC8-385B-23A3-2B3C828BB384}"/>
            </a:ext>
          </a:extLst>
        </xdr:cNvPr>
        <xdr:cNvSpPr/>
      </xdr:nvSpPr>
      <xdr:spPr>
        <a:xfrm>
          <a:off x="4215765" y="2268855"/>
          <a:ext cx="1379068" cy="32229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388619</xdr:colOff>
      <xdr:row>16</xdr:row>
      <xdr:rowOff>150495</xdr:rowOff>
    </xdr:from>
    <xdr:to>
      <xdr:col>10</xdr:col>
      <xdr:colOff>288245</xdr:colOff>
      <xdr:row>18</xdr:row>
      <xdr:rowOff>2691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E899F5C2-AB0C-62C2-08F4-0E5CA771A466}"/>
            </a:ext>
          </a:extLst>
        </xdr:cNvPr>
        <xdr:cNvSpPr txBox="1"/>
      </xdr:nvSpPr>
      <xdr:spPr>
        <a:xfrm>
          <a:off x="2466974" y="3524250"/>
          <a:ext cx="2016000" cy="2598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RELACIÓN</a:t>
          </a:r>
          <a:r>
            <a:rPr lang="es-PE" sz="800" baseline="0">
              <a:latin typeface="Arial" panose="020B0604020202020204" pitchFamily="34" charset="0"/>
              <a:cs typeface="Arial" panose="020B0604020202020204" pitchFamily="34" charset="0"/>
            </a:rPr>
            <a:t> DIMENCIONAL</a:t>
          </a:r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388620</xdr:colOff>
      <xdr:row>18</xdr:row>
      <xdr:rowOff>0</xdr:rowOff>
    </xdr:from>
    <xdr:to>
      <xdr:col>7</xdr:col>
      <xdr:colOff>38743</xdr:colOff>
      <xdr:row>19</xdr:row>
      <xdr:rowOff>23939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9ACF634C-C9C5-5154-4228-01FA162587A5}"/>
            </a:ext>
          </a:extLst>
        </xdr:cNvPr>
        <xdr:cNvSpPr txBox="1"/>
      </xdr:nvSpPr>
      <xdr:spPr>
        <a:xfrm>
          <a:off x="2466975" y="3781425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1:2</a:t>
          </a:r>
        </a:p>
      </xdr:txBody>
    </xdr:sp>
    <xdr:clientData/>
  </xdr:twoCellAnchor>
  <xdr:twoCellAnchor>
    <xdr:from>
      <xdr:col>7</xdr:col>
      <xdr:colOff>38100</xdr:colOff>
      <xdr:row>18</xdr:row>
      <xdr:rowOff>0</xdr:rowOff>
    </xdr:from>
    <xdr:to>
      <xdr:col>8</xdr:col>
      <xdr:colOff>134694</xdr:colOff>
      <xdr:row>19</xdr:row>
      <xdr:rowOff>23939</xdr:rowOff>
    </xdr:to>
    <xdr:sp macro="" textlink="">
      <xdr:nvSpPr>
        <xdr:cNvPr id="15" name="8 CuadroTexto">
          <a:extLst>
            <a:ext uri="{FF2B5EF4-FFF2-40B4-BE49-F238E27FC236}">
              <a16:creationId xmlns:a16="http://schemas.microsoft.com/office/drawing/2014/main" id="{8AC05C83-98AE-F551-08A0-851869E697E7}"/>
            </a:ext>
          </a:extLst>
        </xdr:cNvPr>
        <xdr:cNvSpPr txBox="1"/>
      </xdr:nvSpPr>
      <xdr:spPr>
        <a:xfrm>
          <a:off x="2971800" y="3781425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1:3</a:t>
          </a:r>
        </a:p>
      </xdr:txBody>
    </xdr:sp>
    <xdr:clientData/>
  </xdr:twoCellAnchor>
  <xdr:twoCellAnchor>
    <xdr:from>
      <xdr:col>8</xdr:col>
      <xdr:colOff>135255</xdr:colOff>
      <xdr:row>18</xdr:row>
      <xdr:rowOff>0</xdr:rowOff>
    </xdr:from>
    <xdr:to>
      <xdr:col>9</xdr:col>
      <xdr:colOff>235409</xdr:colOff>
      <xdr:row>19</xdr:row>
      <xdr:rowOff>23939</xdr:rowOff>
    </xdr:to>
    <xdr:sp macro="" textlink="">
      <xdr:nvSpPr>
        <xdr:cNvPr id="16" name="8 CuadroTexto">
          <a:extLst>
            <a:ext uri="{FF2B5EF4-FFF2-40B4-BE49-F238E27FC236}">
              <a16:creationId xmlns:a16="http://schemas.microsoft.com/office/drawing/2014/main" id="{68D9BCFA-F410-EB70-41E4-1B701316277D}"/>
            </a:ext>
          </a:extLst>
        </xdr:cNvPr>
        <xdr:cNvSpPr txBox="1"/>
      </xdr:nvSpPr>
      <xdr:spPr>
        <a:xfrm>
          <a:off x="3476625" y="3781425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1:4</a:t>
          </a:r>
        </a:p>
      </xdr:txBody>
    </xdr:sp>
    <xdr:clientData/>
  </xdr:twoCellAnchor>
  <xdr:twoCellAnchor>
    <xdr:from>
      <xdr:col>9</xdr:col>
      <xdr:colOff>236220</xdr:colOff>
      <xdr:row>18</xdr:row>
      <xdr:rowOff>0</xdr:rowOff>
    </xdr:from>
    <xdr:to>
      <xdr:col>10</xdr:col>
      <xdr:colOff>273955</xdr:colOff>
      <xdr:row>19</xdr:row>
      <xdr:rowOff>23939</xdr:rowOff>
    </xdr:to>
    <xdr:sp macro="" textlink="">
      <xdr:nvSpPr>
        <xdr:cNvPr id="17" name="8 CuadroTexto">
          <a:extLst>
            <a:ext uri="{FF2B5EF4-FFF2-40B4-BE49-F238E27FC236}">
              <a16:creationId xmlns:a16="http://schemas.microsoft.com/office/drawing/2014/main" id="{BC0C824D-5DAC-FC70-5837-971247CF4E84}"/>
            </a:ext>
          </a:extLst>
        </xdr:cNvPr>
        <xdr:cNvSpPr txBox="1"/>
      </xdr:nvSpPr>
      <xdr:spPr>
        <a:xfrm>
          <a:off x="3981450" y="3781425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1:5</a:t>
          </a:r>
        </a:p>
      </xdr:txBody>
    </xdr:sp>
    <xdr:clientData/>
  </xdr:twoCellAnchor>
  <xdr:twoCellAnchor>
    <xdr:from>
      <xdr:col>5</xdr:col>
      <xdr:colOff>388620</xdr:colOff>
      <xdr:row>19</xdr:row>
      <xdr:rowOff>24765</xdr:rowOff>
    </xdr:from>
    <xdr:to>
      <xdr:col>7</xdr:col>
      <xdr:colOff>38743</xdr:colOff>
      <xdr:row>20</xdr:row>
      <xdr:rowOff>39685</xdr:rowOff>
    </xdr:to>
    <xdr:sp macro="" textlink="">
      <xdr:nvSpPr>
        <xdr:cNvPr id="18" name="8 CuadroTexto">
          <a:extLst>
            <a:ext uri="{FF2B5EF4-FFF2-40B4-BE49-F238E27FC236}">
              <a16:creationId xmlns:a16="http://schemas.microsoft.com/office/drawing/2014/main" id="{82D3362B-3B56-41FF-E05C-DBD5A9F6C038}"/>
            </a:ext>
          </a:extLst>
        </xdr:cNvPr>
        <xdr:cNvSpPr txBox="1"/>
      </xdr:nvSpPr>
      <xdr:spPr>
        <a:xfrm>
          <a:off x="2466975" y="4000500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7</xdr:col>
      <xdr:colOff>38100</xdr:colOff>
      <xdr:row>19</xdr:row>
      <xdr:rowOff>24765</xdr:rowOff>
    </xdr:from>
    <xdr:to>
      <xdr:col>8</xdr:col>
      <xdr:colOff>134694</xdr:colOff>
      <xdr:row>20</xdr:row>
      <xdr:rowOff>39685</xdr:rowOff>
    </xdr:to>
    <xdr:sp macro="" textlink="">
      <xdr:nvSpPr>
        <xdr:cNvPr id="19" name="8 CuadroTexto">
          <a:extLst>
            <a:ext uri="{FF2B5EF4-FFF2-40B4-BE49-F238E27FC236}">
              <a16:creationId xmlns:a16="http://schemas.microsoft.com/office/drawing/2014/main" id="{92B35CE4-556A-B8AF-3854-9C09D5F66582}"/>
            </a:ext>
          </a:extLst>
        </xdr:cNvPr>
        <xdr:cNvSpPr txBox="1"/>
      </xdr:nvSpPr>
      <xdr:spPr>
        <a:xfrm>
          <a:off x="2971800" y="4000500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8</xdr:col>
      <xdr:colOff>135255</xdr:colOff>
      <xdr:row>19</xdr:row>
      <xdr:rowOff>24765</xdr:rowOff>
    </xdr:from>
    <xdr:to>
      <xdr:col>9</xdr:col>
      <xdr:colOff>235409</xdr:colOff>
      <xdr:row>20</xdr:row>
      <xdr:rowOff>39685</xdr:rowOff>
    </xdr:to>
    <xdr:sp macro="" textlink="">
      <xdr:nvSpPr>
        <xdr:cNvPr id="20" name="8 CuadroTexto">
          <a:extLst>
            <a:ext uri="{FF2B5EF4-FFF2-40B4-BE49-F238E27FC236}">
              <a16:creationId xmlns:a16="http://schemas.microsoft.com/office/drawing/2014/main" id="{33C451BD-D31F-E0D0-D4E7-5B25C979557C}"/>
            </a:ext>
          </a:extLst>
        </xdr:cNvPr>
        <xdr:cNvSpPr txBox="1"/>
      </xdr:nvSpPr>
      <xdr:spPr>
        <a:xfrm>
          <a:off x="3476625" y="4000500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236220</xdr:colOff>
      <xdr:row>19</xdr:row>
      <xdr:rowOff>24765</xdr:rowOff>
    </xdr:from>
    <xdr:to>
      <xdr:col>10</xdr:col>
      <xdr:colOff>273955</xdr:colOff>
      <xdr:row>20</xdr:row>
      <xdr:rowOff>39685</xdr:rowOff>
    </xdr:to>
    <xdr:sp macro="" textlink="">
      <xdr:nvSpPr>
        <xdr:cNvPr id="21" name="8 CuadroTexto">
          <a:extLst>
            <a:ext uri="{FF2B5EF4-FFF2-40B4-BE49-F238E27FC236}">
              <a16:creationId xmlns:a16="http://schemas.microsoft.com/office/drawing/2014/main" id="{B8A9272F-0AFE-73DA-D132-70052FD5481E}"/>
            </a:ext>
          </a:extLst>
        </xdr:cNvPr>
        <xdr:cNvSpPr txBox="1"/>
      </xdr:nvSpPr>
      <xdr:spPr>
        <a:xfrm>
          <a:off x="3981450" y="4000500"/>
          <a:ext cx="504000" cy="2198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3</xdr:col>
      <xdr:colOff>1</xdr:colOff>
      <xdr:row>50</xdr:row>
      <xdr:rowOff>47625</xdr:rowOff>
    </xdr:from>
    <xdr:to>
      <xdr:col>6</xdr:col>
      <xdr:colOff>144589</xdr:colOff>
      <xdr:row>53</xdr:row>
      <xdr:rowOff>47720</xdr:rowOff>
    </xdr:to>
    <xdr:sp macro="" textlink="">
      <xdr:nvSpPr>
        <xdr:cNvPr id="22" name="12 Rectángulo">
          <a:extLst>
            <a:ext uri="{FF2B5EF4-FFF2-40B4-BE49-F238E27FC236}">
              <a16:creationId xmlns:a16="http://schemas.microsoft.com/office/drawing/2014/main" id="{3DF0B5AD-03FE-47C9-D421-B37708281EB6}"/>
            </a:ext>
          </a:extLst>
        </xdr:cNvPr>
        <xdr:cNvSpPr/>
      </xdr:nvSpPr>
      <xdr:spPr>
        <a:xfrm>
          <a:off x="1257301" y="10029825"/>
          <a:ext cx="1401888" cy="6076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0</xdr:colOff>
      <xdr:row>53</xdr:row>
      <xdr:rowOff>89535</xdr:rowOff>
    </xdr:from>
    <xdr:to>
      <xdr:col>6</xdr:col>
      <xdr:colOff>144588</xdr:colOff>
      <xdr:row>54</xdr:row>
      <xdr:rowOff>167829</xdr:rowOff>
    </xdr:to>
    <xdr:sp macro="" textlink="">
      <xdr:nvSpPr>
        <xdr:cNvPr id="23" name="13 CuadroTexto">
          <a:extLst>
            <a:ext uri="{FF2B5EF4-FFF2-40B4-BE49-F238E27FC236}">
              <a16:creationId xmlns:a16="http://schemas.microsoft.com/office/drawing/2014/main" id="{0708431E-AE27-8708-D6A8-FE4CCFC19F88}"/>
            </a:ext>
          </a:extLst>
        </xdr:cNvPr>
        <xdr:cNvSpPr txBox="1"/>
      </xdr:nvSpPr>
      <xdr:spPr>
        <a:xfrm>
          <a:off x="1257300" y="10675620"/>
          <a:ext cx="1401888" cy="283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6</xdr:col>
      <xdr:colOff>306705</xdr:colOff>
      <xdr:row>50</xdr:row>
      <xdr:rowOff>59055</xdr:rowOff>
    </xdr:from>
    <xdr:to>
      <xdr:col>10</xdr:col>
      <xdr:colOff>43892</xdr:colOff>
      <xdr:row>53</xdr:row>
      <xdr:rowOff>55477</xdr:rowOff>
    </xdr:to>
    <xdr:sp macro="" textlink="">
      <xdr:nvSpPr>
        <xdr:cNvPr id="24" name="14 Rectángulo">
          <a:extLst>
            <a:ext uri="{FF2B5EF4-FFF2-40B4-BE49-F238E27FC236}">
              <a16:creationId xmlns:a16="http://schemas.microsoft.com/office/drawing/2014/main" id="{FE4155A8-1216-5F62-25B4-C1DF423F7F66}"/>
            </a:ext>
          </a:extLst>
        </xdr:cNvPr>
        <xdr:cNvSpPr/>
      </xdr:nvSpPr>
      <xdr:spPr>
        <a:xfrm>
          <a:off x="2828925" y="10039350"/>
          <a:ext cx="1405919" cy="6076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6</xdr:col>
      <xdr:colOff>321946</xdr:colOff>
      <xdr:row>53</xdr:row>
      <xdr:rowOff>89535</xdr:rowOff>
    </xdr:from>
    <xdr:to>
      <xdr:col>10</xdr:col>
      <xdr:colOff>41841</xdr:colOff>
      <xdr:row>54</xdr:row>
      <xdr:rowOff>167829</xdr:rowOff>
    </xdr:to>
    <xdr:sp macro="" textlink="">
      <xdr:nvSpPr>
        <xdr:cNvPr id="25" name="15 CuadroTexto">
          <a:extLst>
            <a:ext uri="{FF2B5EF4-FFF2-40B4-BE49-F238E27FC236}">
              <a16:creationId xmlns:a16="http://schemas.microsoft.com/office/drawing/2014/main" id="{FB7F8BD1-B997-54E5-C383-188137AAB88C}"/>
            </a:ext>
          </a:extLst>
        </xdr:cNvPr>
        <xdr:cNvSpPr txBox="1"/>
      </xdr:nvSpPr>
      <xdr:spPr>
        <a:xfrm>
          <a:off x="2827021" y="10675620"/>
          <a:ext cx="1405786" cy="283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10</xdr:col>
      <xdr:colOff>205741</xdr:colOff>
      <xdr:row>50</xdr:row>
      <xdr:rowOff>47625</xdr:rowOff>
    </xdr:from>
    <xdr:to>
      <xdr:col>13</xdr:col>
      <xdr:colOff>329452</xdr:colOff>
      <xdr:row>53</xdr:row>
      <xdr:rowOff>47720</xdr:rowOff>
    </xdr:to>
    <xdr:sp macro="" textlink="">
      <xdr:nvSpPr>
        <xdr:cNvPr id="26" name="16 Rectángulo">
          <a:extLst>
            <a:ext uri="{FF2B5EF4-FFF2-40B4-BE49-F238E27FC236}">
              <a16:creationId xmlns:a16="http://schemas.microsoft.com/office/drawing/2014/main" id="{F4A96D67-50BA-2288-16EA-7E8223660EBB}"/>
            </a:ext>
          </a:extLst>
        </xdr:cNvPr>
        <xdr:cNvSpPr/>
      </xdr:nvSpPr>
      <xdr:spPr>
        <a:xfrm>
          <a:off x="4394836" y="10029825"/>
          <a:ext cx="1380944" cy="6076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10</xdr:col>
      <xdr:colOff>207645</xdr:colOff>
      <xdr:row>53</xdr:row>
      <xdr:rowOff>89535</xdr:rowOff>
    </xdr:from>
    <xdr:to>
      <xdr:col>13</xdr:col>
      <xdr:colOff>331356</xdr:colOff>
      <xdr:row>54</xdr:row>
      <xdr:rowOff>167829</xdr:rowOff>
    </xdr:to>
    <xdr:sp macro="" textlink="">
      <xdr:nvSpPr>
        <xdr:cNvPr id="27" name="17 CuadroTexto">
          <a:extLst>
            <a:ext uri="{FF2B5EF4-FFF2-40B4-BE49-F238E27FC236}">
              <a16:creationId xmlns:a16="http://schemas.microsoft.com/office/drawing/2014/main" id="{24B518F0-3EFC-DFF1-6458-89E3FD3E5B7F}"/>
            </a:ext>
          </a:extLst>
        </xdr:cNvPr>
        <xdr:cNvSpPr txBox="1"/>
      </xdr:nvSpPr>
      <xdr:spPr>
        <a:xfrm>
          <a:off x="4396740" y="10675620"/>
          <a:ext cx="1380944" cy="283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6</xdr:col>
      <xdr:colOff>403860</xdr:colOff>
      <xdr:row>0</xdr:row>
      <xdr:rowOff>53340</xdr:rowOff>
    </xdr:from>
    <xdr:to>
      <xdr:col>10</xdr:col>
      <xdr:colOff>190500</xdr:colOff>
      <xdr:row>4</xdr:row>
      <xdr:rowOff>144780</xdr:rowOff>
    </xdr:to>
    <xdr:pic>
      <xdr:nvPicPr>
        <xdr:cNvPr id="1478352" name="Imagen 27">
          <a:extLst>
            <a:ext uri="{FF2B5EF4-FFF2-40B4-BE49-F238E27FC236}">
              <a16:creationId xmlns:a16="http://schemas.microsoft.com/office/drawing/2014/main" id="{BA159AF6-920C-5F46-201D-25786D11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53340"/>
          <a:ext cx="15240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121920</xdr:rowOff>
    </xdr:from>
    <xdr:to>
      <xdr:col>18</xdr:col>
      <xdr:colOff>45720</xdr:colOff>
      <xdr:row>54</xdr:row>
      <xdr:rowOff>167640</xdr:rowOff>
    </xdr:to>
    <xdr:pic>
      <xdr:nvPicPr>
        <xdr:cNvPr id="1339311" name="3 Imagen">
          <a:extLst>
            <a:ext uri="{FF2B5EF4-FFF2-40B4-BE49-F238E27FC236}">
              <a16:creationId xmlns:a16="http://schemas.microsoft.com/office/drawing/2014/main" id="{72ADFC20-D27C-6C3E-4A24-B3D0019F5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800100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1950</xdr:colOff>
      <xdr:row>16</xdr:row>
      <xdr:rowOff>1072</xdr:rowOff>
    </xdr:from>
    <xdr:to>
      <xdr:col>3</xdr:col>
      <xdr:colOff>372338</xdr:colOff>
      <xdr:row>17</xdr:row>
      <xdr:rowOff>6973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BD8D6095-449C-1557-1825-2F893B906894}"/>
            </a:ext>
          </a:extLst>
        </xdr:cNvPr>
        <xdr:cNvSpPr txBox="1"/>
      </xdr:nvSpPr>
      <xdr:spPr>
        <a:xfrm>
          <a:off x="191411" y="3340017"/>
          <a:ext cx="1540407" cy="24927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 b="1">
              <a:latin typeface="Arial" panose="020B0604020202020204" pitchFamily="34" charset="0"/>
              <a:cs typeface="Arial" panose="020B0604020202020204" pitchFamily="34" charset="0"/>
            </a:rPr>
            <a:t>RELACIÓN</a:t>
          </a:r>
          <a:r>
            <a:rPr lang="es-PE" sz="800" b="1" baseline="0">
              <a:latin typeface="Arial" panose="020B0604020202020204" pitchFamily="34" charset="0"/>
              <a:cs typeface="Arial" panose="020B0604020202020204" pitchFamily="34" charset="0"/>
            </a:rPr>
            <a:t> DIMENSIONAL</a:t>
          </a:r>
          <a:endParaRPr lang="es-PE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1952</xdr:colOff>
      <xdr:row>17</xdr:row>
      <xdr:rowOff>11432</xdr:rowOff>
    </xdr:from>
    <xdr:to>
      <xdr:col>1</xdr:col>
      <xdr:colOff>536996</xdr:colOff>
      <xdr:row>18</xdr:row>
      <xdr:rowOff>42539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1720CF23-F181-80A7-3118-18E46CE80189}"/>
            </a:ext>
          </a:extLst>
        </xdr:cNvPr>
        <xdr:cNvSpPr txBox="1"/>
      </xdr:nvSpPr>
      <xdr:spPr>
        <a:xfrm>
          <a:off x="191413" y="3586597"/>
          <a:ext cx="527292" cy="22226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1:2</a:t>
          </a:r>
        </a:p>
      </xdr:txBody>
    </xdr:sp>
    <xdr:clientData/>
  </xdr:twoCellAnchor>
  <xdr:twoCellAnchor>
    <xdr:from>
      <xdr:col>1</xdr:col>
      <xdr:colOff>536865</xdr:colOff>
      <xdr:row>17</xdr:row>
      <xdr:rowOff>11431</xdr:rowOff>
    </xdr:from>
    <xdr:to>
      <xdr:col>2</xdr:col>
      <xdr:colOff>309932</xdr:colOff>
      <xdr:row>18</xdr:row>
      <xdr:rowOff>42538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A363AB1F-0980-7407-A5B3-CB588A1D8BFD}"/>
            </a:ext>
          </a:extLst>
        </xdr:cNvPr>
        <xdr:cNvSpPr txBox="1"/>
      </xdr:nvSpPr>
      <xdr:spPr>
        <a:xfrm>
          <a:off x="718706" y="3586596"/>
          <a:ext cx="510885" cy="22226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1:3</a:t>
          </a:r>
        </a:p>
      </xdr:txBody>
    </xdr:sp>
    <xdr:clientData/>
  </xdr:twoCellAnchor>
  <xdr:twoCellAnchor>
    <xdr:from>
      <xdr:col>2</xdr:col>
      <xdr:colOff>309823</xdr:colOff>
      <xdr:row>17</xdr:row>
      <xdr:rowOff>11431</xdr:rowOff>
    </xdr:from>
    <xdr:to>
      <xdr:col>3</xdr:col>
      <xdr:colOff>372383</xdr:colOff>
      <xdr:row>18</xdr:row>
      <xdr:rowOff>42538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AE1DCAFE-2789-9999-E109-403CEC59FD7D}"/>
            </a:ext>
          </a:extLst>
        </xdr:cNvPr>
        <xdr:cNvSpPr txBox="1"/>
      </xdr:nvSpPr>
      <xdr:spPr>
        <a:xfrm>
          <a:off x="1229592" y="3586596"/>
          <a:ext cx="502228" cy="22226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1:5</a:t>
          </a:r>
        </a:p>
      </xdr:txBody>
    </xdr:sp>
    <xdr:clientData/>
  </xdr:twoCellAnchor>
  <xdr:twoCellAnchor>
    <xdr:from>
      <xdr:col>1</xdr:col>
      <xdr:colOff>1953</xdr:colOff>
      <xdr:row>18</xdr:row>
      <xdr:rowOff>41250</xdr:rowOff>
    </xdr:from>
    <xdr:to>
      <xdr:col>1</xdr:col>
      <xdr:colOff>536996</xdr:colOff>
      <xdr:row>19</xdr:row>
      <xdr:rowOff>18770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EC24948F-160E-582C-1BF6-616F511C81E6}"/>
            </a:ext>
          </a:extLst>
        </xdr:cNvPr>
        <xdr:cNvSpPr txBox="1"/>
      </xdr:nvSpPr>
      <xdr:spPr>
        <a:xfrm>
          <a:off x="191414" y="3807955"/>
          <a:ext cx="527291" cy="2459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</xdr:col>
      <xdr:colOff>536864</xdr:colOff>
      <xdr:row>18</xdr:row>
      <xdr:rowOff>41249</xdr:rowOff>
    </xdr:from>
    <xdr:to>
      <xdr:col>2</xdr:col>
      <xdr:colOff>309932</xdr:colOff>
      <xdr:row>19</xdr:row>
      <xdr:rowOff>18408</xdr:rowOff>
    </xdr:to>
    <xdr:sp macro="" textlink="">
      <xdr:nvSpPr>
        <xdr:cNvPr id="15" name="8 CuadroTexto">
          <a:extLst>
            <a:ext uri="{FF2B5EF4-FFF2-40B4-BE49-F238E27FC236}">
              <a16:creationId xmlns:a16="http://schemas.microsoft.com/office/drawing/2014/main" id="{90538E90-03DD-7C86-111F-E423CCD2B24D}"/>
            </a:ext>
          </a:extLst>
        </xdr:cNvPr>
        <xdr:cNvSpPr txBox="1"/>
      </xdr:nvSpPr>
      <xdr:spPr>
        <a:xfrm>
          <a:off x="718705" y="3807954"/>
          <a:ext cx="510886" cy="2455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</xdr:col>
      <xdr:colOff>309822</xdr:colOff>
      <xdr:row>18</xdr:row>
      <xdr:rowOff>41250</xdr:rowOff>
    </xdr:from>
    <xdr:to>
      <xdr:col>3</xdr:col>
      <xdr:colOff>372380</xdr:colOff>
      <xdr:row>19</xdr:row>
      <xdr:rowOff>18770</xdr:rowOff>
    </xdr:to>
    <xdr:sp macro="" textlink="">
      <xdr:nvSpPr>
        <xdr:cNvPr id="16" name="8 CuadroTexto">
          <a:extLst>
            <a:ext uri="{FF2B5EF4-FFF2-40B4-BE49-F238E27FC236}">
              <a16:creationId xmlns:a16="http://schemas.microsoft.com/office/drawing/2014/main" id="{9B11CC2C-27E6-9A13-85AC-2B712A424444}"/>
            </a:ext>
          </a:extLst>
        </xdr:cNvPr>
        <xdr:cNvSpPr txBox="1"/>
      </xdr:nvSpPr>
      <xdr:spPr>
        <a:xfrm>
          <a:off x="1134341" y="3643432"/>
          <a:ext cx="554181" cy="24595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7</xdr:col>
      <xdr:colOff>205740</xdr:colOff>
      <xdr:row>0</xdr:row>
      <xdr:rowOff>76200</xdr:rowOff>
    </xdr:from>
    <xdr:to>
      <xdr:col>10</xdr:col>
      <xdr:colOff>388620</xdr:colOff>
      <xdr:row>4</xdr:row>
      <xdr:rowOff>160020</xdr:rowOff>
    </xdr:to>
    <xdr:pic>
      <xdr:nvPicPr>
        <xdr:cNvPr id="1339319" name="Imagen 27">
          <a:extLst>
            <a:ext uri="{FF2B5EF4-FFF2-40B4-BE49-F238E27FC236}">
              <a16:creationId xmlns:a16="http://schemas.microsoft.com/office/drawing/2014/main" id="{0DB54F32-F108-E39E-DC55-6848AD38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76200"/>
          <a:ext cx="1531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68580</xdr:colOff>
      <xdr:row>19</xdr:row>
      <xdr:rowOff>30480</xdr:rowOff>
    </xdr:from>
    <xdr:to>
      <xdr:col>24</xdr:col>
      <xdr:colOff>99060</xdr:colOff>
      <xdr:row>31</xdr:row>
      <xdr:rowOff>152400</xdr:rowOff>
    </xdr:to>
    <xdr:pic>
      <xdr:nvPicPr>
        <xdr:cNvPr id="1339320" name="Imagen 24">
          <a:extLst>
            <a:ext uri="{FF2B5EF4-FFF2-40B4-BE49-F238E27FC236}">
              <a16:creationId xmlns:a16="http://schemas.microsoft.com/office/drawing/2014/main" id="{9CB13295-C17D-39C2-726C-2777D85F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0" y="3878580"/>
          <a:ext cx="252984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422559</xdr:colOff>
      <xdr:row>49</xdr:row>
      <xdr:rowOff>155861</xdr:rowOff>
    </xdr:from>
    <xdr:to>
      <xdr:col>10</xdr:col>
      <xdr:colOff>105547</xdr:colOff>
      <xdr:row>52</xdr:row>
      <xdr:rowOff>179469</xdr:rowOff>
    </xdr:to>
    <xdr:sp macro="" textlink="">
      <xdr:nvSpPr>
        <xdr:cNvPr id="2" name="15 CuadroTexto">
          <a:extLst>
            <a:ext uri="{FF2B5EF4-FFF2-40B4-BE49-F238E27FC236}">
              <a16:creationId xmlns:a16="http://schemas.microsoft.com/office/drawing/2014/main" id="{23896F72-F828-6097-2A9D-B63F90B43F53}"/>
            </a:ext>
          </a:extLst>
        </xdr:cNvPr>
        <xdr:cNvSpPr txBox="1"/>
      </xdr:nvSpPr>
      <xdr:spPr>
        <a:xfrm>
          <a:off x="1755886" y="11247983"/>
          <a:ext cx="2741827" cy="59427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10</xdr:col>
      <xdr:colOff>195869</xdr:colOff>
      <xdr:row>49</xdr:row>
      <xdr:rowOff>156900</xdr:rowOff>
    </xdr:from>
    <xdr:to>
      <xdr:col>16</xdr:col>
      <xdr:colOff>307768</xdr:colOff>
      <xdr:row>52</xdr:row>
      <xdr:rowOff>179441</xdr:rowOff>
    </xdr:to>
    <xdr:sp macro="" textlink="">
      <xdr:nvSpPr>
        <xdr:cNvPr id="24" name="15 CuadroTexto">
          <a:extLst>
            <a:ext uri="{FF2B5EF4-FFF2-40B4-BE49-F238E27FC236}">
              <a16:creationId xmlns:a16="http://schemas.microsoft.com/office/drawing/2014/main" id="{FEFBC020-57D3-63B6-8459-2295E4A7D5E1}"/>
            </a:ext>
          </a:extLst>
        </xdr:cNvPr>
        <xdr:cNvSpPr txBox="1"/>
      </xdr:nvSpPr>
      <xdr:spPr>
        <a:xfrm>
          <a:off x="4601441" y="11249022"/>
          <a:ext cx="2673930" cy="59325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23</xdr:row>
      <xdr:rowOff>0</xdr:rowOff>
    </xdr:from>
    <xdr:ext cx="54117" cy="193818"/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726C18FA-AF48-19D1-31CD-5D159C99ADE5}"/>
            </a:ext>
          </a:extLst>
        </xdr:cNvPr>
        <xdr:cNvSpPr txBox="1">
          <a:spLocks noChangeArrowheads="1"/>
        </xdr:cNvSpPr>
      </xdr:nvSpPr>
      <xdr:spPr bwMode="auto">
        <a:xfrm>
          <a:off x="4173855" y="4564380"/>
          <a:ext cx="5411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 editAs="oneCell">
    <xdr:from>
      <xdr:col>0</xdr:col>
      <xdr:colOff>0</xdr:colOff>
      <xdr:row>54</xdr:row>
      <xdr:rowOff>99060</xdr:rowOff>
    </xdr:from>
    <xdr:to>
      <xdr:col>9</xdr:col>
      <xdr:colOff>815340</xdr:colOff>
      <xdr:row>54</xdr:row>
      <xdr:rowOff>144780</xdr:rowOff>
    </xdr:to>
    <xdr:pic>
      <xdr:nvPicPr>
        <xdr:cNvPr id="9044" name="3 Imagen">
          <a:extLst>
            <a:ext uri="{FF2B5EF4-FFF2-40B4-BE49-F238E27FC236}">
              <a16:creationId xmlns:a16="http://schemas.microsoft.com/office/drawing/2014/main" id="{53BEB19C-389B-9C11-9EAE-C5197BCB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0360"/>
          <a:ext cx="647700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167640</xdr:colOff>
      <xdr:row>45</xdr:row>
      <xdr:rowOff>0</xdr:rowOff>
    </xdr:from>
    <xdr:to>
      <xdr:col>9</xdr:col>
      <xdr:colOff>236220</xdr:colOff>
      <xdr:row>51</xdr:row>
      <xdr:rowOff>99060</xdr:rowOff>
    </xdr:to>
    <xdr:pic>
      <xdr:nvPicPr>
        <xdr:cNvPr id="9045" name="10 Imagen">
          <a:extLst>
            <a:ext uri="{FF2B5EF4-FFF2-40B4-BE49-F238E27FC236}">
              <a16:creationId xmlns:a16="http://schemas.microsoft.com/office/drawing/2014/main" id="{A90F6D1C-B93C-F651-955F-44630A48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860" y="8892540"/>
          <a:ext cx="13030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411480</xdr:colOff>
      <xdr:row>0</xdr:row>
      <xdr:rowOff>83820</xdr:rowOff>
    </xdr:from>
    <xdr:to>
      <xdr:col>7</xdr:col>
      <xdr:colOff>99060</xdr:colOff>
      <xdr:row>4</xdr:row>
      <xdr:rowOff>106680</xdr:rowOff>
    </xdr:to>
    <xdr:pic>
      <xdr:nvPicPr>
        <xdr:cNvPr id="9046" name="1 Imagen">
          <a:extLst>
            <a:ext uri="{FF2B5EF4-FFF2-40B4-BE49-F238E27FC236}">
              <a16:creationId xmlns:a16="http://schemas.microsoft.com/office/drawing/2014/main" id="{69B93FC3-BA19-C0BF-32E3-81D4E367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" y="83820"/>
          <a:ext cx="345186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603885</xdr:colOff>
      <xdr:row>17</xdr:row>
      <xdr:rowOff>0</xdr:rowOff>
    </xdr:from>
    <xdr:ext cx="62142" cy="194128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DC547467-0FE7-8765-529D-C8D86BED5459}"/>
            </a:ext>
          </a:extLst>
        </xdr:cNvPr>
        <xdr:cNvSpPr txBox="1">
          <a:spLocks noChangeArrowheads="1"/>
        </xdr:cNvSpPr>
      </xdr:nvSpPr>
      <xdr:spPr bwMode="auto">
        <a:xfrm>
          <a:off x="3952875" y="2491740"/>
          <a:ext cx="6117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Construccion-2006\Construccion-2006\2.%20ABRIL-2006\CANTERAS-RELLENO\RELLENO%2058+600\M-2%2058+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icos\D\Ocongate\Control%20de%20Produccion\Chancadora\Mezcla%20Base%20Granular\M_BG_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GEOFAL\2013\09-SETIEMBRE\Maquinarias%20e%20Ingenieros%20S.A.C\2-Afirmado\DEN-001-SF-SP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Documents\INTER\INFORMES%20MENSUALES-CONIRSA\8.%20OCTUBRE-2006\3.%20BASE%20GRANULAR\PISTA\BG-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a574896acb00bfa/01%20-%20GEOFAL/6.%20CHATAS%20Y%20ALARGADAS/03%20-%20FORMATOS/PRO-71-13%20SU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_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E_A"/>
      <sheetName val="G_E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 refreshError="1"/>
      <sheetData sheetId="1">
        <row r="32">
          <cell r="B32">
            <v>4.76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 1"/>
      <sheetName val="CONO 2"/>
      <sheetName val="CONO 3"/>
    </sheetNames>
    <sheetDataSet>
      <sheetData sheetId="0" refreshError="1">
        <row r="15">
          <cell r="J15" t="str">
            <v>R. Portillo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G_E"/>
      <sheetName val="E_A"/>
      <sheetName val="FRACT"/>
      <sheetName val="CHATAS"/>
      <sheetName val="ABRASION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5</v>
          </cell>
          <cell r="L3">
            <v>0</v>
          </cell>
        </row>
        <row r="4">
          <cell r="C4">
            <v>35.200000000000003</v>
          </cell>
          <cell r="L4">
            <v>0</v>
          </cell>
        </row>
        <row r="5">
          <cell r="C5" t="str">
            <v>NP</v>
          </cell>
          <cell r="L5">
            <v>51.931034482758626</v>
          </cell>
        </row>
        <row r="6">
          <cell r="L6">
            <v>2.0470073728076201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 1"/>
      <sheetName val="G_E (2)"/>
      <sheetName val="Proctor 2"/>
      <sheetName val="Datos"/>
      <sheetName val="Grafico CBR"/>
      <sheetName val="Apoyo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 refreshError="1"/>
      <sheetData sheetId="1" refreshError="1"/>
      <sheetData sheetId="2">
        <row r="35">
          <cell r="E35">
            <v>2.2810000000000001</v>
          </cell>
        </row>
        <row r="36">
          <cell r="E36">
            <v>6.2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18D3-4AC1-4AAC-A0AA-8EEFFEC55EB2}">
  <sheetPr codeName="Hoja1"/>
  <dimension ref="A1"/>
  <sheetViews>
    <sheetView zoomScaleNormal="109" zoomScaleSheetLayoutView="70"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911-4314-4B7E-B646-6A6A2C9041E4}">
  <sheetPr codeName="Hoja8"/>
  <dimension ref="A1:X79"/>
  <sheetViews>
    <sheetView topLeftCell="A7" zoomScaleNormal="100" zoomScaleSheetLayoutView="100" workbookViewId="0">
      <selection activeCell="Y24" sqref="Y24:Y25"/>
    </sheetView>
  </sheetViews>
  <sheetFormatPr baseColWidth="10" defaultColWidth="11.44140625" defaultRowHeight="13.2" x14ac:dyDescent="0.25"/>
  <cols>
    <col min="1" max="2" width="5.6640625" style="183" customWidth="1"/>
    <col min="3" max="3" width="6.109375" style="183" customWidth="1"/>
    <col min="4" max="6" width="5.6640625" style="183" customWidth="1"/>
    <col min="7" max="9" width="3.33203125" style="183" customWidth="1"/>
    <col min="10" max="10" width="0.88671875" style="183" customWidth="1"/>
    <col min="11" max="12" width="7.6640625" style="183" customWidth="1"/>
    <col min="13" max="15" width="8.6640625" style="183" customWidth="1"/>
    <col min="16" max="16" width="2.88671875" style="183" customWidth="1"/>
    <col min="17" max="17" width="1.44140625" style="183" customWidth="1"/>
    <col min="18" max="21" width="8.6640625" style="183" customWidth="1"/>
    <col min="22" max="16384" width="11.44140625" style="183"/>
  </cols>
  <sheetData>
    <row r="1" spans="1:24" ht="11.85" customHeight="1" x14ac:dyDescent="0.25">
      <c r="A1" s="1019"/>
      <c r="B1" s="1019"/>
      <c r="C1" s="1019"/>
      <c r="D1" s="1019"/>
      <c r="E1" s="1019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24" ht="11.85" customHeight="1" x14ac:dyDescent="0.25">
      <c r="A2" s="1019"/>
      <c r="B2" s="1019"/>
      <c r="C2" s="1019"/>
      <c r="D2" s="1019"/>
      <c r="E2" s="1019"/>
      <c r="F2" s="176"/>
      <c r="G2" s="176"/>
      <c r="H2" s="176"/>
      <c r="I2" s="176"/>
      <c r="J2" s="176"/>
      <c r="K2" s="176"/>
      <c r="L2" s="176"/>
      <c r="M2" s="176"/>
      <c r="N2" s="176"/>
      <c r="O2" s="176"/>
    </row>
    <row r="3" spans="1:24" ht="11.85" customHeight="1" x14ac:dyDescent="0.25">
      <c r="A3" s="1019"/>
      <c r="B3" s="1019"/>
      <c r="C3" s="1019"/>
      <c r="D3" s="1019"/>
      <c r="E3" s="1019"/>
      <c r="F3" s="185"/>
      <c r="G3" s="185"/>
      <c r="H3" s="185"/>
      <c r="I3" s="185"/>
      <c r="J3" s="185"/>
      <c r="K3" s="185"/>
      <c r="L3" s="185"/>
      <c r="M3" s="185"/>
      <c r="N3" s="185"/>
      <c r="O3" s="185"/>
    </row>
    <row r="4" spans="1:24" ht="11.85" customHeight="1" x14ac:dyDescent="0.25">
      <c r="A4" s="1019"/>
      <c r="B4" s="1019"/>
      <c r="C4" s="1019"/>
      <c r="D4" s="1019"/>
      <c r="E4" s="1019"/>
      <c r="F4" s="185"/>
      <c r="G4" s="185"/>
      <c r="H4" s="185"/>
      <c r="I4" s="185"/>
      <c r="J4" s="185"/>
      <c r="K4" s="185"/>
      <c r="L4" s="185"/>
      <c r="M4" s="184" t="s">
        <v>355</v>
      </c>
      <c r="N4" s="184"/>
      <c r="O4" s="185"/>
    </row>
    <row r="5" spans="1:24" ht="15.9" customHeight="1" x14ac:dyDescent="0.25">
      <c r="A5" s="1018" t="s">
        <v>346</v>
      </c>
      <c r="B5" s="1018"/>
      <c r="C5" s="1018"/>
      <c r="D5" s="1018"/>
      <c r="E5" s="1018"/>
      <c r="F5" s="1018"/>
      <c r="G5" s="1018"/>
      <c r="H5" s="1018"/>
      <c r="I5" s="1018"/>
      <c r="J5" s="1018"/>
      <c r="K5" s="1018"/>
      <c r="L5" s="1018"/>
      <c r="M5" s="1018"/>
      <c r="N5" s="1018"/>
      <c r="O5" s="1018"/>
    </row>
    <row r="6" spans="1:24" ht="3.75" customHeight="1" thickBot="1" x14ac:dyDescent="0.3">
      <c r="A6" s="230"/>
      <c r="B6" s="230"/>
      <c r="C6" s="230"/>
      <c r="D6" s="231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</row>
    <row r="7" spans="1:24" ht="11.25" customHeight="1" thickTop="1" x14ac:dyDescent="0.25">
      <c r="A7" s="295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</row>
    <row r="8" spans="1:24" ht="12.75" customHeight="1" x14ac:dyDescent="0.25">
      <c r="A8" s="187" t="s">
        <v>375</v>
      </c>
      <c r="B8" s="187"/>
      <c r="C8" s="188" t="s">
        <v>445</v>
      </c>
      <c r="D8" s="189"/>
      <c r="E8" s="186"/>
      <c r="F8" s="187" t="s">
        <v>352</v>
      </c>
      <c r="G8" s="186"/>
      <c r="H8" s="501" t="s">
        <v>444</v>
      </c>
      <c r="I8" s="186"/>
      <c r="J8" s="186"/>
      <c r="K8" s="186"/>
      <c r="L8" s="186"/>
      <c r="M8" s="186"/>
      <c r="N8" s="186"/>
      <c r="O8" s="186"/>
    </row>
    <row r="9" spans="1:24" ht="9.9" customHeight="1" x14ac:dyDescent="0.25">
      <c r="A9" s="187" t="s">
        <v>438</v>
      </c>
      <c r="B9" s="187"/>
      <c r="C9" s="188" t="s">
        <v>447</v>
      </c>
      <c r="D9" s="511" t="s">
        <v>424</v>
      </c>
      <c r="E9" s="189"/>
      <c r="F9" s="187" t="s">
        <v>353</v>
      </c>
      <c r="G9" s="186"/>
      <c r="H9" s="501" t="s">
        <v>443</v>
      </c>
      <c r="I9" s="186"/>
      <c r="J9" s="186"/>
      <c r="K9" s="341" t="s">
        <v>251</v>
      </c>
      <c r="L9" s="186"/>
      <c r="M9" s="186"/>
      <c r="N9" s="186"/>
      <c r="O9" s="186"/>
      <c r="R9" s="190" t="s">
        <v>240</v>
      </c>
      <c r="S9" s="190" t="s">
        <v>241</v>
      </c>
    </row>
    <row r="10" spans="1:24" ht="9.9" customHeight="1" x14ac:dyDescent="0.25">
      <c r="A10" s="187" t="s">
        <v>378</v>
      </c>
      <c r="B10" s="187"/>
      <c r="C10" s="188" t="s">
        <v>425</v>
      </c>
      <c r="D10" s="191"/>
      <c r="E10" s="191"/>
      <c r="F10" s="186"/>
      <c r="G10" s="186"/>
      <c r="H10" s="186"/>
      <c r="I10" s="186"/>
      <c r="J10" s="186"/>
      <c r="K10" s="177" t="s">
        <v>237</v>
      </c>
      <c r="L10" s="192"/>
      <c r="M10" s="477"/>
      <c r="N10" s="477"/>
      <c r="O10" s="477"/>
      <c r="R10" s="190">
        <f>+M11</f>
        <v>0</v>
      </c>
      <c r="S10" s="193">
        <f>+M18</f>
        <v>0</v>
      </c>
      <c r="U10" s="312"/>
    </row>
    <row r="11" spans="1:24" ht="9.9" customHeight="1" x14ac:dyDescent="0.25">
      <c r="A11" s="194" t="s">
        <v>159</v>
      </c>
      <c r="B11" s="187"/>
      <c r="C11" s="1029">
        <v>38972</v>
      </c>
      <c r="D11" s="1029"/>
      <c r="E11" s="191"/>
      <c r="F11" s="186"/>
      <c r="G11" s="186"/>
      <c r="H11" s="184"/>
      <c r="I11" s="184"/>
      <c r="J11" s="184"/>
      <c r="K11" s="178" t="s">
        <v>22</v>
      </c>
      <c r="L11" s="515"/>
      <c r="M11" s="520"/>
      <c r="N11" s="520"/>
      <c r="O11" s="520"/>
      <c r="R11" s="190">
        <f>+N11</f>
        <v>0</v>
      </c>
      <c r="S11" s="193">
        <f>+N18</f>
        <v>0</v>
      </c>
      <c r="U11" s="260"/>
    </row>
    <row r="12" spans="1:24" ht="9.9" customHeight="1" x14ac:dyDescent="0.25">
      <c r="A12" s="194" t="s">
        <v>321</v>
      </c>
      <c r="B12" s="187"/>
      <c r="C12" s="643" t="s">
        <v>442</v>
      </c>
      <c r="D12" s="643"/>
      <c r="E12" s="191"/>
      <c r="F12" s="186"/>
      <c r="G12" s="186"/>
      <c r="H12" s="120"/>
      <c r="I12" s="185"/>
      <c r="J12" s="185"/>
      <c r="K12" s="178" t="s">
        <v>23</v>
      </c>
      <c r="L12" s="192"/>
      <c r="M12" s="516"/>
      <c r="N12" s="516"/>
      <c r="O12" s="516"/>
      <c r="R12" s="190">
        <f>+O11</f>
        <v>0</v>
      </c>
      <c r="S12" s="193">
        <f>+O18</f>
        <v>0</v>
      </c>
      <c r="U12" s="260"/>
    </row>
    <row r="13" spans="1:24" ht="9.9" customHeight="1" x14ac:dyDescent="0.25">
      <c r="E13" s="191"/>
      <c r="F13" s="185"/>
      <c r="G13" s="186"/>
      <c r="H13" s="185"/>
      <c r="I13" s="185"/>
      <c r="J13" s="185"/>
      <c r="K13" s="178" t="s">
        <v>24</v>
      </c>
      <c r="L13" s="192"/>
      <c r="M13" s="517"/>
      <c r="N13" s="517"/>
      <c r="O13" s="517"/>
      <c r="U13" s="307"/>
    </row>
    <row r="14" spans="1:24" ht="12.6" customHeight="1" x14ac:dyDescent="0.25">
      <c r="A14" s="505" t="s">
        <v>426</v>
      </c>
      <c r="B14" s="340"/>
      <c r="C14" s="175"/>
      <c r="D14" s="175"/>
      <c r="E14" s="175"/>
      <c r="F14" s="506" t="s">
        <v>348</v>
      </c>
      <c r="G14" s="175"/>
      <c r="H14" s="175"/>
      <c r="I14" s="175"/>
      <c r="J14" s="175"/>
      <c r="K14" s="178" t="s">
        <v>25</v>
      </c>
      <c r="L14" s="192"/>
      <c r="M14" s="517"/>
      <c r="N14" s="517"/>
      <c r="O14" s="517"/>
      <c r="U14" s="307"/>
    </row>
    <row r="15" spans="1:24" ht="9.9" customHeight="1" x14ac:dyDescent="0.25">
      <c r="A15" s="187" t="s">
        <v>236</v>
      </c>
      <c r="B15" s="187"/>
      <c r="C15" s="185"/>
      <c r="D15" s="185"/>
      <c r="E15" s="185"/>
      <c r="F15" s="185"/>
      <c r="G15" s="185"/>
      <c r="H15" s="185"/>
      <c r="I15" s="185"/>
      <c r="J15" s="185"/>
      <c r="K15" s="178" t="s">
        <v>238</v>
      </c>
      <c r="L15" s="192"/>
      <c r="M15" s="517"/>
      <c r="N15" s="517"/>
      <c r="O15" s="517"/>
      <c r="R15" s="190">
        <v>25</v>
      </c>
      <c r="S15" s="190">
        <v>0</v>
      </c>
      <c r="U15" s="307"/>
    </row>
    <row r="16" spans="1:24" ht="9.9" customHeight="1" x14ac:dyDescent="0.25">
      <c r="A16" s="186" t="s">
        <v>372</v>
      </c>
      <c r="B16" s="187"/>
      <c r="C16" s="185"/>
      <c r="D16" s="1033">
        <v>25681</v>
      </c>
      <c r="E16" s="1033"/>
      <c r="F16" s="185" t="s">
        <v>350</v>
      </c>
      <c r="G16" s="185"/>
      <c r="H16" s="1033">
        <v>384.6</v>
      </c>
      <c r="I16" s="1033"/>
      <c r="J16" s="185"/>
      <c r="K16" s="178" t="s">
        <v>1</v>
      </c>
      <c r="L16" s="192"/>
      <c r="M16" s="182"/>
      <c r="N16" s="182"/>
      <c r="O16" s="182"/>
      <c r="R16" s="190">
        <v>25</v>
      </c>
      <c r="S16" s="271" t="e">
        <f>+V17</f>
        <v>#NUM!</v>
      </c>
      <c r="T16" s="183" t="s">
        <v>157</v>
      </c>
      <c r="U16" s="307"/>
      <c r="V16" s="476" t="e">
        <f>+M18/(1.419-0.3*LOG10(M11))</f>
        <v>#NUM!</v>
      </c>
      <c r="W16" s="476" t="e">
        <f>+N18/(1.419-0.3*LOG10(N11))</f>
        <v>#NUM!</v>
      </c>
      <c r="X16" s="476" t="e">
        <f>+O18/(1.419-0.3*LOG10(O11))</f>
        <v>#NUM!</v>
      </c>
    </row>
    <row r="17" spans="1:24" ht="9.9" customHeight="1" x14ac:dyDescent="0.25">
      <c r="A17" s="186" t="s">
        <v>373</v>
      </c>
      <c r="B17" s="186"/>
      <c r="C17" s="185"/>
      <c r="D17" s="1033">
        <v>491.5</v>
      </c>
      <c r="E17" s="1033"/>
      <c r="F17" s="185" t="s">
        <v>349</v>
      </c>
      <c r="G17" s="185"/>
      <c r="H17" s="1033">
        <v>364</v>
      </c>
      <c r="I17" s="1033"/>
      <c r="J17" s="185"/>
      <c r="K17" s="178" t="s">
        <v>239</v>
      </c>
      <c r="L17" s="192"/>
      <c r="M17" s="182"/>
      <c r="N17" s="182"/>
      <c r="O17" s="182"/>
      <c r="R17" s="190">
        <v>10</v>
      </c>
      <c r="S17" s="190" t="e">
        <f>+S16</f>
        <v>#NUM!</v>
      </c>
      <c r="T17" s="183" t="s">
        <v>157</v>
      </c>
      <c r="U17" s="307"/>
      <c r="V17" s="476" t="e">
        <f>+AVERAGE(V16:X16)</f>
        <v>#NUM!</v>
      </c>
      <c r="W17" s="476"/>
      <c r="X17" s="476"/>
    </row>
    <row r="18" spans="1:24" ht="9.9" customHeight="1" x14ac:dyDescent="0.25">
      <c r="A18" s="186" t="s">
        <v>374</v>
      </c>
      <c r="B18" s="186"/>
      <c r="C18" s="185"/>
      <c r="D18" s="1034">
        <f>+S30+T28</f>
        <v>24395.311291963379</v>
      </c>
      <c r="E18" s="1034"/>
      <c r="F18" s="185" t="s">
        <v>351</v>
      </c>
      <c r="G18" s="185"/>
      <c r="H18" s="1034">
        <f>(H16-H17)/H17*100</f>
        <v>5.6593406593406659</v>
      </c>
      <c r="I18" s="1034"/>
      <c r="J18" s="185"/>
      <c r="K18" s="178" t="s">
        <v>26</v>
      </c>
      <c r="L18" s="192"/>
      <c r="M18" s="182"/>
      <c r="N18" s="182"/>
      <c r="O18" s="182"/>
      <c r="R18" s="190"/>
      <c r="S18" s="190"/>
      <c r="U18" s="307"/>
    </row>
    <row r="19" spans="1:24" ht="1.5" customHeight="1" x14ac:dyDescent="0.25">
      <c r="A19" s="186"/>
      <c r="B19" s="186"/>
      <c r="C19" s="185"/>
      <c r="D19" s="185" t="s">
        <v>0</v>
      </c>
      <c r="E19" s="232"/>
      <c r="F19" s="185"/>
      <c r="G19" s="185"/>
      <c r="H19" s="185"/>
      <c r="I19" s="185"/>
      <c r="J19" s="185"/>
      <c r="K19" s="185"/>
      <c r="L19" s="185"/>
      <c r="M19" s="196"/>
      <c r="N19" s="196"/>
      <c r="O19" s="196"/>
      <c r="R19" s="190"/>
      <c r="S19" s="339"/>
      <c r="T19" s="183" t="s">
        <v>158</v>
      </c>
    </row>
    <row r="20" spans="1:24" ht="10.5" customHeight="1" x14ac:dyDescent="0.25">
      <c r="A20" s="187"/>
      <c r="B20" s="186"/>
      <c r="C20" s="185"/>
      <c r="D20" s="185"/>
      <c r="E20" s="245"/>
      <c r="F20" s="185"/>
      <c r="G20" s="185"/>
      <c r="H20" s="185"/>
      <c r="I20" s="185"/>
      <c r="J20" s="185"/>
      <c r="K20" s="341" t="s">
        <v>252</v>
      </c>
      <c r="L20" s="185"/>
      <c r="M20" s="196"/>
      <c r="N20" s="196"/>
      <c r="O20" s="196"/>
      <c r="R20" s="190"/>
      <c r="S20" s="342" t="e">
        <f>+AVERAGE(M28:N28)</f>
        <v>#DIV/0!</v>
      </c>
      <c r="T20" s="183" t="s">
        <v>158</v>
      </c>
    </row>
    <row r="21" spans="1:24" ht="10.5" customHeight="1" x14ac:dyDescent="0.25">
      <c r="A21" s="1027" t="s">
        <v>229</v>
      </c>
      <c r="B21" s="1028"/>
      <c r="C21" s="197" t="s">
        <v>2</v>
      </c>
      <c r="D21" s="197" t="s">
        <v>233</v>
      </c>
      <c r="E21" s="197" t="s">
        <v>233</v>
      </c>
      <c r="F21" s="198" t="s">
        <v>3</v>
      </c>
      <c r="G21" s="1021" t="s">
        <v>4</v>
      </c>
      <c r="H21" s="1022"/>
      <c r="I21" s="1023"/>
      <c r="J21" s="184"/>
      <c r="K21" s="177" t="s">
        <v>237</v>
      </c>
      <c r="L21" s="192"/>
      <c r="M21" s="477"/>
      <c r="N21" s="477"/>
      <c r="O21" s="181"/>
    </row>
    <row r="22" spans="1:24" ht="10.5" customHeight="1" x14ac:dyDescent="0.25">
      <c r="A22" s="199" t="s">
        <v>231</v>
      </c>
      <c r="B22" s="199" t="s">
        <v>230</v>
      </c>
      <c r="C22" s="199" t="s">
        <v>232</v>
      </c>
      <c r="D22" s="199" t="s">
        <v>5</v>
      </c>
      <c r="E22" s="199" t="s">
        <v>234</v>
      </c>
      <c r="F22" s="200" t="s">
        <v>6</v>
      </c>
      <c r="G22" s="1024" t="s">
        <v>7</v>
      </c>
      <c r="H22" s="1025"/>
      <c r="I22" s="1026"/>
      <c r="J22" s="184"/>
      <c r="K22" s="178" t="s">
        <v>23</v>
      </c>
      <c r="L22" s="192"/>
      <c r="M22" s="516"/>
      <c r="N22" s="516"/>
      <c r="O22" s="225"/>
      <c r="R22" s="183">
        <v>20.170000000000002</v>
      </c>
      <c r="S22" s="183">
        <v>21.22</v>
      </c>
    </row>
    <row r="23" spans="1:24" ht="10.5" customHeight="1" x14ac:dyDescent="0.25">
      <c r="A23" s="201" t="s">
        <v>14</v>
      </c>
      <c r="B23" s="202">
        <v>76.2</v>
      </c>
      <c r="C23" s="336"/>
      <c r="D23" s="203"/>
      <c r="E23" s="204"/>
      <c r="F23" s="205"/>
      <c r="G23" s="1035" t="s">
        <v>439</v>
      </c>
      <c r="H23" s="1036"/>
      <c r="I23" s="1037"/>
      <c r="J23" s="208"/>
      <c r="K23" s="178" t="s">
        <v>24</v>
      </c>
      <c r="L23" s="192"/>
      <c r="M23" s="517"/>
      <c r="N23" s="517"/>
      <c r="O23" s="225"/>
      <c r="R23" s="209"/>
      <c r="S23" s="210"/>
    </row>
    <row r="24" spans="1:24" ht="10.5" customHeight="1" x14ac:dyDescent="0.25">
      <c r="A24" s="211" t="s">
        <v>15</v>
      </c>
      <c r="B24" s="202">
        <v>63.5</v>
      </c>
      <c r="C24" s="422">
        <v>0</v>
      </c>
      <c r="D24" s="203">
        <f>ROUND(C24/D$16*100,1)</f>
        <v>0</v>
      </c>
      <c r="E24" s="204">
        <f>+D24</f>
        <v>0</v>
      </c>
      <c r="F24" s="205">
        <f>100-E24</f>
        <v>100</v>
      </c>
      <c r="G24" s="1030" t="s">
        <v>440</v>
      </c>
      <c r="H24" s="1031"/>
      <c r="I24" s="1032"/>
      <c r="J24" s="208"/>
      <c r="K24" s="178" t="s">
        <v>25</v>
      </c>
      <c r="L24" s="192"/>
      <c r="M24" s="517"/>
      <c r="N24" s="517"/>
      <c r="O24" s="226"/>
    </row>
    <row r="25" spans="1:24" ht="10.5" customHeight="1" x14ac:dyDescent="0.25">
      <c r="A25" s="201" t="s">
        <v>8</v>
      </c>
      <c r="B25" s="202">
        <v>50.6</v>
      </c>
      <c r="C25" s="422">
        <v>0</v>
      </c>
      <c r="D25" s="203">
        <f t="shared" ref="D25:D32" si="0">ROUND(C25/D$16*100,1)</f>
        <v>0</v>
      </c>
      <c r="E25" s="204">
        <f>+E24+D25</f>
        <v>0</v>
      </c>
      <c r="F25" s="205">
        <f t="shared" ref="F25:F40" si="1">100-E25</f>
        <v>100</v>
      </c>
      <c r="G25" s="637">
        <v>100</v>
      </c>
      <c r="H25" s="638"/>
      <c r="I25" s="639"/>
      <c r="J25" s="208"/>
      <c r="K25" s="178" t="s">
        <v>238</v>
      </c>
      <c r="L25" s="192"/>
      <c r="M25" s="517"/>
      <c r="N25" s="517"/>
      <c r="O25" s="226"/>
    </row>
    <row r="26" spans="1:24" ht="10.5" customHeight="1" x14ac:dyDescent="0.25">
      <c r="A26" s="211" t="s">
        <v>9</v>
      </c>
      <c r="B26" s="202">
        <v>38.1</v>
      </c>
      <c r="C26" s="422">
        <v>1384</v>
      </c>
      <c r="D26" s="203">
        <f t="shared" si="0"/>
        <v>5.4</v>
      </c>
      <c r="E26" s="204">
        <f t="shared" ref="E26:E32" si="2">+E25+D26</f>
        <v>5.4</v>
      </c>
      <c r="F26" s="205">
        <f t="shared" si="1"/>
        <v>94.6</v>
      </c>
      <c r="G26" s="637"/>
      <c r="H26" s="638"/>
      <c r="I26" s="639">
        <v>100</v>
      </c>
      <c r="J26" s="212"/>
      <c r="K26" s="178" t="s">
        <v>1</v>
      </c>
      <c r="L26" s="192"/>
      <c r="M26" s="182"/>
      <c r="N26" s="182"/>
      <c r="O26" s="226"/>
      <c r="S26" s="213"/>
    </row>
    <row r="27" spans="1:24" ht="10.5" customHeight="1" x14ac:dyDescent="0.25">
      <c r="A27" s="201" t="s">
        <v>10</v>
      </c>
      <c r="B27" s="202">
        <v>25.4</v>
      </c>
      <c r="C27" s="422">
        <v>3256</v>
      </c>
      <c r="D27" s="203">
        <f t="shared" si="0"/>
        <v>12.7</v>
      </c>
      <c r="E27" s="204">
        <f t="shared" si="2"/>
        <v>18.100000000000001</v>
      </c>
      <c r="F27" s="205">
        <f t="shared" si="1"/>
        <v>81.900000000000006</v>
      </c>
      <c r="G27" s="637"/>
      <c r="H27" s="638"/>
      <c r="I27" s="639"/>
      <c r="J27" s="212"/>
      <c r="K27" s="178" t="s">
        <v>239</v>
      </c>
      <c r="L27" s="192"/>
      <c r="M27" s="182"/>
      <c r="N27" s="182"/>
      <c r="O27" s="227"/>
      <c r="S27" s="215">
        <f>+D17</f>
        <v>491.5</v>
      </c>
    </row>
    <row r="28" spans="1:24" ht="10.5" customHeight="1" x14ac:dyDescent="0.25">
      <c r="A28" s="201" t="s">
        <v>11</v>
      </c>
      <c r="B28" s="202">
        <v>19.05</v>
      </c>
      <c r="C28" s="422">
        <v>2413</v>
      </c>
      <c r="D28" s="203">
        <f t="shared" si="0"/>
        <v>9.4</v>
      </c>
      <c r="E28" s="204">
        <f t="shared" si="2"/>
        <v>27.5</v>
      </c>
      <c r="F28" s="205">
        <f t="shared" si="1"/>
        <v>72.5</v>
      </c>
      <c r="G28" s="637"/>
      <c r="H28" s="638"/>
      <c r="I28" s="639"/>
      <c r="J28" s="212"/>
      <c r="K28" s="178" t="s">
        <v>26</v>
      </c>
      <c r="L28" s="192"/>
      <c r="M28" s="182"/>
      <c r="N28" s="182"/>
      <c r="O28" s="228"/>
      <c r="S28" s="215">
        <f>+D17-C41</f>
        <v>425.40000000000003</v>
      </c>
      <c r="T28" s="510">
        <f>SUM(C23:C32)</f>
        <v>16121</v>
      </c>
      <c r="U28" s="510"/>
    </row>
    <row r="29" spans="1:24" ht="10.5" customHeight="1" x14ac:dyDescent="0.25">
      <c r="A29" s="201" t="s">
        <v>12</v>
      </c>
      <c r="B29" s="202">
        <v>12.7</v>
      </c>
      <c r="C29" s="422">
        <v>4064</v>
      </c>
      <c r="D29" s="203">
        <f t="shared" si="0"/>
        <v>15.8</v>
      </c>
      <c r="E29" s="204">
        <f t="shared" si="2"/>
        <v>43.3</v>
      </c>
      <c r="F29" s="205">
        <f t="shared" si="1"/>
        <v>56.7</v>
      </c>
      <c r="G29" s="637"/>
      <c r="H29" s="638"/>
      <c r="I29" s="640"/>
      <c r="J29" s="212"/>
      <c r="K29" s="212"/>
      <c r="L29" s="212"/>
      <c r="M29" s="212"/>
      <c r="N29" s="214"/>
      <c r="O29" s="214"/>
      <c r="S29" s="215">
        <f>+D16-T28</f>
        <v>9560</v>
      </c>
    </row>
    <row r="30" spans="1:24" ht="10.5" customHeight="1" x14ac:dyDescent="0.25">
      <c r="A30" s="201" t="s">
        <v>13</v>
      </c>
      <c r="B30" s="202">
        <v>9.5250000000000004</v>
      </c>
      <c r="C30" s="422">
        <v>1986</v>
      </c>
      <c r="D30" s="203">
        <f t="shared" si="0"/>
        <v>7.7</v>
      </c>
      <c r="E30" s="204">
        <f t="shared" si="2"/>
        <v>51</v>
      </c>
      <c r="F30" s="205">
        <f t="shared" si="1"/>
        <v>49</v>
      </c>
      <c r="G30" s="637">
        <v>30</v>
      </c>
      <c r="H30" s="638"/>
      <c r="I30" s="639">
        <v>65</v>
      </c>
      <c r="J30" s="212"/>
      <c r="K30" s="212"/>
      <c r="L30" s="212"/>
      <c r="M30" s="212"/>
      <c r="N30" s="214"/>
      <c r="O30" s="214"/>
      <c r="S30" s="220">
        <f>+S29*S28/S27</f>
        <v>8274.3112919633786</v>
      </c>
    </row>
    <row r="31" spans="1:24" ht="10.5" customHeight="1" x14ac:dyDescent="0.25">
      <c r="A31" s="201" t="s">
        <v>16</v>
      </c>
      <c r="B31" s="202">
        <v>6.35</v>
      </c>
      <c r="C31" s="422">
        <v>2164</v>
      </c>
      <c r="D31" s="203">
        <f t="shared" si="0"/>
        <v>8.4</v>
      </c>
      <c r="E31" s="204">
        <f t="shared" si="2"/>
        <v>59.4</v>
      </c>
      <c r="F31" s="205">
        <f t="shared" si="1"/>
        <v>40.6</v>
      </c>
      <c r="G31" s="637"/>
      <c r="H31" s="638"/>
      <c r="I31" s="639"/>
      <c r="J31" s="212"/>
      <c r="K31" s="212"/>
      <c r="L31" s="212"/>
      <c r="M31" s="212"/>
      <c r="N31" s="214"/>
      <c r="O31" s="214"/>
      <c r="S31" s="220"/>
    </row>
    <row r="32" spans="1:24" ht="10.5" customHeight="1" x14ac:dyDescent="0.25">
      <c r="A32" s="201" t="s">
        <v>17</v>
      </c>
      <c r="B32" s="202">
        <v>4.76</v>
      </c>
      <c r="C32" s="422">
        <v>854</v>
      </c>
      <c r="D32" s="203">
        <f t="shared" si="0"/>
        <v>3.3</v>
      </c>
      <c r="E32" s="204">
        <f t="shared" si="2"/>
        <v>62.699999999999996</v>
      </c>
      <c r="F32" s="205">
        <f t="shared" si="1"/>
        <v>37.300000000000004</v>
      </c>
      <c r="G32" s="637">
        <v>25</v>
      </c>
      <c r="H32" s="638"/>
      <c r="I32" s="639">
        <v>55</v>
      </c>
      <c r="J32" s="212"/>
      <c r="K32" s="212"/>
      <c r="L32" s="212"/>
      <c r="M32" s="208"/>
      <c r="N32" s="214"/>
      <c r="O32" s="214"/>
    </row>
    <row r="33" spans="1:19" ht="10.5" customHeight="1" x14ac:dyDescent="0.25">
      <c r="A33" s="201">
        <v>8</v>
      </c>
      <c r="B33" s="202">
        <v>2.36</v>
      </c>
      <c r="C33" s="422">
        <v>125</v>
      </c>
      <c r="D33" s="203">
        <f>ROUND(C33*F$32/D$17,1)</f>
        <v>9.5</v>
      </c>
      <c r="E33" s="204">
        <f t="shared" ref="E33:E40" si="3">+E32+D33</f>
        <v>72.199999999999989</v>
      </c>
      <c r="F33" s="205">
        <f t="shared" si="1"/>
        <v>27.800000000000011</v>
      </c>
      <c r="G33" s="637"/>
      <c r="H33" s="638"/>
      <c r="I33" s="639"/>
      <c r="J33" s="212"/>
      <c r="K33" s="212"/>
      <c r="L33" s="212"/>
      <c r="M33" s="212"/>
      <c r="N33" s="214"/>
      <c r="O33" s="214"/>
      <c r="S33" s="215"/>
    </row>
    <row r="34" spans="1:19" ht="10.5" customHeight="1" x14ac:dyDescent="0.25">
      <c r="A34" s="201">
        <v>10</v>
      </c>
      <c r="B34" s="202">
        <v>2</v>
      </c>
      <c r="C34" s="422">
        <v>18.600000000000001</v>
      </c>
      <c r="D34" s="203">
        <f t="shared" ref="D34:D40" si="4">ROUND(C34*F$32/D$17,1)</f>
        <v>1.4</v>
      </c>
      <c r="E34" s="204">
        <f t="shared" si="3"/>
        <v>73.599999999999994</v>
      </c>
      <c r="F34" s="205">
        <f t="shared" si="1"/>
        <v>26.400000000000006</v>
      </c>
      <c r="G34" s="637">
        <v>15</v>
      </c>
      <c r="H34" s="638"/>
      <c r="I34" s="639">
        <v>40</v>
      </c>
      <c r="J34" s="212"/>
      <c r="K34" s="212"/>
      <c r="L34" s="212"/>
      <c r="M34" s="212"/>
      <c r="N34" s="214"/>
      <c r="O34" s="214"/>
      <c r="S34" s="215"/>
    </row>
    <row r="35" spans="1:19" ht="10.5" customHeight="1" x14ac:dyDescent="0.25">
      <c r="A35" s="201">
        <v>16</v>
      </c>
      <c r="B35" s="202">
        <v>1.19</v>
      </c>
      <c r="C35" s="422">
        <v>85.8</v>
      </c>
      <c r="D35" s="203">
        <f t="shared" si="4"/>
        <v>6.5</v>
      </c>
      <c r="E35" s="204">
        <f t="shared" si="3"/>
        <v>80.099999999999994</v>
      </c>
      <c r="F35" s="205">
        <f t="shared" si="1"/>
        <v>19.900000000000006</v>
      </c>
      <c r="G35" s="637"/>
      <c r="H35" s="638"/>
      <c r="I35" s="639"/>
      <c r="J35" s="212"/>
      <c r="K35" s="212"/>
      <c r="L35" s="212"/>
      <c r="M35" s="212"/>
      <c r="N35" s="214"/>
      <c r="O35" s="214"/>
      <c r="S35" s="215"/>
    </row>
    <row r="36" spans="1:19" ht="10.5" customHeight="1" x14ac:dyDescent="0.25">
      <c r="A36" s="201">
        <v>30</v>
      </c>
      <c r="B36" s="202">
        <v>0.6</v>
      </c>
      <c r="C36" s="422">
        <v>96</v>
      </c>
      <c r="D36" s="203">
        <f t="shared" si="4"/>
        <v>7.3</v>
      </c>
      <c r="E36" s="204">
        <f t="shared" si="3"/>
        <v>87.399999999999991</v>
      </c>
      <c r="F36" s="205">
        <f t="shared" si="1"/>
        <v>12.600000000000009</v>
      </c>
      <c r="G36" s="637"/>
      <c r="H36" s="638"/>
      <c r="I36" s="639"/>
      <c r="J36" s="212"/>
      <c r="K36" s="212"/>
      <c r="L36" s="212"/>
      <c r="M36" s="212"/>
      <c r="N36" s="214"/>
      <c r="O36" s="214"/>
      <c r="S36" s="215"/>
    </row>
    <row r="37" spans="1:19" ht="10.5" customHeight="1" x14ac:dyDescent="0.25">
      <c r="A37" s="201">
        <v>40</v>
      </c>
      <c r="B37" s="202">
        <v>0.42</v>
      </c>
      <c r="C37" s="422">
        <v>19.600000000000001</v>
      </c>
      <c r="D37" s="203">
        <f t="shared" si="4"/>
        <v>1.5</v>
      </c>
      <c r="E37" s="204">
        <f t="shared" si="3"/>
        <v>88.899999999999991</v>
      </c>
      <c r="F37" s="205">
        <f t="shared" si="1"/>
        <v>11.100000000000009</v>
      </c>
      <c r="G37" s="637">
        <v>8</v>
      </c>
      <c r="H37" s="638"/>
      <c r="I37" s="639">
        <v>20</v>
      </c>
      <c r="J37" s="212"/>
      <c r="K37" s="212"/>
      <c r="L37" s="212"/>
      <c r="M37" s="212"/>
      <c r="N37" s="214"/>
      <c r="O37" s="214"/>
      <c r="S37" s="215"/>
    </row>
    <row r="38" spans="1:19" ht="10.5" customHeight="1" x14ac:dyDescent="0.25">
      <c r="A38" s="201">
        <v>50</v>
      </c>
      <c r="B38" s="202">
        <v>0.3</v>
      </c>
      <c r="C38" s="422">
        <v>23.6</v>
      </c>
      <c r="D38" s="203">
        <f t="shared" si="4"/>
        <v>1.8</v>
      </c>
      <c r="E38" s="204">
        <f t="shared" si="3"/>
        <v>90.699999999999989</v>
      </c>
      <c r="F38" s="205">
        <f t="shared" si="1"/>
        <v>9.3000000000000114</v>
      </c>
      <c r="G38" s="637"/>
      <c r="H38" s="638"/>
      <c r="I38" s="639"/>
      <c r="J38" s="212"/>
      <c r="K38" s="212"/>
      <c r="L38" s="212"/>
      <c r="M38" s="212"/>
      <c r="N38" s="214"/>
      <c r="O38" s="214"/>
      <c r="S38" s="215"/>
    </row>
    <row r="39" spans="1:19" ht="10.5" customHeight="1" x14ac:dyDescent="0.25">
      <c r="A39" s="201">
        <v>100</v>
      </c>
      <c r="B39" s="202">
        <v>0.14899999999999999</v>
      </c>
      <c r="C39" s="422">
        <v>25.6</v>
      </c>
      <c r="D39" s="203">
        <f t="shared" si="4"/>
        <v>1.9</v>
      </c>
      <c r="E39" s="204">
        <f t="shared" si="3"/>
        <v>92.6</v>
      </c>
      <c r="F39" s="205">
        <f t="shared" si="1"/>
        <v>7.4000000000000057</v>
      </c>
      <c r="G39" s="637"/>
      <c r="H39" s="638"/>
      <c r="I39" s="639"/>
      <c r="J39" s="212"/>
      <c r="K39" s="212"/>
      <c r="L39" s="212"/>
      <c r="M39" s="212"/>
      <c r="N39" s="214"/>
      <c r="O39" s="214"/>
      <c r="S39" s="215"/>
    </row>
    <row r="40" spans="1:19" ht="10.5" customHeight="1" x14ac:dyDescent="0.25">
      <c r="A40" s="201">
        <v>200</v>
      </c>
      <c r="B40" s="202">
        <v>7.3999999999999996E-2</v>
      </c>
      <c r="C40" s="422">
        <v>31.2</v>
      </c>
      <c r="D40" s="203">
        <f t="shared" si="4"/>
        <v>2.4</v>
      </c>
      <c r="E40" s="204">
        <f t="shared" si="3"/>
        <v>95</v>
      </c>
      <c r="F40" s="205">
        <f t="shared" si="1"/>
        <v>5</v>
      </c>
      <c r="G40" s="637">
        <v>2</v>
      </c>
      <c r="H40" s="638"/>
      <c r="I40" s="639">
        <v>8</v>
      </c>
      <c r="J40" s="212"/>
      <c r="K40" s="212"/>
      <c r="L40" s="212"/>
      <c r="M40" s="212"/>
      <c r="N40" s="214"/>
      <c r="O40" s="214"/>
      <c r="S40" s="215"/>
    </row>
    <row r="41" spans="1:19" ht="10.5" customHeight="1" x14ac:dyDescent="0.25">
      <c r="A41" s="216" t="s">
        <v>324</v>
      </c>
      <c r="B41" s="216"/>
      <c r="C41" s="203">
        <f>+D17-SUM(C33:C40)</f>
        <v>66.099999999999966</v>
      </c>
      <c r="D41" s="203">
        <f>ROUND(C41*F$32/D$17,1)</f>
        <v>5</v>
      </c>
      <c r="E41" s="204">
        <f>+E40+D41</f>
        <v>100</v>
      </c>
      <c r="F41" s="205"/>
      <c r="G41" s="206"/>
      <c r="H41" s="217"/>
      <c r="I41" s="207"/>
      <c r="J41" s="208"/>
      <c r="K41" s="208"/>
      <c r="L41" s="208"/>
      <c r="M41" s="208"/>
      <c r="N41" s="185"/>
      <c r="O41" s="185"/>
      <c r="R41" s="218"/>
      <c r="S41" s="215"/>
    </row>
    <row r="42" spans="1:19" ht="3.75" customHeight="1" thickBot="1" x14ac:dyDescent="0.3">
      <c r="A42" s="184"/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6"/>
      <c r="O42" s="186"/>
    </row>
    <row r="43" spans="1:19" ht="10.5" customHeight="1" x14ac:dyDescent="0.25">
      <c r="A43" s="478" t="s">
        <v>325</v>
      </c>
      <c r="B43" s="479"/>
      <c r="C43" s="480"/>
      <c r="D43" s="481" t="s">
        <v>441</v>
      </c>
      <c r="E43" s="479"/>
      <c r="F43" s="488" t="s">
        <v>243</v>
      </c>
      <c r="G43" s="1039" t="s">
        <v>446</v>
      </c>
      <c r="H43" s="1040"/>
      <c r="I43" s="482" t="s">
        <v>330</v>
      </c>
      <c r="J43" s="480"/>
      <c r="K43" s="479"/>
      <c r="L43" s="490">
        <f>+Proctor!D39</f>
        <v>2.2650000000000001</v>
      </c>
      <c r="M43" s="482" t="s">
        <v>329</v>
      </c>
      <c r="N43" s="480"/>
      <c r="O43" s="524">
        <f>+'Grafico CBR'!$N$38</f>
        <v>63.58</v>
      </c>
      <c r="R43" s="219"/>
      <c r="S43" s="220"/>
    </row>
    <row r="44" spans="1:19" ht="10.5" customHeight="1" thickBot="1" x14ac:dyDescent="0.3">
      <c r="A44" s="483" t="s">
        <v>326</v>
      </c>
      <c r="B44" s="484"/>
      <c r="C44" s="485"/>
      <c r="D44" s="486" t="str">
        <f>+Aashto!J26</f>
        <v>A-1-a (0)</v>
      </c>
      <c r="E44" s="484"/>
      <c r="F44" s="489" t="s">
        <v>244</v>
      </c>
      <c r="G44" s="1041" t="s">
        <v>446</v>
      </c>
      <c r="H44" s="1042"/>
      <c r="I44" s="487" t="s">
        <v>327</v>
      </c>
      <c r="J44" s="485"/>
      <c r="K44" s="484"/>
      <c r="L44" s="491">
        <f>+Proctor!D40</f>
        <v>7.2</v>
      </c>
      <c r="M44" s="487" t="s">
        <v>328</v>
      </c>
      <c r="N44" s="485"/>
      <c r="O44" s="525">
        <f>+'Grafico CBR'!$N$37</f>
        <v>101.83</v>
      </c>
      <c r="R44" s="219"/>
      <c r="S44" s="220"/>
    </row>
    <row r="45" spans="1:19" ht="10.5" customHeight="1" x14ac:dyDescent="0.25">
      <c r="A45" s="186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</row>
    <row r="46" spans="1:19" ht="10.5" customHeight="1" x14ac:dyDescent="0.25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</row>
    <row r="47" spans="1:19" ht="10.5" customHeight="1" x14ac:dyDescent="0.25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</row>
    <row r="48" spans="1:19" ht="10.5" customHeight="1" x14ac:dyDescent="0.25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R48" s="194" t="s">
        <v>18</v>
      </c>
    </row>
    <row r="49" spans="1:21" ht="10.5" customHeight="1" x14ac:dyDescent="0.25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R49" s="1038" t="s">
        <v>19</v>
      </c>
      <c r="S49" s="1038"/>
    </row>
    <row r="50" spans="1:21" ht="10.5" customHeight="1" x14ac:dyDescent="0.25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R50" s="210">
        <v>0.36</v>
      </c>
      <c r="S50" s="215">
        <v>10</v>
      </c>
    </row>
    <row r="51" spans="1:21" ht="10.5" customHeight="1" x14ac:dyDescent="0.25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R51" s="221">
        <v>0.36</v>
      </c>
      <c r="S51" s="215">
        <v>10</v>
      </c>
    </row>
    <row r="52" spans="1:21" ht="10.5" customHeight="1" x14ac:dyDescent="0.25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R52" s="222">
        <v>0.36</v>
      </c>
      <c r="S52" s="210">
        <v>0</v>
      </c>
    </row>
    <row r="53" spans="1:21" ht="10.5" customHeight="1" x14ac:dyDescent="0.25">
      <c r="A53" s="186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R53" s="210"/>
      <c r="S53" s="210"/>
      <c r="T53" s="183" t="s">
        <v>155</v>
      </c>
    </row>
    <row r="54" spans="1:21" ht="10.5" customHeight="1" x14ac:dyDescent="0.25">
      <c r="A54" s="186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R54" s="1038" t="s">
        <v>20</v>
      </c>
      <c r="S54" s="1038"/>
      <c r="T54" s="218">
        <f>IF(R52=0,"---",R62/R52)</f>
        <v>38</v>
      </c>
      <c r="U54" s="218"/>
    </row>
    <row r="55" spans="1:21" ht="10.5" customHeight="1" x14ac:dyDescent="0.2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R55" s="210">
        <v>2.89</v>
      </c>
      <c r="S55" s="215">
        <v>30</v>
      </c>
    </row>
    <row r="56" spans="1:21" ht="10.5" customHeight="1" x14ac:dyDescent="0.25">
      <c r="A56" s="18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R56" s="221">
        <f>+R55</f>
        <v>2.89</v>
      </c>
      <c r="S56" s="215">
        <v>30</v>
      </c>
      <c r="T56" s="183" t="s">
        <v>156</v>
      </c>
    </row>
    <row r="57" spans="1:21" ht="10.5" customHeight="1" x14ac:dyDescent="0.25">
      <c r="A57" s="187"/>
      <c r="B57" s="187"/>
      <c r="C57" s="187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R57" s="222">
        <f>+R56</f>
        <v>2.89</v>
      </c>
      <c r="S57" s="210">
        <v>0</v>
      </c>
      <c r="T57" s="218">
        <f>+IF(AND(R52=0,R62=0),"---",R57*R57/R52/R62)</f>
        <v>1.6959267381416505</v>
      </c>
      <c r="U57" s="218"/>
    </row>
    <row r="58" spans="1:21" ht="10.5" customHeight="1" x14ac:dyDescent="0.25">
      <c r="A58" s="187"/>
      <c r="B58" s="187"/>
      <c r="C58" s="187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</row>
    <row r="59" spans="1:21" ht="10.5" customHeight="1" x14ac:dyDescent="0.25">
      <c r="A59" s="187"/>
      <c r="B59" s="187"/>
      <c r="C59" s="187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R59" s="1038" t="s">
        <v>21</v>
      </c>
      <c r="S59" s="1038"/>
    </row>
    <row r="60" spans="1:21" ht="10.5" customHeight="1" x14ac:dyDescent="0.25">
      <c r="A60" s="187"/>
      <c r="B60" s="187"/>
      <c r="C60" s="187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R60" s="210">
        <v>13.68</v>
      </c>
      <c r="S60" s="215">
        <v>60</v>
      </c>
    </row>
    <row r="61" spans="1:21" ht="10.5" customHeight="1" x14ac:dyDescent="0.25">
      <c r="A61" s="187"/>
      <c r="B61" s="187"/>
      <c r="C61" s="187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R61" s="221">
        <f>+R60</f>
        <v>13.68</v>
      </c>
      <c r="S61" s="215">
        <v>60</v>
      </c>
    </row>
    <row r="62" spans="1:21" ht="10.5" customHeight="1" x14ac:dyDescent="0.25">
      <c r="A62" s="187"/>
      <c r="B62" s="187"/>
      <c r="C62" s="187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R62" s="222">
        <f>+R61</f>
        <v>13.68</v>
      </c>
      <c r="S62" s="210">
        <v>0</v>
      </c>
    </row>
    <row r="63" spans="1:21" ht="10.5" customHeight="1" x14ac:dyDescent="0.25">
      <c r="A63" s="186"/>
      <c r="B63" s="187"/>
      <c r="C63" s="187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</row>
    <row r="64" spans="1:21" ht="10.5" customHeight="1" x14ac:dyDescent="0.25">
      <c r="A64" s="186"/>
      <c r="B64" s="186"/>
      <c r="C64" s="187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</row>
    <row r="65" spans="1:15" ht="10.5" customHeight="1" x14ac:dyDescent="0.25">
      <c r="A65" s="186"/>
      <c r="B65" s="186"/>
      <c r="C65" s="187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</row>
    <row r="66" spans="1:15" ht="10.5" customHeight="1" x14ac:dyDescent="0.25">
      <c r="A66" s="186"/>
      <c r="B66" s="186"/>
      <c r="C66" s="187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</row>
    <row r="67" spans="1:15" ht="10.5" customHeight="1" x14ac:dyDescent="0.25">
      <c r="A67" s="186"/>
      <c r="B67" s="186"/>
      <c r="C67" s="187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</row>
    <row r="68" spans="1:15" ht="10.5" customHeight="1" x14ac:dyDescent="0.25">
      <c r="A68" s="186"/>
      <c r="B68" s="186"/>
      <c r="C68" s="187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</row>
    <row r="69" spans="1:15" ht="10.5" customHeight="1" x14ac:dyDescent="0.25">
      <c r="A69" s="187" t="s">
        <v>201</v>
      </c>
      <c r="B69" s="185"/>
      <c r="C69" s="185"/>
      <c r="D69" s="522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</row>
    <row r="70" spans="1:15" ht="10.5" customHeight="1" x14ac:dyDescent="0.25">
      <c r="D70" s="242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</row>
    <row r="71" spans="1:15" ht="10.5" customHeight="1" x14ac:dyDescent="0.25">
      <c r="C71" s="194" t="s">
        <v>357</v>
      </c>
      <c r="D71" s="185"/>
      <c r="E71" s="253"/>
      <c r="F71" s="253"/>
      <c r="G71" s="253"/>
      <c r="H71" s="253"/>
      <c r="I71" s="253"/>
      <c r="J71" s="253"/>
      <c r="K71" s="253"/>
      <c r="L71" s="253"/>
      <c r="M71" s="246" t="s">
        <v>358</v>
      </c>
      <c r="N71" s="253"/>
      <c r="O71" s="253"/>
    </row>
    <row r="72" spans="1:15" ht="10.5" customHeight="1" x14ac:dyDescent="0.25">
      <c r="D72" s="185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</row>
    <row r="73" spans="1:15" ht="10.5" customHeight="1" x14ac:dyDescent="0.25">
      <c r="D73" s="185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</row>
    <row r="74" spans="1:15" ht="10.5" customHeight="1" x14ac:dyDescent="0.25">
      <c r="D74" s="185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</row>
    <row r="75" spans="1:15" ht="10.5" customHeight="1" x14ac:dyDescent="0.25">
      <c r="A75" s="507" t="s">
        <v>359</v>
      </c>
      <c r="B75" s="185"/>
      <c r="C75" s="120"/>
      <c r="D75" s="185"/>
      <c r="E75" s="507" t="s">
        <v>359</v>
      </c>
      <c r="F75" s="185"/>
      <c r="G75" s="185"/>
      <c r="H75" s="185"/>
      <c r="I75" s="185"/>
      <c r="J75" s="185"/>
      <c r="K75" s="507" t="s">
        <v>359</v>
      </c>
      <c r="L75" s="185"/>
      <c r="M75" s="185"/>
      <c r="N75" s="507" t="s">
        <v>360</v>
      </c>
      <c r="O75" s="120"/>
    </row>
    <row r="76" spans="1:15" ht="3" customHeight="1" x14ac:dyDescent="0.25">
      <c r="A76" s="185"/>
      <c r="B76" s="185"/>
      <c r="C76" s="120"/>
      <c r="D76" s="185"/>
      <c r="E76" s="120"/>
      <c r="F76" s="185"/>
      <c r="G76" s="185"/>
      <c r="H76" s="185"/>
      <c r="I76" s="185"/>
      <c r="J76" s="185"/>
      <c r="K76" s="185"/>
      <c r="L76" s="185"/>
      <c r="M76" s="185"/>
      <c r="N76" s="120"/>
      <c r="O76" s="120"/>
    </row>
    <row r="77" spans="1:15" x14ac:dyDescent="0.25">
      <c r="A77" s="194" t="s">
        <v>361</v>
      </c>
      <c r="B77" s="246"/>
      <c r="C77" s="246"/>
      <c r="D77" s="247"/>
      <c r="E77" s="508" t="s">
        <v>362</v>
      </c>
      <c r="K77" s="194" t="s">
        <v>361</v>
      </c>
      <c r="N77" s="508" t="s">
        <v>362</v>
      </c>
    </row>
    <row r="78" spans="1:15" ht="10.5" customHeight="1" x14ac:dyDescent="0.25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1020"/>
      <c r="O78" s="1020"/>
    </row>
    <row r="79" spans="1:15" ht="10.5" customHeight="1" x14ac:dyDescent="0.25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</row>
  </sheetData>
  <mergeCells count="20">
    <mergeCell ref="D18:E18"/>
    <mergeCell ref="G23:I23"/>
    <mergeCell ref="R54:S54"/>
    <mergeCell ref="R59:S59"/>
    <mergeCell ref="R49:S49"/>
    <mergeCell ref="H16:I16"/>
    <mergeCell ref="H17:I17"/>
    <mergeCell ref="H18:I18"/>
    <mergeCell ref="G43:H43"/>
    <mergeCell ref="G44:H44"/>
    <mergeCell ref="A5:O5"/>
    <mergeCell ref="A1:E4"/>
    <mergeCell ref="N78:O78"/>
    <mergeCell ref="G21:I21"/>
    <mergeCell ref="G22:I22"/>
    <mergeCell ref="A21:B21"/>
    <mergeCell ref="C11:D11"/>
    <mergeCell ref="G24:I24"/>
    <mergeCell ref="D16:E16"/>
    <mergeCell ref="D17:E17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231B-8439-4104-9F04-15E74FEF4348}">
  <sheetPr codeName="Hoja5"/>
  <dimension ref="A1:K67"/>
  <sheetViews>
    <sheetView topLeftCell="A4" zoomScaleNormal="100" zoomScaleSheetLayoutView="100" workbookViewId="0">
      <selection activeCell="J36" sqref="J36"/>
    </sheetView>
  </sheetViews>
  <sheetFormatPr baseColWidth="10" defaultColWidth="11.44140625" defaultRowHeight="12" x14ac:dyDescent="0.25"/>
  <cols>
    <col min="1" max="1" width="11.44140625" style="186"/>
    <col min="2" max="2" width="12.6640625" style="186" customWidth="1"/>
    <col min="3" max="7" width="10.6640625" style="186" customWidth="1"/>
    <col min="8" max="8" width="2" style="186" customWidth="1"/>
    <col min="9" max="10" width="7.6640625" style="186" customWidth="1"/>
    <col min="11" max="16384" width="11.44140625" style="186"/>
  </cols>
  <sheetData>
    <row r="1" spans="1:11" ht="11.4" customHeight="1" x14ac:dyDescent="0.25">
      <c r="A1" s="1019"/>
      <c r="B1" s="1019"/>
      <c r="C1" s="297"/>
      <c r="D1" s="175"/>
      <c r="E1" s="175"/>
      <c r="F1" s="175"/>
      <c r="G1" s="175"/>
    </row>
    <row r="2" spans="1:11" ht="11.4" customHeight="1" x14ac:dyDescent="0.25">
      <c r="A2" s="1019"/>
      <c r="B2" s="1019"/>
      <c r="C2" s="297"/>
      <c r="D2" s="297"/>
      <c r="E2" s="297"/>
      <c r="F2" s="175"/>
      <c r="G2" s="175"/>
    </row>
    <row r="3" spans="1:11" ht="11.4" customHeight="1" x14ac:dyDescent="0.25">
      <c r="A3" s="1019"/>
      <c r="B3" s="1019"/>
      <c r="C3" s="300"/>
      <c r="D3" s="300"/>
      <c r="E3" s="300"/>
      <c r="F3" s="185"/>
      <c r="G3" s="185"/>
    </row>
    <row r="4" spans="1:11" ht="11.4" customHeight="1" x14ac:dyDescent="0.25">
      <c r="A4" s="1019"/>
      <c r="B4" s="1019"/>
      <c r="C4" s="185"/>
      <c r="D4" s="184"/>
      <c r="E4" s="185"/>
      <c r="F4" s="185"/>
      <c r="G4" s="185"/>
    </row>
    <row r="5" spans="1:11" ht="11.4" customHeight="1" x14ac:dyDescent="0.25">
      <c r="A5" s="184"/>
      <c r="B5" s="184"/>
      <c r="C5" s="185"/>
      <c r="D5" s="184"/>
      <c r="E5" s="185"/>
      <c r="F5" s="184" t="s">
        <v>354</v>
      </c>
      <c r="G5" s="185"/>
    </row>
    <row r="6" spans="1:11" ht="11.4" customHeight="1" x14ac:dyDescent="0.25">
      <c r="A6" s="1043" t="s">
        <v>331</v>
      </c>
      <c r="B6" s="1043"/>
      <c r="C6" s="1043"/>
      <c r="D6" s="1043"/>
      <c r="E6" s="1043"/>
      <c r="F6" s="1043"/>
      <c r="G6" s="1043"/>
    </row>
    <row r="7" spans="1:11" ht="3.75" customHeight="1" thickBot="1" x14ac:dyDescent="0.3">
      <c r="A7" s="230"/>
      <c r="B7" s="230"/>
      <c r="C7" s="230"/>
      <c r="D7" s="231"/>
      <c r="E7" s="230"/>
      <c r="F7" s="230"/>
      <c r="G7" s="230"/>
      <c r="H7" s="185"/>
      <c r="I7" s="185"/>
      <c r="J7" s="185"/>
      <c r="K7" s="185"/>
    </row>
    <row r="8" spans="1:11" s="185" customFormat="1" ht="3.75" customHeight="1" thickTop="1" x14ac:dyDescent="0.25"/>
    <row r="9" spans="1:11" s="185" customFormat="1" x14ac:dyDescent="0.25">
      <c r="A9" s="185" t="e">
        <f>+Datos!#REF!</f>
        <v>#REF!</v>
      </c>
      <c r="C9" s="321" t="str">
        <f>+'Gran-LLyLP'!H8</f>
        <v>F.T.V</v>
      </c>
      <c r="D9" s="321"/>
      <c r="E9" s="321"/>
      <c r="F9" s="322"/>
      <c r="G9" s="322"/>
    </row>
    <row r="10" spans="1:11" s="185" customFormat="1" x14ac:dyDescent="0.25">
      <c r="A10" s="185" t="e">
        <f>+Datos!#REF!</f>
        <v>#REF!</v>
      </c>
      <c r="C10" s="321" t="str">
        <f>+'Gran-LLyLP'!H9</f>
        <v>F.K.S</v>
      </c>
      <c r="D10" s="321"/>
      <c r="E10" s="321"/>
      <c r="F10" s="322"/>
      <c r="G10" s="322"/>
    </row>
    <row r="11" spans="1:11" s="185" customFormat="1" x14ac:dyDescent="0.25">
      <c r="A11" s="185" t="e">
        <f>+Datos!#REF!</f>
        <v>#REF!</v>
      </c>
      <c r="C11" s="323">
        <f>+'Gran-LLyLP'!C11:D11</f>
        <v>38972</v>
      </c>
      <c r="D11" s="321"/>
      <c r="E11" s="321"/>
      <c r="F11" s="322"/>
      <c r="G11" s="322"/>
    </row>
    <row r="12" spans="1:11" s="185" customFormat="1" ht="3.75" customHeight="1" x14ac:dyDescent="0.25">
      <c r="C12" s="321"/>
      <c r="D12" s="321"/>
      <c r="E12" s="321"/>
      <c r="F12" s="322"/>
      <c r="G12" s="322"/>
    </row>
    <row r="13" spans="1:11" s="185" customFormat="1" x14ac:dyDescent="0.25">
      <c r="A13" s="184" t="s">
        <v>160</v>
      </c>
      <c r="B13" s="184"/>
      <c r="C13" s="324"/>
      <c r="D13" s="321"/>
      <c r="E13" s="321"/>
      <c r="F13" s="322"/>
      <c r="G13" s="322"/>
    </row>
    <row r="14" spans="1:11" s="185" customFormat="1" x14ac:dyDescent="0.25">
      <c r="A14" s="186" t="s">
        <v>375</v>
      </c>
      <c r="B14" s="185" t="s">
        <v>0</v>
      </c>
      <c r="C14" s="492" t="str">
        <f>+'Gran-LLyLP'!C8</f>
        <v>Km. 54+710-54+910</v>
      </c>
      <c r="D14" s="321"/>
      <c r="E14" s="321"/>
      <c r="F14" s="302"/>
    </row>
    <row r="15" spans="1:11" s="185" customFormat="1" x14ac:dyDescent="0.25">
      <c r="A15" s="185" t="str">
        <f>+Datos!A10</f>
        <v>Ubicación   :</v>
      </c>
      <c r="B15" s="185" t="s">
        <v>0</v>
      </c>
      <c r="C15" s="492" t="str">
        <f>+'Gran-LLyLP'!C9</f>
        <v>SB - 25</v>
      </c>
      <c r="D15" s="321" t="str">
        <f>+'Gran-LLyLP'!D9</f>
        <v>M - 1</v>
      </c>
      <c r="E15" s="321"/>
      <c r="F15" s="321"/>
      <c r="G15" s="321"/>
    </row>
    <row r="16" spans="1:11" s="185" customFormat="1" x14ac:dyDescent="0.25">
      <c r="A16" s="185" t="str">
        <f>+Datos!A11</f>
        <v>Cantera      :</v>
      </c>
      <c r="B16" s="185" t="s">
        <v>0</v>
      </c>
      <c r="C16" s="492" t="str">
        <f>+'Gran-LLyLP'!C10</f>
        <v>Sub Base Granular</v>
      </c>
      <c r="D16" s="321"/>
      <c r="E16" s="321"/>
      <c r="F16" s="321"/>
      <c r="G16" s="321"/>
    </row>
    <row r="17" spans="1:8" s="185" customFormat="1" x14ac:dyDescent="0.25">
      <c r="A17" s="185" t="str">
        <f>+Datos!A12</f>
        <v>Material     :</v>
      </c>
      <c r="B17" s="185" t="s">
        <v>0</v>
      </c>
      <c r="C17" s="493" t="str">
        <f>+'Gran-LLyLP'!C12:D12</f>
        <v>IZQ - DER</v>
      </c>
      <c r="D17" s="321"/>
      <c r="E17" s="321"/>
      <c r="F17" s="321"/>
      <c r="G17" s="321"/>
    </row>
    <row r="18" spans="1:8" s="185" customFormat="1" ht="3" customHeight="1" x14ac:dyDescent="0.25"/>
    <row r="19" spans="1:8" s="185" customFormat="1" ht="12.6" thickBot="1" x14ac:dyDescent="0.3">
      <c r="A19" s="184" t="s">
        <v>163</v>
      </c>
      <c r="B19" s="184"/>
    </row>
    <row r="20" spans="1:8" s="185" customFormat="1" ht="12.75" customHeight="1" x14ac:dyDescent="0.25">
      <c r="A20" s="1045" t="s">
        <v>165</v>
      </c>
      <c r="B20" s="1046"/>
      <c r="C20" s="325">
        <v>1</v>
      </c>
      <c r="D20" s="325">
        <v>2</v>
      </c>
      <c r="E20" s="325">
        <v>3</v>
      </c>
      <c r="F20" s="325">
        <v>4</v>
      </c>
      <c r="G20" s="325"/>
      <c r="H20" s="326"/>
    </row>
    <row r="21" spans="1:8" s="185" customFormat="1" x14ac:dyDescent="0.25">
      <c r="A21" s="327" t="s">
        <v>167</v>
      </c>
      <c r="B21" s="296"/>
      <c r="C21" s="328">
        <v>5</v>
      </c>
      <c r="D21" s="328">
        <v>5</v>
      </c>
      <c r="E21" s="328">
        <v>5</v>
      </c>
      <c r="F21" s="328">
        <v>5</v>
      </c>
      <c r="G21" s="328"/>
      <c r="H21" s="326"/>
    </row>
    <row r="22" spans="1:8" s="185" customFormat="1" x14ac:dyDescent="0.25">
      <c r="A22" s="327" t="s">
        <v>169</v>
      </c>
      <c r="B22" s="296"/>
      <c r="C22" s="420">
        <v>56</v>
      </c>
      <c r="D22" s="420">
        <v>56</v>
      </c>
      <c r="E22" s="420">
        <v>56</v>
      </c>
      <c r="F22" s="420">
        <v>56</v>
      </c>
      <c r="G22" s="328"/>
      <c r="H22" s="326"/>
    </row>
    <row r="23" spans="1:8" s="185" customFormat="1" x14ac:dyDescent="0.2">
      <c r="A23" s="329" t="s">
        <v>171</v>
      </c>
      <c r="B23" s="330"/>
      <c r="C23" s="641">
        <v>11210</v>
      </c>
      <c r="D23" s="641">
        <v>11368</v>
      </c>
      <c r="E23" s="641">
        <v>11506</v>
      </c>
      <c r="F23" s="641">
        <v>11545</v>
      </c>
      <c r="G23" s="216"/>
      <c r="H23" s="326"/>
    </row>
    <row r="24" spans="1:8" s="185" customFormat="1" x14ac:dyDescent="0.25">
      <c r="A24" s="329" t="s">
        <v>173</v>
      </c>
      <c r="B24" s="330"/>
      <c r="C24" s="421">
        <v>6335</v>
      </c>
      <c r="D24" s="421">
        <f>+C24</f>
        <v>6335</v>
      </c>
      <c r="E24" s="421">
        <f>+C24</f>
        <v>6335</v>
      </c>
      <c r="F24" s="421">
        <f>+C24</f>
        <v>6335</v>
      </c>
      <c r="G24" s="216"/>
      <c r="H24" s="326"/>
    </row>
    <row r="25" spans="1:8" s="185" customFormat="1" x14ac:dyDescent="0.25">
      <c r="A25" s="329" t="s">
        <v>175</v>
      </c>
      <c r="B25" s="330"/>
      <c r="C25" s="216">
        <f>+C23-C24</f>
        <v>4875</v>
      </c>
      <c r="D25" s="216">
        <f>+D23-D24</f>
        <v>5033</v>
      </c>
      <c r="E25" s="216">
        <f>+E23-E24</f>
        <v>5171</v>
      </c>
      <c r="F25" s="216">
        <f>+F23-F24</f>
        <v>5210</v>
      </c>
      <c r="G25" s="216"/>
      <c r="H25" s="326"/>
    </row>
    <row r="26" spans="1:8" s="185" customFormat="1" ht="14.4" x14ac:dyDescent="0.25">
      <c r="A26" s="329" t="s">
        <v>332</v>
      </c>
      <c r="B26" s="330"/>
      <c r="C26" s="421">
        <v>2119</v>
      </c>
      <c r="D26" s="421">
        <f>+C26</f>
        <v>2119</v>
      </c>
      <c r="E26" s="421">
        <f>+D26</f>
        <v>2119</v>
      </c>
      <c r="F26" s="421">
        <f>+E26</f>
        <v>2119</v>
      </c>
      <c r="G26" s="216"/>
      <c r="H26" s="326"/>
    </row>
    <row r="27" spans="1:8" s="185" customFormat="1" ht="15" thickBot="1" x14ac:dyDescent="0.3">
      <c r="A27" s="331" t="s">
        <v>333</v>
      </c>
      <c r="B27" s="332"/>
      <c r="C27" s="333">
        <f>+C25/C26</f>
        <v>2.3006134969325154</v>
      </c>
      <c r="D27" s="333">
        <f>+D25/D26</f>
        <v>2.3751769702689947</v>
      </c>
      <c r="E27" s="333">
        <f>+E25/E26</f>
        <v>2.4403020292590845</v>
      </c>
      <c r="F27" s="333">
        <f>+F25/F26</f>
        <v>2.4587069372345445</v>
      </c>
      <c r="G27" s="333"/>
      <c r="H27" s="326"/>
    </row>
    <row r="28" spans="1:8" s="185" customFormat="1" ht="5.25" customHeight="1" x14ac:dyDescent="0.25">
      <c r="C28" s="120"/>
      <c r="D28" s="120"/>
      <c r="E28" s="120"/>
      <c r="F28" s="120"/>
      <c r="G28" s="120"/>
    </row>
    <row r="29" spans="1:8" s="185" customFormat="1" ht="12.6" thickBot="1" x14ac:dyDescent="0.3">
      <c r="A29" s="184" t="s">
        <v>164</v>
      </c>
      <c r="B29" s="184"/>
      <c r="C29" s="120"/>
      <c r="D29" s="120"/>
      <c r="E29" s="120"/>
      <c r="F29" s="120"/>
      <c r="G29" s="120"/>
    </row>
    <row r="30" spans="1:8" s="185" customFormat="1" x14ac:dyDescent="0.25">
      <c r="A30" s="334" t="s">
        <v>166</v>
      </c>
      <c r="B30" s="335"/>
      <c r="C30" s="325"/>
      <c r="D30" s="325"/>
      <c r="E30" s="325"/>
      <c r="F30" s="325"/>
      <c r="G30" s="325"/>
    </row>
    <row r="31" spans="1:8" s="185" customFormat="1" x14ac:dyDescent="0.2">
      <c r="A31" s="329" t="s">
        <v>196</v>
      </c>
      <c r="B31" s="330"/>
      <c r="C31" s="502">
        <v>524.20000000000005</v>
      </c>
      <c r="D31" s="502">
        <v>446.7</v>
      </c>
      <c r="E31" s="502">
        <v>519.6</v>
      </c>
      <c r="F31" s="502">
        <v>559.4</v>
      </c>
      <c r="G31" s="336"/>
    </row>
    <row r="32" spans="1:8" s="185" customFormat="1" x14ac:dyDescent="0.2">
      <c r="A32" s="329" t="s">
        <v>197</v>
      </c>
      <c r="B32" s="330"/>
      <c r="C32" s="503">
        <v>508</v>
      </c>
      <c r="D32" s="503">
        <v>424.1</v>
      </c>
      <c r="E32" s="503">
        <v>482</v>
      </c>
      <c r="F32" s="503">
        <v>506.4</v>
      </c>
      <c r="G32" s="336"/>
    </row>
    <row r="33" spans="1:10" s="185" customFormat="1" x14ac:dyDescent="0.25">
      <c r="A33" s="329" t="s">
        <v>172</v>
      </c>
      <c r="B33" s="330"/>
      <c r="C33" s="336">
        <f>+C31-C32</f>
        <v>16.200000000000045</v>
      </c>
      <c r="D33" s="336">
        <f>+D31-D32</f>
        <v>22.599999999999966</v>
      </c>
      <c r="E33" s="336">
        <f>+E31-E32</f>
        <v>37.600000000000023</v>
      </c>
      <c r="F33" s="336">
        <f>+F31-F32</f>
        <v>53</v>
      </c>
      <c r="G33" s="336"/>
    </row>
    <row r="34" spans="1:10" s="185" customFormat="1" x14ac:dyDescent="0.25">
      <c r="A34" s="329" t="s">
        <v>174</v>
      </c>
      <c r="B34" s="330"/>
      <c r="C34" s="336"/>
      <c r="D34" s="336"/>
      <c r="E34" s="336"/>
      <c r="F34" s="336"/>
      <c r="G34" s="336"/>
      <c r="H34" s="337"/>
    </row>
    <row r="35" spans="1:10" s="185" customFormat="1" x14ac:dyDescent="0.25">
      <c r="A35" s="329" t="s">
        <v>176</v>
      </c>
      <c r="B35" s="330"/>
      <c r="C35" s="336">
        <f>+C32-C34</f>
        <v>508</v>
      </c>
      <c r="D35" s="336">
        <f>+D32-D34</f>
        <v>424.1</v>
      </c>
      <c r="E35" s="336">
        <f>+E32-E34</f>
        <v>482</v>
      </c>
      <c r="F35" s="336">
        <f>+F32-F34</f>
        <v>506.4</v>
      </c>
      <c r="G35" s="336"/>
    </row>
    <row r="36" spans="1:10" s="185" customFormat="1" x14ac:dyDescent="0.25">
      <c r="A36" s="1047" t="s">
        <v>164</v>
      </c>
      <c r="B36" s="1048"/>
      <c r="C36" s="203">
        <f>+C33/C35*100</f>
        <v>3.1889763779527645</v>
      </c>
      <c r="D36" s="203">
        <f>+D33/D35*100</f>
        <v>5.3289318556944032</v>
      </c>
      <c r="E36" s="203">
        <f>+E33/E35*100</f>
        <v>7.8008298755186765</v>
      </c>
      <c r="F36" s="203">
        <f>+F33/F35*100</f>
        <v>10.466034755134283</v>
      </c>
      <c r="G36" s="203"/>
    </row>
    <row r="37" spans="1:10" s="185" customFormat="1" ht="15" thickBot="1" x14ac:dyDescent="0.3">
      <c r="A37" s="331" t="s">
        <v>204</v>
      </c>
      <c r="B37" s="332"/>
      <c r="C37" s="333">
        <f>+C27/(1+C36/100)</f>
        <v>2.2295147967220865</v>
      </c>
      <c r="D37" s="333">
        <f>+D27/(1+D36/100)</f>
        <v>2.2550090734073889</v>
      </c>
      <c r="E37" s="333">
        <f>+E27/(1+E36/100)</f>
        <v>2.263713583723785</v>
      </c>
      <c r="F37" s="333">
        <f>+F27/(1+F36/100)</f>
        <v>2.2257582999920866</v>
      </c>
      <c r="G37" s="333"/>
    </row>
    <row r="38" spans="1:10" s="185" customFormat="1" ht="3.75" customHeight="1" x14ac:dyDescent="0.25">
      <c r="C38" s="303"/>
      <c r="H38" s="337"/>
    </row>
    <row r="39" spans="1:10" s="185" customFormat="1" ht="14.4" x14ac:dyDescent="0.25">
      <c r="A39" s="185" t="s">
        <v>205</v>
      </c>
      <c r="C39" s="303"/>
      <c r="D39" s="304">
        <f>+I48</f>
        <v>2.2650000000000001</v>
      </c>
      <c r="E39" s="185" t="s">
        <v>199</v>
      </c>
    </row>
    <row r="40" spans="1:10" s="185" customFormat="1" x14ac:dyDescent="0.25">
      <c r="A40" s="185" t="s">
        <v>162</v>
      </c>
      <c r="D40" s="195">
        <f>+J47</f>
        <v>7.2</v>
      </c>
    </row>
    <row r="41" spans="1:10" s="185" customFormat="1" x14ac:dyDescent="0.25">
      <c r="H41" s="338"/>
    </row>
    <row r="42" spans="1:10" s="185" customFormat="1" x14ac:dyDescent="0.25"/>
    <row r="43" spans="1:10" s="185" customFormat="1" x14ac:dyDescent="0.25"/>
    <row r="44" spans="1:10" s="185" customFormat="1" x14ac:dyDescent="0.25"/>
    <row r="45" spans="1:10" s="185" customFormat="1" x14ac:dyDescent="0.25"/>
    <row r="46" spans="1:10" s="185" customFormat="1" x14ac:dyDescent="0.25"/>
    <row r="47" spans="1:10" s="185" customFormat="1" x14ac:dyDescent="0.25">
      <c r="I47" s="185">
        <v>0</v>
      </c>
      <c r="J47" s="337">
        <v>7.2</v>
      </c>
    </row>
    <row r="48" spans="1:10" s="185" customFormat="1" x14ac:dyDescent="0.25">
      <c r="I48" s="337">
        <v>2.2650000000000001</v>
      </c>
      <c r="J48" s="185">
        <f>+J47</f>
        <v>7.2</v>
      </c>
    </row>
    <row r="49" spans="1:10" s="185" customFormat="1" x14ac:dyDescent="0.25">
      <c r="I49" s="185">
        <f>+I48</f>
        <v>2.2650000000000001</v>
      </c>
      <c r="J49" s="185">
        <v>0</v>
      </c>
    </row>
    <row r="50" spans="1:10" s="185" customFormat="1" x14ac:dyDescent="0.25"/>
    <row r="51" spans="1:10" s="185" customFormat="1" x14ac:dyDescent="0.25"/>
    <row r="52" spans="1:10" s="185" customFormat="1" x14ac:dyDescent="0.25"/>
    <row r="53" spans="1:10" s="185" customFormat="1" x14ac:dyDescent="0.25"/>
    <row r="60" spans="1:10" ht="13.2" x14ac:dyDescent="0.25">
      <c r="B60" s="194" t="s">
        <v>357</v>
      </c>
      <c r="E60" s="246" t="s">
        <v>358</v>
      </c>
    </row>
    <row r="61" spans="1:10" x14ac:dyDescent="0.25">
      <c r="A61" s="268"/>
      <c r="B61" s="268"/>
      <c r="C61" s="268"/>
      <c r="D61" s="268"/>
      <c r="E61" s="268"/>
      <c r="F61" s="268"/>
      <c r="G61" s="268"/>
      <c r="H61" s="268"/>
      <c r="I61" s="268"/>
      <c r="J61" s="268"/>
    </row>
    <row r="62" spans="1:10" ht="12.75" customHeight="1" x14ac:dyDescent="0.25">
      <c r="A62" s="224"/>
      <c r="B62" s="224"/>
      <c r="C62" s="185"/>
      <c r="D62" s="1044"/>
      <c r="E62" s="1044"/>
      <c r="F62" s="1020"/>
      <c r="G62" s="1020"/>
    </row>
    <row r="63" spans="1:10" ht="12.75" customHeight="1" x14ac:dyDescent="0.25">
      <c r="A63" s="224"/>
      <c r="B63" s="224"/>
      <c r="C63" s="185"/>
      <c r="D63" s="499"/>
      <c r="E63" s="499"/>
      <c r="F63" s="224"/>
      <c r="G63" s="224"/>
    </row>
    <row r="64" spans="1:10" x14ac:dyDescent="0.25">
      <c r="A64" s="509" t="s">
        <v>363</v>
      </c>
      <c r="E64" s="224" t="s">
        <v>364</v>
      </c>
    </row>
    <row r="65" spans="1:11" ht="13.2" x14ac:dyDescent="0.25">
      <c r="A65" s="194" t="s">
        <v>366</v>
      </c>
      <c r="B65" s="1049" t="s">
        <v>365</v>
      </c>
      <c r="C65" s="1049"/>
      <c r="D65" s="194" t="s">
        <v>367</v>
      </c>
      <c r="E65" s="224"/>
      <c r="F65" s="508" t="s">
        <v>368</v>
      </c>
      <c r="G65" s="185"/>
      <c r="H65" s="185"/>
      <c r="I65" s="185"/>
    </row>
    <row r="66" spans="1:11" x14ac:dyDescent="0.25">
      <c r="C66" s="224"/>
      <c r="D66" s="224"/>
      <c r="E66" s="224"/>
      <c r="F66" s="1044"/>
      <c r="G66" s="1044"/>
      <c r="H66" s="1044"/>
      <c r="I66" s="224"/>
      <c r="J66" s="224"/>
      <c r="K66" s="224"/>
    </row>
    <row r="67" spans="1:11" x14ac:dyDescent="0.25">
      <c r="F67" s="224"/>
      <c r="G67" s="224"/>
      <c r="H67" s="224"/>
      <c r="I67" s="1020"/>
      <c r="J67" s="1020"/>
      <c r="K67" s="1020"/>
    </row>
  </sheetData>
  <mergeCells count="9">
    <mergeCell ref="A1:B4"/>
    <mergeCell ref="A6:G6"/>
    <mergeCell ref="I67:K67"/>
    <mergeCell ref="F66:H66"/>
    <mergeCell ref="D62:E62"/>
    <mergeCell ref="F62:G62"/>
    <mergeCell ref="A20:B20"/>
    <mergeCell ref="A36:B36"/>
    <mergeCell ref="B65:C65"/>
  </mergeCells>
  <phoneticPr fontId="0" type="noConversion"/>
  <printOptions horizontalCentered="1" verticalCentered="1"/>
  <pageMargins left="0.78740157480314965" right="0.59055118110236227" top="0.59055118110236227" bottom="0.59055118110236227" header="0" footer="0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1A11-7035-4D54-A5CB-C73494C2FD7E}">
  <sheetPr codeName="Hoja2"/>
  <dimension ref="A1:AB68"/>
  <sheetViews>
    <sheetView view="pageBreakPreview" topLeftCell="A4" zoomScaleNormal="100" zoomScaleSheetLayoutView="100" workbookViewId="0">
      <selection activeCell="Y16" sqref="Y16"/>
    </sheetView>
  </sheetViews>
  <sheetFormatPr baseColWidth="10" defaultColWidth="11.44140625" defaultRowHeight="15" customHeight="1" x14ac:dyDescent="0.25"/>
  <cols>
    <col min="1" max="2" width="5" style="186" customWidth="1"/>
    <col min="3" max="8" width="5.6640625" style="186" customWidth="1"/>
    <col min="9" max="9" width="6.109375" style="186" customWidth="1"/>
    <col min="10" max="10" width="5.6640625" style="186" customWidth="1"/>
    <col min="11" max="11" width="7" style="186" customWidth="1"/>
    <col min="12" max="12" width="6.6640625" style="186" customWidth="1"/>
    <col min="13" max="13" width="7.5546875" style="186" customWidth="1"/>
    <col min="14" max="14" width="8.109375" style="186" customWidth="1"/>
    <col min="15" max="15" width="6.6640625" style="186" customWidth="1"/>
    <col min="16" max="25" width="5.6640625" style="186" customWidth="1"/>
    <col min="26" max="28" width="7.109375" style="186" customWidth="1"/>
    <col min="29" max="16384" width="11.44140625" style="186"/>
  </cols>
  <sheetData>
    <row r="1" spans="1:21" ht="15.75" customHeight="1" thickTop="1" x14ac:dyDescent="0.25">
      <c r="A1" s="646"/>
      <c r="B1" s="647"/>
      <c r="C1" s="647"/>
      <c r="D1" s="647"/>
      <c r="E1" s="647"/>
      <c r="F1" s="648"/>
      <c r="G1" s="648"/>
      <c r="H1" s="648"/>
      <c r="I1" s="648"/>
      <c r="J1" s="648"/>
      <c r="K1" s="648"/>
      <c r="L1" s="648"/>
      <c r="M1" s="648"/>
      <c r="N1" s="648"/>
      <c r="O1" s="664"/>
    </row>
    <row r="2" spans="1:21" ht="15.75" customHeight="1" x14ac:dyDescent="0.25">
      <c r="A2" s="649"/>
      <c r="B2" s="645"/>
      <c r="C2" s="645"/>
      <c r="D2" s="645"/>
      <c r="E2" s="645"/>
      <c r="F2" s="175"/>
      <c r="G2" s="175"/>
      <c r="H2" s="175"/>
      <c r="I2" s="175"/>
      <c r="J2" s="175"/>
      <c r="K2" s="175"/>
      <c r="L2" s="175"/>
      <c r="M2" s="175"/>
      <c r="N2" s="175"/>
      <c r="O2" s="650"/>
    </row>
    <row r="3" spans="1:21" ht="15.75" customHeight="1" x14ac:dyDescent="0.25">
      <c r="A3" s="649"/>
      <c r="B3" s="645"/>
      <c r="C3" s="645"/>
      <c r="D3" s="645"/>
      <c r="E3" s="645"/>
      <c r="F3" s="175"/>
      <c r="G3" s="175"/>
      <c r="H3" s="175"/>
      <c r="I3" s="175"/>
      <c r="J3" s="175"/>
      <c r="K3" s="175"/>
      <c r="L3" s="175"/>
      <c r="M3" s="175"/>
      <c r="N3" s="175"/>
      <c r="O3" s="650"/>
    </row>
    <row r="4" spans="1:21" ht="15.75" customHeight="1" x14ac:dyDescent="0.25">
      <c r="A4" s="649"/>
      <c r="B4" s="645"/>
      <c r="C4" s="645"/>
      <c r="D4" s="645"/>
      <c r="E4" s="645"/>
      <c r="F4" s="185"/>
      <c r="G4" s="185"/>
      <c r="H4" s="185"/>
      <c r="I4" s="185"/>
      <c r="J4" s="185"/>
      <c r="K4" s="185"/>
      <c r="L4" s="185"/>
      <c r="M4" s="185"/>
      <c r="N4" s="185"/>
      <c r="O4" s="650"/>
    </row>
    <row r="5" spans="1:21" ht="15.75" customHeight="1" x14ac:dyDescent="0.25">
      <c r="A5" s="649"/>
      <c r="B5" s="645"/>
      <c r="C5" s="645"/>
      <c r="D5" s="645"/>
      <c r="E5" s="645"/>
      <c r="F5" s="185"/>
      <c r="G5" s="185"/>
      <c r="H5" s="185"/>
      <c r="I5" s="185"/>
      <c r="J5" s="185"/>
      <c r="K5" s="185"/>
      <c r="L5" s="185"/>
      <c r="M5" s="185"/>
      <c r="N5" s="185"/>
      <c r="O5" s="650"/>
    </row>
    <row r="6" spans="1:21" ht="15.75" customHeight="1" thickBot="1" x14ac:dyDescent="0.3">
      <c r="A6" s="651"/>
      <c r="B6" s="231"/>
      <c r="C6" s="230"/>
      <c r="D6" s="231"/>
      <c r="E6" s="230"/>
      <c r="F6" s="230"/>
      <c r="G6" s="230"/>
      <c r="H6" s="230"/>
      <c r="I6" s="230"/>
      <c r="J6" s="230"/>
      <c r="K6" s="230"/>
      <c r="L6" s="231"/>
      <c r="M6" s="230"/>
      <c r="N6" s="230"/>
      <c r="O6" s="652"/>
    </row>
    <row r="7" spans="1:21" ht="42" customHeight="1" thickTop="1" x14ac:dyDescent="0.25">
      <c r="A7" s="1068" t="s">
        <v>463</v>
      </c>
      <c r="B7" s="1068"/>
      <c r="C7" s="1068"/>
      <c r="D7" s="1068"/>
      <c r="E7" s="1068"/>
      <c r="F7" s="1068"/>
      <c r="G7" s="1068"/>
      <c r="H7" s="1068"/>
      <c r="I7" s="1068"/>
      <c r="J7" s="1068"/>
      <c r="K7" s="1068"/>
      <c r="L7" s="1068"/>
      <c r="M7" s="1068"/>
      <c r="N7" s="1068"/>
      <c r="O7" s="1068"/>
    </row>
    <row r="8" spans="1:21" s="185" customFormat="1" ht="15" customHeight="1" x14ac:dyDescent="0.25">
      <c r="A8" s="865" t="s">
        <v>483</v>
      </c>
      <c r="B8" s="673"/>
      <c r="C8" s="796" t="s">
        <v>0</v>
      </c>
      <c r="D8" s="866" t="s">
        <v>488</v>
      </c>
      <c r="E8" s="678"/>
      <c r="F8" s="679"/>
      <c r="G8" s="679"/>
      <c r="H8" s="678"/>
      <c r="I8" s="678"/>
      <c r="J8" s="678"/>
      <c r="K8" s="678"/>
      <c r="L8" s="659" t="s">
        <v>457</v>
      </c>
      <c r="M8" s="674"/>
      <c r="N8" s="668" t="s">
        <v>482</v>
      </c>
      <c r="O8" s="880"/>
      <c r="R8" s="186" t="s">
        <v>264</v>
      </c>
      <c r="S8" s="186"/>
      <c r="T8" s="186"/>
      <c r="U8" s="186"/>
    </row>
    <row r="9" spans="1:21" s="185" customFormat="1" ht="15" customHeight="1" x14ac:dyDescent="0.25">
      <c r="A9" s="865" t="s">
        <v>484</v>
      </c>
      <c r="B9" s="253"/>
      <c r="C9" s="254" t="s">
        <v>0</v>
      </c>
      <c r="D9" s="866" t="s">
        <v>489</v>
      </c>
      <c r="E9" s="298"/>
      <c r="F9" s="680"/>
      <c r="G9" s="680"/>
      <c r="H9" s="298"/>
      <c r="I9" s="298"/>
      <c r="J9" s="681"/>
      <c r="K9" s="682"/>
      <c r="L9" s="657" t="s">
        <v>458</v>
      </c>
      <c r="M9" s="253"/>
      <c r="N9" s="670" t="s">
        <v>493</v>
      </c>
      <c r="O9" s="301"/>
    </row>
    <row r="10" spans="1:21" s="185" customFormat="1" ht="15" customHeight="1" x14ac:dyDescent="0.25">
      <c r="A10" s="865" t="s">
        <v>485</v>
      </c>
      <c r="B10" s="253"/>
      <c r="C10" s="254" t="s">
        <v>0</v>
      </c>
      <c r="D10" s="655" t="s">
        <v>490</v>
      </c>
      <c r="E10" s="512"/>
      <c r="F10" s="298"/>
      <c r="G10" s="298"/>
      <c r="H10" s="298"/>
      <c r="I10" s="298"/>
      <c r="J10" s="298"/>
      <c r="K10" s="298"/>
      <c r="L10" s="657" t="s">
        <v>462</v>
      </c>
      <c r="M10" s="253"/>
      <c r="N10" s="1067">
        <v>41951</v>
      </c>
      <c r="O10" s="1067"/>
      <c r="R10" s="120" t="s">
        <v>265</v>
      </c>
      <c r="S10" s="120" t="s">
        <v>266</v>
      </c>
      <c r="T10" s="232" t="s">
        <v>267</v>
      </c>
    </row>
    <row r="11" spans="1:21" s="185" customFormat="1" ht="15" customHeight="1" x14ac:dyDescent="0.25">
      <c r="A11" s="865" t="s">
        <v>486</v>
      </c>
      <c r="B11" s="253"/>
      <c r="C11" s="254" t="s">
        <v>0</v>
      </c>
      <c r="D11" s="655" t="s">
        <v>491</v>
      </c>
      <c r="E11" s="298"/>
      <c r="F11" s="298"/>
      <c r="G11" s="298"/>
      <c r="H11" s="298"/>
      <c r="I11" s="298"/>
      <c r="J11" s="298"/>
      <c r="K11" s="298"/>
      <c r="L11" s="657" t="s">
        <v>460</v>
      </c>
      <c r="M11" s="253"/>
      <c r="N11" s="670" t="s">
        <v>494</v>
      </c>
      <c r="O11" s="301"/>
      <c r="R11" s="120">
        <v>1</v>
      </c>
      <c r="S11" s="120">
        <v>6085</v>
      </c>
      <c r="T11" s="120">
        <v>2137.0536766679343</v>
      </c>
    </row>
    <row r="12" spans="1:21" s="185" customFormat="1" ht="15" customHeight="1" x14ac:dyDescent="0.25">
      <c r="A12" s="872" t="s">
        <v>487</v>
      </c>
      <c r="B12" s="675"/>
      <c r="C12" s="676" t="s">
        <v>0</v>
      </c>
      <c r="D12" s="881" t="s">
        <v>492</v>
      </c>
      <c r="E12" s="675"/>
      <c r="F12" s="675"/>
      <c r="G12" s="675"/>
      <c r="H12" s="675"/>
      <c r="I12" s="675"/>
      <c r="J12" s="675"/>
      <c r="K12" s="675"/>
      <c r="L12" s="675"/>
      <c r="M12" s="675"/>
      <c r="N12" s="675"/>
      <c r="O12" s="661"/>
      <c r="R12" s="120">
        <f>+R11+1</f>
        <v>2</v>
      </c>
      <c r="S12" s="120">
        <v>5411</v>
      </c>
      <c r="T12" s="120">
        <v>2134.903477389505</v>
      </c>
    </row>
    <row r="13" spans="1:21" s="185" customFormat="1" ht="15" customHeight="1" x14ac:dyDescent="0.25">
      <c r="A13" s="683" t="s">
        <v>260</v>
      </c>
      <c r="B13" s="674"/>
      <c r="C13" s="684"/>
      <c r="D13" s="674"/>
      <c r="E13" s="674"/>
      <c r="F13" s="674"/>
      <c r="G13" s="685">
        <f>+'[7]Proctor 1'!$E$35</f>
        <v>2.2810000000000001</v>
      </c>
      <c r="H13" s="674"/>
      <c r="I13" s="686"/>
      <c r="J13" s="674"/>
      <c r="K13" s="674"/>
      <c r="L13" s="674"/>
      <c r="M13" s="674"/>
      <c r="N13" s="674"/>
      <c r="O13" s="665"/>
      <c r="R13" s="120">
        <f t="shared" ref="R13:R22" si="0">+R12+1</f>
        <v>3</v>
      </c>
      <c r="S13" s="120">
        <v>5994</v>
      </c>
      <c r="T13" s="120">
        <v>2151.090116296466</v>
      </c>
    </row>
    <row r="14" spans="1:21" s="185" customFormat="1" ht="15" customHeight="1" x14ac:dyDescent="0.25">
      <c r="A14" s="687" t="s">
        <v>261</v>
      </c>
      <c r="B14" s="253"/>
      <c r="C14" s="253"/>
      <c r="D14" s="253"/>
      <c r="E14" s="253"/>
      <c r="F14" s="253"/>
      <c r="G14" s="255">
        <f>+'[7]Proctor 1'!$E$36</f>
        <v>6.2</v>
      </c>
      <c r="H14" s="253"/>
      <c r="I14" s="253"/>
      <c r="J14" s="253"/>
      <c r="K14" s="253"/>
      <c r="L14" s="253"/>
      <c r="M14" s="253"/>
      <c r="N14" s="253"/>
      <c r="O14" s="666"/>
      <c r="R14" s="613">
        <f t="shared" si="0"/>
        <v>4</v>
      </c>
      <c r="S14" s="120">
        <v>4961</v>
      </c>
      <c r="T14" s="120">
        <v>2144.0661532581294</v>
      </c>
    </row>
    <row r="15" spans="1:21" s="185" customFormat="1" ht="15" customHeight="1" thickBot="1" x14ac:dyDescent="0.3">
      <c r="A15" s="688" t="s">
        <v>163</v>
      </c>
      <c r="B15" s="246"/>
      <c r="C15" s="253"/>
      <c r="D15" s="253"/>
      <c r="E15" s="253"/>
      <c r="F15" s="253"/>
      <c r="G15" s="254"/>
      <c r="H15" s="254"/>
      <c r="I15" s="256" t="s">
        <v>164</v>
      </c>
      <c r="J15" s="256"/>
      <c r="K15" s="256"/>
      <c r="L15" s="256"/>
      <c r="M15" s="256"/>
      <c r="N15" s="256"/>
      <c r="O15" s="689"/>
      <c r="Q15" s="196"/>
      <c r="R15" s="120">
        <f t="shared" si="0"/>
        <v>5</v>
      </c>
      <c r="S15" s="120">
        <v>4863</v>
      </c>
      <c r="T15" s="120">
        <v>2151.090116296466</v>
      </c>
    </row>
    <row r="16" spans="1:21" s="196" customFormat="1" ht="15" customHeight="1" x14ac:dyDescent="0.25">
      <c r="A16" s="1071" t="s">
        <v>200</v>
      </c>
      <c r="B16" s="1046"/>
      <c r="C16" s="1071"/>
      <c r="D16" s="1071"/>
      <c r="E16" s="818">
        <v>15</v>
      </c>
      <c r="F16" s="818">
        <v>10</v>
      </c>
      <c r="G16" s="819">
        <v>32</v>
      </c>
      <c r="H16" s="253"/>
      <c r="I16" s="1045" t="s">
        <v>166</v>
      </c>
      <c r="J16" s="1060"/>
      <c r="K16" s="1046"/>
      <c r="L16" s="299"/>
      <c r="M16" s="299"/>
      <c r="N16" s="473"/>
      <c r="O16" s="690"/>
      <c r="R16" s="120">
        <f t="shared" si="0"/>
        <v>6</v>
      </c>
      <c r="S16" s="120">
        <v>5197</v>
      </c>
      <c r="T16" s="120">
        <v>2144.0661532581294</v>
      </c>
      <c r="U16" s="185"/>
    </row>
    <row r="17" spans="1:28" s="196" customFormat="1" ht="15" customHeight="1" x14ac:dyDescent="0.25">
      <c r="A17" s="1061" t="s">
        <v>167</v>
      </c>
      <c r="B17" s="1048"/>
      <c r="C17" s="1061"/>
      <c r="D17" s="1061"/>
      <c r="E17" s="258">
        <v>5</v>
      </c>
      <c r="F17" s="258">
        <v>5</v>
      </c>
      <c r="G17" s="259">
        <v>5</v>
      </c>
      <c r="H17" s="253"/>
      <c r="I17" s="1047" t="s">
        <v>168</v>
      </c>
      <c r="J17" s="1059"/>
      <c r="K17" s="1048"/>
      <c r="L17" s="822">
        <v>516.29999999999995</v>
      </c>
      <c r="M17" s="822">
        <v>516.29999999999995</v>
      </c>
      <c r="N17" s="823">
        <v>516.29999999999995</v>
      </c>
      <c r="O17" s="690"/>
      <c r="R17" s="120">
        <f t="shared" si="0"/>
        <v>7</v>
      </c>
      <c r="S17" s="120">
        <v>4937</v>
      </c>
      <c r="T17" s="120">
        <v>2144.0661532581294</v>
      </c>
      <c r="U17" s="185"/>
    </row>
    <row r="18" spans="1:28" s="196" customFormat="1" ht="15" customHeight="1" x14ac:dyDescent="0.25">
      <c r="A18" s="1061" t="s">
        <v>169</v>
      </c>
      <c r="B18" s="1048"/>
      <c r="C18" s="1061"/>
      <c r="D18" s="1061"/>
      <c r="E18" s="498">
        <v>56</v>
      </c>
      <c r="F18" s="258">
        <v>25</v>
      </c>
      <c r="G18" s="259">
        <v>12</v>
      </c>
      <c r="H18" s="253"/>
      <c r="I18" s="1047" t="s">
        <v>170</v>
      </c>
      <c r="J18" s="1059"/>
      <c r="K18" s="1048"/>
      <c r="L18" s="822">
        <v>485.7</v>
      </c>
      <c r="M18" s="822">
        <v>485.7</v>
      </c>
      <c r="N18" s="823">
        <f>+M18</f>
        <v>485.7</v>
      </c>
      <c r="O18" s="690"/>
      <c r="R18" s="120">
        <f t="shared" si="0"/>
        <v>8</v>
      </c>
      <c r="S18" s="120">
        <v>5250</v>
      </c>
      <c r="T18" s="120">
        <v>2144.0661532581294</v>
      </c>
      <c r="U18" s="185"/>
    </row>
    <row r="19" spans="1:28" s="196" customFormat="1" ht="15" customHeight="1" x14ac:dyDescent="0.25">
      <c r="A19" s="1061" t="s">
        <v>171</v>
      </c>
      <c r="B19" s="1048"/>
      <c r="C19" s="1061"/>
      <c r="D19" s="1061"/>
      <c r="E19" s="820">
        <v>12341</v>
      </c>
      <c r="F19" s="820">
        <v>12265</v>
      </c>
      <c r="G19" s="821">
        <v>12671</v>
      </c>
      <c r="H19" s="253"/>
      <c r="I19" s="1047" t="s">
        <v>172</v>
      </c>
      <c r="J19" s="1059"/>
      <c r="K19" s="1048"/>
      <c r="L19" s="250">
        <f>+L17-L18</f>
        <v>30.599999999999966</v>
      </c>
      <c r="M19" s="250">
        <f>+M17-M18</f>
        <v>30.599999999999966</v>
      </c>
      <c r="N19" s="474">
        <f>+N17-N18</f>
        <v>30.599999999999966</v>
      </c>
      <c r="O19" s="690"/>
      <c r="R19" s="120">
        <f t="shared" si="0"/>
        <v>9</v>
      </c>
      <c r="S19" s="120">
        <v>4972</v>
      </c>
      <c r="T19" s="120">
        <v>2146.1863846878832</v>
      </c>
      <c r="U19" s="185"/>
      <c r="AA19" s="306"/>
    </row>
    <row r="20" spans="1:28" s="196" customFormat="1" ht="15" customHeight="1" x14ac:dyDescent="0.25">
      <c r="A20" s="1061" t="s">
        <v>173</v>
      </c>
      <c r="B20" s="1048"/>
      <c r="C20" s="1061"/>
      <c r="D20" s="1061"/>
      <c r="E20" s="820">
        <v>7078</v>
      </c>
      <c r="F20" s="820">
        <v>7202</v>
      </c>
      <c r="G20" s="821">
        <v>7816</v>
      </c>
      <c r="H20" s="253"/>
      <c r="I20" s="1047" t="s">
        <v>174</v>
      </c>
      <c r="J20" s="1059"/>
      <c r="K20" s="1048"/>
      <c r="L20" s="250"/>
      <c r="M20" s="250"/>
      <c r="N20" s="474"/>
      <c r="O20" s="690"/>
      <c r="R20" s="120">
        <f t="shared" si="0"/>
        <v>10</v>
      </c>
      <c r="S20" s="260">
        <v>5257</v>
      </c>
      <c r="T20" s="260">
        <v>2137.0536766679343</v>
      </c>
    </row>
    <row r="21" spans="1:28" s="196" customFormat="1" ht="15" customHeight="1" x14ac:dyDescent="0.25">
      <c r="A21" s="1061" t="s">
        <v>175</v>
      </c>
      <c r="B21" s="1048"/>
      <c r="C21" s="1061"/>
      <c r="D21" s="1061"/>
      <c r="E21" s="258">
        <f>+E19-E20</f>
        <v>5263</v>
      </c>
      <c r="F21" s="258">
        <f>+F19-F20</f>
        <v>5063</v>
      </c>
      <c r="G21" s="259">
        <f>+G19-G20</f>
        <v>4855</v>
      </c>
      <c r="H21" s="253"/>
      <c r="I21" s="1047" t="s">
        <v>176</v>
      </c>
      <c r="J21" s="1059"/>
      <c r="K21" s="1048"/>
      <c r="L21" s="250">
        <f>+L18-L20</f>
        <v>485.7</v>
      </c>
      <c r="M21" s="250">
        <f>+M18-M20</f>
        <v>485.7</v>
      </c>
      <c r="N21" s="474">
        <f>+N18-N20</f>
        <v>485.7</v>
      </c>
      <c r="O21" s="691">
        <f>+G13*0.95</f>
        <v>2.1669499999999999</v>
      </c>
      <c r="R21" s="120">
        <f t="shared" si="0"/>
        <v>11</v>
      </c>
      <c r="S21" s="260">
        <v>5100</v>
      </c>
      <c r="T21" s="260">
        <v>2144.0661532581294</v>
      </c>
    </row>
    <row r="22" spans="1:28" s="196" customFormat="1" ht="15" customHeight="1" x14ac:dyDescent="0.25">
      <c r="A22" s="1061" t="s">
        <v>202</v>
      </c>
      <c r="B22" s="1048"/>
      <c r="C22" s="1061"/>
      <c r="D22" s="1061"/>
      <c r="E22" s="820">
        <v>2161</v>
      </c>
      <c r="F22" s="820">
        <v>2163</v>
      </c>
      <c r="G22" s="821">
        <v>2175</v>
      </c>
      <c r="H22" s="253"/>
      <c r="I22" s="1047" t="s">
        <v>164</v>
      </c>
      <c r="J22" s="1059"/>
      <c r="K22" s="1048"/>
      <c r="L22" s="251">
        <f>+L19/L21*100</f>
        <v>6.3001852995676275</v>
      </c>
      <c r="M22" s="251">
        <f>+M19/M21*100</f>
        <v>6.3001852995676275</v>
      </c>
      <c r="N22" s="475">
        <f>+N19/N21*100</f>
        <v>6.3001852995676275</v>
      </c>
      <c r="O22" s="690"/>
      <c r="R22" s="120">
        <f t="shared" si="0"/>
        <v>12</v>
      </c>
      <c r="S22" s="260">
        <v>4842</v>
      </c>
      <c r="T22" s="260">
        <v>2165.1725017175618</v>
      </c>
    </row>
    <row r="23" spans="1:28" s="196" customFormat="1" ht="15" customHeight="1" thickBot="1" x14ac:dyDescent="0.3">
      <c r="A23" s="1062" t="s">
        <v>203</v>
      </c>
      <c r="B23" s="1063"/>
      <c r="C23" s="1062"/>
      <c r="D23" s="1062"/>
      <c r="E23" s="261">
        <f>+E21/E22</f>
        <v>2.4354465525219804</v>
      </c>
      <c r="F23" s="261">
        <f>+F21/F22</f>
        <v>2.3407304669440592</v>
      </c>
      <c r="G23" s="262">
        <f>+G21/G22</f>
        <v>2.2321839080459771</v>
      </c>
      <c r="H23" s="253"/>
      <c r="I23" s="1064" t="s">
        <v>204</v>
      </c>
      <c r="J23" s="1065"/>
      <c r="K23" s="1063"/>
      <c r="L23" s="263">
        <f>+E23/(1+L22/100)</f>
        <v>2.2911028288977842</v>
      </c>
      <c r="M23" s="263">
        <f>+F23/(1+M22/100)</f>
        <v>2.2020003637318029</v>
      </c>
      <c r="N23" s="264">
        <f>+G23/(1+N22/100)</f>
        <v>2.0998871279061229</v>
      </c>
      <c r="O23" s="690"/>
      <c r="R23" s="196">
        <v>100</v>
      </c>
      <c r="S23" s="196">
        <v>6286</v>
      </c>
      <c r="T23" s="196">
        <v>2063</v>
      </c>
    </row>
    <row r="24" spans="1:28" s="196" customFormat="1" ht="15" customHeight="1" x14ac:dyDescent="0.25">
      <c r="A24" s="687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644"/>
      <c r="M24" s="518">
        <f>+L23-M23</f>
        <v>8.9102465165981304E-2</v>
      </c>
      <c r="N24" s="518">
        <f>+M23-N23</f>
        <v>0.10211323582567999</v>
      </c>
      <c r="O24" s="690"/>
      <c r="R24" s="196">
        <v>101</v>
      </c>
      <c r="S24" s="196">
        <v>7492</v>
      </c>
      <c r="T24" s="196">
        <v>2180</v>
      </c>
    </row>
    <row r="25" spans="1:28" s="196" customFormat="1" ht="15" customHeight="1" x14ac:dyDescent="0.25">
      <c r="A25" s="1057" t="s">
        <v>177</v>
      </c>
      <c r="B25" s="1058"/>
      <c r="C25" s="1058"/>
      <c r="D25" s="1058"/>
      <c r="E25" s="1058"/>
      <c r="F25" s="1058"/>
      <c r="G25" s="1058"/>
      <c r="H25" s="1058"/>
      <c r="I25" s="1058"/>
      <c r="J25" s="253"/>
      <c r="K25" s="253"/>
      <c r="L25" s="253"/>
      <c r="M25" s="521"/>
      <c r="N25" s="521"/>
      <c r="O25" s="690"/>
      <c r="R25" s="196">
        <v>102</v>
      </c>
      <c r="S25" s="196">
        <v>6279</v>
      </c>
      <c r="T25" s="196">
        <v>2103</v>
      </c>
    </row>
    <row r="26" spans="1:28" s="196" customFormat="1" ht="15" customHeight="1" x14ac:dyDescent="0.25">
      <c r="A26" s="1054" t="s">
        <v>178</v>
      </c>
      <c r="B26" s="1056"/>
      <c r="C26" s="248" t="s">
        <v>179</v>
      </c>
      <c r="D26" s="1054" t="str">
        <f>+$A$56&amp;" "&amp;C56</f>
        <v>Molde 15</v>
      </c>
      <c r="E26" s="1056"/>
      <c r="F26" s="1054" t="str">
        <f>+$A$56&amp;" "&amp;D56</f>
        <v>Molde 10</v>
      </c>
      <c r="G26" s="1056"/>
      <c r="H26" s="1054" t="str">
        <f>+$A$56&amp;" "&amp;E56</f>
        <v>Molde 32</v>
      </c>
      <c r="I26" s="1056"/>
      <c r="J26" s="253"/>
      <c r="K26" s="253"/>
      <c r="L26" s="253"/>
      <c r="M26" s="253"/>
      <c r="N26" s="253"/>
      <c r="O26" s="690"/>
    </row>
    <row r="27" spans="1:28" s="196" customFormat="1" ht="15" customHeight="1" x14ac:dyDescent="0.25">
      <c r="A27" s="1066" t="s">
        <v>272</v>
      </c>
      <c r="B27" s="1066" t="s">
        <v>183</v>
      </c>
      <c r="C27" s="249" t="s">
        <v>184</v>
      </c>
      <c r="D27" s="1052" t="s">
        <v>185</v>
      </c>
      <c r="E27" s="249" t="s">
        <v>179</v>
      </c>
      <c r="F27" s="1052" t="s">
        <v>185</v>
      </c>
      <c r="G27" s="249" t="s">
        <v>179</v>
      </c>
      <c r="H27" s="1052" t="s">
        <v>185</v>
      </c>
      <c r="I27" s="249" t="s">
        <v>179</v>
      </c>
      <c r="J27" s="253"/>
      <c r="K27" s="246" t="s">
        <v>186</v>
      </c>
      <c r="L27" s="253"/>
      <c r="M27" s="253"/>
      <c r="N27" s="253"/>
      <c r="O27" s="690"/>
      <c r="R27" s="120">
        <v>1</v>
      </c>
      <c r="S27" s="196">
        <f t="shared" ref="S27:S41" si="1">+IF($E$16=R11,S11,0)</f>
        <v>0</v>
      </c>
      <c r="T27" s="196">
        <f t="shared" ref="T27:T41" si="2">+IF($E$16=R11,T11,0)</f>
        <v>0</v>
      </c>
      <c r="U27" s="196">
        <f t="shared" ref="U27:U41" si="3">+IF($F$16=R11,S11,0)</f>
        <v>0</v>
      </c>
      <c r="V27" s="196">
        <f t="shared" ref="V27:V41" si="4">+IF($F$16=R11,T11,0)</f>
        <v>0</v>
      </c>
      <c r="W27" s="196">
        <f t="shared" ref="W27:W41" si="5">+IF($G$16=R11,S11,0)</f>
        <v>0</v>
      </c>
      <c r="X27" s="196">
        <f t="shared" ref="X27:X41" si="6">+IF($G$16=R11,T11,0)</f>
        <v>0</v>
      </c>
    </row>
    <row r="28" spans="1:28" s="196" customFormat="1" ht="15" customHeight="1" x14ac:dyDescent="0.25">
      <c r="A28" s="1053"/>
      <c r="B28" s="1053"/>
      <c r="C28" s="180" t="s">
        <v>262</v>
      </c>
      <c r="D28" s="1053"/>
      <c r="E28" s="180" t="s">
        <v>262</v>
      </c>
      <c r="F28" s="1053"/>
      <c r="G28" s="180" t="s">
        <v>262</v>
      </c>
      <c r="H28" s="1053"/>
      <c r="I28" s="180" t="s">
        <v>262</v>
      </c>
      <c r="J28" s="253"/>
      <c r="K28" s="253"/>
      <c r="L28" s="253"/>
      <c r="M28" s="253"/>
      <c r="N28" s="253"/>
      <c r="O28" s="690"/>
      <c r="R28" s="120">
        <f>+R27+1</f>
        <v>2</v>
      </c>
      <c r="S28" s="196">
        <f t="shared" si="1"/>
        <v>0</v>
      </c>
      <c r="T28" s="196">
        <f t="shared" si="2"/>
        <v>0</v>
      </c>
      <c r="U28" s="196">
        <f t="shared" si="3"/>
        <v>0</v>
      </c>
      <c r="V28" s="196">
        <f t="shared" si="4"/>
        <v>0</v>
      </c>
      <c r="W28" s="196">
        <f t="shared" si="5"/>
        <v>0</v>
      </c>
      <c r="X28" s="196">
        <f t="shared" si="6"/>
        <v>0</v>
      </c>
    </row>
    <row r="29" spans="1:28" s="196" customFormat="1" ht="15" customHeight="1" x14ac:dyDescent="0.25">
      <c r="A29" s="250">
        <v>0.25</v>
      </c>
      <c r="B29" s="250">
        <f>+A29*2.54</f>
        <v>0.63500000000000001</v>
      </c>
      <c r="C29" s="258"/>
      <c r="D29" s="824">
        <v>51</v>
      </c>
      <c r="E29" s="203">
        <f t="shared" ref="E29:E36" si="7">(E$63+E$64*D29+E$65*D29*D29)/F$68</f>
        <v>12.066463870495873</v>
      </c>
      <c r="F29" s="824">
        <v>36</v>
      </c>
      <c r="G29" s="203">
        <f t="shared" ref="G29:G36" si="8">(E$63+E$64*F29+E$65*F29*F29)/F$68</f>
        <v>8.3538746216301689</v>
      </c>
      <c r="H29" s="824">
        <v>20</v>
      </c>
      <c r="I29" s="203">
        <f t="shared" ref="I29:I36" si="9">(E$63+E$64*H29+E$65*H29*H29)/F$68</f>
        <v>4.3918872956725279</v>
      </c>
      <c r="J29" s="521">
        <f>+H32/F32</f>
        <v>0.69346733668341709</v>
      </c>
      <c r="K29" s="1052" t="s">
        <v>159</v>
      </c>
      <c r="L29" s="1054" t="s">
        <v>269</v>
      </c>
      <c r="M29" s="1055"/>
      <c r="N29" s="1056"/>
      <c r="O29" s="690"/>
      <c r="R29" s="120">
        <f t="shared" ref="R29:R38" si="10">+R28+1</f>
        <v>3</v>
      </c>
      <c r="S29" s="196">
        <f t="shared" si="1"/>
        <v>0</v>
      </c>
      <c r="T29" s="196">
        <f t="shared" si="2"/>
        <v>0</v>
      </c>
      <c r="U29" s="196">
        <f t="shared" si="3"/>
        <v>0</v>
      </c>
      <c r="V29" s="196">
        <f t="shared" si="4"/>
        <v>0</v>
      </c>
      <c r="W29" s="196">
        <f t="shared" si="5"/>
        <v>0</v>
      </c>
      <c r="X29" s="196">
        <f t="shared" si="6"/>
        <v>0</v>
      </c>
    </row>
    <row r="30" spans="1:28" s="196" customFormat="1" ht="15" customHeight="1" x14ac:dyDescent="0.25">
      <c r="A30" s="250">
        <v>0.5</v>
      </c>
      <c r="B30" s="250">
        <f>+A30*2.54</f>
        <v>1.27</v>
      </c>
      <c r="C30" s="258"/>
      <c r="D30" s="824">
        <v>140</v>
      </c>
      <c r="E30" s="203">
        <f t="shared" si="7"/>
        <v>34.059183879364682</v>
      </c>
      <c r="F30" s="824">
        <v>96</v>
      </c>
      <c r="G30" s="203">
        <f t="shared" si="8"/>
        <v>23.193931731301845</v>
      </c>
      <c r="H30" s="824">
        <v>66</v>
      </c>
      <c r="I30" s="203">
        <f t="shared" si="9"/>
        <v>15.777336471729724</v>
      </c>
      <c r="J30" s="253"/>
      <c r="K30" s="1053"/>
      <c r="L30" s="472">
        <f>+E16</f>
        <v>15</v>
      </c>
      <c r="M30" s="472">
        <f>+F16</f>
        <v>10</v>
      </c>
      <c r="N30" s="181">
        <f>+G16</f>
        <v>32</v>
      </c>
      <c r="O30" s="690"/>
      <c r="R30" s="120">
        <f t="shared" si="10"/>
        <v>4</v>
      </c>
      <c r="S30" s="196">
        <f t="shared" si="1"/>
        <v>0</v>
      </c>
      <c r="T30" s="196">
        <f t="shared" si="2"/>
        <v>0</v>
      </c>
      <c r="U30" s="196">
        <f t="shared" si="3"/>
        <v>0</v>
      </c>
      <c r="V30" s="196">
        <f t="shared" si="4"/>
        <v>0</v>
      </c>
      <c r="W30" s="196">
        <f t="shared" si="5"/>
        <v>0</v>
      </c>
      <c r="X30" s="196">
        <f t="shared" si="6"/>
        <v>0</v>
      </c>
      <c r="Z30" s="706" t="s">
        <v>356</v>
      </c>
      <c r="AA30" s="707"/>
      <c r="AB30" s="707"/>
    </row>
    <row r="31" spans="1:28" s="196" customFormat="1" ht="15" customHeight="1" x14ac:dyDescent="0.25">
      <c r="A31" s="250">
        <v>0.75</v>
      </c>
      <c r="B31" s="250">
        <f t="shared" ref="B31:B40" si="11">+A31*2.54</f>
        <v>1.905</v>
      </c>
      <c r="C31" s="258"/>
      <c r="D31" s="824">
        <v>226</v>
      </c>
      <c r="E31" s="203">
        <f t="shared" si="7"/>
        <v>55.253163921130756</v>
      </c>
      <c r="F31" s="824">
        <v>152</v>
      </c>
      <c r="G31" s="203">
        <f t="shared" si="8"/>
        <v>37.019870938069758</v>
      </c>
      <c r="H31" s="824">
        <v>109</v>
      </c>
      <c r="I31" s="203">
        <f t="shared" si="9"/>
        <v>26.405657219280414</v>
      </c>
      <c r="J31" s="253"/>
      <c r="K31" s="867">
        <f>+N10</f>
        <v>41951</v>
      </c>
      <c r="L31" s="868">
        <v>0</v>
      </c>
      <c r="M31" s="868">
        <v>0</v>
      </c>
      <c r="N31" s="868">
        <v>0</v>
      </c>
      <c r="O31" s="690"/>
      <c r="R31" s="120">
        <f t="shared" si="10"/>
        <v>5</v>
      </c>
      <c r="S31" s="196">
        <f t="shared" si="1"/>
        <v>0</v>
      </c>
      <c r="T31" s="196">
        <f t="shared" si="2"/>
        <v>0</v>
      </c>
      <c r="U31" s="196">
        <f t="shared" si="3"/>
        <v>0</v>
      </c>
      <c r="V31" s="196">
        <f t="shared" si="4"/>
        <v>0</v>
      </c>
      <c r="W31" s="196">
        <f t="shared" si="5"/>
        <v>0</v>
      </c>
      <c r="X31" s="196">
        <f t="shared" si="6"/>
        <v>0</v>
      </c>
      <c r="Z31" s="707"/>
      <c r="AA31" s="707"/>
      <c r="AB31" s="707"/>
    </row>
    <row r="32" spans="1:28" s="185" customFormat="1" ht="15" customHeight="1" x14ac:dyDescent="0.25">
      <c r="A32" s="250">
        <v>1</v>
      </c>
      <c r="B32" s="250">
        <f t="shared" si="11"/>
        <v>2.54</v>
      </c>
      <c r="C32" s="258">
        <v>70</v>
      </c>
      <c r="D32" s="824">
        <v>296</v>
      </c>
      <c r="E32" s="203">
        <f t="shared" si="7"/>
        <v>72.462420592748401</v>
      </c>
      <c r="F32" s="824">
        <v>199</v>
      </c>
      <c r="G32" s="203">
        <f t="shared" si="8"/>
        <v>48.605316887146564</v>
      </c>
      <c r="H32" s="824">
        <v>138</v>
      </c>
      <c r="I32" s="203">
        <f t="shared" si="9"/>
        <v>33.565629222616735</v>
      </c>
      <c r="J32" s="253"/>
      <c r="K32" s="867">
        <f>+K31+1</f>
        <v>41952</v>
      </c>
      <c r="L32" s="868">
        <f t="shared" ref="L32:N35" si="12">+Z33/1000</f>
        <v>0</v>
      </c>
      <c r="M32" s="868">
        <f t="shared" si="12"/>
        <v>1E-3</v>
      </c>
      <c r="N32" s="868">
        <f t="shared" si="12"/>
        <v>3.0000000000000001E-3</v>
      </c>
      <c r="O32" s="666"/>
      <c r="R32" s="120">
        <f t="shared" si="10"/>
        <v>6</v>
      </c>
      <c r="S32" s="196">
        <f t="shared" si="1"/>
        <v>0</v>
      </c>
      <c r="T32" s="196">
        <f t="shared" si="2"/>
        <v>0</v>
      </c>
      <c r="U32" s="196">
        <f t="shared" si="3"/>
        <v>0</v>
      </c>
      <c r="V32" s="196">
        <f t="shared" si="4"/>
        <v>0</v>
      </c>
      <c r="W32" s="196">
        <f t="shared" si="5"/>
        <v>0</v>
      </c>
      <c r="X32" s="196">
        <f t="shared" si="6"/>
        <v>0</v>
      </c>
      <c r="Y32" s="196"/>
      <c r="Z32" s="708">
        <v>0</v>
      </c>
      <c r="AA32" s="708">
        <v>0</v>
      </c>
      <c r="AB32" s="708">
        <v>0</v>
      </c>
    </row>
    <row r="33" spans="1:28" s="185" customFormat="1" ht="15" customHeight="1" x14ac:dyDescent="0.25">
      <c r="A33" s="250">
        <v>1.5</v>
      </c>
      <c r="B33" s="250">
        <f t="shared" si="11"/>
        <v>3.81</v>
      </c>
      <c r="C33" s="258"/>
      <c r="D33" s="824">
        <v>412</v>
      </c>
      <c r="E33" s="203">
        <f t="shared" si="7"/>
        <v>100.89830983106884</v>
      </c>
      <c r="F33" s="824">
        <v>276</v>
      </c>
      <c r="G33" s="203">
        <f t="shared" si="8"/>
        <v>67.549304887658593</v>
      </c>
      <c r="H33" s="824">
        <v>186</v>
      </c>
      <c r="I33" s="203">
        <f t="shared" si="9"/>
        <v>45.402517966853651</v>
      </c>
      <c r="J33" s="253"/>
      <c r="K33" s="867">
        <f>+K32+1</f>
        <v>41953</v>
      </c>
      <c r="L33" s="868">
        <f t="shared" si="12"/>
        <v>0</v>
      </c>
      <c r="M33" s="868">
        <f t="shared" si="12"/>
        <v>1E-3</v>
      </c>
      <c r="N33" s="868">
        <f t="shared" si="12"/>
        <v>3.0000000000000001E-3</v>
      </c>
      <c r="O33" s="666"/>
      <c r="R33" s="120">
        <f t="shared" si="10"/>
        <v>7</v>
      </c>
      <c r="S33" s="196">
        <f t="shared" si="1"/>
        <v>0</v>
      </c>
      <c r="T33" s="196">
        <f t="shared" si="2"/>
        <v>0</v>
      </c>
      <c r="U33" s="196">
        <f t="shared" si="3"/>
        <v>0</v>
      </c>
      <c r="V33" s="196">
        <f t="shared" si="4"/>
        <v>0</v>
      </c>
      <c r="W33" s="196">
        <f t="shared" si="5"/>
        <v>0</v>
      </c>
      <c r="X33" s="196">
        <f t="shared" si="6"/>
        <v>0</v>
      </c>
      <c r="Z33" s="709">
        <v>0</v>
      </c>
      <c r="AA33" s="709">
        <v>1</v>
      </c>
      <c r="AB33" s="709">
        <v>3</v>
      </c>
    </row>
    <row r="34" spans="1:28" s="185" customFormat="1" ht="15" customHeight="1" x14ac:dyDescent="0.25">
      <c r="A34" s="250">
        <v>2</v>
      </c>
      <c r="B34" s="250">
        <f t="shared" si="11"/>
        <v>5.08</v>
      </c>
      <c r="C34" s="258">
        <v>104</v>
      </c>
      <c r="D34" s="824">
        <v>529</v>
      </c>
      <c r="E34" s="203">
        <f t="shared" si="7"/>
        <v>129.47534153204381</v>
      </c>
      <c r="F34" s="824">
        <v>355</v>
      </c>
      <c r="G34" s="203">
        <f t="shared" si="8"/>
        <v>86.938331268069774</v>
      </c>
      <c r="H34" s="824">
        <v>249</v>
      </c>
      <c r="I34" s="203">
        <f t="shared" si="9"/>
        <v>60.911757739465536</v>
      </c>
      <c r="J34" s="265"/>
      <c r="K34" s="867">
        <f>+K33+1</f>
        <v>41954</v>
      </c>
      <c r="L34" s="868">
        <f t="shared" si="12"/>
        <v>0</v>
      </c>
      <c r="M34" s="868">
        <f t="shared" si="12"/>
        <v>1E-3</v>
      </c>
      <c r="N34" s="868">
        <f t="shared" si="12"/>
        <v>3.0000000000000001E-3</v>
      </c>
      <c r="O34" s="666"/>
      <c r="R34" s="120">
        <f t="shared" si="10"/>
        <v>8</v>
      </c>
      <c r="S34" s="196">
        <f t="shared" si="1"/>
        <v>0</v>
      </c>
      <c r="T34" s="196">
        <f t="shared" si="2"/>
        <v>0</v>
      </c>
      <c r="U34" s="196">
        <f t="shared" si="3"/>
        <v>0</v>
      </c>
      <c r="V34" s="196">
        <f t="shared" si="4"/>
        <v>0</v>
      </c>
      <c r="W34" s="196">
        <f t="shared" si="5"/>
        <v>0</v>
      </c>
      <c r="X34" s="196">
        <f t="shared" si="6"/>
        <v>0</v>
      </c>
      <c r="Z34" s="709">
        <v>0</v>
      </c>
      <c r="AA34" s="709">
        <v>1</v>
      </c>
      <c r="AB34" s="709">
        <v>3</v>
      </c>
    </row>
    <row r="35" spans="1:28" s="185" customFormat="1" ht="15" customHeight="1" x14ac:dyDescent="0.25">
      <c r="A35" s="250">
        <v>2.5</v>
      </c>
      <c r="B35" s="250">
        <f t="shared" si="11"/>
        <v>6.35</v>
      </c>
      <c r="C35" s="258"/>
      <c r="D35" s="824">
        <v>662</v>
      </c>
      <c r="E35" s="203">
        <f t="shared" si="7"/>
        <v>161.83350219402899</v>
      </c>
      <c r="F35" s="824">
        <v>448</v>
      </c>
      <c r="G35" s="203">
        <f t="shared" si="8"/>
        <v>109.70236653879252</v>
      </c>
      <c r="H35" s="824">
        <v>296</v>
      </c>
      <c r="I35" s="203">
        <f t="shared" si="9"/>
        <v>72.462420592748401</v>
      </c>
      <c r="J35" s="253"/>
      <c r="K35" s="825">
        <f>+K34+1</f>
        <v>41955</v>
      </c>
      <c r="L35" s="826">
        <f t="shared" si="12"/>
        <v>0</v>
      </c>
      <c r="M35" s="826">
        <f t="shared" si="12"/>
        <v>2E-3</v>
      </c>
      <c r="N35" s="826">
        <f t="shared" si="12"/>
        <v>3.0000000000000001E-3</v>
      </c>
      <c r="O35" s="666"/>
      <c r="R35" s="120">
        <f t="shared" si="10"/>
        <v>9</v>
      </c>
      <c r="S35" s="196">
        <f t="shared" si="1"/>
        <v>0</v>
      </c>
      <c r="T35" s="196">
        <f t="shared" si="2"/>
        <v>0</v>
      </c>
      <c r="U35" s="196">
        <f t="shared" si="3"/>
        <v>0</v>
      </c>
      <c r="V35" s="196">
        <f t="shared" si="4"/>
        <v>0</v>
      </c>
      <c r="W35" s="196">
        <f t="shared" si="5"/>
        <v>0</v>
      </c>
      <c r="X35" s="196">
        <f t="shared" si="6"/>
        <v>0</v>
      </c>
      <c r="Z35" s="709">
        <v>0</v>
      </c>
      <c r="AA35" s="709">
        <v>1</v>
      </c>
      <c r="AB35" s="709">
        <v>3</v>
      </c>
    </row>
    <row r="36" spans="1:28" s="185" customFormat="1" ht="15" customHeight="1" x14ac:dyDescent="0.25">
      <c r="A36" s="250">
        <v>3</v>
      </c>
      <c r="B36" s="250">
        <f t="shared" si="11"/>
        <v>7.62</v>
      </c>
      <c r="C36" s="258"/>
      <c r="D36" s="824">
        <v>761</v>
      </c>
      <c r="E36" s="203">
        <f t="shared" si="7"/>
        <v>185.83203416458724</v>
      </c>
      <c r="F36" s="824">
        <v>516</v>
      </c>
      <c r="G36" s="203">
        <f t="shared" si="8"/>
        <v>126.30527335993165</v>
      </c>
      <c r="H36" s="824">
        <v>352</v>
      </c>
      <c r="I36" s="203">
        <f t="shared" si="9"/>
        <v>86.202908895174986</v>
      </c>
      <c r="J36" s="253"/>
      <c r="K36" s="869" t="s">
        <v>268</v>
      </c>
      <c r="L36" s="870">
        <f>+(L35-L31)/4.7*100</f>
        <v>0</v>
      </c>
      <c r="M36" s="870">
        <f>+(M35-M31)/4.7*100</f>
        <v>4.2553191489361701E-2</v>
      </c>
      <c r="N36" s="870">
        <f>+(N35-N31)/4.7*100</f>
        <v>6.3829787234042548E-2</v>
      </c>
      <c r="O36" s="666"/>
      <c r="R36" s="120">
        <f t="shared" si="10"/>
        <v>10</v>
      </c>
      <c r="S36" s="196">
        <f t="shared" si="1"/>
        <v>0</v>
      </c>
      <c r="T36" s="196">
        <f t="shared" si="2"/>
        <v>0</v>
      </c>
      <c r="U36" s="196">
        <f t="shared" si="3"/>
        <v>5257</v>
      </c>
      <c r="V36" s="196">
        <f t="shared" si="4"/>
        <v>2137.0536766679343</v>
      </c>
      <c r="W36" s="196">
        <f t="shared" si="5"/>
        <v>0</v>
      </c>
      <c r="X36" s="196">
        <f t="shared" si="6"/>
        <v>0</v>
      </c>
      <c r="Z36" s="709">
        <v>0</v>
      </c>
      <c r="AA36" s="709">
        <v>2</v>
      </c>
      <c r="AB36" s="709">
        <v>3</v>
      </c>
    </row>
    <row r="37" spans="1:28" s="185" customFormat="1" ht="15" customHeight="1" x14ac:dyDescent="0.25">
      <c r="A37" s="250">
        <v>3.5</v>
      </c>
      <c r="B37" s="250">
        <f t="shared" si="11"/>
        <v>8.89</v>
      </c>
      <c r="C37" s="258"/>
      <c r="D37" s="417"/>
      <c r="E37" s="203"/>
      <c r="F37" s="416"/>
      <c r="G37" s="203"/>
      <c r="H37" s="417"/>
      <c r="I37" s="203"/>
      <c r="J37" s="253"/>
      <c r="K37" s="253"/>
      <c r="L37" s="253"/>
      <c r="M37" s="253"/>
      <c r="N37" s="253"/>
      <c r="O37" s="666"/>
      <c r="R37" s="120">
        <f t="shared" si="10"/>
        <v>11</v>
      </c>
      <c r="S37" s="196">
        <f t="shared" si="1"/>
        <v>0</v>
      </c>
      <c r="T37" s="196">
        <f t="shared" si="2"/>
        <v>0</v>
      </c>
      <c r="U37" s="196">
        <f t="shared" si="3"/>
        <v>0</v>
      </c>
      <c r="V37" s="196">
        <f t="shared" si="4"/>
        <v>0</v>
      </c>
      <c r="W37" s="196">
        <f t="shared" si="5"/>
        <v>0</v>
      </c>
      <c r="X37" s="196">
        <f t="shared" si="6"/>
        <v>0</v>
      </c>
    </row>
    <row r="38" spans="1:28" s="185" customFormat="1" ht="15" customHeight="1" x14ac:dyDescent="0.25">
      <c r="A38" s="250">
        <v>4</v>
      </c>
      <c r="B38" s="250">
        <f t="shared" si="11"/>
        <v>10.16</v>
      </c>
      <c r="C38" s="258"/>
      <c r="D38" s="417"/>
      <c r="E38" s="203"/>
      <c r="F38" s="416"/>
      <c r="G38" s="203"/>
      <c r="H38" s="417"/>
      <c r="I38" s="203"/>
      <c r="J38" s="253"/>
      <c r="K38" s="266"/>
      <c r="L38" s="253"/>
      <c r="M38" s="253"/>
      <c r="N38" s="253"/>
      <c r="O38" s="666"/>
      <c r="R38" s="120">
        <f t="shared" si="10"/>
        <v>12</v>
      </c>
      <c r="S38" s="196">
        <f t="shared" si="1"/>
        <v>0</v>
      </c>
      <c r="T38" s="196">
        <f t="shared" si="2"/>
        <v>0</v>
      </c>
      <c r="U38" s="196">
        <f t="shared" si="3"/>
        <v>0</v>
      </c>
      <c r="V38" s="196">
        <f t="shared" si="4"/>
        <v>0</v>
      </c>
      <c r="W38" s="196">
        <f t="shared" si="5"/>
        <v>0</v>
      </c>
      <c r="X38" s="196">
        <f t="shared" si="6"/>
        <v>0</v>
      </c>
    </row>
    <row r="39" spans="1:28" s="185" customFormat="1" ht="15" customHeight="1" x14ac:dyDescent="0.25">
      <c r="A39" s="250">
        <v>4.5</v>
      </c>
      <c r="B39" s="250">
        <f t="shared" si="11"/>
        <v>11.43</v>
      </c>
      <c r="C39" s="258"/>
      <c r="D39" s="417"/>
      <c r="E39" s="203"/>
      <c r="F39" s="416"/>
      <c r="G39" s="203"/>
      <c r="H39" s="416"/>
      <c r="I39" s="203"/>
      <c r="J39" s="253"/>
      <c r="K39" s="253"/>
      <c r="L39" s="253"/>
      <c r="M39" s="253"/>
      <c r="N39" s="253"/>
      <c r="O39" s="666"/>
      <c r="R39" s="196">
        <v>100</v>
      </c>
      <c r="S39" s="196">
        <f t="shared" si="1"/>
        <v>0</v>
      </c>
      <c r="T39" s="196">
        <f t="shared" si="2"/>
        <v>0</v>
      </c>
      <c r="U39" s="196">
        <f t="shared" si="3"/>
        <v>0</v>
      </c>
      <c r="V39" s="196">
        <f t="shared" si="4"/>
        <v>0</v>
      </c>
      <c r="W39" s="196">
        <f t="shared" si="5"/>
        <v>0</v>
      </c>
      <c r="X39" s="196">
        <f t="shared" si="6"/>
        <v>0</v>
      </c>
    </row>
    <row r="40" spans="1:28" s="185" customFormat="1" ht="15" customHeight="1" x14ac:dyDescent="0.25">
      <c r="A40" s="250">
        <v>5</v>
      </c>
      <c r="B40" s="250">
        <f t="shared" si="11"/>
        <v>12.7</v>
      </c>
      <c r="C40" s="258"/>
      <c r="D40" s="417"/>
      <c r="E40" s="203"/>
      <c r="F40" s="416"/>
      <c r="G40" s="203"/>
      <c r="H40" s="416"/>
      <c r="I40" s="203"/>
      <c r="J40" s="253"/>
      <c r="K40" s="253"/>
      <c r="L40" s="253"/>
      <c r="M40" s="253"/>
      <c r="N40" s="267"/>
      <c r="O40" s="666"/>
      <c r="R40" s="196">
        <v>101</v>
      </c>
      <c r="S40" s="196">
        <f t="shared" si="1"/>
        <v>0</v>
      </c>
      <c r="T40" s="196">
        <f t="shared" si="2"/>
        <v>0</v>
      </c>
      <c r="U40" s="196">
        <f t="shared" si="3"/>
        <v>0</v>
      </c>
      <c r="V40" s="196">
        <f t="shared" si="4"/>
        <v>0</v>
      </c>
      <c r="W40" s="196">
        <f t="shared" si="5"/>
        <v>0</v>
      </c>
      <c r="X40" s="196">
        <f t="shared" si="6"/>
        <v>0</v>
      </c>
    </row>
    <row r="41" spans="1:28" s="185" customFormat="1" ht="15" customHeight="1" x14ac:dyDescent="0.25">
      <c r="A41" s="692"/>
      <c r="B41" s="661"/>
      <c r="C41" s="661"/>
      <c r="D41" s="710"/>
      <c r="E41" s="661"/>
      <c r="F41" s="661"/>
      <c r="G41" s="711"/>
      <c r="H41" s="661"/>
      <c r="I41" s="661"/>
      <c r="J41" s="710"/>
      <c r="K41" s="661"/>
      <c r="L41" s="661"/>
      <c r="M41" s="661"/>
      <c r="N41" s="661"/>
      <c r="O41" s="296"/>
      <c r="R41" s="196">
        <v>102</v>
      </c>
      <c r="S41" s="196">
        <f t="shared" si="1"/>
        <v>0</v>
      </c>
      <c r="T41" s="196">
        <f t="shared" si="2"/>
        <v>0</v>
      </c>
      <c r="U41" s="196">
        <f t="shared" si="3"/>
        <v>0</v>
      </c>
      <c r="V41" s="196">
        <f t="shared" si="4"/>
        <v>0</v>
      </c>
      <c r="W41" s="196">
        <f t="shared" si="5"/>
        <v>0</v>
      </c>
      <c r="X41" s="196">
        <f t="shared" si="6"/>
        <v>0</v>
      </c>
    </row>
    <row r="42" spans="1:28" s="185" customFormat="1" ht="15" customHeight="1" x14ac:dyDescent="0.25">
      <c r="A42" s="658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8"/>
      <c r="R42" s="196"/>
      <c r="S42" s="196">
        <f t="shared" ref="S42:X42" si="13">+SUM(S27:S41)</f>
        <v>0</v>
      </c>
      <c r="T42" s="196">
        <f t="shared" si="13"/>
        <v>0</v>
      </c>
      <c r="U42" s="196">
        <f t="shared" si="13"/>
        <v>5257</v>
      </c>
      <c r="V42" s="196">
        <f t="shared" si="13"/>
        <v>2137.0536766679343</v>
      </c>
      <c r="W42" s="196">
        <f t="shared" si="13"/>
        <v>0</v>
      </c>
      <c r="X42" s="196">
        <f t="shared" si="13"/>
        <v>0</v>
      </c>
    </row>
    <row r="43" spans="1:28" s="185" customFormat="1" ht="15" customHeight="1" x14ac:dyDescent="0.25">
      <c r="R43" s="196"/>
      <c r="S43" s="196"/>
      <c r="T43" s="196"/>
      <c r="U43" s="196"/>
      <c r="V43" s="196"/>
      <c r="W43" s="196"/>
      <c r="X43" s="196"/>
    </row>
    <row r="44" spans="1:28" s="185" customFormat="1" ht="15" customHeight="1" x14ac:dyDescent="0.25">
      <c r="R44" s="196"/>
      <c r="S44" s="196"/>
      <c r="T44" s="196"/>
      <c r="U44" s="196"/>
      <c r="V44" s="196"/>
      <c r="W44" s="196"/>
      <c r="X44" s="196"/>
    </row>
    <row r="45" spans="1:28" s="185" customFormat="1" ht="15" customHeight="1" x14ac:dyDescent="0.25">
      <c r="R45" s="196"/>
      <c r="S45" s="196"/>
      <c r="T45" s="196"/>
      <c r="U45" s="196"/>
      <c r="V45" s="196"/>
      <c r="W45" s="196"/>
      <c r="X45" s="196"/>
    </row>
    <row r="46" spans="1:28" s="185" customFormat="1" ht="11.25" customHeight="1" x14ac:dyDescent="0.25">
      <c r="R46" s="196"/>
      <c r="S46" s="196"/>
      <c r="T46" s="196"/>
      <c r="U46" s="196"/>
      <c r="V46" s="196"/>
      <c r="W46" s="196"/>
      <c r="X46" s="196"/>
    </row>
    <row r="47" spans="1:28" s="185" customFormat="1" ht="15" customHeight="1" x14ac:dyDescent="0.25">
      <c r="R47" s="196"/>
      <c r="S47" s="196"/>
      <c r="T47" s="196"/>
      <c r="U47" s="196"/>
      <c r="V47" s="196"/>
      <c r="W47" s="196"/>
      <c r="X47" s="196"/>
    </row>
    <row r="48" spans="1:28" s="185" customFormat="1" ht="15" customHeight="1" x14ac:dyDescent="0.25">
      <c r="R48" s="196"/>
      <c r="S48" s="196"/>
      <c r="T48" s="196"/>
      <c r="U48" s="196"/>
      <c r="V48" s="196"/>
      <c r="W48" s="196"/>
      <c r="X48" s="196"/>
    </row>
    <row r="49" spans="1:24" s="185" customFormat="1" ht="15" customHeight="1" x14ac:dyDescent="0.25">
      <c r="R49" s="196"/>
      <c r="S49" s="196"/>
      <c r="T49" s="196"/>
      <c r="U49" s="196"/>
      <c r="V49" s="196"/>
      <c r="W49" s="196"/>
      <c r="X49" s="196"/>
    </row>
    <row r="50" spans="1:24" s="185" customFormat="1" ht="15.9" customHeight="1" x14ac:dyDescent="0.25"/>
    <row r="51" spans="1:24" s="185" customFormat="1" ht="12.75" customHeight="1" x14ac:dyDescent="0.25">
      <c r="A51" s="509"/>
      <c r="B51" s="186"/>
      <c r="C51" s="186"/>
      <c r="D51" s="186"/>
      <c r="E51" s="224"/>
      <c r="F51" s="186"/>
      <c r="I51" s="509"/>
    </row>
    <row r="52" spans="1:24" ht="21" customHeight="1" x14ac:dyDescent="0.25">
      <c r="A52" s="1069" t="s">
        <v>466</v>
      </c>
      <c r="B52" s="1069"/>
      <c r="C52" s="1069"/>
      <c r="D52" s="1069"/>
      <c r="E52" s="1069"/>
      <c r="F52" s="1069"/>
      <c r="G52" s="1069"/>
      <c r="H52" s="1069"/>
      <c r="I52" s="1069"/>
      <c r="J52" s="1069"/>
      <c r="K52" s="1069"/>
      <c r="L52" s="1069"/>
      <c r="M52" s="1069"/>
      <c r="N52" s="1069"/>
      <c r="O52" s="1069"/>
      <c r="P52" s="712"/>
      <c r="Q52" s="712"/>
      <c r="R52" s="120">
        <v>1000</v>
      </c>
      <c r="S52" s="185" t="s">
        <v>270</v>
      </c>
      <c r="T52" s="185"/>
      <c r="U52" s="185"/>
      <c r="V52" s="185"/>
      <c r="W52" s="185"/>
      <c r="X52" s="185"/>
    </row>
    <row r="53" spans="1:24" ht="15" customHeight="1" x14ac:dyDescent="0.2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L53" s="185"/>
      <c r="M53" s="185"/>
      <c r="N53" s="185"/>
      <c r="O53" s="185"/>
      <c r="P53" s="185"/>
      <c r="Q53" s="185"/>
      <c r="R53" s="212">
        <f>+R52/2.54/2.54*0.454</f>
        <v>70.370140740281485</v>
      </c>
      <c r="S53" s="185" t="s">
        <v>271</v>
      </c>
      <c r="T53" s="185"/>
      <c r="U53" s="185"/>
      <c r="V53" s="185"/>
      <c r="W53" s="185"/>
      <c r="X53" s="185"/>
    </row>
    <row r="54" spans="1:24" ht="15" customHeight="1" x14ac:dyDescent="0.25">
      <c r="L54" s="185"/>
      <c r="M54" s="185"/>
      <c r="N54" s="185"/>
      <c r="O54" s="185"/>
      <c r="P54" s="185"/>
      <c r="Q54" s="185"/>
    </row>
    <row r="55" spans="1:24" ht="15" hidden="1" customHeight="1" x14ac:dyDescent="0.25">
      <c r="L55" s="185"/>
      <c r="M55" s="185"/>
      <c r="N55" s="185"/>
      <c r="O55" s="185"/>
      <c r="P55" s="185"/>
      <c r="Q55" s="185"/>
    </row>
    <row r="56" spans="1:24" ht="15" hidden="1" customHeight="1" x14ac:dyDescent="0.25">
      <c r="A56" s="186" t="s">
        <v>263</v>
      </c>
      <c r="C56" s="185">
        <f>+E16</f>
        <v>15</v>
      </c>
      <c r="D56" s="185">
        <f>+F16</f>
        <v>10</v>
      </c>
      <c r="E56" s="185">
        <f>+G16</f>
        <v>32</v>
      </c>
      <c r="G56" s="185"/>
      <c r="L56" s="185"/>
      <c r="M56" s="185"/>
      <c r="N56" s="185"/>
      <c r="O56" s="185"/>
      <c r="P56" s="185"/>
    </row>
    <row r="57" spans="1:24" ht="15" hidden="1" customHeight="1" x14ac:dyDescent="0.25">
      <c r="A57" s="269"/>
      <c r="B57" s="269"/>
      <c r="C57" s="269"/>
      <c r="D57" s="185"/>
      <c r="E57" s="185"/>
      <c r="F57" s="185"/>
      <c r="G57" s="185"/>
      <c r="H57" s="185"/>
      <c r="I57" s="185"/>
    </row>
    <row r="58" spans="1:24" ht="15" customHeight="1" x14ac:dyDescent="0.25">
      <c r="A58" s="1050" t="s">
        <v>379</v>
      </c>
      <c r="B58" s="1050"/>
      <c r="C58" s="1050"/>
      <c r="D58" s="1050"/>
      <c r="E58" s="1050"/>
      <c r="F58" s="1050"/>
      <c r="G58" s="1050"/>
      <c r="H58" s="1050"/>
      <c r="I58" s="1050"/>
      <c r="J58" s="1050"/>
    </row>
    <row r="59" spans="1:24" ht="15" customHeight="1" x14ac:dyDescent="0.25">
      <c r="A59" s="1050"/>
      <c r="B59" s="1050"/>
      <c r="C59" s="1050"/>
      <c r="D59" s="1050"/>
      <c r="E59" s="1050"/>
      <c r="F59" s="1050"/>
      <c r="G59" s="1050"/>
      <c r="H59" s="1050"/>
      <c r="I59" s="1050"/>
      <c r="J59" s="1050"/>
    </row>
    <row r="60" spans="1:24" ht="15" customHeight="1" x14ac:dyDescent="0.25">
      <c r="C60" s="186" t="s">
        <v>380</v>
      </c>
    </row>
    <row r="61" spans="1:24" ht="15" customHeight="1" x14ac:dyDescent="0.25">
      <c r="D61" s="186" t="s">
        <v>275</v>
      </c>
    </row>
    <row r="62" spans="1:24" ht="15" customHeight="1" x14ac:dyDescent="0.25">
      <c r="J62" s="1051"/>
      <c r="K62" s="1051"/>
    </row>
    <row r="63" spans="1:24" ht="15" customHeight="1" x14ac:dyDescent="0.25">
      <c r="D63" s="500" t="s">
        <v>334</v>
      </c>
      <c r="E63" s="1044">
        <v>-10.797347164</v>
      </c>
      <c r="F63" s="1044"/>
      <c r="I63" s="224"/>
      <c r="J63" s="224"/>
      <c r="K63" s="415"/>
    </row>
    <row r="64" spans="1:24" ht="15" customHeight="1" x14ac:dyDescent="0.25">
      <c r="D64" s="500" t="s">
        <v>335</v>
      </c>
      <c r="E64" s="1044">
        <v>4.7501944299999996</v>
      </c>
      <c r="F64" s="1044"/>
    </row>
    <row r="65" spans="4:7" ht="15" customHeight="1" x14ac:dyDescent="0.2">
      <c r="D65" s="500" t="s">
        <v>336</v>
      </c>
      <c r="E65" s="1070">
        <v>-7.3115999999999996E-5</v>
      </c>
      <c r="F65" s="1070"/>
    </row>
    <row r="66" spans="4:7" ht="15" customHeight="1" x14ac:dyDescent="0.25">
      <c r="D66" s="186" t="s">
        <v>273</v>
      </c>
    </row>
    <row r="67" spans="4:7" ht="15" customHeight="1" x14ac:dyDescent="0.25">
      <c r="D67" s="186" t="s">
        <v>274</v>
      </c>
    </row>
    <row r="68" spans="4:7" ht="15" customHeight="1" x14ac:dyDescent="0.25">
      <c r="D68" s="501" t="s">
        <v>337</v>
      </c>
      <c r="F68" s="186">
        <f>+PI()*4.94*4.94/4</f>
        <v>19.16654262028597</v>
      </c>
      <c r="G68" s="186" t="s">
        <v>338</v>
      </c>
    </row>
  </sheetData>
  <protectedRanges>
    <protectedRange sqref="L11" name="Rango3_3_1_1_1_2"/>
    <protectedRange sqref="D10" name="Rango3_3_1_1_1_1_1_1_1_1"/>
  </protectedRanges>
  <mergeCells count="36">
    <mergeCell ref="N10:O10"/>
    <mergeCell ref="A7:O7"/>
    <mergeCell ref="A52:O52"/>
    <mergeCell ref="E63:F63"/>
    <mergeCell ref="E64:F64"/>
    <mergeCell ref="E65:F65"/>
    <mergeCell ref="A16:D16"/>
    <mergeCell ref="A19:D19"/>
    <mergeCell ref="A27:A28"/>
    <mergeCell ref="D27:D28"/>
    <mergeCell ref="F27:F28"/>
    <mergeCell ref="A23:D23"/>
    <mergeCell ref="I18:K18"/>
    <mergeCell ref="I23:K23"/>
    <mergeCell ref="A20:D20"/>
    <mergeCell ref="I20:K20"/>
    <mergeCell ref="A21:D21"/>
    <mergeCell ref="I21:K21"/>
    <mergeCell ref="B27:B28"/>
    <mergeCell ref="A22:D22"/>
    <mergeCell ref="I19:K19"/>
    <mergeCell ref="I22:K22"/>
    <mergeCell ref="I16:K16"/>
    <mergeCell ref="A17:D17"/>
    <mergeCell ref="I17:K17"/>
    <mergeCell ref="A18:D18"/>
    <mergeCell ref="A58:J59"/>
    <mergeCell ref="J62:K62"/>
    <mergeCell ref="K29:K30"/>
    <mergeCell ref="L29:N29"/>
    <mergeCell ref="A25:I25"/>
    <mergeCell ref="D26:E26"/>
    <mergeCell ref="F26:G26"/>
    <mergeCell ref="H26:I26"/>
    <mergeCell ref="A26:B26"/>
    <mergeCell ref="H27:H28"/>
  </mergeCells>
  <phoneticPr fontId="0" type="noConversion"/>
  <printOptions horizontalCentered="1" verticalCentered="1"/>
  <pageMargins left="0.39370078740157483" right="0.39370078740157483" top="0.74803149606299213" bottom="0.39370078740157483" header="0.31496062992125984" footer="0.31496062992125984"/>
  <pageSetup paperSize="9" scale="93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DD61-654A-46D7-B79A-8A86C0FE3782}">
  <sheetPr codeName="Hoja4"/>
  <dimension ref="A1:Y62"/>
  <sheetViews>
    <sheetView view="pageBreakPreview" topLeftCell="A31" zoomScaleNormal="100" zoomScaleSheetLayoutView="100" workbookViewId="0">
      <selection activeCell="S50" sqref="S50"/>
    </sheetView>
  </sheetViews>
  <sheetFormatPr baseColWidth="10" defaultColWidth="5.5546875" defaultRowHeight="15" customHeight="1" x14ac:dyDescent="0.25"/>
  <cols>
    <col min="1" max="16384" width="5.5546875" style="186"/>
  </cols>
  <sheetData>
    <row r="1" spans="1:25" ht="15.75" customHeight="1" thickTop="1" x14ac:dyDescent="0.25">
      <c r="A1" s="646"/>
      <c r="B1" s="647"/>
      <c r="C1" s="647"/>
      <c r="D1" s="647"/>
      <c r="E1" s="647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64"/>
    </row>
    <row r="2" spans="1:25" ht="15.75" customHeight="1" x14ac:dyDescent="0.25">
      <c r="A2" s="649"/>
      <c r="B2" s="645"/>
      <c r="C2" s="645"/>
      <c r="D2" s="645"/>
      <c r="E2" s="64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650"/>
    </row>
    <row r="3" spans="1:25" ht="15.75" customHeight="1" x14ac:dyDescent="0.25">
      <c r="A3" s="649"/>
      <c r="B3" s="645"/>
      <c r="C3" s="645"/>
      <c r="D3" s="645"/>
      <c r="E3" s="64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650"/>
    </row>
    <row r="4" spans="1:25" ht="15.75" customHeight="1" x14ac:dyDescent="0.25">
      <c r="A4" s="649"/>
      <c r="B4" s="645"/>
      <c r="C4" s="645"/>
      <c r="D4" s="645"/>
      <c r="E4" s="64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650"/>
    </row>
    <row r="5" spans="1:25" ht="15.75" customHeight="1" x14ac:dyDescent="0.25">
      <c r="A5" s="649"/>
      <c r="B5" s="645"/>
      <c r="C5" s="645"/>
      <c r="D5" s="645"/>
      <c r="E5" s="64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650"/>
    </row>
    <row r="6" spans="1:25" ht="15.75" customHeight="1" thickBot="1" x14ac:dyDescent="0.3">
      <c r="A6" s="651"/>
      <c r="B6" s="230"/>
      <c r="C6" s="231"/>
      <c r="D6" s="230"/>
      <c r="E6" s="230"/>
      <c r="F6" s="230"/>
      <c r="G6" s="230"/>
      <c r="H6" s="230"/>
      <c r="I6" s="230"/>
      <c r="J6" s="230"/>
      <c r="K6" s="230"/>
      <c r="L6" s="230"/>
      <c r="M6" s="231"/>
      <c r="N6" s="230"/>
      <c r="O6" s="230"/>
      <c r="P6" s="230"/>
      <c r="Q6" s="652"/>
    </row>
    <row r="7" spans="1:25" ht="42" customHeight="1" thickTop="1" x14ac:dyDescent="0.25">
      <c r="A7" s="1068" t="s">
        <v>464</v>
      </c>
      <c r="B7" s="1068"/>
      <c r="C7" s="1068"/>
      <c r="D7" s="1068"/>
      <c r="E7" s="1068"/>
      <c r="F7" s="1068"/>
      <c r="G7" s="1068"/>
      <c r="H7" s="1068"/>
      <c r="I7" s="1068"/>
      <c r="J7" s="1068"/>
      <c r="K7" s="1068"/>
      <c r="L7" s="1068"/>
      <c r="M7" s="1068"/>
      <c r="N7" s="1068"/>
      <c r="O7" s="1068"/>
      <c r="P7" s="1068"/>
      <c r="Q7" s="1068"/>
    </row>
    <row r="8" spans="1:25" ht="12.9" customHeight="1" x14ac:dyDescent="0.25">
      <c r="A8" s="659" t="s">
        <v>448</v>
      </c>
      <c r="B8" s="658"/>
      <c r="C8" s="874" t="s">
        <v>0</v>
      </c>
      <c r="D8" s="668" t="str">
        <f>+Datos!D8</f>
        <v>Aldesa Construcciones S.A.</v>
      </c>
      <c r="E8" s="668"/>
      <c r="F8" s="668"/>
      <c r="G8" s="668"/>
      <c r="H8" s="668"/>
      <c r="I8" s="668"/>
      <c r="J8" s="668"/>
      <c r="K8" s="658"/>
      <c r="L8" s="659" t="s">
        <v>457</v>
      </c>
      <c r="M8" s="658"/>
      <c r="N8" s="658"/>
      <c r="O8" s="668" t="str">
        <f>+Datos!N8</f>
        <v>53-14 / CU-11</v>
      </c>
      <c r="P8" s="668"/>
      <c r="Q8" s="668"/>
    </row>
    <row r="9" spans="1:25" s="185" customFormat="1" ht="12.9" customHeight="1" x14ac:dyDescent="0.25">
      <c r="A9" s="741" t="s">
        <v>449</v>
      </c>
      <c r="C9" s="875" t="s">
        <v>0</v>
      </c>
      <c r="D9" s="669" t="str">
        <f>+Datos!D9</f>
        <v>Tunel de Puruchuco</v>
      </c>
      <c r="E9" s="669"/>
      <c r="F9" s="669"/>
      <c r="G9" s="669"/>
      <c r="H9" s="669"/>
      <c r="I9" s="669"/>
      <c r="J9" s="669"/>
      <c r="L9" s="657" t="s">
        <v>458</v>
      </c>
      <c r="O9" s="670" t="str">
        <f>+Datos!N9</f>
        <v>ACSA/CTP-14</v>
      </c>
      <c r="P9" s="670"/>
      <c r="Q9" s="670"/>
      <c r="R9" s="186"/>
      <c r="S9" s="186"/>
      <c r="T9" s="186"/>
      <c r="U9" s="186"/>
      <c r="V9" s="186"/>
      <c r="W9" s="186"/>
      <c r="X9" s="186"/>
      <c r="Y9" s="186"/>
    </row>
    <row r="10" spans="1:25" s="185" customFormat="1" ht="12.9" customHeight="1" x14ac:dyDescent="0.25">
      <c r="A10" s="657" t="s">
        <v>450</v>
      </c>
      <c r="C10" s="875" t="s">
        <v>0</v>
      </c>
      <c r="D10" s="655" t="str">
        <f>+Datos!D10</f>
        <v>Av. Javier Prado S/N Alt. Huaca de Puruchuco</v>
      </c>
      <c r="E10" s="655"/>
      <c r="F10" s="655"/>
      <c r="G10" s="655"/>
      <c r="H10" s="301"/>
      <c r="I10" s="301"/>
      <c r="J10" s="301"/>
      <c r="L10" s="657" t="s">
        <v>459</v>
      </c>
      <c r="O10" s="1072">
        <f>+Datos!N10</f>
        <v>41951</v>
      </c>
      <c r="P10" s="1072"/>
      <c r="Q10" s="301"/>
      <c r="R10" s="186"/>
      <c r="S10" s="186"/>
      <c r="T10" s="186"/>
      <c r="U10" s="186"/>
      <c r="V10" s="186"/>
      <c r="W10" s="186"/>
      <c r="X10" s="186"/>
      <c r="Y10" s="186"/>
    </row>
    <row r="11" spans="1:25" s="185" customFormat="1" ht="12.9" customHeight="1" x14ac:dyDescent="0.25">
      <c r="A11" s="865" t="s">
        <v>480</v>
      </c>
      <c r="C11" s="875" t="s">
        <v>0</v>
      </c>
      <c r="D11" s="655" t="str">
        <f>+Datos!D11</f>
        <v>Cantera Dorita</v>
      </c>
      <c r="E11" s="655"/>
      <c r="F11" s="655"/>
      <c r="G11" s="298"/>
      <c r="H11" s="301"/>
      <c r="I11" s="301"/>
      <c r="J11" s="301"/>
      <c r="L11" s="657" t="s">
        <v>460</v>
      </c>
      <c r="O11" s="670" t="str">
        <f>+Datos!N11</f>
        <v>Tec. Nelson</v>
      </c>
      <c r="P11" s="670"/>
      <c r="Q11" s="301"/>
      <c r="R11" s="186"/>
      <c r="S11" s="186"/>
      <c r="T11" s="186"/>
      <c r="U11" s="186"/>
      <c r="V11" s="186"/>
      <c r="W11" s="186"/>
      <c r="X11" s="186"/>
      <c r="Y11" s="186"/>
    </row>
    <row r="12" spans="1:25" s="185" customFormat="1" ht="12.9" customHeight="1" x14ac:dyDescent="0.25">
      <c r="A12" s="872" t="s">
        <v>481</v>
      </c>
      <c r="B12" s="661"/>
      <c r="C12" s="873" t="s">
        <v>198</v>
      </c>
      <c r="D12" s="672" t="str">
        <f>+Datos!D12</f>
        <v>Base Granular</v>
      </c>
      <c r="E12" s="672"/>
      <c r="F12" s="672"/>
      <c r="G12" s="672"/>
      <c r="H12" s="661"/>
      <c r="I12" s="661"/>
      <c r="J12" s="661"/>
      <c r="K12" s="662"/>
      <c r="L12" s="663"/>
      <c r="M12" s="661"/>
      <c r="N12" s="661"/>
      <c r="O12" s="661"/>
      <c r="P12" s="661"/>
      <c r="Q12" s="661"/>
      <c r="R12" s="186"/>
      <c r="S12" s="186"/>
      <c r="T12" s="186"/>
      <c r="U12" s="186"/>
      <c r="V12" s="186"/>
      <c r="W12" s="186"/>
      <c r="X12" s="186"/>
      <c r="Y12" s="186"/>
    </row>
    <row r="13" spans="1:25" s="185" customFormat="1" ht="12.9" customHeight="1" x14ac:dyDescent="0.25">
      <c r="A13" s="693" t="s">
        <v>205</v>
      </c>
      <c r="B13" s="694"/>
      <c r="C13" s="658"/>
      <c r="D13" s="658"/>
      <c r="E13" s="658"/>
      <c r="F13" s="695"/>
      <c r="G13" s="696">
        <f>+Datos!G13</f>
        <v>2.2810000000000001</v>
      </c>
      <c r="H13" s="697"/>
      <c r="I13" s="658"/>
      <c r="J13" s="658"/>
      <c r="K13" s="658"/>
      <c r="L13" s="658"/>
      <c r="M13" s="658"/>
      <c r="N13" s="658"/>
      <c r="O13" s="658"/>
      <c r="P13" s="658"/>
      <c r="Q13" s="665"/>
    </row>
    <row r="14" spans="1:25" s="185" customFormat="1" ht="12.9" customHeight="1" x14ac:dyDescent="0.25">
      <c r="A14" s="326" t="s">
        <v>162</v>
      </c>
      <c r="F14" s="232"/>
      <c r="G14" s="195">
        <f>+Datos!G14</f>
        <v>6.2</v>
      </c>
      <c r="Q14" s="666"/>
    </row>
    <row r="15" spans="1:25" s="185" customFormat="1" ht="15" customHeight="1" x14ac:dyDescent="0.25">
      <c r="A15" s="698"/>
      <c r="B15" s="196"/>
      <c r="C15" s="196"/>
      <c r="D15" s="196"/>
      <c r="E15" s="196"/>
      <c r="F15" s="260"/>
      <c r="G15" s="260"/>
      <c r="H15" s="257"/>
      <c r="I15" s="257"/>
      <c r="J15" s="257"/>
      <c r="K15" s="257"/>
      <c r="L15" s="257"/>
      <c r="M15" s="257"/>
      <c r="N15" s="257"/>
      <c r="P15" s="196"/>
      <c r="Q15" s="666"/>
    </row>
    <row r="16" spans="1:25" s="196" customFormat="1" ht="15" customHeight="1" x14ac:dyDescent="0.25">
      <c r="A16" s="699"/>
      <c r="B16" s="306"/>
      <c r="C16" s="306"/>
      <c r="D16" s="260"/>
      <c r="E16" s="260"/>
      <c r="F16" s="260"/>
      <c r="H16" s="306"/>
      <c r="I16" s="306"/>
      <c r="J16" s="306"/>
      <c r="K16" s="260"/>
      <c r="L16" s="260"/>
      <c r="M16" s="260"/>
      <c r="Q16" s="690"/>
    </row>
    <row r="17" spans="1:20" s="196" customFormat="1" ht="15" customHeight="1" x14ac:dyDescent="0.25">
      <c r="A17" s="699"/>
      <c r="B17" s="306"/>
      <c r="C17" s="306"/>
      <c r="D17" s="260"/>
      <c r="E17" s="260"/>
      <c r="F17" s="260"/>
      <c r="H17" s="306"/>
      <c r="I17" s="306"/>
      <c r="J17" s="306"/>
      <c r="K17" s="307"/>
      <c r="L17" s="307"/>
      <c r="M17" s="307"/>
      <c r="Q17" s="690"/>
    </row>
    <row r="18" spans="1:20" s="196" customFormat="1" ht="15" customHeight="1" x14ac:dyDescent="0.25">
      <c r="A18" s="699"/>
      <c r="B18" s="306"/>
      <c r="C18" s="306"/>
      <c r="D18" s="308"/>
      <c r="E18" s="260"/>
      <c r="F18" s="260"/>
      <c r="H18" s="306"/>
      <c r="I18" s="306"/>
      <c r="J18" s="306"/>
      <c r="K18" s="307"/>
      <c r="L18" s="307"/>
      <c r="M18" s="307"/>
      <c r="Q18" s="690"/>
    </row>
    <row r="19" spans="1:20" s="196" customFormat="1" ht="15" customHeight="1" x14ac:dyDescent="0.25">
      <c r="A19" s="699"/>
      <c r="B19" s="306"/>
      <c r="C19" s="306"/>
      <c r="D19" s="260"/>
      <c r="E19" s="260"/>
      <c r="F19" s="260"/>
      <c r="H19" s="306"/>
      <c r="I19" s="306"/>
      <c r="J19" s="306"/>
      <c r="K19" s="307"/>
      <c r="L19" s="307"/>
      <c r="M19" s="307"/>
      <c r="Q19" s="690"/>
    </row>
    <row r="20" spans="1:20" s="196" customFormat="1" ht="15" customHeight="1" x14ac:dyDescent="0.25">
      <c r="A20" s="699"/>
      <c r="B20" s="306"/>
      <c r="C20" s="306"/>
      <c r="D20" s="260"/>
      <c r="E20" s="260"/>
      <c r="F20" s="260"/>
      <c r="H20" s="306"/>
      <c r="I20" s="306"/>
      <c r="J20" s="306"/>
      <c r="K20" s="307"/>
      <c r="L20" s="307"/>
      <c r="M20" s="307"/>
      <c r="Q20" s="690"/>
    </row>
    <row r="21" spans="1:20" s="196" customFormat="1" ht="15" customHeight="1" x14ac:dyDescent="0.25">
      <c r="A21" s="699"/>
      <c r="B21" s="306"/>
      <c r="C21" s="306"/>
      <c r="D21" s="260"/>
      <c r="E21" s="260"/>
      <c r="F21" s="260"/>
      <c r="H21" s="306"/>
      <c r="I21" s="306"/>
      <c r="J21" s="306"/>
      <c r="K21" s="307"/>
      <c r="L21" s="307"/>
      <c r="M21" s="307"/>
      <c r="Q21" s="690"/>
    </row>
    <row r="22" spans="1:20" s="196" customFormat="1" ht="15" customHeight="1" x14ac:dyDescent="0.25">
      <c r="A22" s="699"/>
      <c r="B22" s="306"/>
      <c r="C22" s="306"/>
      <c r="D22" s="260"/>
      <c r="E22" s="260"/>
      <c r="F22" s="260"/>
      <c r="H22" s="306"/>
      <c r="I22" s="306"/>
      <c r="J22" s="306"/>
      <c r="K22" s="309"/>
      <c r="L22" s="309"/>
      <c r="M22" s="309"/>
      <c r="Q22" s="690"/>
    </row>
    <row r="23" spans="1:20" s="196" customFormat="1" ht="15" customHeight="1" x14ac:dyDescent="0.25">
      <c r="A23" s="699"/>
      <c r="B23" s="306"/>
      <c r="C23" s="306"/>
      <c r="D23" s="310"/>
      <c r="E23" s="310"/>
      <c r="F23" s="310"/>
      <c r="H23" s="306"/>
      <c r="I23" s="306"/>
      <c r="J23" s="306"/>
      <c r="K23" s="311"/>
      <c r="L23" s="311"/>
      <c r="M23" s="311"/>
      <c r="Q23" s="690"/>
    </row>
    <row r="24" spans="1:20" s="196" customFormat="1" ht="15" customHeight="1" x14ac:dyDescent="0.25">
      <c r="A24" s="700"/>
      <c r="Q24" s="690"/>
    </row>
    <row r="25" spans="1:20" s="196" customFormat="1" ht="15" customHeight="1" x14ac:dyDescent="0.25">
      <c r="A25" s="701"/>
      <c r="B25" s="312"/>
      <c r="C25" s="312"/>
      <c r="D25" s="312"/>
      <c r="E25" s="312"/>
      <c r="F25" s="312"/>
      <c r="G25" s="312"/>
      <c r="H25" s="312"/>
      <c r="Q25" s="690"/>
    </row>
    <row r="26" spans="1:20" s="196" customFormat="1" ht="15" customHeight="1" x14ac:dyDescent="0.25">
      <c r="A26" s="702"/>
      <c r="B26" s="121"/>
      <c r="C26" s="121"/>
      <c r="D26" s="121"/>
      <c r="E26" s="313"/>
      <c r="F26" s="313"/>
      <c r="G26" s="121"/>
      <c r="H26" s="121"/>
      <c r="Q26" s="690"/>
    </row>
    <row r="27" spans="1:20" s="196" customFormat="1" ht="15" customHeight="1" x14ac:dyDescent="0.25">
      <c r="A27" s="702"/>
      <c r="B27" s="121"/>
      <c r="C27" s="121"/>
      <c r="D27" s="121"/>
      <c r="E27" s="121"/>
      <c r="F27" s="121"/>
      <c r="G27" s="121"/>
      <c r="H27" s="121"/>
      <c r="J27" s="184"/>
      <c r="K27" s="185"/>
      <c r="L27" s="185"/>
      <c r="M27" s="185"/>
      <c r="Q27" s="690"/>
    </row>
    <row r="28" spans="1:20" s="196" customFormat="1" ht="15" customHeight="1" x14ac:dyDescent="0.25">
      <c r="A28" s="702"/>
      <c r="B28" s="121"/>
      <c r="C28" s="121"/>
      <c r="D28" s="121"/>
      <c r="E28" s="121"/>
      <c r="F28" s="121"/>
      <c r="G28" s="121"/>
      <c r="H28" s="121"/>
      <c r="J28" s="185"/>
      <c r="K28" s="185"/>
      <c r="L28" s="185"/>
      <c r="M28" s="185"/>
      <c r="Q28" s="690"/>
    </row>
    <row r="29" spans="1:20" s="196" customFormat="1" ht="15" customHeight="1" x14ac:dyDescent="0.25">
      <c r="A29" s="703"/>
      <c r="B29" s="260"/>
      <c r="C29" s="314"/>
      <c r="D29" s="314"/>
      <c r="E29" s="314"/>
      <c r="F29" s="314"/>
      <c r="G29" s="260"/>
      <c r="H29" s="314"/>
      <c r="J29" s="120"/>
      <c r="K29" s="120"/>
      <c r="L29" s="120"/>
      <c r="M29" s="120"/>
      <c r="Q29" s="690"/>
    </row>
    <row r="30" spans="1:20" s="196" customFormat="1" ht="9.9" customHeight="1" x14ac:dyDescent="0.25">
      <c r="A30" s="704" t="s">
        <v>340</v>
      </c>
      <c r="B30" s="316"/>
      <c r="C30" s="316"/>
      <c r="D30" s="317">
        <f>+Apoyo!E23/0.7</f>
        <v>105.71428571428572</v>
      </c>
      <c r="E30" s="316"/>
      <c r="F30" s="314"/>
      <c r="G30" s="315" t="s">
        <v>342</v>
      </c>
      <c r="H30" s="314"/>
      <c r="I30" s="185"/>
      <c r="J30" s="317">
        <f>+Apoyo!F23/0.7</f>
        <v>71.428571428571431</v>
      </c>
      <c r="K30" s="513"/>
      <c r="L30" s="315" t="s">
        <v>344</v>
      </c>
      <c r="M30" s="316"/>
      <c r="N30" s="316"/>
      <c r="O30" s="317">
        <f>+Apoyo!G23/0.7</f>
        <v>48.571428571428577</v>
      </c>
      <c r="P30" s="316"/>
      <c r="Q30" s="690"/>
      <c r="R30" s="305" t="s">
        <v>377</v>
      </c>
    </row>
    <row r="31" spans="1:20" s="196" customFormat="1" ht="9.9" customHeight="1" x14ac:dyDescent="0.25">
      <c r="A31" s="704" t="s">
        <v>341</v>
      </c>
      <c r="B31" s="316"/>
      <c r="C31" s="316"/>
      <c r="D31" s="317">
        <f>+Apoyo!E29/1.05</f>
        <v>123.30984907813696</v>
      </c>
      <c r="E31" s="316"/>
      <c r="F31" s="314"/>
      <c r="G31" s="315" t="s">
        <v>343</v>
      </c>
      <c r="H31" s="314"/>
      <c r="I31" s="185"/>
      <c r="J31" s="317">
        <f>+Apoyo!F29/1.05</f>
        <v>82.798410731495025</v>
      </c>
      <c r="K31" s="185"/>
      <c r="L31" s="315" t="s">
        <v>345</v>
      </c>
      <c r="M31" s="316"/>
      <c r="N31" s="316"/>
      <c r="O31" s="317">
        <f>+Apoyo!G29/1.05</f>
        <v>58.011197847110033</v>
      </c>
      <c r="P31" s="316"/>
      <c r="Q31" s="690"/>
      <c r="R31" s="260">
        <v>56</v>
      </c>
      <c r="S31" s="260">
        <v>25</v>
      </c>
      <c r="T31" s="260">
        <v>12</v>
      </c>
    </row>
    <row r="32" spans="1:20" s="196" customFormat="1" ht="9.9" customHeight="1" x14ac:dyDescent="0.25">
      <c r="A32" s="704" t="s">
        <v>339</v>
      </c>
      <c r="B32" s="316"/>
      <c r="C32" s="316"/>
      <c r="D32" s="316">
        <f>+Datos!L23</f>
        <v>2.2911028288977842</v>
      </c>
      <c r="E32" s="316"/>
      <c r="F32" s="314"/>
      <c r="G32" s="315" t="s">
        <v>339</v>
      </c>
      <c r="H32" s="314"/>
      <c r="I32" s="185"/>
      <c r="J32" s="316">
        <f>+Datos!M23</f>
        <v>2.2020003637318029</v>
      </c>
      <c r="K32" s="185"/>
      <c r="L32" s="315" t="s">
        <v>339</v>
      </c>
      <c r="M32" s="316"/>
      <c r="N32" s="316"/>
      <c r="O32" s="316">
        <f>+Datos!N23</f>
        <v>2.0998871279061229</v>
      </c>
      <c r="P32" s="316"/>
      <c r="Q32" s="690"/>
      <c r="R32" s="519">
        <v>74</v>
      </c>
      <c r="S32" s="519">
        <v>50</v>
      </c>
      <c r="T32" s="519">
        <v>34</v>
      </c>
    </row>
    <row r="33" spans="1:17" s="185" customFormat="1" ht="15" customHeight="1" x14ac:dyDescent="0.25">
      <c r="A33" s="1074" t="s">
        <v>228</v>
      </c>
      <c r="B33" s="1075"/>
      <c r="C33" s="1075"/>
      <c r="D33" s="1075"/>
      <c r="E33" s="1075"/>
      <c r="F33" s="1075"/>
      <c r="G33" s="1075"/>
      <c r="H33" s="1075"/>
      <c r="I33" s="1075"/>
      <c r="J33" s="1075"/>
      <c r="K33" s="1075"/>
      <c r="L33" s="1075"/>
      <c r="M33" s="1075"/>
      <c r="N33" s="1075"/>
      <c r="O33" s="1075"/>
      <c r="P33" s="1075"/>
      <c r="Q33" s="666"/>
    </row>
    <row r="34" spans="1:17" s="185" customFormat="1" ht="15" customHeight="1" x14ac:dyDescent="0.25">
      <c r="A34" s="705"/>
      <c r="B34" s="120"/>
      <c r="C34" s="212"/>
      <c r="D34" s="314"/>
      <c r="E34" s="212"/>
      <c r="F34" s="314"/>
      <c r="G34" s="120"/>
      <c r="H34" s="314"/>
      <c r="J34" s="318"/>
      <c r="M34" s="303" t="s">
        <v>347</v>
      </c>
      <c r="N34" s="304">
        <f>+Datos!G13</f>
        <v>2.2810000000000001</v>
      </c>
      <c r="Q34" s="666"/>
    </row>
    <row r="35" spans="1:17" s="185" customFormat="1" ht="15" customHeight="1" x14ac:dyDescent="0.25">
      <c r="A35" s="705"/>
      <c r="B35" s="120"/>
      <c r="C35" s="212"/>
      <c r="D35" s="314"/>
      <c r="E35" s="120"/>
      <c r="F35" s="314"/>
      <c r="G35" s="120"/>
      <c r="H35" s="314"/>
      <c r="M35" s="303" t="s">
        <v>192</v>
      </c>
      <c r="N35" s="1073">
        <f>+N34*0.95</f>
        <v>2.1669499999999999</v>
      </c>
      <c r="O35" s="1073"/>
      <c r="Q35" s="666"/>
    </row>
    <row r="36" spans="1:17" s="185" customFormat="1" ht="15" customHeight="1" thickBot="1" x14ac:dyDescent="0.3">
      <c r="A36" s="705"/>
      <c r="B36" s="120"/>
      <c r="C36" s="212"/>
      <c r="D36" s="314"/>
      <c r="E36" s="120"/>
      <c r="F36" s="314"/>
      <c r="G36" s="120"/>
      <c r="H36" s="314"/>
      <c r="J36" s="319"/>
      <c r="Q36" s="666"/>
    </row>
    <row r="37" spans="1:17" s="185" customFormat="1" ht="15" customHeight="1" thickTop="1" x14ac:dyDescent="0.2">
      <c r="A37" s="705"/>
      <c r="B37" s="120"/>
      <c r="C37" s="212"/>
      <c r="D37" s="314"/>
      <c r="E37" s="120"/>
      <c r="F37" s="314"/>
      <c r="G37" s="120"/>
      <c r="H37" s="314"/>
      <c r="J37" s="750"/>
      <c r="K37" s="751"/>
      <c r="L37" s="751"/>
      <c r="M37" s="752" t="s">
        <v>195</v>
      </c>
      <c r="N37" s="753">
        <f>ROUND(IF(D32&lt;N34,D30,(N34-D32)*(J30-D30)/(J32-D32)+D30),2)</f>
        <v>101.83</v>
      </c>
      <c r="O37" s="664" t="s">
        <v>191</v>
      </c>
      <c r="Q37" s="666"/>
    </row>
    <row r="38" spans="1:17" s="185" customFormat="1" ht="15" customHeight="1" thickBot="1" x14ac:dyDescent="0.25">
      <c r="A38" s="705"/>
      <c r="B38" s="120"/>
      <c r="C38" s="212"/>
      <c r="D38" s="314"/>
      <c r="E38" s="120"/>
      <c r="F38" s="314"/>
      <c r="G38" s="120"/>
      <c r="H38" s="314"/>
      <c r="J38" s="754"/>
      <c r="K38" s="230"/>
      <c r="L38" s="230"/>
      <c r="M38" s="755" t="s">
        <v>194</v>
      </c>
      <c r="N38" s="756">
        <f>ROUND(IF(O32&gt;N35,O30,(N35-J32)*(O30-J30)/(O32-J32)+J30),2)</f>
        <v>63.58</v>
      </c>
      <c r="O38" s="652" t="s">
        <v>191</v>
      </c>
      <c r="Q38" s="666"/>
    </row>
    <row r="39" spans="1:17" s="185" customFormat="1" ht="15" customHeight="1" thickTop="1" x14ac:dyDescent="0.2">
      <c r="A39" s="705"/>
      <c r="B39" s="120"/>
      <c r="C39" s="212"/>
      <c r="D39" s="314"/>
      <c r="E39" s="120"/>
      <c r="F39" s="314"/>
      <c r="G39" s="120"/>
      <c r="H39" s="314"/>
      <c r="M39" s="303"/>
      <c r="N39" s="504"/>
      <c r="Q39" s="666"/>
    </row>
    <row r="40" spans="1:17" s="185" customFormat="1" ht="15" customHeight="1" x14ac:dyDescent="0.2">
      <c r="A40" s="705"/>
      <c r="B40" s="120"/>
      <c r="C40" s="212"/>
      <c r="D40" s="314"/>
      <c r="E40" s="120"/>
      <c r="F40" s="314"/>
      <c r="G40" s="120"/>
      <c r="H40" s="314"/>
      <c r="J40" s="303"/>
      <c r="M40" s="303"/>
      <c r="N40" s="504"/>
      <c r="Q40" s="666"/>
    </row>
    <row r="41" spans="1:17" s="185" customFormat="1" ht="15" customHeight="1" x14ac:dyDescent="0.25">
      <c r="A41" s="326"/>
      <c r="J41" s="303"/>
      <c r="M41" s="303"/>
      <c r="N41" s="320"/>
      <c r="P41" s="615"/>
      <c r="Q41" s="666"/>
    </row>
    <row r="42" spans="1:17" s="185" customFormat="1" ht="15" customHeight="1" x14ac:dyDescent="0.25">
      <c r="A42" s="326"/>
      <c r="Q42" s="666"/>
    </row>
    <row r="43" spans="1:17" s="185" customFormat="1" ht="15" customHeight="1" x14ac:dyDescent="0.25">
      <c r="A43" s="326"/>
      <c r="Q43" s="666"/>
    </row>
    <row r="44" spans="1:17" s="185" customFormat="1" ht="15" customHeight="1" x14ac:dyDescent="0.25">
      <c r="A44" s="326"/>
      <c r="Q44" s="666"/>
    </row>
    <row r="45" spans="1:17" s="185" customFormat="1" ht="15" customHeight="1" x14ac:dyDescent="0.25">
      <c r="A45" s="326"/>
      <c r="Q45" s="666"/>
    </row>
    <row r="46" spans="1:17" s="185" customFormat="1" ht="15" customHeight="1" x14ac:dyDescent="0.25">
      <c r="A46" s="326"/>
      <c r="Q46" s="666"/>
    </row>
    <row r="47" spans="1:17" s="185" customFormat="1" ht="15" customHeight="1" x14ac:dyDescent="0.25">
      <c r="A47" s="326"/>
      <c r="Q47" s="666"/>
    </row>
    <row r="48" spans="1:17" ht="15" customHeight="1" x14ac:dyDescent="0.25">
      <c r="A48" s="692"/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296"/>
    </row>
    <row r="49" spans="1:17" ht="15" customHeight="1" x14ac:dyDescent="0.25">
      <c r="A49" s="658"/>
      <c r="B49" s="658"/>
      <c r="C49" s="658"/>
      <c r="D49" s="673"/>
      <c r="E49" s="658"/>
      <c r="F49" s="658"/>
      <c r="G49" s="658"/>
      <c r="H49" s="658"/>
      <c r="I49" s="658"/>
      <c r="J49" s="658"/>
      <c r="K49" s="673"/>
      <c r="L49" s="658"/>
      <c r="M49" s="658"/>
      <c r="N49" s="658"/>
      <c r="O49" s="658"/>
      <c r="P49" s="658"/>
      <c r="Q49" s="658"/>
    </row>
    <row r="50" spans="1:17" ht="15.75" customHeight="1" x14ac:dyDescent="0.25">
      <c r="A50" s="185"/>
      <c r="B50" s="185"/>
      <c r="C50" s="185"/>
      <c r="D50" s="246"/>
      <c r="E50" s="185"/>
      <c r="F50" s="185"/>
      <c r="G50" s="185"/>
      <c r="H50" s="185"/>
      <c r="I50" s="185"/>
      <c r="J50" s="185"/>
      <c r="K50" s="246"/>
      <c r="L50" s="185"/>
      <c r="M50" s="185"/>
      <c r="N50" s="185"/>
      <c r="O50" s="185"/>
      <c r="P50" s="185"/>
      <c r="Q50" s="185"/>
    </row>
    <row r="51" spans="1:17" ht="15.75" customHeight="1" x14ac:dyDescent="0.25">
      <c r="A51" s="185"/>
      <c r="B51" s="185"/>
      <c r="C51" s="185"/>
      <c r="D51" s="246"/>
      <c r="E51" s="185"/>
      <c r="F51" s="185"/>
      <c r="G51" s="185"/>
      <c r="H51" s="185"/>
      <c r="I51" s="185"/>
      <c r="J51" s="185"/>
      <c r="K51" s="246"/>
      <c r="L51" s="185"/>
      <c r="M51" s="185"/>
      <c r="N51" s="185"/>
      <c r="O51" s="185"/>
      <c r="P51" s="185"/>
      <c r="Q51" s="185"/>
    </row>
    <row r="52" spans="1:17" ht="15.75" customHeight="1" x14ac:dyDescent="0.25">
      <c r="A52" s="185"/>
      <c r="B52" s="185"/>
      <c r="C52" s="185"/>
      <c r="D52" s="246"/>
      <c r="E52" s="185"/>
      <c r="F52" s="185"/>
      <c r="G52" s="185"/>
      <c r="H52" s="185"/>
      <c r="I52" s="185"/>
      <c r="J52" s="185"/>
      <c r="K52" s="246"/>
      <c r="L52" s="185"/>
      <c r="M52" s="185"/>
      <c r="N52" s="185"/>
      <c r="O52" s="185"/>
      <c r="P52" s="185"/>
      <c r="Q52" s="185"/>
    </row>
    <row r="53" spans="1:17" ht="15" customHeight="1" x14ac:dyDescent="0.25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</row>
    <row r="54" spans="1:17" ht="15" customHeight="1" x14ac:dyDescent="0.25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</row>
    <row r="55" spans="1:17" ht="12" customHeight="1" x14ac:dyDescent="0.25">
      <c r="A55" s="509"/>
      <c r="B55" s="185"/>
      <c r="C55" s="185"/>
      <c r="D55" s="185"/>
      <c r="E55" s="185"/>
      <c r="F55" s="185"/>
      <c r="G55" s="185"/>
      <c r="H55" s="185"/>
      <c r="I55" s="509"/>
      <c r="J55" s="185"/>
      <c r="K55" s="185"/>
      <c r="L55" s="185"/>
      <c r="M55" s="185"/>
      <c r="N55" s="185"/>
      <c r="O55" s="185"/>
      <c r="P55" s="185"/>
    </row>
    <row r="56" spans="1:17" ht="18" customHeight="1" x14ac:dyDescent="0.25">
      <c r="A56" s="1069" t="s">
        <v>466</v>
      </c>
      <c r="B56" s="1069"/>
      <c r="C56" s="1069"/>
      <c r="D56" s="1069"/>
      <c r="E56" s="1069"/>
      <c r="F56" s="1069"/>
      <c r="G56" s="1069"/>
      <c r="H56" s="1069"/>
      <c r="I56" s="1069"/>
      <c r="J56" s="1069"/>
      <c r="K56" s="1069"/>
      <c r="L56" s="1069"/>
      <c r="M56" s="1069"/>
      <c r="N56" s="1069"/>
      <c r="O56" s="1069"/>
      <c r="P56" s="1069"/>
      <c r="Q56" s="1069"/>
    </row>
    <row r="57" spans="1:17" ht="15" customHeight="1" x14ac:dyDescent="0.25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</row>
    <row r="58" spans="1:17" ht="15" customHeight="1" x14ac:dyDescent="0.25">
      <c r="A58" s="244"/>
      <c r="B58" s="244"/>
      <c r="C58" s="244"/>
      <c r="D58" s="244"/>
      <c r="E58" s="244"/>
      <c r="F58" s="244"/>
      <c r="G58" s="244"/>
      <c r="H58" s="244"/>
      <c r="I58" s="244"/>
      <c r="J58" s="185"/>
      <c r="K58" s="185"/>
      <c r="L58" s="185"/>
      <c r="M58" s="185"/>
      <c r="N58" s="185"/>
      <c r="O58" s="185"/>
      <c r="P58" s="185"/>
    </row>
    <row r="59" spans="1:17" ht="15" customHeight="1" x14ac:dyDescent="0.25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</row>
    <row r="60" spans="1:17" ht="15" customHeight="1" x14ac:dyDescent="0.25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</row>
    <row r="61" spans="1:17" ht="15" customHeight="1" x14ac:dyDescent="0.25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</row>
    <row r="62" spans="1:17" ht="15" customHeight="1" x14ac:dyDescent="0.25">
      <c r="B62" s="185"/>
      <c r="C62" s="185"/>
      <c r="D62" s="185"/>
      <c r="E62" s="185"/>
      <c r="F62" s="185"/>
      <c r="G62" s="185"/>
      <c r="H62" s="185"/>
    </row>
  </sheetData>
  <protectedRanges>
    <protectedRange sqref="E11 D8 D11:D12" name="Rango3_3_1_1_1_1"/>
    <protectedRange sqref="F11" name="Rango3_1_1_1_1_1_1_1_1"/>
    <protectedRange sqref="L11" name="Rango3_3_1_1_1_2"/>
  </protectedRanges>
  <mergeCells count="5">
    <mergeCell ref="O10:P10"/>
    <mergeCell ref="A56:Q56"/>
    <mergeCell ref="N35:O35"/>
    <mergeCell ref="A33:P33"/>
    <mergeCell ref="A7:Q7"/>
  </mergeCells>
  <phoneticPr fontId="0" type="noConversion"/>
  <conditionalFormatting sqref="N37:N38">
    <cfRule type="expression" dxfId="2" priority="3" stopIfTrue="1">
      <formula>$W$61&gt;=100</formula>
    </cfRule>
  </conditionalFormatting>
  <conditionalFormatting sqref="N39">
    <cfRule type="expression" dxfId="1" priority="2" stopIfTrue="1">
      <formula>$W$62&gt;=100</formula>
    </cfRule>
  </conditionalFormatting>
  <conditionalFormatting sqref="N40">
    <cfRule type="expression" dxfId="0" priority="1" stopIfTrue="1">
      <formula>$W$62&gt;=100</formula>
    </cfRule>
  </conditionalFormatting>
  <printOptions horizontalCentered="1" verticalCentered="1"/>
  <pageMargins left="0.78740157480314965" right="0.78740157480314965" top="0.59055118110236227" bottom="0.39370078740157483" header="0" footer="0"/>
  <pageSetup paperSize="9" scale="90" orientation="portrait" r:id="rId1"/>
  <headerFooter alignWithMargins="0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A1D3-0225-4D00-A82E-D16839974755}">
  <sheetPr codeName="Hoja3"/>
  <dimension ref="A1:H42"/>
  <sheetViews>
    <sheetView workbookViewId="0">
      <selection activeCell="P33" sqref="P33"/>
    </sheetView>
  </sheetViews>
  <sheetFormatPr baseColWidth="10" defaultColWidth="8.33203125" defaultRowHeight="10.199999999999999" x14ac:dyDescent="0.25"/>
  <cols>
    <col min="1" max="4" width="8.33203125" style="275" customWidth="1"/>
    <col min="5" max="7" width="6.109375" style="274" customWidth="1"/>
    <col min="8" max="16384" width="8.33203125" style="275"/>
  </cols>
  <sheetData>
    <row r="1" spans="1:7" x14ac:dyDescent="0.25">
      <c r="A1" s="272" t="s">
        <v>178</v>
      </c>
      <c r="B1" s="272" t="s">
        <v>180</v>
      </c>
      <c r="C1" s="272" t="s">
        <v>181</v>
      </c>
      <c r="D1" s="272" t="s">
        <v>182</v>
      </c>
    </row>
    <row r="2" spans="1:7" x14ac:dyDescent="0.25">
      <c r="A2" s="1078" t="s">
        <v>183</v>
      </c>
      <c r="B2" s="117" t="s">
        <v>179</v>
      </c>
      <c r="C2" s="117" t="s">
        <v>179</v>
      </c>
      <c r="D2" s="117" t="s">
        <v>179</v>
      </c>
    </row>
    <row r="3" spans="1:7" x14ac:dyDescent="0.25">
      <c r="A3" s="1079"/>
      <c r="B3" s="270" t="s">
        <v>193</v>
      </c>
      <c r="C3" s="270" t="s">
        <v>193</v>
      </c>
      <c r="D3" s="270" t="s">
        <v>193</v>
      </c>
      <c r="E3" s="276" t="s">
        <v>180</v>
      </c>
      <c r="F3" s="276" t="s">
        <v>181</v>
      </c>
      <c r="G3" s="276" t="s">
        <v>182</v>
      </c>
    </row>
    <row r="4" spans="1:7" x14ac:dyDescent="0.25">
      <c r="A4" s="118">
        <v>0</v>
      </c>
      <c r="B4" s="118">
        <v>0</v>
      </c>
      <c r="C4" s="118">
        <v>0</v>
      </c>
      <c r="D4" s="118">
        <v>0</v>
      </c>
      <c r="E4" s="277">
        <f>+B4</f>
        <v>0</v>
      </c>
      <c r="F4" s="278">
        <f>+C4</f>
        <v>0</v>
      </c>
      <c r="G4" s="279">
        <f>+D4</f>
        <v>0</v>
      </c>
    </row>
    <row r="5" spans="1:7" x14ac:dyDescent="0.25">
      <c r="A5" s="273">
        <v>0.64</v>
      </c>
      <c r="B5" s="273">
        <f>+Datos!E29</f>
        <v>12.066463870495873</v>
      </c>
      <c r="C5" s="273">
        <f>+Datos!G29</f>
        <v>8.3538746216301689</v>
      </c>
      <c r="D5" s="273">
        <f>+Datos!I29</f>
        <v>4.3918872956725279</v>
      </c>
      <c r="E5" s="277">
        <f t="shared" ref="E5:E11" si="0">+B5</f>
        <v>12.066463870495873</v>
      </c>
      <c r="F5" s="278">
        <f t="shared" ref="F5:F11" si="1">+C5</f>
        <v>8.3538746216301689</v>
      </c>
      <c r="G5" s="279">
        <f t="shared" ref="G5:G11" si="2">+D5</f>
        <v>4.3918872956725279</v>
      </c>
    </row>
    <row r="6" spans="1:7" x14ac:dyDescent="0.25">
      <c r="A6" s="273">
        <v>1.27</v>
      </c>
      <c r="B6" s="273">
        <f>+Datos!E30</f>
        <v>34.059183879364682</v>
      </c>
      <c r="C6" s="273">
        <f>+Datos!G30</f>
        <v>23.193931731301845</v>
      </c>
      <c r="D6" s="273">
        <f>+Datos!I30</f>
        <v>15.777336471729724</v>
      </c>
      <c r="E6" s="277">
        <f t="shared" si="0"/>
        <v>34.059183879364682</v>
      </c>
      <c r="F6" s="278">
        <f t="shared" si="1"/>
        <v>23.193931731301845</v>
      </c>
      <c r="G6" s="279">
        <f t="shared" si="2"/>
        <v>15.777336471729724</v>
      </c>
    </row>
    <row r="7" spans="1:7" x14ac:dyDescent="0.25">
      <c r="A7" s="273">
        <v>1.91</v>
      </c>
      <c r="B7" s="273">
        <f>+Datos!E31</f>
        <v>55.253163921130756</v>
      </c>
      <c r="C7" s="273">
        <f>+Datos!G31</f>
        <v>37.019870938069758</v>
      </c>
      <c r="D7" s="273">
        <f>+Datos!I31</f>
        <v>26.405657219280414</v>
      </c>
      <c r="E7" s="277">
        <f t="shared" si="0"/>
        <v>55.253163921130756</v>
      </c>
      <c r="F7" s="278">
        <f t="shared" si="1"/>
        <v>37.019870938069758</v>
      </c>
      <c r="G7" s="279">
        <f t="shared" si="2"/>
        <v>26.405657219280414</v>
      </c>
    </row>
    <row r="8" spans="1:7" x14ac:dyDescent="0.25">
      <c r="A8" s="273">
        <v>2.54</v>
      </c>
      <c r="B8" s="273">
        <f>+Datos!E32</f>
        <v>72.462420592748401</v>
      </c>
      <c r="C8" s="273">
        <f>+Datos!G32</f>
        <v>48.605316887146564</v>
      </c>
      <c r="D8" s="273">
        <f>+Datos!I32</f>
        <v>33.565629222616735</v>
      </c>
      <c r="E8" s="277">
        <f t="shared" si="0"/>
        <v>72.462420592748401</v>
      </c>
      <c r="F8" s="278">
        <f t="shared" si="1"/>
        <v>48.605316887146564</v>
      </c>
      <c r="G8" s="279">
        <f t="shared" si="2"/>
        <v>33.565629222616735</v>
      </c>
    </row>
    <row r="9" spans="1:7" x14ac:dyDescent="0.25">
      <c r="A9" s="273">
        <v>3.81</v>
      </c>
      <c r="B9" s="273">
        <f>+Datos!E33</f>
        <v>100.89830983106884</v>
      </c>
      <c r="C9" s="273">
        <f>+Datos!G33</f>
        <v>67.549304887658593</v>
      </c>
      <c r="D9" s="273">
        <f>+Datos!I33</f>
        <v>45.402517966853651</v>
      </c>
      <c r="E9" s="277">
        <f t="shared" si="0"/>
        <v>100.89830983106884</v>
      </c>
      <c r="F9" s="278">
        <f t="shared" si="1"/>
        <v>67.549304887658593</v>
      </c>
      <c r="G9" s="279">
        <f t="shared" si="2"/>
        <v>45.402517966853651</v>
      </c>
    </row>
    <row r="10" spans="1:7" x14ac:dyDescent="0.25">
      <c r="A10" s="273">
        <v>5.08</v>
      </c>
      <c r="B10" s="273">
        <f>+Datos!E34</f>
        <v>129.47534153204381</v>
      </c>
      <c r="C10" s="273">
        <f>+Datos!G34</f>
        <v>86.938331268069774</v>
      </c>
      <c r="D10" s="273">
        <f>+Datos!I34</f>
        <v>60.911757739465536</v>
      </c>
      <c r="E10" s="277">
        <f t="shared" si="0"/>
        <v>129.47534153204381</v>
      </c>
      <c r="F10" s="278">
        <f t="shared" si="1"/>
        <v>86.938331268069774</v>
      </c>
      <c r="G10" s="279">
        <f t="shared" si="2"/>
        <v>60.911757739465536</v>
      </c>
    </row>
    <row r="11" spans="1:7" x14ac:dyDescent="0.25">
      <c r="A11" s="273">
        <v>6.35</v>
      </c>
      <c r="B11" s="273">
        <f>+Datos!E35</f>
        <v>161.83350219402899</v>
      </c>
      <c r="C11" s="273">
        <f>+Datos!G35</f>
        <v>109.70236653879252</v>
      </c>
      <c r="D11" s="273">
        <f>+Datos!I35</f>
        <v>72.462420592748401</v>
      </c>
      <c r="E11" s="277">
        <f t="shared" si="0"/>
        <v>161.83350219402899</v>
      </c>
      <c r="F11" s="278">
        <f t="shared" si="1"/>
        <v>109.70236653879252</v>
      </c>
      <c r="G11" s="279">
        <f t="shared" si="2"/>
        <v>72.462420592748401</v>
      </c>
    </row>
    <row r="12" spans="1:7" x14ac:dyDescent="0.25">
      <c r="A12" s="273">
        <v>7.62</v>
      </c>
      <c r="B12" s="273">
        <f>+Datos!E36</f>
        <v>185.83203416458724</v>
      </c>
      <c r="C12" s="273">
        <f>+Datos!G36</f>
        <v>126.30527335993165</v>
      </c>
      <c r="D12" s="273">
        <f>+Datos!I36</f>
        <v>86.202908895174986</v>
      </c>
      <c r="E12" s="277">
        <f>+B12</f>
        <v>185.83203416458724</v>
      </c>
      <c r="F12" s="278">
        <f>+C12</f>
        <v>126.30527335993165</v>
      </c>
      <c r="G12" s="279">
        <f>+D12</f>
        <v>86.202908895174986</v>
      </c>
    </row>
    <row r="13" spans="1:7" x14ac:dyDescent="0.25">
      <c r="A13" s="273">
        <v>8.89</v>
      </c>
      <c r="B13" s="273"/>
      <c r="C13" s="273"/>
      <c r="D13" s="273"/>
      <c r="E13" s="277"/>
      <c r="F13" s="278"/>
      <c r="G13" s="279"/>
    </row>
    <row r="14" spans="1:7" x14ac:dyDescent="0.25">
      <c r="A14" s="273">
        <v>10.16</v>
      </c>
      <c r="B14" s="273"/>
      <c r="C14" s="273"/>
      <c r="D14" s="273"/>
      <c r="E14" s="277"/>
      <c r="F14" s="278"/>
      <c r="G14" s="279"/>
    </row>
    <row r="15" spans="1:7" x14ac:dyDescent="0.25">
      <c r="A15" s="273">
        <v>11.43</v>
      </c>
      <c r="B15" s="273"/>
      <c r="C15" s="273"/>
      <c r="D15" s="273"/>
      <c r="E15" s="277"/>
      <c r="F15" s="278"/>
      <c r="G15" s="279"/>
    </row>
    <row r="16" spans="1:7" x14ac:dyDescent="0.25">
      <c r="A16" s="273">
        <v>12.7</v>
      </c>
      <c r="B16" s="273"/>
      <c r="C16" s="273"/>
      <c r="D16" s="273"/>
      <c r="E16" s="277"/>
      <c r="F16" s="278"/>
      <c r="G16" s="279"/>
    </row>
    <row r="17" spans="1:7" x14ac:dyDescent="0.25">
      <c r="A17" s="280"/>
      <c r="B17" s="281"/>
      <c r="C17" s="281"/>
      <c r="D17" s="281" t="s">
        <v>187</v>
      </c>
      <c r="E17" s="418">
        <v>24.753</v>
      </c>
      <c r="F17" s="418">
        <v>11.391</v>
      </c>
      <c r="G17" s="418">
        <v>16.774999999999999</v>
      </c>
    </row>
    <row r="18" spans="1:7" x14ac:dyDescent="0.25">
      <c r="A18" s="280"/>
      <c r="B18" s="281"/>
      <c r="C18" s="281"/>
      <c r="D18" s="281"/>
      <c r="E18" s="418">
        <v>3.1760999999999999</v>
      </c>
      <c r="F18" s="418">
        <v>1.365</v>
      </c>
      <c r="G18" s="418">
        <v>1.9442999999999999</v>
      </c>
    </row>
    <row r="19" spans="1:7" x14ac:dyDescent="0.25">
      <c r="A19" s="280"/>
      <c r="B19" s="282"/>
      <c r="C19" s="281"/>
      <c r="D19" s="281"/>
      <c r="E19" s="282">
        <f>+E18/E17+2.54</f>
        <v>2.6683117197915402</v>
      </c>
      <c r="F19" s="282">
        <f>+F18/F17+2.54</f>
        <v>2.659831445878325</v>
      </c>
      <c r="G19" s="282">
        <f>+G18/G17+2.54</f>
        <v>2.6559046199701939</v>
      </c>
    </row>
    <row r="20" spans="1:7" x14ac:dyDescent="0.25">
      <c r="E20" s="274">
        <f>+E19</f>
        <v>2.6683117197915402</v>
      </c>
      <c r="F20" s="274">
        <f>+F19</f>
        <v>2.659831445878325</v>
      </c>
      <c r="G20" s="274">
        <f>+G19</f>
        <v>2.6559046199701939</v>
      </c>
    </row>
    <row r="21" spans="1:7" x14ac:dyDescent="0.25">
      <c r="E21" s="274">
        <v>0</v>
      </c>
      <c r="F21" s="274">
        <v>0</v>
      </c>
      <c r="G21" s="274">
        <v>0</v>
      </c>
    </row>
    <row r="22" spans="1:7" x14ac:dyDescent="0.25">
      <c r="E22" s="282">
        <v>0</v>
      </c>
      <c r="F22" s="282">
        <v>0</v>
      </c>
      <c r="G22" s="282">
        <v>0</v>
      </c>
    </row>
    <row r="23" spans="1:7" x14ac:dyDescent="0.25">
      <c r="C23" s="514" t="s">
        <v>376</v>
      </c>
      <c r="E23" s="419">
        <f>+'Grafico CBR'!R32</f>
        <v>74</v>
      </c>
      <c r="F23" s="419">
        <f>+'Grafico CBR'!S32</f>
        <v>50</v>
      </c>
      <c r="G23" s="419">
        <f>+'Grafico CBR'!T32</f>
        <v>34</v>
      </c>
    </row>
    <row r="24" spans="1:7" x14ac:dyDescent="0.25">
      <c r="E24" s="274">
        <f>+E23</f>
        <v>74</v>
      </c>
      <c r="F24" s="274">
        <f>+F23</f>
        <v>50</v>
      </c>
      <c r="G24" s="274">
        <f>+G23</f>
        <v>34</v>
      </c>
    </row>
    <row r="29" spans="1:7" x14ac:dyDescent="0.25">
      <c r="E29" s="283">
        <f>+E10</f>
        <v>129.47534153204381</v>
      </c>
      <c r="F29" s="283">
        <f>+F10</f>
        <v>86.938331268069774</v>
      </c>
      <c r="G29" s="283">
        <f>+G10</f>
        <v>60.911757739465536</v>
      </c>
    </row>
    <row r="33" spans="1:8" ht="10.8" thickBot="1" x14ac:dyDescent="0.3"/>
    <row r="34" spans="1:8" x14ac:dyDescent="0.25">
      <c r="A34" s="1076" t="s">
        <v>188</v>
      </c>
      <c r="B34" s="1077"/>
      <c r="D34" s="1076" t="s">
        <v>189</v>
      </c>
      <c r="E34" s="1077"/>
      <c r="G34" s="1076" t="s">
        <v>190</v>
      </c>
      <c r="H34" s="1077"/>
    </row>
    <row r="35" spans="1:8" x14ac:dyDescent="0.25">
      <c r="A35" s="494">
        <f>+Datos!G13</f>
        <v>2.2810000000000001</v>
      </c>
      <c r="B35" s="284">
        <f>+E23/0.7</f>
        <v>105.71428571428572</v>
      </c>
      <c r="D35" s="285">
        <f>+E23/0.7</f>
        <v>105.71428571428572</v>
      </c>
      <c r="E35" s="286">
        <v>0</v>
      </c>
      <c r="G35" s="287">
        <f>+'Grafico CBR'!N38</f>
        <v>63.58</v>
      </c>
      <c r="H35" s="288">
        <v>0</v>
      </c>
    </row>
    <row r="36" spans="1:8" x14ac:dyDescent="0.25">
      <c r="A36" s="494">
        <f>+Datos!M23</f>
        <v>2.2020003637318029</v>
      </c>
      <c r="B36" s="284">
        <f>+F23/0.7</f>
        <v>71.428571428571431</v>
      </c>
      <c r="D36" s="285">
        <f>+D35</f>
        <v>105.71428571428572</v>
      </c>
      <c r="E36" s="496">
        <f>+A35</f>
        <v>2.2810000000000001</v>
      </c>
      <c r="G36" s="289">
        <f>+G35</f>
        <v>63.58</v>
      </c>
      <c r="H36" s="496">
        <f>0.95*E36</f>
        <v>2.1669499999999999</v>
      </c>
    </row>
    <row r="37" spans="1:8" ht="10.8" thickBot="1" x14ac:dyDescent="0.3">
      <c r="A37" s="495">
        <f>+Datos!N23</f>
        <v>2.0998871279061229</v>
      </c>
      <c r="B37" s="291">
        <f>+G23/0.7</f>
        <v>48.571428571428577</v>
      </c>
      <c r="D37" s="290">
        <v>0</v>
      </c>
      <c r="E37" s="497">
        <f>+E36</f>
        <v>2.2810000000000001</v>
      </c>
      <c r="G37" s="293">
        <v>0</v>
      </c>
      <c r="H37" s="497">
        <f>+H36</f>
        <v>2.1669499999999999</v>
      </c>
    </row>
    <row r="38" spans="1:8" ht="10.8" thickBot="1" x14ac:dyDescent="0.3"/>
    <row r="39" spans="1:8" x14ac:dyDescent="0.25">
      <c r="A39" s="1076" t="s">
        <v>188</v>
      </c>
      <c r="B39" s="1077"/>
      <c r="D39" s="1076" t="s">
        <v>189</v>
      </c>
      <c r="E39" s="1077"/>
      <c r="G39" s="1076" t="s">
        <v>190</v>
      </c>
      <c r="H39" s="1077"/>
    </row>
    <row r="40" spans="1:8" x14ac:dyDescent="0.25">
      <c r="A40" s="494">
        <f>+A35</f>
        <v>2.2810000000000001</v>
      </c>
      <c r="B40" s="284">
        <f>+E29/1.04</f>
        <v>124.49552070388827</v>
      </c>
      <c r="D40" s="285">
        <f>+E29/1.04</f>
        <v>124.49552070388827</v>
      </c>
      <c r="E40" s="286">
        <v>0</v>
      </c>
      <c r="G40" s="294">
        <v>112.4</v>
      </c>
      <c r="H40" s="288">
        <v>0</v>
      </c>
    </row>
    <row r="41" spans="1:8" x14ac:dyDescent="0.25">
      <c r="A41" s="494">
        <f>+A36</f>
        <v>2.2020003637318029</v>
      </c>
      <c r="B41" s="284">
        <f>+F29/1.04</f>
        <v>83.594549296220933</v>
      </c>
      <c r="D41" s="285">
        <f>+D40</f>
        <v>124.49552070388827</v>
      </c>
      <c r="E41" s="286">
        <f>+A40</f>
        <v>2.2810000000000001</v>
      </c>
      <c r="G41" s="289">
        <f>+G40</f>
        <v>112.4</v>
      </c>
      <c r="H41" s="496">
        <f>0.95*E41</f>
        <v>2.1669499999999999</v>
      </c>
    </row>
    <row r="42" spans="1:8" ht="10.8" thickBot="1" x14ac:dyDescent="0.3">
      <c r="A42" s="495">
        <f>+A37</f>
        <v>2.0998871279061229</v>
      </c>
      <c r="B42" s="284">
        <f>+G29/1.04</f>
        <v>58.568997826409166</v>
      </c>
      <c r="D42" s="290">
        <v>0</v>
      </c>
      <c r="E42" s="292">
        <f>+E41</f>
        <v>2.2810000000000001</v>
      </c>
      <c r="G42" s="293">
        <v>0</v>
      </c>
      <c r="H42" s="497">
        <f>+H41</f>
        <v>2.1669499999999999</v>
      </c>
    </row>
  </sheetData>
  <mergeCells count="7">
    <mergeCell ref="A39:B39"/>
    <mergeCell ref="D39:E39"/>
    <mergeCell ref="G39:H39"/>
    <mergeCell ref="A2:A3"/>
    <mergeCell ref="A34:B34"/>
    <mergeCell ref="D34:E34"/>
    <mergeCell ref="G34:H34"/>
  </mergeCells>
  <phoneticPr fontId="0" type="noConversion"/>
  <pageMargins left="0.75" right="0.75" top="1" bottom="1" header="0" footer="0"/>
  <pageSetup orientation="portrait" horizontalDpi="204" verticalDpi="196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9AD9-8082-40E5-A48A-7E880D3E83CE}">
  <dimension ref="A1:P47"/>
  <sheetViews>
    <sheetView view="pageBreakPreview" zoomScaleNormal="100" zoomScaleSheetLayoutView="100" workbookViewId="0">
      <selection activeCell="R40" sqref="R40"/>
    </sheetView>
  </sheetViews>
  <sheetFormatPr baseColWidth="10" defaultColWidth="11.44140625" defaultRowHeight="13.2" x14ac:dyDescent="0.25"/>
  <cols>
    <col min="1" max="1" width="2.5546875" style="547" customWidth="1"/>
    <col min="2" max="2" width="13.44140625" style="547" customWidth="1"/>
    <col min="3" max="3" width="1.109375" style="547" customWidth="1"/>
    <col min="4" max="4" width="16.6640625" style="547" customWidth="1"/>
    <col min="5" max="5" width="6.5546875" style="547" customWidth="1"/>
    <col min="6" max="6" width="9.6640625" style="547" customWidth="1"/>
    <col min="7" max="7" width="10" style="547" customWidth="1"/>
    <col min="8" max="8" width="11.44140625" style="547"/>
    <col min="9" max="9" width="1.109375" style="547" customWidth="1"/>
    <col min="10" max="10" width="8.109375" style="547" customWidth="1"/>
    <col min="11" max="11" width="11.44140625" style="547"/>
    <col min="12" max="12" width="2.6640625" style="547" customWidth="1"/>
    <col min="13" max="16384" width="11.44140625" style="547"/>
  </cols>
  <sheetData>
    <row r="1" spans="1:16" s="158" customFormat="1" ht="15.75" customHeight="1" thickTop="1" x14ac:dyDescent="0.25">
      <c r="A1" s="713"/>
      <c r="B1" s="714"/>
      <c r="C1" s="715"/>
      <c r="D1" s="715"/>
      <c r="E1" s="715"/>
      <c r="F1" s="715"/>
      <c r="G1" s="715"/>
      <c r="H1" s="715"/>
      <c r="I1" s="715"/>
      <c r="J1" s="716"/>
      <c r="K1" s="716"/>
      <c r="L1" s="721"/>
      <c r="M1" s="529"/>
    </row>
    <row r="2" spans="1:16" s="158" customFormat="1" ht="15.75" customHeight="1" x14ac:dyDescent="0.25">
      <c r="A2" s="717"/>
      <c r="B2" s="530"/>
      <c r="C2" s="530"/>
      <c r="D2" s="530"/>
      <c r="E2" s="530"/>
      <c r="F2" s="530"/>
      <c r="G2" s="530"/>
      <c r="H2" s="530"/>
      <c r="I2" s="530"/>
      <c r="J2" s="531"/>
      <c r="K2" s="531"/>
      <c r="L2" s="237"/>
      <c r="M2" s="532"/>
    </row>
    <row r="3" spans="1:16" s="158" customFormat="1" ht="15.75" customHeight="1" x14ac:dyDescent="0.25">
      <c r="A3" s="717"/>
      <c r="B3" s="533"/>
      <c r="C3" s="159"/>
      <c r="D3" s="159"/>
      <c r="E3" s="159"/>
      <c r="F3" s="1080"/>
      <c r="G3" s="1080"/>
      <c r="H3" s="1080"/>
      <c r="I3" s="1080"/>
      <c r="J3" s="534"/>
      <c r="K3" s="534"/>
      <c r="L3" s="237"/>
      <c r="M3" s="534"/>
    </row>
    <row r="4" spans="1:16" s="158" customFormat="1" ht="15.75" customHeight="1" x14ac:dyDescent="0.25">
      <c r="A4" s="717"/>
      <c r="B4" s="535"/>
      <c r="C4" s="536"/>
      <c r="D4" s="159"/>
      <c r="E4" s="159"/>
      <c r="F4" s="537"/>
      <c r="G4" s="538"/>
      <c r="H4" s="538"/>
      <c r="I4" s="538"/>
      <c r="J4" s="624"/>
      <c r="K4" s="540"/>
      <c r="L4" s="237"/>
      <c r="M4" s="159"/>
    </row>
    <row r="5" spans="1:16" s="158" customFormat="1" ht="15.75" customHeight="1" x14ac:dyDescent="0.25">
      <c r="A5" s="717"/>
      <c r="B5" s="159"/>
      <c r="C5" s="159"/>
      <c r="D5" s="159"/>
      <c r="E5" s="543"/>
      <c r="F5" s="543"/>
      <c r="G5" s="543"/>
      <c r="H5" s="543"/>
      <c r="I5" s="543"/>
      <c r="J5" s="543"/>
      <c r="K5" s="543"/>
      <c r="L5" s="722"/>
    </row>
    <row r="6" spans="1:16" ht="15.75" customHeight="1" thickBot="1" x14ac:dyDescent="0.3">
      <c r="A6" s="718"/>
      <c r="B6" s="1081"/>
      <c r="C6" s="1081"/>
      <c r="D6" s="1081"/>
      <c r="E6" s="1081"/>
      <c r="F6" s="1081"/>
      <c r="G6" s="1081"/>
      <c r="H6" s="1081"/>
      <c r="I6" s="1081"/>
      <c r="J6" s="1081"/>
      <c r="K6" s="1081"/>
      <c r="L6" s="723"/>
      <c r="M6" s="545"/>
    </row>
    <row r="7" spans="1:16" ht="42" customHeight="1" thickTop="1" x14ac:dyDescent="0.3">
      <c r="A7" s="1087" t="s">
        <v>465</v>
      </c>
      <c r="B7" s="1088"/>
      <c r="C7" s="1088"/>
      <c r="D7" s="1088"/>
      <c r="E7" s="1088"/>
      <c r="F7" s="1088"/>
      <c r="G7" s="1088"/>
      <c r="H7" s="1088"/>
      <c r="I7" s="1088"/>
      <c r="J7" s="1088"/>
      <c r="K7" s="1088"/>
      <c r="L7" s="1089"/>
      <c r="M7" s="616"/>
      <c r="N7" s="616"/>
      <c r="O7" s="616"/>
      <c r="P7" s="616"/>
    </row>
    <row r="8" spans="1:16" ht="13.8" x14ac:dyDescent="0.25">
      <c r="A8" s="740"/>
      <c r="B8" s="827"/>
      <c r="C8" s="827"/>
      <c r="D8" s="827"/>
      <c r="E8" s="827"/>
      <c r="F8" s="827"/>
      <c r="G8" s="827"/>
      <c r="H8" s="827"/>
      <c r="I8" s="827"/>
      <c r="J8" s="827"/>
      <c r="K8" s="827"/>
      <c r="L8" s="828"/>
    </row>
    <row r="9" spans="1:16" ht="13.8" x14ac:dyDescent="0.25">
      <c r="A9" s="740"/>
      <c r="B9" s="657" t="s">
        <v>448</v>
      </c>
      <c r="C9" s="559" t="s">
        <v>0</v>
      </c>
      <c r="D9" s="757" t="s">
        <v>452</v>
      </c>
      <c r="E9" s="757"/>
      <c r="F9" s="757"/>
      <c r="G9" s="757"/>
      <c r="H9" s="657" t="s">
        <v>457</v>
      </c>
      <c r="I9" s="560"/>
      <c r="J9" s="719"/>
      <c r="K9" s="757" t="s">
        <v>467</v>
      </c>
      <c r="L9" s="742"/>
    </row>
    <row r="10" spans="1:16" ht="13.8" x14ac:dyDescent="0.25">
      <c r="A10" s="740"/>
      <c r="B10" s="741" t="s">
        <v>449</v>
      </c>
      <c r="C10" s="559" t="s">
        <v>0</v>
      </c>
      <c r="D10" s="669" t="s">
        <v>453</v>
      </c>
      <c r="E10" s="669"/>
      <c r="F10" s="669"/>
      <c r="G10" s="669"/>
      <c r="H10" s="657" t="s">
        <v>458</v>
      </c>
      <c r="I10" s="560"/>
      <c r="J10" s="719"/>
      <c r="K10" s="670" t="s">
        <v>461</v>
      </c>
      <c r="L10" s="742"/>
    </row>
    <row r="11" spans="1:16" ht="13.8" x14ac:dyDescent="0.25">
      <c r="A11" s="740"/>
      <c r="B11" s="657" t="s">
        <v>450</v>
      </c>
      <c r="C11" s="559" t="s">
        <v>0</v>
      </c>
      <c r="D11" s="669" t="s">
        <v>454</v>
      </c>
      <c r="E11" s="669"/>
      <c r="F11" s="669"/>
      <c r="G11" s="669"/>
      <c r="H11" s="657" t="s">
        <v>459</v>
      </c>
      <c r="I11" s="554"/>
      <c r="J11" s="719"/>
      <c r="K11" s="667">
        <v>41528</v>
      </c>
      <c r="L11" s="742"/>
    </row>
    <row r="12" spans="1:16" ht="13.8" x14ac:dyDescent="0.25">
      <c r="A12" s="740"/>
      <c r="B12" s="657" t="s">
        <v>378</v>
      </c>
      <c r="C12" s="559" t="s">
        <v>0</v>
      </c>
      <c r="D12" s="656" t="s">
        <v>455</v>
      </c>
      <c r="E12" s="656"/>
      <c r="F12" s="656"/>
      <c r="G12" s="656"/>
      <c r="H12" s="657" t="s">
        <v>460</v>
      </c>
      <c r="I12" s="560"/>
      <c r="J12" s="720"/>
      <c r="K12" s="670" t="str">
        <f>+'[5]CONO 1'!$J$15</f>
        <v>R. Portillo</v>
      </c>
      <c r="L12" s="742"/>
    </row>
    <row r="13" spans="1:16" ht="13.8" x14ac:dyDescent="0.25">
      <c r="A13" s="743"/>
      <c r="B13" s="744" t="s">
        <v>451</v>
      </c>
      <c r="C13" s="745" t="s">
        <v>0</v>
      </c>
      <c r="D13" s="672" t="s">
        <v>456</v>
      </c>
      <c r="E13" s="672"/>
      <c r="F13" s="672"/>
      <c r="G13" s="672"/>
      <c r="H13" s="746"/>
      <c r="I13" s="745"/>
      <c r="J13" s="747"/>
      <c r="K13" s="748"/>
      <c r="L13" s="749"/>
    </row>
    <row r="14" spans="1:16" ht="9.75" customHeight="1" x14ac:dyDescent="0.25">
      <c r="A14" s="838"/>
      <c r="B14" s="659"/>
      <c r="C14" s="839"/>
      <c r="D14" s="840"/>
      <c r="E14" s="840"/>
      <c r="F14" s="840"/>
      <c r="G14" s="840"/>
      <c r="H14" s="726"/>
      <c r="I14" s="839"/>
      <c r="J14" s="841"/>
      <c r="K14" s="842"/>
      <c r="L14" s="843"/>
    </row>
    <row r="15" spans="1:16" ht="21" customHeight="1" x14ac:dyDescent="0.25">
      <c r="A15" s="740"/>
      <c r="B15" s="725"/>
      <c r="C15" s="726"/>
      <c r="D15" s="727"/>
      <c r="E15" s="728"/>
      <c r="F15" s="1094" t="s">
        <v>427</v>
      </c>
      <c r="G15" s="1095"/>
      <c r="H15" s="1095"/>
      <c r="I15" s="1095"/>
      <c r="J15" s="1096"/>
      <c r="K15" s="729" t="s">
        <v>428</v>
      </c>
      <c r="L15" s="844"/>
    </row>
    <row r="16" spans="1:16" ht="26.25" customHeight="1" x14ac:dyDescent="0.25">
      <c r="A16" s="740"/>
      <c r="B16" s="730"/>
      <c r="C16" s="625"/>
      <c r="D16" s="626"/>
      <c r="E16" s="627"/>
      <c r="F16" s="618">
        <v>1</v>
      </c>
      <c r="G16" s="618">
        <v>2</v>
      </c>
      <c r="H16" s="618">
        <v>3</v>
      </c>
      <c r="I16" s="1090">
        <v>4</v>
      </c>
      <c r="J16" s="1091"/>
      <c r="K16" s="731"/>
      <c r="L16" s="844"/>
    </row>
    <row r="17" spans="1:12" ht="26.25" customHeight="1" x14ac:dyDescent="0.25">
      <c r="A17" s="740"/>
      <c r="B17" s="732" t="s">
        <v>429</v>
      </c>
      <c r="C17" s="582"/>
      <c r="D17" s="628"/>
      <c r="E17" s="622" t="s">
        <v>430</v>
      </c>
      <c r="F17" s="623">
        <f>+[4]G_LL!B32</f>
        <v>4.76</v>
      </c>
      <c r="G17" s="623">
        <f>+F17</f>
        <v>4.76</v>
      </c>
      <c r="H17" s="623">
        <f>+G17</f>
        <v>4.76</v>
      </c>
      <c r="I17" s="1097"/>
      <c r="J17" s="1098"/>
      <c r="K17" s="733"/>
      <c r="L17" s="844"/>
    </row>
    <row r="18" spans="1:12" ht="26.25" customHeight="1" x14ac:dyDescent="0.25">
      <c r="A18" s="740"/>
      <c r="B18" s="732" t="s">
        <v>431</v>
      </c>
      <c r="C18" s="582"/>
      <c r="D18" s="628"/>
      <c r="E18" s="629">
        <v>6.9444444444444441E-3</v>
      </c>
      <c r="F18" s="621">
        <v>0.4513888888888889</v>
      </c>
      <c r="G18" s="630">
        <f>+F18+0.002</f>
        <v>0.4533888888888889</v>
      </c>
      <c r="H18" s="630">
        <f>+F18+0.003</f>
        <v>0.4543888888888889</v>
      </c>
      <c r="I18" s="1082"/>
      <c r="J18" s="1083"/>
      <c r="K18" s="733"/>
      <c r="L18" s="844"/>
    </row>
    <row r="19" spans="1:12" ht="26.25" customHeight="1" x14ac:dyDescent="0.25">
      <c r="A19" s="740"/>
      <c r="B19" s="732" t="s">
        <v>432</v>
      </c>
      <c r="C19" s="582"/>
      <c r="D19" s="628"/>
      <c r="E19" s="622"/>
      <c r="F19" s="630">
        <f>+F18+$E$18</f>
        <v>0.45833333333333331</v>
      </c>
      <c r="G19" s="630">
        <f>+G18+$E$18</f>
        <v>0.46033333333333332</v>
      </c>
      <c r="H19" s="630">
        <f>+H18+$E$18</f>
        <v>0.46133333333333332</v>
      </c>
      <c r="I19" s="1082"/>
      <c r="J19" s="1083"/>
      <c r="K19" s="733"/>
      <c r="L19" s="844"/>
    </row>
    <row r="20" spans="1:12" ht="26.25" customHeight="1" x14ac:dyDescent="0.25">
      <c r="A20" s="740"/>
      <c r="B20" s="732" t="s">
        <v>433</v>
      </c>
      <c r="C20" s="582"/>
      <c r="D20" s="628"/>
      <c r="E20" s="631">
        <v>1.3888888888888889E-3</v>
      </c>
      <c r="F20" s="630">
        <f>+F19+$E$20</f>
        <v>0.4597222222222222</v>
      </c>
      <c r="G20" s="630">
        <f>+G19+$E$20</f>
        <v>0.4617222222222222</v>
      </c>
      <c r="H20" s="630">
        <f>+H19+$E$20</f>
        <v>0.4627222222222222</v>
      </c>
      <c r="I20" s="1082"/>
      <c r="J20" s="1083"/>
      <c r="K20" s="733"/>
      <c r="L20" s="844"/>
    </row>
    <row r="21" spans="1:12" ht="26.25" customHeight="1" x14ac:dyDescent="0.25">
      <c r="A21" s="740"/>
      <c r="B21" s="732" t="s">
        <v>434</v>
      </c>
      <c r="C21" s="582"/>
      <c r="D21" s="628"/>
      <c r="E21" s="622"/>
      <c r="F21" s="630">
        <f>+F20+$B$26</f>
        <v>0.47361111111111109</v>
      </c>
      <c r="G21" s="630">
        <f>+G20+$B$26</f>
        <v>0.4756111111111111</v>
      </c>
      <c r="H21" s="630">
        <f>+H20+$B$26</f>
        <v>0.4766111111111111</v>
      </c>
      <c r="I21" s="1092"/>
      <c r="J21" s="1093"/>
      <c r="K21" s="733"/>
      <c r="L21" s="844"/>
    </row>
    <row r="22" spans="1:12" ht="26.25" customHeight="1" x14ac:dyDescent="0.25">
      <c r="A22" s="740"/>
      <c r="B22" s="732" t="s">
        <v>435</v>
      </c>
      <c r="C22" s="582"/>
      <c r="D22" s="628"/>
      <c r="E22" s="622" t="s">
        <v>430</v>
      </c>
      <c r="F22" s="619">
        <v>8.9</v>
      </c>
      <c r="G22" s="619">
        <v>9.3000000000000007</v>
      </c>
      <c r="H22" s="619">
        <v>9.41</v>
      </c>
      <c r="I22" s="1101"/>
      <c r="J22" s="1102"/>
      <c r="K22" s="733"/>
      <c r="L22" s="844"/>
    </row>
    <row r="23" spans="1:12" ht="26.25" customHeight="1" x14ac:dyDescent="0.25">
      <c r="A23" s="740"/>
      <c r="B23" s="732" t="s">
        <v>436</v>
      </c>
      <c r="C23" s="582"/>
      <c r="D23" s="628"/>
      <c r="E23" s="622" t="s">
        <v>430</v>
      </c>
      <c r="F23" s="619">
        <v>3.4</v>
      </c>
      <c r="G23" s="619">
        <v>3.4</v>
      </c>
      <c r="H23" s="619">
        <v>3.52</v>
      </c>
      <c r="I23" s="1101"/>
      <c r="J23" s="1102"/>
      <c r="K23" s="733"/>
      <c r="L23" s="844"/>
    </row>
    <row r="24" spans="1:12" ht="26.25" customHeight="1" x14ac:dyDescent="0.25">
      <c r="A24" s="740"/>
      <c r="B24" s="732" t="s">
        <v>437</v>
      </c>
      <c r="C24" s="582"/>
      <c r="D24" s="628"/>
      <c r="E24" s="622" t="s">
        <v>191</v>
      </c>
      <c r="F24" s="617">
        <f>+F23/F22*100</f>
        <v>38.202247191011232</v>
      </c>
      <c r="G24" s="617">
        <f>+G23/G22*100</f>
        <v>36.559139784946233</v>
      </c>
      <c r="H24" s="617">
        <f>+H23/H22*100</f>
        <v>37.40701381509033</v>
      </c>
      <c r="I24" s="1103"/>
      <c r="J24" s="1104"/>
      <c r="K24" s="734">
        <f>AVERAGE(F24:H24)</f>
        <v>37.389466930349265</v>
      </c>
      <c r="L24" s="844"/>
    </row>
    <row r="25" spans="1:12" ht="26.25" customHeight="1" x14ac:dyDescent="0.25">
      <c r="A25" s="740"/>
      <c r="B25" s="735"/>
      <c r="C25" s="736"/>
      <c r="D25" s="736"/>
      <c r="E25" s="737"/>
      <c r="F25" s="738"/>
      <c r="G25" s="738"/>
      <c r="H25" s="738"/>
      <c r="I25" s="1100"/>
      <c r="J25" s="1100"/>
      <c r="K25" s="739"/>
      <c r="L25" s="844"/>
    </row>
    <row r="26" spans="1:12" x14ac:dyDescent="0.25">
      <c r="A26" s="740"/>
      <c r="B26" s="724">
        <v>1.3888888888888888E-2</v>
      </c>
      <c r="C26" s="545"/>
      <c r="D26" s="545"/>
      <c r="E26" s="632"/>
      <c r="F26" s="633"/>
      <c r="G26" s="633"/>
      <c r="H26" s="633"/>
      <c r="I26" s="633"/>
      <c r="J26" s="633"/>
      <c r="K26" s="633"/>
      <c r="L26" s="844"/>
    </row>
    <row r="27" spans="1:12" x14ac:dyDescent="0.25">
      <c r="A27" s="740"/>
      <c r="B27" s="845" t="s">
        <v>421</v>
      </c>
      <c r="C27" s="545"/>
      <c r="D27" s="545"/>
      <c r="E27" s="632"/>
      <c r="F27" s="545"/>
      <c r="G27" s="253"/>
      <c r="H27" s="253"/>
      <c r="I27" s="253"/>
      <c r="J27" s="1084"/>
      <c r="K27" s="1085"/>
      <c r="L27" s="1086"/>
    </row>
    <row r="28" spans="1:12" ht="18" customHeight="1" x14ac:dyDescent="0.25">
      <c r="A28" s="740"/>
      <c r="B28" s="845"/>
      <c r="C28" s="545"/>
      <c r="D28" s="829"/>
      <c r="E28" s="830"/>
      <c r="F28" s="829"/>
      <c r="G28" s="831"/>
      <c r="H28" s="831"/>
      <c r="I28" s="831"/>
      <c r="J28" s="832"/>
      <c r="K28" s="833"/>
      <c r="L28" s="666"/>
    </row>
    <row r="29" spans="1:12" ht="18" customHeight="1" x14ac:dyDescent="0.25">
      <c r="A29" s="740"/>
      <c r="B29" s="845"/>
      <c r="C29" s="545"/>
      <c r="D29" s="545"/>
      <c r="E29" s="632"/>
      <c r="F29" s="633"/>
      <c r="G29" s="620"/>
      <c r="H29" s="620"/>
      <c r="I29" s="620"/>
      <c r="J29" s="1084"/>
      <c r="K29" s="1085"/>
      <c r="L29" s="1086"/>
    </row>
    <row r="30" spans="1:12" ht="18" customHeight="1" x14ac:dyDescent="0.25">
      <c r="A30" s="740"/>
      <c r="B30" s="845"/>
      <c r="C30" s="545"/>
      <c r="D30" s="834"/>
      <c r="E30" s="835"/>
      <c r="F30" s="836"/>
      <c r="G30" s="837"/>
      <c r="H30" s="837"/>
      <c r="I30" s="837"/>
      <c r="J30" s="837"/>
      <c r="K30" s="837"/>
      <c r="L30" s="844"/>
    </row>
    <row r="31" spans="1:12" ht="18" customHeight="1" x14ac:dyDescent="0.25">
      <c r="A31" s="743"/>
      <c r="B31" s="748"/>
      <c r="C31" s="748"/>
      <c r="D31" s="748"/>
      <c r="E31" s="748"/>
      <c r="F31" s="748"/>
      <c r="G31" s="748"/>
      <c r="H31" s="846"/>
      <c r="I31" s="846"/>
      <c r="J31" s="846"/>
      <c r="K31" s="847"/>
      <c r="L31" s="749"/>
    </row>
    <row r="32" spans="1:12" ht="18" customHeight="1" x14ac:dyDescent="0.25">
      <c r="B32" s="634"/>
    </row>
    <row r="33" spans="1:12" ht="18" customHeight="1" x14ac:dyDescent="0.25">
      <c r="B33" s="634"/>
      <c r="C33" s="634"/>
      <c r="D33" s="634"/>
    </row>
    <row r="34" spans="1:12" ht="18" customHeight="1" x14ac:dyDescent="0.25">
      <c r="B34" s="634"/>
      <c r="C34" s="634"/>
      <c r="D34" s="634"/>
    </row>
    <row r="35" spans="1:12" ht="18" customHeight="1" x14ac:dyDescent="0.25">
      <c r="B35" s="634"/>
      <c r="C35" s="634"/>
      <c r="D35" s="634"/>
    </row>
    <row r="36" spans="1:12" ht="18" customHeight="1" x14ac:dyDescent="0.25">
      <c r="B36" s="634"/>
      <c r="C36" s="634"/>
      <c r="D36" s="634"/>
    </row>
    <row r="37" spans="1:12" x14ac:dyDescent="0.25">
      <c r="B37" s="635"/>
      <c r="C37" s="635"/>
      <c r="D37" s="635"/>
      <c r="E37" s="636"/>
      <c r="F37" s="635"/>
      <c r="G37" s="635"/>
      <c r="H37" s="635"/>
      <c r="I37" s="635"/>
      <c r="J37" s="635"/>
      <c r="K37" s="635"/>
    </row>
    <row r="38" spans="1:12" x14ac:dyDescent="0.25">
      <c r="B38" s="636"/>
      <c r="C38" s="636"/>
      <c r="D38" s="636"/>
      <c r="E38" s="636"/>
      <c r="F38" s="636"/>
      <c r="J38" s="636"/>
      <c r="K38" s="636"/>
    </row>
    <row r="39" spans="1:12" x14ac:dyDescent="0.25">
      <c r="B39" s="636"/>
      <c r="C39" s="636"/>
      <c r="D39" s="636"/>
      <c r="E39" s="636"/>
      <c r="F39" s="636"/>
      <c r="J39" s="636"/>
      <c r="K39" s="636"/>
    </row>
    <row r="46" spans="1:12" ht="11.25" customHeight="1" x14ac:dyDescent="0.25"/>
    <row r="47" spans="1:12" ht="17.25" customHeight="1" x14ac:dyDescent="0.25">
      <c r="A47" s="1099" t="s">
        <v>466</v>
      </c>
      <c r="B47" s="1099"/>
      <c r="C47" s="1099"/>
      <c r="D47" s="1099"/>
      <c r="E47" s="1099"/>
      <c r="F47" s="1099"/>
      <c r="G47" s="1099"/>
      <c r="H47" s="1099"/>
      <c r="I47" s="1099"/>
      <c r="J47" s="1099"/>
      <c r="K47" s="1099"/>
      <c r="L47" s="1099"/>
    </row>
  </sheetData>
  <protectedRanges>
    <protectedRange sqref="E12 D9 D12:D14" name="Rango3_3_1_1_1"/>
    <protectedRange sqref="F12:G12" name="Rango3_1_1_1_1_1_1_1"/>
    <protectedRange sqref="H12" name="Rango3_3_1_1_1_1"/>
  </protectedRanges>
  <mergeCells count="17">
    <mergeCell ref="I17:J17"/>
    <mergeCell ref="J29:L29"/>
    <mergeCell ref="A47:L47"/>
    <mergeCell ref="I25:J25"/>
    <mergeCell ref="I22:J22"/>
    <mergeCell ref="I23:J23"/>
    <mergeCell ref="I24:J24"/>
    <mergeCell ref="F3:I3"/>
    <mergeCell ref="B6:K6"/>
    <mergeCell ref="I18:J18"/>
    <mergeCell ref="I19:J19"/>
    <mergeCell ref="I20:J20"/>
    <mergeCell ref="J27:L27"/>
    <mergeCell ref="A7:L7"/>
    <mergeCell ref="I16:J16"/>
    <mergeCell ref="I21:J21"/>
    <mergeCell ref="F15:J15"/>
  </mergeCells>
  <phoneticPr fontId="0" type="noConversion"/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0462-B55A-4701-A376-13F58CFCA96C}">
  <dimension ref="A1:O45"/>
  <sheetViews>
    <sheetView view="pageBreakPreview" zoomScaleNormal="100" zoomScaleSheetLayoutView="100" workbookViewId="0">
      <selection activeCell="L20" sqref="L20"/>
    </sheetView>
  </sheetViews>
  <sheetFormatPr baseColWidth="10" defaultColWidth="11.44140625" defaultRowHeight="12" x14ac:dyDescent="0.25"/>
  <cols>
    <col min="1" max="1" width="11.44140625" style="758" customWidth="1"/>
    <col min="2" max="2" width="1.44140625" style="758" customWidth="1"/>
    <col min="3" max="3" width="12.5546875" style="758" customWidth="1"/>
    <col min="4" max="5" width="16.5546875" style="758" customWidth="1"/>
    <col min="6" max="6" width="15" style="758" customWidth="1"/>
    <col min="7" max="7" width="1.6640625" style="758" customWidth="1"/>
    <col min="8" max="8" width="16.5546875" style="758" customWidth="1"/>
    <col min="9" max="9" width="14.44140625" style="758" customWidth="1"/>
    <col min="10" max="16384" width="11.44140625" style="758"/>
  </cols>
  <sheetData>
    <row r="1" spans="1:15" s="760" customFormat="1" ht="15.75" customHeight="1" thickTop="1" x14ac:dyDescent="0.3">
      <c r="A1" s="809"/>
      <c r="B1" s="810"/>
      <c r="C1" s="810"/>
      <c r="D1" s="810"/>
      <c r="E1" s="810"/>
      <c r="F1" s="810"/>
      <c r="G1" s="810"/>
      <c r="H1" s="811"/>
      <c r="I1" s="759"/>
      <c r="J1" s="759"/>
      <c r="K1" s="759"/>
    </row>
    <row r="2" spans="1:15" s="760" customFormat="1" ht="15.75" customHeight="1" x14ac:dyDescent="0.25">
      <c r="A2" s="812"/>
      <c r="B2" s="813"/>
      <c r="C2" s="813"/>
      <c r="D2" s="813"/>
      <c r="E2" s="813"/>
      <c r="F2" s="813"/>
      <c r="G2" s="813"/>
      <c r="H2" s="814"/>
      <c r="I2" s="761"/>
      <c r="J2" s="761"/>
      <c r="K2" s="761"/>
    </row>
    <row r="3" spans="1:15" s="760" customFormat="1" ht="15.75" customHeight="1" x14ac:dyDescent="0.25">
      <c r="A3" s="812"/>
      <c r="B3" s="813"/>
      <c r="C3" s="813"/>
      <c r="D3" s="813"/>
      <c r="E3" s="813"/>
      <c r="F3" s="813"/>
      <c r="G3" s="813"/>
      <c r="H3" s="814"/>
      <c r="I3" s="762"/>
      <c r="J3" s="762"/>
      <c r="K3" s="762"/>
    </row>
    <row r="4" spans="1:15" s="760" customFormat="1" ht="15.75" customHeight="1" x14ac:dyDescent="0.25">
      <c r="A4" s="812"/>
      <c r="B4" s="813"/>
      <c r="C4" s="813"/>
      <c r="D4" s="813"/>
      <c r="E4" s="813"/>
      <c r="F4" s="813"/>
      <c r="G4" s="813"/>
      <c r="H4" s="814"/>
      <c r="I4" s="763"/>
      <c r="J4" s="763"/>
      <c r="K4" s="763"/>
    </row>
    <row r="5" spans="1:15" s="760" customFormat="1" ht="15.75" customHeight="1" x14ac:dyDescent="0.25">
      <c r="A5" s="812"/>
      <c r="B5" s="813"/>
      <c r="C5" s="813"/>
      <c r="D5" s="813"/>
      <c r="E5" s="813"/>
      <c r="F5" s="813"/>
      <c r="G5" s="813"/>
      <c r="H5" s="814"/>
      <c r="I5" s="764"/>
      <c r="J5" s="765"/>
      <c r="K5" s="765"/>
    </row>
    <row r="6" spans="1:15" s="760" customFormat="1" ht="15.75" customHeight="1" thickBot="1" x14ac:dyDescent="0.3">
      <c r="A6" s="815"/>
      <c r="B6" s="816"/>
      <c r="C6" s="816"/>
      <c r="D6" s="816"/>
      <c r="E6" s="816"/>
      <c r="F6" s="816"/>
      <c r="G6" s="816"/>
      <c r="H6" s="817"/>
      <c r="I6" s="766"/>
      <c r="J6" s="766"/>
      <c r="K6" s="766"/>
    </row>
    <row r="7" spans="1:15" s="760" customFormat="1" ht="42" customHeight="1" thickTop="1" x14ac:dyDescent="0.3">
      <c r="A7" s="1115" t="s">
        <v>479</v>
      </c>
      <c r="B7" s="1116"/>
      <c r="C7" s="1116"/>
      <c r="D7" s="1116"/>
      <c r="E7" s="1116"/>
      <c r="F7" s="1116"/>
      <c r="G7" s="1116"/>
      <c r="H7" s="1117"/>
      <c r="I7" s="767"/>
      <c r="J7" s="767"/>
      <c r="K7" s="767"/>
      <c r="L7" s="768"/>
      <c r="M7" s="768"/>
      <c r="N7" s="768"/>
      <c r="O7" s="768"/>
    </row>
    <row r="8" spans="1:15" s="769" customFormat="1" ht="15" customHeight="1" x14ac:dyDescent="0.25">
      <c r="A8" s="797"/>
      <c r="B8" s="798"/>
      <c r="C8" s="798"/>
      <c r="D8" s="798"/>
      <c r="E8" s="798"/>
      <c r="F8" s="798"/>
      <c r="G8" s="798"/>
      <c r="H8" s="799"/>
    </row>
    <row r="9" spans="1:15" s="769" customFormat="1" ht="15" customHeight="1" x14ac:dyDescent="0.25">
      <c r="A9" s="653" t="s">
        <v>448</v>
      </c>
      <c r="B9" s="657" t="s">
        <v>0</v>
      </c>
      <c r="C9" s="757" t="s">
        <v>452</v>
      </c>
      <c r="D9" s="802"/>
      <c r="E9" s="802"/>
      <c r="F9" s="657" t="s">
        <v>457</v>
      </c>
      <c r="G9" s="657" t="s">
        <v>0</v>
      </c>
      <c r="H9" s="808" t="s">
        <v>478</v>
      </c>
    </row>
    <row r="10" spans="1:15" s="769" customFormat="1" ht="15" customHeight="1" x14ac:dyDescent="0.25">
      <c r="A10" s="654" t="s">
        <v>449</v>
      </c>
      <c r="B10" s="657" t="s">
        <v>0</v>
      </c>
      <c r="C10" s="669" t="s">
        <v>453</v>
      </c>
      <c r="D10" s="803"/>
      <c r="E10" s="803"/>
      <c r="F10" s="657" t="s">
        <v>458</v>
      </c>
      <c r="G10" s="657" t="s">
        <v>0</v>
      </c>
      <c r="H10" s="671" t="s">
        <v>461</v>
      </c>
    </row>
    <row r="11" spans="1:15" s="769" customFormat="1" ht="15" customHeight="1" x14ac:dyDescent="0.25">
      <c r="A11" s="653" t="s">
        <v>450</v>
      </c>
      <c r="B11" s="657" t="s">
        <v>0</v>
      </c>
      <c r="C11" s="655" t="s">
        <v>454</v>
      </c>
      <c r="D11" s="804"/>
      <c r="E11" s="804"/>
      <c r="F11" s="657" t="s">
        <v>462</v>
      </c>
      <c r="G11" s="657" t="s">
        <v>0</v>
      </c>
      <c r="H11" s="848">
        <v>41528</v>
      </c>
    </row>
    <row r="12" spans="1:15" s="769" customFormat="1" ht="15" customHeight="1" x14ac:dyDescent="0.25">
      <c r="A12" s="653" t="s">
        <v>378</v>
      </c>
      <c r="B12" s="657" t="s">
        <v>0</v>
      </c>
      <c r="C12" s="655" t="s">
        <v>455</v>
      </c>
      <c r="D12" s="805"/>
      <c r="E12" s="804"/>
      <c r="F12" s="657" t="s">
        <v>460</v>
      </c>
      <c r="G12" s="657" t="s">
        <v>0</v>
      </c>
      <c r="H12" s="671" t="str">
        <f>+'[5]CONO 1'!$J$15</f>
        <v>R. Portillo</v>
      </c>
    </row>
    <row r="13" spans="1:15" s="769" customFormat="1" ht="15" customHeight="1" x14ac:dyDescent="0.25">
      <c r="A13" s="653" t="s">
        <v>451</v>
      </c>
      <c r="B13" s="657" t="s">
        <v>0</v>
      </c>
      <c r="C13" s="669" t="s">
        <v>456</v>
      </c>
      <c r="D13" s="806"/>
      <c r="E13" s="807"/>
      <c r="F13" s="795"/>
      <c r="G13" s="795"/>
      <c r="H13" s="800"/>
    </row>
    <row r="14" spans="1:15" s="769" customFormat="1" ht="15" customHeight="1" x14ac:dyDescent="0.25">
      <c r="A14" s="660"/>
      <c r="B14" s="744"/>
      <c r="C14" s="677"/>
      <c r="D14" s="770"/>
      <c r="E14" s="771"/>
      <c r="F14" s="772"/>
      <c r="G14" s="772"/>
      <c r="H14" s="801"/>
    </row>
    <row r="15" spans="1:15" ht="15" customHeight="1" x14ac:dyDescent="0.25">
      <c r="A15" s="852"/>
      <c r="B15" s="853"/>
      <c r="C15" s="853"/>
      <c r="D15" s="853"/>
      <c r="E15" s="853"/>
      <c r="F15" s="853"/>
      <c r="G15" s="853"/>
      <c r="H15" s="854"/>
    </row>
    <row r="16" spans="1:15" ht="20.100000000000001" customHeight="1" x14ac:dyDescent="0.25">
      <c r="A16" s="1118" t="s">
        <v>468</v>
      </c>
      <c r="B16" s="1119"/>
      <c r="C16" s="1120"/>
      <c r="D16" s="1105" t="s">
        <v>469</v>
      </c>
      <c r="E16" s="1124"/>
      <c r="F16" s="1124"/>
      <c r="G16" s="1124"/>
      <c r="H16" s="1106"/>
    </row>
    <row r="17" spans="1:8" ht="20.100000000000001" customHeight="1" x14ac:dyDescent="0.25">
      <c r="A17" s="1121"/>
      <c r="B17" s="1122"/>
      <c r="C17" s="1123"/>
      <c r="D17" s="774" t="s">
        <v>78</v>
      </c>
      <c r="E17" s="775" t="s">
        <v>79</v>
      </c>
      <c r="F17" s="1105" t="s">
        <v>80</v>
      </c>
      <c r="G17" s="1106"/>
      <c r="H17" s="775" t="s">
        <v>81</v>
      </c>
    </row>
    <row r="18" spans="1:8" ht="20.100000000000001" customHeight="1" x14ac:dyDescent="0.25">
      <c r="A18" s="1110" t="s">
        <v>9</v>
      </c>
      <c r="B18" s="1110"/>
      <c r="C18" s="1110"/>
      <c r="D18" s="776"/>
      <c r="E18" s="777"/>
      <c r="F18" s="1105"/>
      <c r="G18" s="1106"/>
      <c r="H18" s="778"/>
    </row>
    <row r="19" spans="1:8" ht="20.100000000000001" customHeight="1" x14ac:dyDescent="0.25">
      <c r="A19" s="1110" t="s">
        <v>10</v>
      </c>
      <c r="B19" s="1110"/>
      <c r="C19" s="1110"/>
      <c r="D19" s="779">
        <v>1252.0999999999999</v>
      </c>
      <c r="E19" s="777"/>
      <c r="F19" s="1105"/>
      <c r="G19" s="1106"/>
      <c r="H19" s="778"/>
    </row>
    <row r="20" spans="1:8" ht="20.100000000000001" customHeight="1" x14ac:dyDescent="0.25">
      <c r="A20" s="1110" t="s">
        <v>11</v>
      </c>
      <c r="B20" s="1110"/>
      <c r="C20" s="1110"/>
      <c r="D20" s="779">
        <v>1253.5999999999999</v>
      </c>
      <c r="E20" s="777"/>
      <c r="F20" s="1105"/>
      <c r="G20" s="1106"/>
      <c r="H20" s="778"/>
    </row>
    <row r="21" spans="1:8" ht="20.100000000000001" customHeight="1" x14ac:dyDescent="0.25">
      <c r="A21" s="1110" t="s">
        <v>12</v>
      </c>
      <c r="B21" s="1110"/>
      <c r="C21" s="1110"/>
      <c r="D21" s="779">
        <v>1251.3</v>
      </c>
      <c r="E21" s="780">
        <v>2500.1</v>
      </c>
      <c r="F21" s="1105"/>
      <c r="G21" s="1106"/>
      <c r="H21" s="778"/>
    </row>
    <row r="22" spans="1:8" ht="20.100000000000001" customHeight="1" x14ac:dyDescent="0.25">
      <c r="A22" s="1110" t="s">
        <v>13</v>
      </c>
      <c r="B22" s="1110"/>
      <c r="C22" s="1110"/>
      <c r="D22" s="779">
        <v>1250.5999999999999</v>
      </c>
      <c r="E22" s="780">
        <v>2500.9</v>
      </c>
      <c r="F22" s="1105"/>
      <c r="G22" s="1106"/>
      <c r="H22" s="778"/>
    </row>
    <row r="23" spans="1:8" ht="20.100000000000001" customHeight="1" x14ac:dyDescent="0.25">
      <c r="A23" s="1110" t="s">
        <v>16</v>
      </c>
      <c r="B23" s="1110"/>
      <c r="C23" s="1110"/>
      <c r="D23" s="781"/>
      <c r="E23" s="780"/>
      <c r="F23" s="1105"/>
      <c r="G23" s="1106"/>
      <c r="H23" s="778"/>
    </row>
    <row r="24" spans="1:8" ht="20.100000000000001" customHeight="1" x14ac:dyDescent="0.25">
      <c r="A24" s="1110" t="s">
        <v>470</v>
      </c>
      <c r="B24" s="1110"/>
      <c r="C24" s="1110"/>
      <c r="D24" s="781"/>
      <c r="E24" s="780"/>
      <c r="F24" s="1105"/>
      <c r="G24" s="1106"/>
      <c r="H24" s="778"/>
    </row>
    <row r="25" spans="1:8" ht="20.100000000000001" customHeight="1" x14ac:dyDescent="0.25">
      <c r="A25" s="1110" t="s">
        <v>471</v>
      </c>
      <c r="B25" s="1110"/>
      <c r="C25" s="1110"/>
      <c r="D25" s="782">
        <f>SUM(D19+D20+D21+D22)</f>
        <v>5007.6000000000004</v>
      </c>
      <c r="E25" s="783">
        <f>SUM(E21:E24)</f>
        <v>5001</v>
      </c>
      <c r="F25" s="1105"/>
      <c r="G25" s="1106"/>
      <c r="H25" s="784"/>
    </row>
    <row r="26" spans="1:8" ht="20.100000000000001" customHeight="1" x14ac:dyDescent="0.25">
      <c r="A26" s="1107" t="s">
        <v>472</v>
      </c>
      <c r="B26" s="1108"/>
      <c r="C26" s="1109"/>
      <c r="D26" s="785">
        <v>3629.6</v>
      </c>
      <c r="E26" s="786">
        <v>4238.3999999999996</v>
      </c>
      <c r="F26" s="1105"/>
      <c r="G26" s="1106"/>
      <c r="H26" s="787"/>
    </row>
    <row r="27" spans="1:8" ht="20.100000000000001" customHeight="1" x14ac:dyDescent="0.25">
      <c r="A27" s="1107" t="s">
        <v>473</v>
      </c>
      <c r="B27" s="1108"/>
      <c r="C27" s="1109"/>
      <c r="D27" s="788">
        <f>+D25-D26</f>
        <v>1378.0000000000005</v>
      </c>
      <c r="E27" s="783">
        <v>699.3</v>
      </c>
      <c r="F27" s="1105"/>
      <c r="G27" s="1106"/>
      <c r="H27" s="784"/>
    </row>
    <row r="28" spans="1:8" ht="20.100000000000001" customHeight="1" x14ac:dyDescent="0.25">
      <c r="A28" s="1112" t="s">
        <v>474</v>
      </c>
      <c r="B28" s="1113"/>
      <c r="C28" s="1114"/>
      <c r="D28" s="787">
        <v>12</v>
      </c>
      <c r="E28" s="786">
        <v>11</v>
      </c>
      <c r="F28" s="1105"/>
      <c r="G28" s="1106"/>
      <c r="H28" s="787"/>
    </row>
    <row r="29" spans="1:8" ht="20.100000000000001" customHeight="1" x14ac:dyDescent="0.25">
      <c r="A29" s="1107" t="s">
        <v>475</v>
      </c>
      <c r="B29" s="1108"/>
      <c r="C29" s="1109"/>
      <c r="D29" s="776"/>
      <c r="E29" s="780">
        <v>4620</v>
      </c>
      <c r="F29" s="1105"/>
      <c r="G29" s="1106"/>
      <c r="H29" s="776"/>
    </row>
    <row r="30" spans="1:8" ht="20.100000000000001" customHeight="1" x14ac:dyDescent="0.25">
      <c r="A30" s="1107" t="s">
        <v>476</v>
      </c>
      <c r="B30" s="1108"/>
      <c r="C30" s="1109"/>
      <c r="D30" s="789">
        <f>(D27/D25*100)/100</f>
        <v>0.27518172377985467</v>
      </c>
      <c r="E30" s="790">
        <f>E27/E25*100</f>
        <v>13.983203359328133</v>
      </c>
      <c r="F30" s="1105"/>
      <c r="G30" s="1106"/>
      <c r="H30" s="791"/>
    </row>
    <row r="31" spans="1:8" ht="20.100000000000001" customHeight="1" x14ac:dyDescent="0.25">
      <c r="A31" s="855" t="s">
        <v>477</v>
      </c>
      <c r="B31" s="792"/>
      <c r="C31" s="793"/>
      <c r="D31" s="793"/>
      <c r="E31" s="793"/>
      <c r="F31" s="793"/>
      <c r="G31" s="793"/>
      <c r="H31" s="856"/>
    </row>
    <row r="32" spans="1:8" ht="20.100000000000001" customHeight="1" x14ac:dyDescent="0.25">
      <c r="A32" s="855"/>
      <c r="B32" s="792"/>
      <c r="C32" s="793"/>
      <c r="D32" s="849"/>
      <c r="E32" s="849"/>
      <c r="F32" s="849"/>
      <c r="G32" s="849"/>
      <c r="H32" s="857"/>
    </row>
    <row r="33" spans="1:8" ht="20.100000000000001" customHeight="1" x14ac:dyDescent="0.25">
      <c r="A33" s="858"/>
      <c r="B33" s="850"/>
      <c r="C33" s="851"/>
      <c r="D33" s="851"/>
      <c r="E33" s="851"/>
      <c r="F33" s="851"/>
      <c r="G33" s="851"/>
      <c r="H33" s="859"/>
    </row>
    <row r="34" spans="1:8" ht="20.100000000000001" customHeight="1" x14ac:dyDescent="0.25">
      <c r="A34" s="860"/>
      <c r="B34" s="861"/>
      <c r="C34" s="862"/>
      <c r="D34" s="862"/>
      <c r="E34" s="862"/>
      <c r="F34" s="862"/>
      <c r="G34" s="862"/>
      <c r="H34" s="863"/>
    </row>
    <row r="35" spans="1:8" ht="20.100000000000001" customHeight="1" x14ac:dyDescent="0.25">
      <c r="A35" s="792"/>
      <c r="B35" s="792"/>
      <c r="C35" s="793"/>
      <c r="D35" s="793"/>
      <c r="E35" s="793"/>
      <c r="F35" s="793"/>
      <c r="G35" s="793"/>
      <c r="H35" s="793"/>
    </row>
    <row r="36" spans="1:8" ht="20.100000000000001" customHeight="1" x14ac:dyDescent="0.25">
      <c r="A36" s="792"/>
      <c r="B36" s="792"/>
      <c r="C36" s="793"/>
      <c r="D36" s="793"/>
      <c r="E36" s="793"/>
      <c r="F36" s="793"/>
      <c r="G36" s="793"/>
      <c r="H36" s="793"/>
    </row>
    <row r="37" spans="1:8" ht="20.100000000000001" customHeight="1" x14ac:dyDescent="0.25">
      <c r="A37" s="792"/>
      <c r="B37" s="792"/>
      <c r="C37" s="793"/>
      <c r="D37" s="793"/>
      <c r="E37" s="793"/>
      <c r="F37" s="793"/>
      <c r="G37" s="793"/>
      <c r="H37" s="793"/>
    </row>
    <row r="38" spans="1:8" ht="20.100000000000001" customHeight="1" x14ac:dyDescent="0.25">
      <c r="A38" s="792"/>
      <c r="B38" s="792"/>
      <c r="C38" s="793"/>
      <c r="D38" s="793"/>
      <c r="E38" s="793"/>
      <c r="F38" s="793"/>
      <c r="G38" s="793"/>
      <c r="H38" s="793"/>
    </row>
    <row r="39" spans="1:8" ht="20.100000000000001" customHeight="1" x14ac:dyDescent="0.25">
      <c r="A39" s="792"/>
      <c r="B39" s="792"/>
      <c r="C39" s="793"/>
      <c r="D39" s="793"/>
      <c r="E39" s="793"/>
      <c r="F39" s="793"/>
      <c r="G39" s="793"/>
      <c r="H39" s="793"/>
    </row>
    <row r="40" spans="1:8" ht="20.100000000000001" customHeight="1" x14ac:dyDescent="0.25">
      <c r="A40" s="792"/>
      <c r="B40" s="792"/>
      <c r="C40" s="793"/>
      <c r="D40" s="793"/>
      <c r="E40" s="793"/>
      <c r="F40" s="793"/>
      <c r="G40" s="793"/>
      <c r="H40" s="793"/>
    </row>
    <row r="41" spans="1:8" ht="20.100000000000001" customHeight="1" x14ac:dyDescent="0.25">
      <c r="A41" s="792"/>
      <c r="B41" s="792"/>
      <c r="C41" s="793"/>
      <c r="D41" s="793"/>
      <c r="E41" s="793"/>
      <c r="F41" s="793"/>
      <c r="G41" s="793"/>
      <c r="H41" s="793"/>
    </row>
    <row r="42" spans="1:8" ht="16.5" customHeight="1" x14ac:dyDescent="0.25">
      <c r="A42" s="793"/>
      <c r="B42" s="793"/>
      <c r="C42" s="793"/>
      <c r="D42" s="793"/>
      <c r="E42" s="793"/>
      <c r="F42" s="793"/>
      <c r="G42" s="793"/>
      <c r="H42" s="793"/>
    </row>
    <row r="43" spans="1:8" ht="27" customHeight="1" x14ac:dyDescent="0.25">
      <c r="A43" s="794"/>
      <c r="B43" s="794"/>
      <c r="C43" s="794"/>
      <c r="D43" s="794"/>
      <c r="E43" s="773"/>
      <c r="F43" s="773"/>
      <c r="G43" s="773"/>
      <c r="H43" s="773"/>
    </row>
    <row r="45" spans="1:8" ht="21" customHeight="1" x14ac:dyDescent="0.25">
      <c r="A45" s="1111" t="s">
        <v>466</v>
      </c>
      <c r="B45" s="1111"/>
      <c r="C45" s="1111"/>
      <c r="D45" s="1111"/>
      <c r="E45" s="1111"/>
      <c r="F45" s="1111"/>
      <c r="G45" s="1111"/>
      <c r="H45" s="1111"/>
    </row>
  </sheetData>
  <protectedRanges>
    <protectedRange sqref="C9 C12:C14" name="Rango3_3_1_1_1_1"/>
    <protectedRange sqref="F12" name="Rango3_3_1_1_1_2"/>
  </protectedRanges>
  <mergeCells count="31">
    <mergeCell ref="F19:G19"/>
    <mergeCell ref="A24:C24"/>
    <mergeCell ref="A26:C26"/>
    <mergeCell ref="F23:G23"/>
    <mergeCell ref="F22:G22"/>
    <mergeCell ref="F20:G20"/>
    <mergeCell ref="A7:H7"/>
    <mergeCell ref="A16:C17"/>
    <mergeCell ref="D16:H16"/>
    <mergeCell ref="F17:G17"/>
    <mergeCell ref="F18:G18"/>
    <mergeCell ref="A45:H45"/>
    <mergeCell ref="A30:C30"/>
    <mergeCell ref="A23:C23"/>
    <mergeCell ref="F25:G25"/>
    <mergeCell ref="A25:C25"/>
    <mergeCell ref="A19:C19"/>
    <mergeCell ref="F28:G28"/>
    <mergeCell ref="A28:C28"/>
    <mergeCell ref="F27:G27"/>
    <mergeCell ref="A27:C27"/>
    <mergeCell ref="F30:G30"/>
    <mergeCell ref="F26:G26"/>
    <mergeCell ref="A29:C29"/>
    <mergeCell ref="F29:G29"/>
    <mergeCell ref="A18:C18"/>
    <mergeCell ref="A20:C20"/>
    <mergeCell ref="A22:C22"/>
    <mergeCell ref="F21:G21"/>
    <mergeCell ref="F24:G24"/>
    <mergeCell ref="A21:C21"/>
  </mergeCells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ACE9-F180-4221-81F2-A31AC15210A2}">
  <dimension ref="A1:O62"/>
  <sheetViews>
    <sheetView zoomScaleNormal="100" workbookViewId="0">
      <selection activeCell="J26" sqref="J26"/>
    </sheetView>
  </sheetViews>
  <sheetFormatPr baseColWidth="10" defaultColWidth="11.44140625" defaultRowHeight="13.2" x14ac:dyDescent="0.25"/>
  <cols>
    <col min="1" max="1" width="2.33203125" style="547" customWidth="1"/>
    <col min="2" max="2" width="8.5546875" style="547" customWidth="1"/>
    <col min="3" max="3" width="1.88671875" style="547" customWidth="1"/>
    <col min="4" max="4" width="23.109375" style="547" customWidth="1"/>
    <col min="5" max="6" width="11.6640625" style="547" customWidth="1"/>
    <col min="7" max="7" width="12.5546875" style="547" customWidth="1"/>
    <col min="8" max="9" width="11.6640625" style="547" customWidth="1"/>
    <col min="10" max="16384" width="11.44140625" style="547"/>
  </cols>
  <sheetData>
    <row r="1" spans="1:14" s="158" customFormat="1" ht="13.8" x14ac:dyDescent="0.25">
      <c r="A1" s="526"/>
      <c r="B1" s="527"/>
      <c r="C1" s="527"/>
      <c r="D1" s="527"/>
      <c r="E1" s="527"/>
      <c r="F1" s="527"/>
      <c r="G1" s="527"/>
      <c r="H1" s="527"/>
      <c r="I1" s="528"/>
      <c r="J1" s="528"/>
      <c r="K1" s="159"/>
      <c r="L1" s="529"/>
    </row>
    <row r="2" spans="1:14" s="158" customFormat="1" x14ac:dyDescent="0.25">
      <c r="A2" s="530"/>
      <c r="B2" s="530"/>
      <c r="C2" s="530"/>
      <c r="D2" s="530"/>
      <c r="E2" s="530"/>
      <c r="F2" s="530"/>
      <c r="G2" s="530"/>
      <c r="H2" s="530"/>
      <c r="I2" s="531"/>
      <c r="J2" s="531"/>
      <c r="K2" s="159"/>
      <c r="L2" s="532"/>
    </row>
    <row r="3" spans="1:14" s="158" customFormat="1" ht="9" customHeight="1" x14ac:dyDescent="0.25">
      <c r="A3" s="533"/>
      <c r="B3" s="159"/>
      <c r="C3" s="159"/>
      <c r="D3" s="159"/>
      <c r="E3" s="1080"/>
      <c r="F3" s="1080"/>
      <c r="G3" s="1080"/>
      <c r="H3" s="1080"/>
      <c r="I3" s="534"/>
      <c r="J3" s="534"/>
      <c r="K3" s="159"/>
      <c r="L3" s="534"/>
    </row>
    <row r="4" spans="1:14" s="158" customFormat="1" ht="12" customHeight="1" x14ac:dyDescent="0.25">
      <c r="A4" s="535"/>
      <c r="B4" s="536"/>
      <c r="C4" s="159"/>
      <c r="D4" s="159"/>
      <c r="E4" s="537"/>
      <c r="F4" s="538"/>
      <c r="G4" s="538"/>
      <c r="H4" s="539" t="s">
        <v>381</v>
      </c>
      <c r="I4" s="540"/>
      <c r="J4" s="540"/>
      <c r="K4" s="159"/>
      <c r="L4" s="159"/>
    </row>
    <row r="5" spans="1:14" s="158" customFormat="1" ht="12" customHeight="1" thickBot="1" x14ac:dyDescent="0.3">
      <c r="A5" s="541"/>
      <c r="B5" s="541"/>
      <c r="C5" s="541"/>
      <c r="D5" s="542"/>
      <c r="E5" s="542"/>
      <c r="F5" s="542"/>
      <c r="G5" s="542"/>
      <c r="H5" s="542"/>
      <c r="I5" s="542"/>
      <c r="J5" s="543"/>
      <c r="K5" s="544"/>
    </row>
    <row r="6" spans="1:14" ht="9" customHeight="1" thickTop="1" x14ac:dyDescent="0.25">
      <c r="A6" s="545"/>
      <c r="B6" s="546"/>
      <c r="C6" s="546"/>
      <c r="D6" s="546"/>
      <c r="E6" s="546"/>
      <c r="F6" s="546"/>
      <c r="G6" s="546"/>
      <c r="H6" s="546"/>
      <c r="I6" s="546"/>
      <c r="J6" s="546"/>
    </row>
    <row r="7" spans="1:14" ht="15.6" x14ac:dyDescent="0.3">
      <c r="A7" s="1127" t="s">
        <v>382</v>
      </c>
      <c r="B7" s="1127"/>
      <c r="C7" s="1127"/>
      <c r="D7" s="1127"/>
      <c r="E7" s="1127"/>
      <c r="F7" s="1127"/>
      <c r="G7" s="1127"/>
      <c r="H7" s="1127"/>
      <c r="I7" s="1127"/>
      <c r="J7" s="548"/>
      <c r="K7" s="548"/>
      <c r="L7" s="548"/>
      <c r="M7" s="548"/>
      <c r="N7" s="548"/>
    </row>
    <row r="8" spans="1:14" x14ac:dyDescent="0.25">
      <c r="A8" s="1128" t="s">
        <v>383</v>
      </c>
      <c r="B8" s="1128"/>
      <c r="C8" s="1128"/>
      <c r="D8" s="1128"/>
      <c r="E8" s="1128"/>
      <c r="F8" s="1128"/>
      <c r="G8" s="1128"/>
      <c r="H8" s="1128"/>
      <c r="I8" s="1128"/>
      <c r="J8" s="549"/>
      <c r="K8" s="549"/>
      <c r="L8" s="549"/>
      <c r="M8" s="549"/>
      <c r="N8" s="549"/>
    </row>
    <row r="9" spans="1:14" ht="4.5" customHeight="1" x14ac:dyDescent="0.25"/>
    <row r="10" spans="1:14" x14ac:dyDescent="0.25">
      <c r="A10" s="1132" t="s">
        <v>384</v>
      </c>
      <c r="B10" s="1133"/>
      <c r="C10" s="1133"/>
      <c r="D10" s="1133"/>
      <c r="E10" s="1133"/>
      <c r="F10" s="1133"/>
      <c r="G10" s="1133"/>
      <c r="H10" s="1133"/>
      <c r="I10" s="1134"/>
      <c r="J10" s="550"/>
    </row>
    <row r="11" spans="1:14" x14ac:dyDescent="0.25">
      <c r="A11" s="551" t="s">
        <v>385</v>
      </c>
      <c r="B11" s="552"/>
      <c r="C11" s="553" t="s">
        <v>0</v>
      </c>
      <c r="D11" s="554" t="s">
        <v>386</v>
      </c>
      <c r="E11" s="555"/>
      <c r="F11" s="555"/>
      <c r="G11" s="556" t="s">
        <v>387</v>
      </c>
      <c r="H11" s="556" t="s">
        <v>0</v>
      </c>
      <c r="I11" s="557"/>
      <c r="J11" s="546"/>
    </row>
    <row r="12" spans="1:14" x14ac:dyDescent="0.25">
      <c r="A12" s="558" t="s">
        <v>388</v>
      </c>
      <c r="B12" s="554"/>
      <c r="C12" s="559" t="s">
        <v>0</v>
      </c>
      <c r="D12" s="554" t="s">
        <v>389</v>
      </c>
      <c r="E12" s="560"/>
      <c r="F12" s="560"/>
      <c r="G12" s="560" t="s">
        <v>390</v>
      </c>
      <c r="H12" s="560" t="str">
        <f>+'Gran-LLyLP'!H8</f>
        <v>F.T.V</v>
      </c>
      <c r="I12" s="561"/>
      <c r="J12" s="546"/>
    </row>
    <row r="13" spans="1:14" x14ac:dyDescent="0.25">
      <c r="A13" s="558" t="s">
        <v>423</v>
      </c>
      <c r="B13" s="554"/>
      <c r="C13" s="559" t="s">
        <v>0</v>
      </c>
      <c r="D13" s="614" t="str">
        <f>+'Gran-LLyLP'!C10</f>
        <v>Sub Base Granular</v>
      </c>
      <c r="E13" s="560"/>
      <c r="F13" s="560"/>
      <c r="G13" s="560" t="s">
        <v>391</v>
      </c>
      <c r="H13" s="554" t="str">
        <f>+'Gran-LLyLP'!H9</f>
        <v>F.K.S</v>
      </c>
      <c r="I13" s="561"/>
      <c r="J13" s="546"/>
    </row>
    <row r="14" spans="1:14" x14ac:dyDescent="0.25">
      <c r="A14" s="562"/>
      <c r="B14" s="563"/>
      <c r="C14" s="564"/>
      <c r="D14" s="565"/>
      <c r="E14" s="566"/>
      <c r="F14" s="567"/>
      <c r="G14" s="568" t="s">
        <v>392</v>
      </c>
      <c r="H14" s="569">
        <f>+'Gran-LLyLP'!C11</f>
        <v>38972</v>
      </c>
      <c r="I14" s="570"/>
      <c r="J14" s="546"/>
    </row>
    <row r="15" spans="1:14" ht="9" customHeight="1" x14ac:dyDescent="0.25"/>
    <row r="16" spans="1:14" x14ac:dyDescent="0.25">
      <c r="A16" s="1129" t="s">
        <v>393</v>
      </c>
      <c r="B16" s="1130"/>
      <c r="C16" s="1130"/>
      <c r="D16" s="1130"/>
      <c r="E16" s="1130"/>
      <c r="F16" s="1130"/>
      <c r="G16" s="1130"/>
      <c r="H16" s="1130"/>
      <c r="I16" s="1131"/>
      <c r="J16" s="550"/>
    </row>
    <row r="17" spans="1:12" x14ac:dyDescent="0.25">
      <c r="A17" s="551" t="s">
        <v>394</v>
      </c>
      <c r="B17" s="552"/>
      <c r="C17" s="553" t="s">
        <v>0</v>
      </c>
      <c r="D17" s="560" t="str">
        <f>+D13</f>
        <v>Sub Base Granular</v>
      </c>
      <c r="E17" s="555"/>
      <c r="F17" s="555"/>
      <c r="G17" s="555"/>
      <c r="H17" s="571"/>
      <c r="I17" s="572"/>
      <c r="J17" s="546"/>
    </row>
    <row r="18" spans="1:12" x14ac:dyDescent="0.25">
      <c r="A18" s="558" t="s">
        <v>395</v>
      </c>
      <c r="B18" s="554"/>
      <c r="C18" s="559" t="s">
        <v>0</v>
      </c>
      <c r="D18" s="573"/>
      <c r="E18" s="560"/>
      <c r="F18" s="560"/>
      <c r="G18" s="560"/>
      <c r="H18" s="574"/>
      <c r="I18" s="575"/>
      <c r="J18" s="546"/>
    </row>
    <row r="19" spans="1:12" x14ac:dyDescent="0.25">
      <c r="A19" s="562" t="s">
        <v>396</v>
      </c>
      <c r="B19" s="563"/>
      <c r="C19" s="564" t="s">
        <v>0</v>
      </c>
      <c r="D19" s="576" t="str">
        <f>+'Gran-LLyLP'!C8</f>
        <v>Km. 54+710-54+910</v>
      </c>
      <c r="E19" s="566"/>
      <c r="F19" s="567"/>
      <c r="G19" s="568"/>
      <c r="H19" s="577"/>
      <c r="I19" s="578"/>
      <c r="J19" s="546"/>
    </row>
    <row r="20" spans="1:12" ht="12.75" customHeight="1" x14ac:dyDescent="0.25">
      <c r="D20" s="579"/>
      <c r="E20" s="579"/>
      <c r="F20" s="579"/>
      <c r="G20" s="579"/>
      <c r="H20" s="579"/>
      <c r="I20" s="579"/>
      <c r="J20" s="579"/>
      <c r="K20" s="579"/>
      <c r="L20" s="579"/>
    </row>
    <row r="21" spans="1:12" ht="12.75" customHeight="1" x14ac:dyDescent="0.25">
      <c r="A21" s="1129" t="s">
        <v>397</v>
      </c>
      <c r="B21" s="1130"/>
      <c r="C21" s="1130"/>
      <c r="D21" s="1130"/>
      <c r="E21" s="1130"/>
      <c r="F21" s="1130"/>
      <c r="G21" s="1130"/>
      <c r="H21" s="1130"/>
      <c r="I21" s="1131"/>
      <c r="J21" s="579"/>
      <c r="K21" s="579"/>
      <c r="L21" s="579"/>
    </row>
    <row r="22" spans="1:12" ht="4.5" customHeight="1" x14ac:dyDescent="0.25">
      <c r="A22" s="545"/>
      <c r="B22" s="545"/>
      <c r="C22" s="545"/>
      <c r="D22" s="434"/>
      <c r="E22" s="579"/>
      <c r="F22" s="579"/>
      <c r="G22" s="579"/>
      <c r="H22" s="579"/>
      <c r="I22" s="579"/>
      <c r="J22" s="579"/>
      <c r="K22" s="579"/>
      <c r="L22" s="579"/>
    </row>
    <row r="23" spans="1:12" ht="18" customHeight="1" x14ac:dyDescent="0.25">
      <c r="A23" s="580" t="s">
        <v>78</v>
      </c>
      <c r="B23" s="581" t="s">
        <v>398</v>
      </c>
      <c r="C23" s="580"/>
      <c r="D23" s="582"/>
      <c r="E23" s="583">
        <v>4364.1000000000004</v>
      </c>
      <c r="F23" s="583">
        <v>200</v>
      </c>
      <c r="G23" s="584"/>
      <c r="H23" s="584"/>
      <c r="I23" s="585"/>
      <c r="J23" s="579"/>
      <c r="K23" s="579"/>
      <c r="L23" s="579"/>
    </row>
    <row r="24" spans="1:12" ht="18" customHeight="1" x14ac:dyDescent="0.25">
      <c r="A24" s="580" t="s">
        <v>79</v>
      </c>
      <c r="B24" s="581" t="s">
        <v>399</v>
      </c>
      <c r="C24" s="580"/>
      <c r="D24" s="582"/>
      <c r="E24" s="584">
        <v>2545.9</v>
      </c>
      <c r="F24" s="584">
        <v>667.3</v>
      </c>
      <c r="G24" s="584"/>
      <c r="H24" s="584"/>
      <c r="I24" s="585"/>
      <c r="J24" s="579"/>
      <c r="K24" s="579"/>
      <c r="L24" s="579"/>
    </row>
    <row r="25" spans="1:12" ht="18" customHeight="1" x14ac:dyDescent="0.25">
      <c r="A25" s="580" t="s">
        <v>80</v>
      </c>
      <c r="B25" s="581" t="s">
        <v>400</v>
      </c>
      <c r="C25" s="580"/>
      <c r="D25" s="582"/>
      <c r="E25" s="584">
        <f>+E24+E23</f>
        <v>6910</v>
      </c>
      <c r="F25" s="584">
        <f>+F24+F23</f>
        <v>867.3</v>
      </c>
      <c r="G25" s="584"/>
      <c r="H25" s="584"/>
      <c r="I25" s="585"/>
      <c r="J25" s="579"/>
      <c r="K25" s="579"/>
      <c r="L25" s="579"/>
    </row>
    <row r="26" spans="1:12" ht="18" customHeight="1" x14ac:dyDescent="0.25">
      <c r="A26" s="580" t="s">
        <v>81</v>
      </c>
      <c r="B26" s="581" t="s">
        <v>401</v>
      </c>
      <c r="C26" s="580"/>
      <c r="D26" s="582"/>
      <c r="E26" s="584">
        <v>792.5</v>
      </c>
      <c r="F26" s="584">
        <v>791.9</v>
      </c>
      <c r="G26" s="584"/>
      <c r="H26" s="584"/>
      <c r="I26" s="585"/>
      <c r="J26" s="579"/>
      <c r="K26" s="579"/>
      <c r="L26" s="579"/>
    </row>
    <row r="27" spans="1:12" ht="18" customHeight="1" x14ac:dyDescent="0.25">
      <c r="A27" s="580" t="s">
        <v>212</v>
      </c>
      <c r="B27" s="581" t="s">
        <v>402</v>
      </c>
      <c r="C27" s="580"/>
      <c r="D27" s="582"/>
      <c r="E27" s="586">
        <f>+E25-E26</f>
        <v>6117.5</v>
      </c>
      <c r="F27" s="586">
        <f>+F25-F26</f>
        <v>75.399999999999977</v>
      </c>
      <c r="G27" s="587"/>
      <c r="H27" s="587"/>
      <c r="I27" s="585"/>
      <c r="J27" s="579"/>
      <c r="K27" s="579"/>
      <c r="L27" s="579"/>
    </row>
    <row r="28" spans="1:12" ht="18" customHeight="1" x14ac:dyDescent="0.25">
      <c r="A28" s="580" t="s">
        <v>284</v>
      </c>
      <c r="B28" s="581" t="s">
        <v>403</v>
      </c>
      <c r="C28" s="580"/>
      <c r="D28" s="582"/>
      <c r="E28" s="583">
        <v>3936.8</v>
      </c>
      <c r="F28" s="583">
        <v>197.4</v>
      </c>
      <c r="G28" s="584"/>
      <c r="H28" s="584"/>
      <c r="I28" s="585"/>
      <c r="J28" s="579"/>
      <c r="K28" s="579"/>
      <c r="L28" s="579"/>
    </row>
    <row r="29" spans="1:12" ht="18" customHeight="1" x14ac:dyDescent="0.25">
      <c r="A29" s="580" t="s">
        <v>404</v>
      </c>
      <c r="B29" s="581" t="s">
        <v>405</v>
      </c>
      <c r="C29" s="580"/>
      <c r="D29" s="582"/>
      <c r="E29" s="588">
        <f>+E27-(E23-E28)</f>
        <v>5690.2</v>
      </c>
      <c r="F29" s="588">
        <f>+F27-(F23-F28)</f>
        <v>72.799999999999983</v>
      </c>
      <c r="G29" s="589"/>
      <c r="H29" s="589"/>
      <c r="I29" s="589" t="s">
        <v>406</v>
      </c>
      <c r="J29" s="579"/>
      <c r="K29" s="579"/>
      <c r="L29" s="579"/>
    </row>
    <row r="30" spans="1:12" ht="18" customHeight="1" x14ac:dyDescent="0.25">
      <c r="A30" s="581"/>
      <c r="B30" s="581" t="s">
        <v>407</v>
      </c>
      <c r="C30" s="580"/>
      <c r="D30" s="582"/>
      <c r="E30" s="590">
        <f>+E28/E27</f>
        <v>0.64353085410706989</v>
      </c>
      <c r="F30" s="590">
        <f>+F28/F27</f>
        <v>2.6180371352785157</v>
      </c>
      <c r="G30" s="590"/>
      <c r="H30" s="590"/>
      <c r="I30" s="590">
        <f>+AVERAGE(E30:H30)</f>
        <v>1.6307839946927927</v>
      </c>
      <c r="J30" s="579"/>
      <c r="K30" s="579"/>
      <c r="L30" s="579"/>
    </row>
    <row r="31" spans="1:12" ht="18" customHeight="1" x14ac:dyDescent="0.25">
      <c r="A31" s="581"/>
      <c r="B31" s="581" t="s">
        <v>408</v>
      </c>
      <c r="C31" s="580"/>
      <c r="D31" s="582"/>
      <c r="E31" s="590">
        <f>+E23/E27</f>
        <v>0.71337964854924407</v>
      </c>
      <c r="F31" s="590">
        <f>+F23/F27</f>
        <v>2.6525198938992052</v>
      </c>
      <c r="G31" s="590"/>
      <c r="H31" s="590"/>
      <c r="I31" s="590">
        <f>+AVERAGE(E31:H31)</f>
        <v>1.6829497712242247</v>
      </c>
      <c r="J31" s="579"/>
      <c r="K31" s="579"/>
      <c r="L31" s="579"/>
    </row>
    <row r="32" spans="1:12" ht="18" customHeight="1" x14ac:dyDescent="0.25">
      <c r="A32" s="581"/>
      <c r="B32" s="581" t="s">
        <v>409</v>
      </c>
      <c r="C32" s="580"/>
      <c r="D32" s="582"/>
      <c r="E32" s="590">
        <f>+E28/E29</f>
        <v>0.6918561737724509</v>
      </c>
      <c r="F32" s="590">
        <f>+F28/F29</f>
        <v>2.7115384615384621</v>
      </c>
      <c r="G32" s="590"/>
      <c r="H32" s="590"/>
      <c r="I32" s="590">
        <f>+AVERAGE(E32:H32)</f>
        <v>1.7016973176554564</v>
      </c>
      <c r="J32" s="579"/>
      <c r="K32" s="579"/>
      <c r="L32" s="579"/>
    </row>
    <row r="33" spans="1:12" ht="18" customHeight="1" x14ac:dyDescent="0.25">
      <c r="A33" s="581"/>
      <c r="B33" s="581" t="s">
        <v>410</v>
      </c>
      <c r="C33" s="580"/>
      <c r="D33" s="582"/>
      <c r="E33" s="588">
        <f>((E23-E28)/E28)*100</f>
        <v>10.8539930908352</v>
      </c>
      <c r="F33" s="588">
        <f>((F23-F28)/F28)*100</f>
        <v>1.3171225937183355</v>
      </c>
      <c r="G33" s="590"/>
      <c r="H33" s="590"/>
      <c r="I33" s="588">
        <f>+AVERAGE(E33:H33)</f>
        <v>6.085557842276768</v>
      </c>
      <c r="J33" s="579"/>
      <c r="K33" s="579"/>
      <c r="L33" s="579"/>
    </row>
    <row r="34" spans="1:12" ht="18" customHeight="1" x14ac:dyDescent="0.25">
      <c r="A34" s="434"/>
      <c r="B34" s="434"/>
      <c r="C34" s="591"/>
      <c r="D34" s="545"/>
      <c r="E34" s="592"/>
      <c r="F34" s="592"/>
      <c r="G34" s="592"/>
      <c r="H34" s="592"/>
      <c r="I34" s="592"/>
      <c r="J34" s="579"/>
      <c r="K34" s="579"/>
      <c r="L34" s="579"/>
    </row>
    <row r="35" spans="1:12" x14ac:dyDescent="0.25">
      <c r="D35" s="579"/>
      <c r="E35" s="579"/>
      <c r="F35" s="579"/>
      <c r="G35" s="579"/>
      <c r="H35" s="579"/>
      <c r="I35" s="579"/>
      <c r="J35" s="579"/>
      <c r="K35" s="579"/>
      <c r="L35" s="579"/>
    </row>
    <row r="36" spans="1:12" ht="12.75" customHeight="1" x14ac:dyDescent="0.25">
      <c r="A36" s="1129" t="s">
        <v>411</v>
      </c>
      <c r="B36" s="1130"/>
      <c r="C36" s="1130"/>
      <c r="D36" s="1130"/>
      <c r="E36" s="1130"/>
      <c r="F36" s="1130"/>
      <c r="G36" s="1130"/>
      <c r="H36" s="1130"/>
      <c r="I36" s="1131"/>
      <c r="J36" s="579"/>
      <c r="K36" s="579"/>
      <c r="L36" s="579"/>
    </row>
    <row r="37" spans="1:12" ht="4.5" customHeight="1" x14ac:dyDescent="0.25">
      <c r="D37" s="434"/>
      <c r="E37" s="579"/>
      <c r="F37" s="593"/>
      <c r="G37" s="593"/>
      <c r="H37" s="593"/>
      <c r="I37" s="579"/>
      <c r="J37" s="579"/>
      <c r="K37" s="579"/>
      <c r="L37" s="579"/>
    </row>
    <row r="38" spans="1:12" ht="18" customHeight="1" x14ac:dyDescent="0.25">
      <c r="A38" s="580" t="s">
        <v>78</v>
      </c>
      <c r="B38" s="581" t="s">
        <v>412</v>
      </c>
      <c r="C38" s="580"/>
      <c r="D38" s="582"/>
      <c r="E38" s="595">
        <v>2964.5</v>
      </c>
      <c r="F38" s="594"/>
      <c r="G38" s="595"/>
      <c r="H38" s="595"/>
      <c r="I38" s="581"/>
      <c r="J38" s="579"/>
      <c r="K38" s="579"/>
      <c r="L38" s="579"/>
    </row>
    <row r="39" spans="1:12" ht="18" customHeight="1" x14ac:dyDescent="0.25">
      <c r="A39" s="580" t="s">
        <v>79</v>
      </c>
      <c r="B39" s="581" t="s">
        <v>413</v>
      </c>
      <c r="C39" s="580"/>
      <c r="D39" s="582"/>
      <c r="E39" s="595">
        <v>1846</v>
      </c>
      <c r="F39" s="594"/>
      <c r="G39" s="595"/>
      <c r="H39" s="595"/>
      <c r="I39" s="581"/>
      <c r="J39" s="579"/>
      <c r="K39" s="579"/>
      <c r="L39" s="579"/>
    </row>
    <row r="40" spans="1:12" ht="18" customHeight="1" x14ac:dyDescent="0.25">
      <c r="A40" s="580" t="s">
        <v>80</v>
      </c>
      <c r="B40" s="581" t="s">
        <v>414</v>
      </c>
      <c r="C40" s="580"/>
      <c r="D40" s="582"/>
      <c r="E40" s="595">
        <f>+E38-E39</f>
        <v>1118.5</v>
      </c>
      <c r="F40" s="596"/>
      <c r="G40" s="596"/>
      <c r="H40" s="596"/>
      <c r="I40" s="581"/>
      <c r="J40" s="579"/>
      <c r="K40" s="579"/>
      <c r="L40" s="579"/>
    </row>
    <row r="41" spans="1:12" ht="18" customHeight="1" x14ac:dyDescent="0.25">
      <c r="A41" s="580" t="s">
        <v>81</v>
      </c>
      <c r="B41" s="581" t="s">
        <v>415</v>
      </c>
      <c r="C41" s="580"/>
      <c r="D41" s="582"/>
      <c r="E41" s="642">
        <v>2910.9</v>
      </c>
      <c r="F41" s="594"/>
      <c r="G41" s="595"/>
      <c r="H41" s="595"/>
      <c r="I41" s="581"/>
      <c r="J41" s="579"/>
      <c r="K41" s="579"/>
      <c r="L41" s="579"/>
    </row>
    <row r="42" spans="1:12" ht="18" customHeight="1" x14ac:dyDescent="0.25">
      <c r="A42" s="580" t="s">
        <v>212</v>
      </c>
      <c r="B42" s="581" t="s">
        <v>416</v>
      </c>
      <c r="C42" s="580"/>
      <c r="D42" s="582"/>
      <c r="E42" s="596">
        <f>+E40-(E38-E41)</f>
        <v>1064.9000000000001</v>
      </c>
      <c r="F42" s="596"/>
      <c r="G42" s="596"/>
      <c r="H42" s="596"/>
      <c r="I42" s="580" t="s">
        <v>406</v>
      </c>
      <c r="J42" s="579"/>
      <c r="K42" s="579"/>
      <c r="L42" s="579"/>
    </row>
    <row r="43" spans="1:12" ht="18" customHeight="1" x14ac:dyDescent="0.25">
      <c r="A43" s="581"/>
      <c r="B43" s="581" t="s">
        <v>417</v>
      </c>
      <c r="C43" s="580"/>
      <c r="D43" s="582"/>
      <c r="E43" s="597">
        <f>+E41/E40</f>
        <v>2.6025033527045149</v>
      </c>
      <c r="F43" s="597"/>
      <c r="G43" s="597"/>
      <c r="H43" s="597"/>
      <c r="I43" s="597">
        <f>+AVERAGE(E43:G43)</f>
        <v>2.6025033527045149</v>
      </c>
      <c r="J43" s="579"/>
      <c r="K43" s="579"/>
      <c r="L43" s="579"/>
    </row>
    <row r="44" spans="1:12" ht="18" customHeight="1" x14ac:dyDescent="0.25">
      <c r="A44" s="581"/>
      <c r="B44" s="581" t="s">
        <v>418</v>
      </c>
      <c r="C44" s="580"/>
      <c r="D44" s="582"/>
      <c r="E44" s="597">
        <f>+E38/E40</f>
        <v>2.6504246759052301</v>
      </c>
      <c r="F44" s="597"/>
      <c r="G44" s="597"/>
      <c r="H44" s="597"/>
      <c r="I44" s="597">
        <f>+AVERAGE(E44:G44)</f>
        <v>2.6504246759052301</v>
      </c>
      <c r="J44" s="579"/>
      <c r="K44" s="579"/>
      <c r="L44" s="579"/>
    </row>
    <row r="45" spans="1:12" ht="18" customHeight="1" x14ac:dyDescent="0.25">
      <c r="A45" s="581"/>
      <c r="B45" s="581" t="s">
        <v>419</v>
      </c>
      <c r="C45" s="580"/>
      <c r="D45" s="582"/>
      <c r="E45" s="597">
        <f>+E41/E42</f>
        <v>2.7334961029204621</v>
      </c>
      <c r="F45" s="597"/>
      <c r="G45" s="597"/>
      <c r="H45" s="597"/>
      <c r="I45" s="597">
        <f>+AVERAGE(E45:G45)</f>
        <v>2.7334961029204621</v>
      </c>
      <c r="J45" s="579"/>
      <c r="K45" s="579"/>
      <c r="L45" s="579"/>
    </row>
    <row r="46" spans="1:12" ht="18" customHeight="1" x14ac:dyDescent="0.25">
      <c r="A46" s="581"/>
      <c r="B46" s="581" t="s">
        <v>420</v>
      </c>
      <c r="C46" s="580"/>
      <c r="D46" s="582"/>
      <c r="E46" s="598">
        <f>((E38-E41)/E41*100)</f>
        <v>1.8413549074169471</v>
      </c>
      <c r="F46" s="598"/>
      <c r="G46" s="599"/>
      <c r="H46" s="597"/>
      <c r="I46" s="599">
        <f>+AVERAGE(E46:G46)</f>
        <v>1.8413549074169471</v>
      </c>
      <c r="J46" s="579"/>
      <c r="K46" s="579"/>
      <c r="L46" s="579"/>
    </row>
    <row r="47" spans="1:12" ht="18" customHeight="1" x14ac:dyDescent="0.25">
      <c r="A47" s="434"/>
      <c r="B47" s="434"/>
      <c r="C47" s="591"/>
      <c r="D47" s="545"/>
      <c r="E47" s="592"/>
      <c r="F47" s="592"/>
      <c r="G47" s="592"/>
      <c r="H47" s="592"/>
      <c r="I47" s="592"/>
      <c r="J47" s="579"/>
      <c r="K47" s="579"/>
      <c r="L47" s="579"/>
    </row>
    <row r="48" spans="1:12" x14ac:dyDescent="0.25">
      <c r="A48" s="545" t="s">
        <v>421</v>
      </c>
      <c r="B48" s="545"/>
      <c r="C48" s="545"/>
      <c r="D48" s="434"/>
      <c r="E48" s="434"/>
      <c r="F48" s="434"/>
      <c r="G48" s="434"/>
      <c r="H48" s="434"/>
      <c r="I48" s="434"/>
      <c r="J48" s="579"/>
      <c r="K48" s="579"/>
      <c r="L48" s="579"/>
    </row>
    <row r="49" spans="1:15" s="545" customFormat="1" x14ac:dyDescent="0.25">
      <c r="A49" s="1125"/>
      <c r="B49" s="1125"/>
      <c r="C49" s="1125"/>
      <c r="D49" s="1125"/>
      <c r="E49" s="1125"/>
      <c r="F49" s="1126"/>
      <c r="G49" s="1126"/>
      <c r="H49" s="1126"/>
      <c r="I49" s="1126"/>
      <c r="J49" s="434"/>
      <c r="K49" s="434"/>
      <c r="L49" s="434"/>
    </row>
    <row r="50" spans="1:15" s="545" customFormat="1" x14ac:dyDescent="0.25">
      <c r="A50" s="602"/>
      <c r="B50" s="603"/>
      <c r="C50" s="604"/>
      <c r="D50" s="600"/>
      <c r="E50" s="600"/>
      <c r="F50" s="601"/>
      <c r="G50" s="601"/>
      <c r="H50" s="601"/>
      <c r="I50" s="605"/>
      <c r="J50" s="434"/>
      <c r="K50" s="434"/>
      <c r="L50" s="434"/>
    </row>
    <row r="51" spans="1:15" s="545" customFormat="1" x14ac:dyDescent="0.25">
      <c r="A51" s="602"/>
      <c r="B51" s="603"/>
      <c r="C51" s="604"/>
      <c r="D51" s="600"/>
      <c r="E51" s="600"/>
      <c r="F51" s="601"/>
      <c r="G51" s="601"/>
      <c r="H51" s="601"/>
      <c r="I51" s="605"/>
      <c r="J51" s="434"/>
      <c r="K51" s="434"/>
      <c r="L51" s="434"/>
    </row>
    <row r="52" spans="1:15" s="545" customFormat="1" x14ac:dyDescent="0.25">
      <c r="A52" s="602"/>
      <c r="B52" s="603"/>
      <c r="C52" s="604"/>
      <c r="D52" s="600"/>
      <c r="E52" s="600"/>
      <c r="F52" s="601"/>
      <c r="G52" s="601"/>
      <c r="H52" s="601"/>
      <c r="I52" s="605"/>
      <c r="J52" s="434"/>
      <c r="K52" s="434"/>
      <c r="L52" s="434"/>
    </row>
    <row r="53" spans="1:15" s="545" customFormat="1" x14ac:dyDescent="0.25">
      <c r="A53" s="602"/>
      <c r="B53" s="603"/>
      <c r="C53" s="604"/>
      <c r="D53" s="600"/>
      <c r="E53" s="600"/>
      <c r="F53" s="601"/>
      <c r="G53" s="601"/>
      <c r="H53" s="601"/>
      <c r="I53" s="605"/>
      <c r="J53" s="434"/>
      <c r="K53" s="434"/>
      <c r="L53" s="434"/>
    </row>
    <row r="54" spans="1:15" s="545" customFormat="1" x14ac:dyDescent="0.25">
      <c r="A54" s="602"/>
      <c r="B54" s="603"/>
      <c r="C54" s="604"/>
      <c r="D54" s="600"/>
      <c r="E54" s="600"/>
      <c r="F54" s="601"/>
      <c r="G54" s="601"/>
      <c r="H54" s="601"/>
      <c r="I54" s="605"/>
      <c r="J54" s="434"/>
      <c r="K54" s="434"/>
      <c r="L54" s="434"/>
    </row>
    <row r="55" spans="1:15" s="545" customFormat="1" x14ac:dyDescent="0.25">
      <c r="A55" s="602"/>
      <c r="B55" s="603"/>
      <c r="C55" s="604"/>
      <c r="D55" s="600"/>
      <c r="E55" s="600"/>
      <c r="F55" s="601"/>
      <c r="G55" s="601"/>
      <c r="H55" s="601"/>
      <c r="I55" s="605"/>
      <c r="J55" s="434"/>
      <c r="K55" s="434"/>
      <c r="L55" s="434"/>
    </row>
    <row r="56" spans="1:15" s="545" customFormat="1" x14ac:dyDescent="0.25">
      <c r="A56" s="602"/>
      <c r="B56" s="603"/>
      <c r="C56" s="604"/>
      <c r="D56" s="600"/>
      <c r="E56" s="600"/>
      <c r="F56" s="601"/>
      <c r="G56" s="601"/>
      <c r="H56" s="601"/>
      <c r="I56" s="605"/>
      <c r="J56" s="434"/>
      <c r="K56" s="434"/>
      <c r="L56" s="434"/>
    </row>
    <row r="57" spans="1:15" s="545" customFormat="1" x14ac:dyDescent="0.25">
      <c r="A57" s="602"/>
      <c r="B57" s="603"/>
      <c r="C57" s="604"/>
      <c r="D57" s="600"/>
      <c r="E57" s="600"/>
      <c r="F57" s="601"/>
      <c r="G57" s="601"/>
      <c r="H57" s="601"/>
      <c r="I57" s="605"/>
      <c r="J57" s="434"/>
      <c r="K57" s="434"/>
      <c r="L57" s="434"/>
    </row>
    <row r="58" spans="1:15" s="545" customFormat="1" x14ac:dyDescent="0.25">
      <c r="A58" s="606"/>
      <c r="B58" s="606"/>
      <c r="C58" s="607"/>
      <c r="D58" s="601"/>
      <c r="E58" s="601"/>
      <c r="F58" s="601"/>
      <c r="G58" s="601"/>
      <c r="H58" s="601"/>
      <c r="I58" s="605"/>
      <c r="J58" s="434"/>
      <c r="K58" s="434"/>
      <c r="L58" s="434"/>
    </row>
    <row r="59" spans="1:15" x14ac:dyDescent="0.25">
      <c r="A59" s="509" t="s">
        <v>369</v>
      </c>
      <c r="B59" s="185"/>
      <c r="C59" s="185"/>
      <c r="D59" s="185"/>
      <c r="E59" s="185"/>
      <c r="F59" s="509" t="s">
        <v>369</v>
      </c>
      <c r="G59" s="185"/>
      <c r="H59" s="185"/>
      <c r="I59" s="185"/>
      <c r="J59" s="185"/>
      <c r="N59" s="185"/>
      <c r="O59" s="185"/>
    </row>
    <row r="60" spans="1:15" x14ac:dyDescent="0.25">
      <c r="A60" s="194" t="s">
        <v>370</v>
      </c>
      <c r="B60" s="185"/>
      <c r="C60" s="185"/>
      <c r="D60" s="523" t="s">
        <v>371</v>
      </c>
      <c r="F60" s="194" t="s">
        <v>370</v>
      </c>
      <c r="G60" s="185"/>
      <c r="H60" s="508" t="s">
        <v>422</v>
      </c>
      <c r="I60" s="185"/>
      <c r="N60" s="185"/>
      <c r="O60" s="185"/>
    </row>
    <row r="61" spans="1:15" s="545" customFormat="1" x14ac:dyDescent="0.25">
      <c r="A61" s="608"/>
      <c r="B61" s="608"/>
      <c r="C61" s="609"/>
      <c r="D61" s="610"/>
      <c r="E61" s="611"/>
      <c r="F61" s="611"/>
      <c r="G61" s="611"/>
      <c r="H61" s="611"/>
      <c r="I61" s="591"/>
      <c r="J61" s="434"/>
      <c r="K61" s="434"/>
      <c r="L61" s="434"/>
    </row>
    <row r="62" spans="1:15" s="545" customFormat="1" x14ac:dyDescent="0.25">
      <c r="A62" s="611"/>
      <c r="B62" s="611"/>
      <c r="C62" s="610"/>
      <c r="D62" s="610"/>
      <c r="E62" s="611"/>
      <c r="F62" s="611"/>
      <c r="G62" s="611"/>
      <c r="H62" s="611"/>
      <c r="I62" s="612"/>
    </row>
  </sheetData>
  <mergeCells count="9">
    <mergeCell ref="E3:H3"/>
    <mergeCell ref="A49:E49"/>
    <mergeCell ref="F49:I49"/>
    <mergeCell ref="A7:I7"/>
    <mergeCell ref="A8:I8"/>
    <mergeCell ref="A36:I36"/>
    <mergeCell ref="A16:I16"/>
    <mergeCell ref="A10:I10"/>
    <mergeCell ref="A21:I21"/>
  </mergeCells>
  <phoneticPr fontId="78" type="noConversion"/>
  <printOptions horizontalCentered="1"/>
  <pageMargins left="0.59055118110236227" right="0.39370078740157483" top="0.98425196850393704" bottom="0.59055118110236227" header="0" footer="0"/>
  <pageSetup paperSize="9" scale="85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D814-0E9C-44CD-AD4C-B4EDCA2DFDDD}">
  <sheetPr codeName="Hoja6"/>
  <dimension ref="A1:Q40"/>
  <sheetViews>
    <sheetView zoomScale="75" workbookViewId="0">
      <selection activeCell="G5" sqref="G5"/>
    </sheetView>
  </sheetViews>
  <sheetFormatPr baseColWidth="10" defaultRowHeight="13.2" x14ac:dyDescent="0.25"/>
  <cols>
    <col min="1" max="1" width="6.109375" customWidth="1"/>
    <col min="2" max="2" width="10.44140625" customWidth="1"/>
    <col min="3" max="3" width="18.109375" bestFit="1" customWidth="1"/>
    <col min="6" max="6" width="32.88671875" customWidth="1"/>
    <col min="7" max="7" width="16.88671875" customWidth="1"/>
    <col min="8" max="8" width="15.5546875" customWidth="1"/>
    <col min="16" max="16" width="20.5546875" customWidth="1"/>
    <col min="17" max="17" width="13.44140625" customWidth="1"/>
  </cols>
  <sheetData>
    <row r="1" spans="1:17" x14ac:dyDescent="0.25">
      <c r="A1" s="69" t="s">
        <v>242</v>
      </c>
      <c r="B1" s="1135" t="s">
        <v>82</v>
      </c>
      <c r="C1" s="1135"/>
      <c r="D1" s="1135"/>
      <c r="E1" s="1135"/>
      <c r="F1" s="1135"/>
      <c r="G1" s="1135"/>
      <c r="H1" s="1135"/>
      <c r="I1" s="69"/>
      <c r="J1" s="71"/>
    </row>
    <row r="2" spans="1:17" x14ac:dyDescent="0.25">
      <c r="A2" s="69"/>
      <c r="B2" s="70"/>
      <c r="C2" s="70"/>
      <c r="D2" s="70"/>
      <c r="E2" s="70"/>
      <c r="F2" s="70"/>
      <c r="G2" s="70"/>
      <c r="H2" s="70"/>
      <c r="I2" s="69"/>
      <c r="J2" s="71"/>
    </row>
    <row r="3" spans="1:17" x14ac:dyDescent="0.25">
      <c r="A3" s="69"/>
      <c r="B3" s="72" t="s">
        <v>83</v>
      </c>
      <c r="C3" s="73">
        <f>ROUND('Gran-LLyLP'!F40,2)</f>
        <v>5</v>
      </c>
      <c r="D3" s="72" t="s">
        <v>84</v>
      </c>
      <c r="E3" s="74">
        <f>+'Gran-LLyLP'!T54</f>
        <v>38</v>
      </c>
      <c r="F3" s="69"/>
      <c r="G3" s="69"/>
      <c r="H3" s="70"/>
      <c r="I3" s="69"/>
      <c r="J3" s="71"/>
      <c r="K3" s="75" t="s">
        <v>85</v>
      </c>
      <c r="L3" s="75">
        <f>+IF(N_10="NP",0,N_10)</f>
        <v>0</v>
      </c>
    </row>
    <row r="4" spans="1:17" ht="15.6" x14ac:dyDescent="0.3">
      <c r="A4" s="69"/>
      <c r="B4" s="72" t="s">
        <v>86</v>
      </c>
      <c r="C4" s="73">
        <f>IF('Gran-LLyLP'!F32="",100,ROUND('Gran-LLyLP'!F32,2))</f>
        <v>37.299999999999997</v>
      </c>
      <c r="D4" s="72" t="s">
        <v>87</v>
      </c>
      <c r="E4" s="73">
        <f>+'Gran-LLyLP'!T57</f>
        <v>1.6959267381416505</v>
      </c>
      <c r="F4" s="76" t="s">
        <v>88</v>
      </c>
      <c r="G4" s="77" t="str">
        <f>+Q9</f>
        <v>GW-GM</v>
      </c>
      <c r="H4" s="78"/>
      <c r="I4" s="69"/>
      <c r="J4" s="71"/>
      <c r="K4" s="75" t="s">
        <v>89</v>
      </c>
      <c r="L4" s="75">
        <f>+IF(C6="NP",0,C6)</f>
        <v>0</v>
      </c>
    </row>
    <row r="5" spans="1:17" x14ac:dyDescent="0.25">
      <c r="A5" s="69"/>
      <c r="B5" s="72" t="s">
        <v>90</v>
      </c>
      <c r="C5" s="73" t="str">
        <f>IF('Gran-LLyLP'!G43="NP","NP",ROUND('Gran-LLyLP'!G43,2))</f>
        <v>NP</v>
      </c>
      <c r="D5" s="70"/>
      <c r="E5" s="70"/>
      <c r="F5" s="72"/>
      <c r="G5" s="70"/>
      <c r="H5" s="70"/>
      <c r="I5" s="69"/>
      <c r="J5" s="71"/>
      <c r="K5" s="79" t="s">
        <v>91</v>
      </c>
      <c r="L5" s="80">
        <f>IF(OR(E3="----",E3=""),0,E3)</f>
        <v>38</v>
      </c>
    </row>
    <row r="6" spans="1:17" x14ac:dyDescent="0.25">
      <c r="A6" s="69"/>
      <c r="B6" s="72" t="s">
        <v>92</v>
      </c>
      <c r="C6" s="73" t="str">
        <f>IF('Gran-LLyLP'!G44="NP","NP",ROUND('Gran-LLyLP'!G44,2))</f>
        <v>NP</v>
      </c>
      <c r="D6" s="70"/>
      <c r="E6" s="70"/>
      <c r="F6" s="72"/>
      <c r="G6" s="70"/>
      <c r="H6" s="70"/>
      <c r="I6" s="69"/>
      <c r="J6" s="71"/>
      <c r="K6" s="81" t="s">
        <v>93</v>
      </c>
      <c r="L6" s="80">
        <f>IF(OR(E4="----",E4=""),0,E4)</f>
        <v>1.6959267381416505</v>
      </c>
    </row>
    <row r="7" spans="1:17" x14ac:dyDescent="0.25">
      <c r="A7" s="69"/>
      <c r="B7" s="69"/>
      <c r="C7" s="70"/>
      <c r="D7" s="69"/>
      <c r="E7" s="69"/>
      <c r="F7" s="69"/>
      <c r="G7" s="69"/>
      <c r="H7" s="69"/>
      <c r="I7" s="69"/>
      <c r="J7" s="71"/>
    </row>
    <row r="8" spans="1:17" ht="44.25" customHeight="1" x14ac:dyDescent="0.25">
      <c r="A8" s="69"/>
      <c r="B8" s="1136" t="s">
        <v>94</v>
      </c>
      <c r="C8" s="1136"/>
      <c r="D8" s="1136"/>
      <c r="E8" s="82" t="s">
        <v>95</v>
      </c>
      <c r="F8" s="83" t="s">
        <v>96</v>
      </c>
      <c r="G8" s="1137" t="s">
        <v>97</v>
      </c>
      <c r="H8" s="1137"/>
      <c r="I8" s="69"/>
      <c r="J8" s="71"/>
      <c r="L8" s="84" t="s">
        <v>98</v>
      </c>
      <c r="M8" s="1166" t="s">
        <v>99</v>
      </c>
      <c r="N8" s="1166"/>
      <c r="O8" s="85" t="s">
        <v>100</v>
      </c>
      <c r="P8" s="84" t="s">
        <v>101</v>
      </c>
      <c r="Q8" s="86" t="s">
        <v>102</v>
      </c>
    </row>
    <row r="9" spans="1:17" ht="36.75" customHeight="1" x14ac:dyDescent="0.25">
      <c r="A9" s="69"/>
      <c r="B9" s="1162" t="s">
        <v>103</v>
      </c>
      <c r="C9" s="1164" t="s">
        <v>104</v>
      </c>
      <c r="D9" s="1138" t="s">
        <v>105</v>
      </c>
      <c r="E9" s="87" t="s">
        <v>106</v>
      </c>
      <c r="F9" s="88" t="s">
        <v>107</v>
      </c>
      <c r="G9" s="1139" t="s">
        <v>108</v>
      </c>
      <c r="H9" s="1140"/>
      <c r="I9" s="69"/>
      <c r="J9" s="71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>GW-GM</v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>GW-GM</v>
      </c>
      <c r="Q9" t="str">
        <f>+P9&amp;P10&amp;P11&amp;P12&amp;P13&amp;P14&amp;P15&amp;P16&amp;P17&amp;P18&amp;P19&amp;P20&amp;P21&amp;P22&amp;P23&amp;P24</f>
        <v>GW-GM</v>
      </c>
    </row>
    <row r="10" spans="1:17" ht="36.75" customHeight="1" x14ac:dyDescent="0.25">
      <c r="A10" s="69"/>
      <c r="B10" s="1162"/>
      <c r="C10" s="1164"/>
      <c r="D10" s="1138"/>
      <c r="E10" s="89" t="s">
        <v>109</v>
      </c>
      <c r="F10" s="90" t="s">
        <v>110</v>
      </c>
      <c r="G10" s="1143" t="s">
        <v>111</v>
      </c>
      <c r="H10" s="1144"/>
      <c r="I10" s="69"/>
      <c r="J10" s="71"/>
      <c r="L10" t="str">
        <f>IF(AND(N_200&lt;50,(100-N_40)&gt;=0.5*(100-N_200),N_200&lt;5,OR(CU&lt;4,CC&lt;1,CC&gt;3)),"GP","")</f>
        <v/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/>
      </c>
    </row>
    <row r="11" spans="1:17" ht="43.5" customHeight="1" x14ac:dyDescent="0.25">
      <c r="A11" s="69"/>
      <c r="B11" s="1162"/>
      <c r="C11" s="1164"/>
      <c r="D11" s="1138" t="s">
        <v>112</v>
      </c>
      <c r="E11" s="89" t="s">
        <v>113</v>
      </c>
      <c r="F11" s="91" t="s">
        <v>114</v>
      </c>
      <c r="G11" s="92" t="s">
        <v>115</v>
      </c>
      <c r="H11" s="1141" t="s">
        <v>116</v>
      </c>
      <c r="I11" s="69"/>
      <c r="J11" s="71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 x14ac:dyDescent="0.25">
      <c r="A12" s="69"/>
      <c r="B12" s="1162"/>
      <c r="C12" s="1165"/>
      <c r="D12" s="1138"/>
      <c r="E12" s="93" t="s">
        <v>117</v>
      </c>
      <c r="F12" s="90" t="s">
        <v>118</v>
      </c>
      <c r="G12" s="92" t="s">
        <v>119</v>
      </c>
      <c r="H12" s="1142"/>
      <c r="I12" s="69"/>
      <c r="J12" s="71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 x14ac:dyDescent="0.25">
      <c r="A13" s="69"/>
      <c r="B13" s="1162"/>
      <c r="C13" s="1164" t="s">
        <v>120</v>
      </c>
      <c r="D13" s="1138" t="s">
        <v>121</v>
      </c>
      <c r="E13" s="94" t="s">
        <v>122</v>
      </c>
      <c r="F13" s="95" t="s">
        <v>123</v>
      </c>
      <c r="G13" s="1167" t="s">
        <v>124</v>
      </c>
      <c r="H13" s="1168"/>
      <c r="I13" s="69"/>
      <c r="J13" s="71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 x14ac:dyDescent="0.25">
      <c r="A14" s="69"/>
      <c r="B14" s="1162"/>
      <c r="C14" s="1164"/>
      <c r="D14" s="1138"/>
      <c r="E14" s="94" t="s">
        <v>125</v>
      </c>
      <c r="F14" s="95" t="s">
        <v>126</v>
      </c>
      <c r="G14" s="1167" t="s">
        <v>127</v>
      </c>
      <c r="H14" s="1168"/>
      <c r="I14" s="69"/>
      <c r="J14" s="71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 x14ac:dyDescent="0.25">
      <c r="A15" s="69"/>
      <c r="B15" s="1162"/>
      <c r="C15" s="1164"/>
      <c r="D15" s="1138" t="s">
        <v>128</v>
      </c>
      <c r="E15" s="94" t="s">
        <v>129</v>
      </c>
      <c r="F15" s="96" t="s">
        <v>130</v>
      </c>
      <c r="G15" s="97" t="s">
        <v>131</v>
      </c>
      <c r="H15" s="1160" t="s">
        <v>132</v>
      </c>
      <c r="I15" s="69"/>
      <c r="J15" s="71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 x14ac:dyDescent="0.25">
      <c r="A16" s="69"/>
      <c r="B16" s="1163"/>
      <c r="C16" s="1164"/>
      <c r="D16" s="1138"/>
      <c r="E16" s="98" t="s">
        <v>133</v>
      </c>
      <c r="F16" s="96" t="s">
        <v>134</v>
      </c>
      <c r="G16" s="95" t="s">
        <v>135</v>
      </c>
      <c r="H16" s="1161"/>
      <c r="I16" s="69"/>
      <c r="J16" s="71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 x14ac:dyDescent="0.25">
      <c r="A17" s="69"/>
      <c r="B17" s="1145" t="s">
        <v>136</v>
      </c>
      <c r="C17" s="1148" t="s">
        <v>137</v>
      </c>
      <c r="D17" s="1149"/>
      <c r="E17" s="99" t="s">
        <v>138</v>
      </c>
      <c r="F17" s="100" t="s">
        <v>139</v>
      </c>
      <c r="G17" s="1154" t="s">
        <v>140</v>
      </c>
      <c r="H17" s="1155"/>
      <c r="I17" s="69"/>
      <c r="J17" s="71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 x14ac:dyDescent="0.25">
      <c r="A18" s="69"/>
      <c r="B18" s="1146"/>
      <c r="C18" s="1150"/>
      <c r="D18" s="1151"/>
      <c r="E18" s="99" t="s">
        <v>141</v>
      </c>
      <c r="F18" s="100" t="s">
        <v>142</v>
      </c>
      <c r="G18" s="1156"/>
      <c r="H18" s="1157"/>
      <c r="I18" s="69"/>
      <c r="J18" s="71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 x14ac:dyDescent="0.25">
      <c r="A19" s="69"/>
      <c r="B19" s="1146"/>
      <c r="C19" s="1152"/>
      <c r="D19" s="1153"/>
      <c r="E19" s="99" t="s">
        <v>143</v>
      </c>
      <c r="F19" s="101" t="s">
        <v>144</v>
      </c>
      <c r="G19" s="102"/>
      <c r="H19" s="102"/>
      <c r="I19" s="69"/>
      <c r="J19" s="71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 x14ac:dyDescent="0.25">
      <c r="A20" s="69"/>
      <c r="B20" s="1146"/>
      <c r="C20" s="1150" t="s">
        <v>145</v>
      </c>
      <c r="D20" s="1158"/>
      <c r="E20" s="103" t="s">
        <v>146</v>
      </c>
      <c r="F20" s="104" t="s">
        <v>147</v>
      </c>
      <c r="G20" s="69"/>
      <c r="H20" s="69"/>
      <c r="I20" s="69"/>
      <c r="J20" s="71"/>
      <c r="L20" t="str">
        <f>IF(AND(N_200&gt;=50,Ll&gt;=50,IP&gt;0,IP&lt;=16),"MH","")</f>
        <v/>
      </c>
      <c r="P20" t="str">
        <f t="shared" si="0"/>
        <v/>
      </c>
    </row>
    <row r="21" spans="1:16" ht="24" customHeight="1" x14ac:dyDescent="0.25">
      <c r="A21" s="69"/>
      <c r="B21" s="1146"/>
      <c r="C21" s="1150"/>
      <c r="D21" s="1158"/>
      <c r="E21" s="103" t="s">
        <v>148</v>
      </c>
      <c r="F21" s="104" t="s">
        <v>149</v>
      </c>
      <c r="G21" s="69"/>
      <c r="H21" s="69"/>
      <c r="I21" s="69"/>
      <c r="J21" s="71"/>
      <c r="L21" t="str">
        <f>IF(AND(N_200&gt;=50,Ll&gt;=50,IP&gt;=0.73*(Ll-20)),"CH","")</f>
        <v/>
      </c>
      <c r="P21" t="str">
        <f t="shared" si="0"/>
        <v/>
      </c>
    </row>
    <row r="22" spans="1:16" ht="24" customHeight="1" x14ac:dyDescent="0.25">
      <c r="A22" s="69"/>
      <c r="B22" s="1146"/>
      <c r="C22" s="1152"/>
      <c r="D22" s="1159"/>
      <c r="E22" s="105" t="s">
        <v>150</v>
      </c>
      <c r="F22" s="104" t="s">
        <v>151</v>
      </c>
      <c r="G22" s="69"/>
      <c r="H22" s="69"/>
      <c r="I22" s="69"/>
      <c r="J22" s="71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 x14ac:dyDescent="0.25">
      <c r="A23" s="69"/>
      <c r="B23" s="1146"/>
      <c r="C23" s="1148" t="s">
        <v>152</v>
      </c>
      <c r="D23" s="1149"/>
      <c r="E23" s="106" t="s">
        <v>153</v>
      </c>
      <c r="F23" s="107" t="s">
        <v>154</v>
      </c>
      <c r="G23" s="69"/>
      <c r="H23" s="69"/>
      <c r="I23" s="69"/>
      <c r="J23" s="71"/>
      <c r="L23" t="str">
        <f>IF(AND(N_200&gt;=50,IP&gt;=0.73*(Ll-20),IP&gt;=4,IP&lt;7,IP&lt;0.9*(Ll-8)),"CL-ML","")</f>
        <v/>
      </c>
      <c r="P23" t="str">
        <f t="shared" si="0"/>
        <v/>
      </c>
    </row>
    <row r="24" spans="1:16" x14ac:dyDescent="0.25">
      <c r="A24" s="69"/>
      <c r="B24" s="1147"/>
      <c r="C24" s="108"/>
      <c r="D24" s="109"/>
      <c r="E24" s="110"/>
      <c r="F24" s="111"/>
      <c r="G24" s="69"/>
      <c r="H24" s="69"/>
      <c r="I24" s="69"/>
      <c r="J24" s="71"/>
      <c r="P24" t="str">
        <f t="shared" si="0"/>
        <v/>
      </c>
    </row>
    <row r="25" spans="1:16" x14ac:dyDescent="0.25">
      <c r="A25" s="69"/>
      <c r="B25" s="112"/>
      <c r="C25" s="112"/>
      <c r="D25" s="112"/>
      <c r="E25" s="113"/>
      <c r="F25" s="114"/>
      <c r="G25" s="69"/>
      <c r="H25" s="69"/>
      <c r="I25" s="69"/>
      <c r="J25" s="71"/>
    </row>
    <row r="26" spans="1:16" x14ac:dyDescent="0.25">
      <c r="A26" s="69"/>
      <c r="B26" s="112"/>
      <c r="C26" s="112"/>
      <c r="D26" s="112"/>
      <c r="E26" s="115"/>
      <c r="F26" s="114"/>
      <c r="G26" s="69"/>
      <c r="H26" s="69"/>
      <c r="I26" s="69"/>
      <c r="J26" s="71"/>
    </row>
    <row r="27" spans="1:16" x14ac:dyDescent="0.25">
      <c r="A27" s="69"/>
      <c r="B27" s="69"/>
      <c r="C27" s="69"/>
      <c r="D27" s="69"/>
      <c r="E27" s="115"/>
      <c r="F27" s="114"/>
      <c r="G27" s="69"/>
      <c r="H27" s="69"/>
      <c r="I27" s="69"/>
      <c r="J27" s="71"/>
    </row>
    <row r="28" spans="1:16" x14ac:dyDescent="0.25">
      <c r="A28" s="69"/>
      <c r="B28" s="69"/>
      <c r="C28" s="69"/>
      <c r="D28" s="69"/>
      <c r="E28" s="115"/>
      <c r="F28" s="114"/>
      <c r="G28" s="69"/>
      <c r="H28" s="69"/>
      <c r="I28" s="69"/>
      <c r="J28" s="71"/>
    </row>
    <row r="29" spans="1:16" x14ac:dyDescent="0.25">
      <c r="A29" s="69"/>
      <c r="B29" s="69"/>
      <c r="C29" s="69"/>
      <c r="D29" s="69"/>
      <c r="E29" s="115"/>
      <c r="F29" s="114"/>
      <c r="G29" s="69"/>
      <c r="H29" s="69"/>
      <c r="I29" s="69"/>
      <c r="J29" s="71"/>
    </row>
    <row r="30" spans="1:16" x14ac:dyDescent="0.25">
      <c r="F30" s="116"/>
    </row>
    <row r="31" spans="1:16" x14ac:dyDescent="0.25">
      <c r="F31" s="116"/>
    </row>
    <row r="32" spans="1:16" x14ac:dyDescent="0.25">
      <c r="F32" s="116"/>
    </row>
    <row r="33" spans="6:6" x14ac:dyDescent="0.25">
      <c r="F33" s="116"/>
    </row>
    <row r="34" spans="6:6" x14ac:dyDescent="0.25">
      <c r="F34" s="116"/>
    </row>
    <row r="35" spans="6:6" x14ac:dyDescent="0.25">
      <c r="F35" s="116"/>
    </row>
    <row r="36" spans="6:6" x14ac:dyDescent="0.25">
      <c r="F36" s="116"/>
    </row>
    <row r="37" spans="6:6" x14ac:dyDescent="0.25">
      <c r="F37" s="116"/>
    </row>
    <row r="38" spans="6:6" x14ac:dyDescent="0.25">
      <c r="F38" s="116"/>
    </row>
    <row r="39" spans="6:6" x14ac:dyDescent="0.25">
      <c r="F39" s="116"/>
    </row>
    <row r="40" spans="6:6" x14ac:dyDescent="0.25">
      <c r="F40" s="116"/>
    </row>
  </sheetData>
  <mergeCells count="22">
    <mergeCell ref="M8:N8"/>
    <mergeCell ref="C13:C16"/>
    <mergeCell ref="D13:D14"/>
    <mergeCell ref="G13:H13"/>
    <mergeCell ref="D11:D12"/>
    <mergeCell ref="G14:H14"/>
    <mergeCell ref="B17:B24"/>
    <mergeCell ref="C17:D19"/>
    <mergeCell ref="G17:H18"/>
    <mergeCell ref="C20:D22"/>
    <mergeCell ref="C23:D23"/>
    <mergeCell ref="D15:D16"/>
    <mergeCell ref="H15:H16"/>
    <mergeCell ref="B9:B16"/>
    <mergeCell ref="C9:C12"/>
    <mergeCell ref="B1:H1"/>
    <mergeCell ref="B8:D8"/>
    <mergeCell ref="G8:H8"/>
    <mergeCell ref="D9:D10"/>
    <mergeCell ref="G9:H9"/>
    <mergeCell ref="H11:H12"/>
    <mergeCell ref="G10:H10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6DA4-0E93-495E-86C3-36414ABB9499}">
  <sheetPr codeName="Hoja7"/>
  <dimension ref="A1:Q42"/>
  <sheetViews>
    <sheetView topLeftCell="A19" workbookViewId="0">
      <selection activeCell="F11" sqref="F11"/>
    </sheetView>
  </sheetViews>
  <sheetFormatPr baseColWidth="10" defaultRowHeight="13.2" x14ac:dyDescent="0.25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58" customWidth="1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79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79"/>
    </row>
    <row r="4" spans="1:16" ht="33" customHeight="1" thickBot="1" x14ac:dyDescent="0.3">
      <c r="A4" s="2"/>
      <c r="B4" s="1169" t="s">
        <v>27</v>
      </c>
      <c r="C4" s="1170"/>
      <c r="D4" s="1171" t="s">
        <v>28</v>
      </c>
      <c r="E4" s="1171"/>
      <c r="F4" s="1171"/>
      <c r="G4" s="1171"/>
      <c r="H4" s="1171"/>
      <c r="I4" s="1171"/>
      <c r="J4" s="1171"/>
      <c r="K4" s="1172" t="s">
        <v>29</v>
      </c>
      <c r="L4" s="1173"/>
      <c r="M4" s="1173"/>
      <c r="N4" s="1173"/>
      <c r="O4" s="1174"/>
    </row>
    <row r="5" spans="1:16" x14ac:dyDescent="0.25">
      <c r="A5" s="2"/>
      <c r="B5" s="1175" t="s">
        <v>30</v>
      </c>
      <c r="C5" s="1176"/>
      <c r="D5" s="1179" t="s">
        <v>31</v>
      </c>
      <c r="E5" s="1180"/>
      <c r="F5" s="1181" t="s">
        <v>32</v>
      </c>
      <c r="G5" s="1179" t="s">
        <v>33</v>
      </c>
      <c r="H5" s="1183"/>
      <c r="I5" s="1183"/>
      <c r="J5" s="1180"/>
      <c r="K5" s="1184" t="s">
        <v>34</v>
      </c>
      <c r="L5" s="1186" t="s">
        <v>35</v>
      </c>
      <c r="M5" s="1188" t="s">
        <v>36</v>
      </c>
      <c r="N5" s="1192" t="s">
        <v>37</v>
      </c>
      <c r="O5" s="1193"/>
    </row>
    <row r="6" spans="1:16" x14ac:dyDescent="0.25">
      <c r="A6" s="2"/>
      <c r="B6" s="1177"/>
      <c r="C6" s="1178"/>
      <c r="D6" s="4" t="s">
        <v>38</v>
      </c>
      <c r="E6" s="5" t="s">
        <v>39</v>
      </c>
      <c r="F6" s="1182"/>
      <c r="G6" s="4" t="s">
        <v>40</v>
      </c>
      <c r="H6" s="7" t="s">
        <v>41</v>
      </c>
      <c r="I6" s="6" t="s">
        <v>42</v>
      </c>
      <c r="J6" s="5" t="s">
        <v>43</v>
      </c>
      <c r="K6" s="1185"/>
      <c r="L6" s="1187"/>
      <c r="M6" s="1189"/>
      <c r="N6" s="8" t="s">
        <v>44</v>
      </c>
      <c r="O6" s="9" t="s">
        <v>45</v>
      </c>
    </row>
    <row r="7" spans="1:16" x14ac:dyDescent="0.25">
      <c r="A7" s="2"/>
      <c r="B7" s="10"/>
      <c r="C7" s="11"/>
      <c r="D7" s="12"/>
      <c r="E7" s="13"/>
      <c r="F7" s="14"/>
      <c r="G7" s="12"/>
      <c r="H7" s="15"/>
      <c r="I7" s="14"/>
      <c r="J7" s="13"/>
      <c r="K7" s="16"/>
      <c r="L7" s="17"/>
      <c r="M7" s="18"/>
      <c r="N7" s="16"/>
      <c r="O7" s="19"/>
    </row>
    <row r="8" spans="1:16" x14ac:dyDescent="0.25">
      <c r="A8" s="2"/>
      <c r="B8" s="20" t="s">
        <v>46</v>
      </c>
      <c r="C8" s="11"/>
      <c r="D8" s="12"/>
      <c r="E8" s="13"/>
      <c r="F8" s="14"/>
      <c r="G8" s="12"/>
      <c r="H8" s="15"/>
      <c r="I8" s="14"/>
      <c r="J8" s="13"/>
      <c r="K8" s="16"/>
      <c r="L8" s="17"/>
      <c r="M8" s="18"/>
      <c r="N8" s="16"/>
      <c r="O8" s="19"/>
    </row>
    <row r="9" spans="1:16" x14ac:dyDescent="0.25">
      <c r="A9" s="2"/>
      <c r="B9" s="20" t="s">
        <v>47</v>
      </c>
      <c r="C9" s="11"/>
      <c r="D9" s="12"/>
      <c r="E9" s="13"/>
      <c r="F9" s="14"/>
      <c r="G9" s="12"/>
      <c r="H9" s="15"/>
      <c r="I9" s="14"/>
      <c r="J9" s="13"/>
      <c r="K9" s="16"/>
      <c r="L9" s="17"/>
      <c r="M9" s="18"/>
      <c r="N9" s="16"/>
      <c r="O9" s="19"/>
    </row>
    <row r="10" spans="1:16" x14ac:dyDescent="0.25">
      <c r="A10" s="2"/>
      <c r="B10" s="21"/>
      <c r="C10" s="11"/>
      <c r="D10" s="12"/>
      <c r="E10" s="13"/>
      <c r="F10" s="14"/>
      <c r="G10" s="12"/>
      <c r="H10" s="15"/>
      <c r="I10" s="14"/>
      <c r="J10" s="13"/>
      <c r="K10" s="16"/>
      <c r="L10" s="17"/>
      <c r="M10" s="18"/>
      <c r="N10" s="16"/>
      <c r="O10" s="19"/>
    </row>
    <row r="11" spans="1:16" x14ac:dyDescent="0.25">
      <c r="A11" s="2"/>
      <c r="B11" s="22" t="s">
        <v>48</v>
      </c>
      <c r="C11" s="23">
        <f>+IF('Gran-LLyLP'!F33="",100,ROUND('Gran-LLyLP'!F33,1))</f>
        <v>27.8</v>
      </c>
      <c r="D11" s="12" t="s">
        <v>49</v>
      </c>
      <c r="E11" s="13"/>
      <c r="F11" s="14"/>
      <c r="G11" s="12"/>
      <c r="H11" s="15"/>
      <c r="I11" s="14"/>
      <c r="J11" s="13"/>
      <c r="K11" s="16"/>
      <c r="L11" s="17"/>
      <c r="M11" s="18"/>
      <c r="N11" s="16"/>
      <c r="O11" s="19"/>
    </row>
    <row r="12" spans="1:16" x14ac:dyDescent="0.25">
      <c r="A12" s="2"/>
      <c r="B12" s="22" t="s">
        <v>50</v>
      </c>
      <c r="C12" s="23">
        <f>+IF('Gran-LLyLP'!F36="",100,ROUND('Gran-LLyLP'!F36,1))</f>
        <v>12.6</v>
      </c>
      <c r="D12" s="12" t="s">
        <v>51</v>
      </c>
      <c r="E12" s="13" t="s">
        <v>49</v>
      </c>
      <c r="F12" s="14" t="s">
        <v>52</v>
      </c>
      <c r="G12" s="12"/>
      <c r="H12" s="15"/>
      <c r="I12" s="14"/>
      <c r="J12" s="13"/>
      <c r="K12" s="16"/>
      <c r="L12" s="17"/>
      <c r="M12" s="18"/>
      <c r="N12" s="16"/>
      <c r="O12" s="19"/>
    </row>
    <row r="13" spans="1:16" x14ac:dyDescent="0.25">
      <c r="A13" s="2"/>
      <c r="B13" s="22" t="s">
        <v>53</v>
      </c>
      <c r="C13" s="23">
        <f>ROUND('Gran-LLyLP'!F40,1)</f>
        <v>5</v>
      </c>
      <c r="D13" s="12" t="s">
        <v>54</v>
      </c>
      <c r="E13" s="13" t="s">
        <v>55</v>
      </c>
      <c r="F13" s="14" t="s">
        <v>56</v>
      </c>
      <c r="G13" s="12" t="s">
        <v>57</v>
      </c>
      <c r="H13" s="15" t="s">
        <v>57</v>
      </c>
      <c r="I13" s="14" t="s">
        <v>57</v>
      </c>
      <c r="J13" s="13" t="s">
        <v>57</v>
      </c>
      <c r="K13" s="16" t="s">
        <v>58</v>
      </c>
      <c r="L13" s="17" t="s">
        <v>58</v>
      </c>
      <c r="M13" s="18" t="s">
        <v>58</v>
      </c>
      <c r="N13" s="16" t="s">
        <v>58</v>
      </c>
      <c r="O13" s="19" t="s">
        <v>58</v>
      </c>
    </row>
    <row r="14" spans="1:16" x14ac:dyDescent="0.25">
      <c r="A14" s="2"/>
      <c r="B14" s="24"/>
      <c r="C14" s="25"/>
      <c r="D14" s="26"/>
      <c r="E14" s="27"/>
      <c r="F14" s="28"/>
      <c r="G14" s="26"/>
      <c r="H14" s="29"/>
      <c r="I14" s="28"/>
      <c r="J14" s="27"/>
      <c r="K14" s="30"/>
      <c r="L14" s="31"/>
      <c r="M14" s="32"/>
      <c r="N14" s="30"/>
      <c r="O14" s="33"/>
    </row>
    <row r="15" spans="1:16" x14ac:dyDescent="0.25">
      <c r="A15" s="2"/>
      <c r="B15" s="34"/>
      <c r="C15" s="35"/>
      <c r="D15" s="36"/>
      <c r="E15" s="37"/>
      <c r="F15" s="38"/>
      <c r="G15" s="36"/>
      <c r="H15" s="39"/>
      <c r="I15" s="38"/>
      <c r="J15" s="37"/>
      <c r="K15" s="40"/>
      <c r="L15" s="41"/>
      <c r="M15" s="42"/>
      <c r="N15" s="40"/>
      <c r="O15" s="43"/>
    </row>
    <row r="16" spans="1:16" x14ac:dyDescent="0.25">
      <c r="A16" s="2"/>
      <c r="B16" s="44" t="s">
        <v>59</v>
      </c>
      <c r="C16" s="45"/>
      <c r="D16" s="36"/>
      <c r="E16" s="37"/>
      <c r="F16" s="38"/>
      <c r="G16" s="36"/>
      <c r="H16" s="39"/>
      <c r="I16" s="38"/>
      <c r="J16" s="37"/>
      <c r="K16" s="40"/>
      <c r="L16" s="41"/>
      <c r="M16" s="42"/>
      <c r="N16" s="40"/>
      <c r="O16" s="43"/>
    </row>
    <row r="17" spans="1:15" x14ac:dyDescent="0.25">
      <c r="A17" s="2"/>
      <c r="B17" s="44" t="s">
        <v>60</v>
      </c>
      <c r="C17" s="45"/>
      <c r="D17" s="36"/>
      <c r="E17" s="37"/>
      <c r="F17" s="38"/>
      <c r="G17" s="36"/>
      <c r="H17" s="39"/>
      <c r="I17" s="38"/>
      <c r="J17" s="37"/>
      <c r="K17" s="40"/>
      <c r="L17" s="41"/>
      <c r="M17" s="42"/>
      <c r="N17" s="40"/>
      <c r="O17" s="43"/>
    </row>
    <row r="18" spans="1:15" x14ac:dyDescent="0.25">
      <c r="A18" s="2"/>
      <c r="B18" s="44" t="s">
        <v>61</v>
      </c>
      <c r="C18" s="45"/>
      <c r="D18" s="36"/>
      <c r="E18" s="37"/>
      <c r="F18" s="38"/>
      <c r="G18" s="36"/>
      <c r="H18" s="39"/>
      <c r="I18" s="38"/>
      <c r="J18" s="37"/>
      <c r="K18" s="40"/>
      <c r="L18" s="41"/>
      <c r="M18" s="42"/>
      <c r="N18" s="40"/>
      <c r="O18" s="43"/>
    </row>
    <row r="19" spans="1:15" x14ac:dyDescent="0.25">
      <c r="A19" s="2"/>
      <c r="B19" s="46"/>
      <c r="C19" s="45"/>
      <c r="D19" s="36"/>
      <c r="E19" s="37"/>
      <c r="F19" s="38"/>
      <c r="G19" s="36"/>
      <c r="H19" s="39"/>
      <c r="I19" s="38"/>
      <c r="J19" s="37"/>
      <c r="K19" s="40"/>
      <c r="L19" s="41"/>
      <c r="M19" s="42"/>
      <c r="N19" s="40"/>
      <c r="O19" s="43"/>
    </row>
    <row r="20" spans="1:15" x14ac:dyDescent="0.25">
      <c r="A20" s="2"/>
      <c r="B20" s="47" t="s">
        <v>62</v>
      </c>
      <c r="C20" s="45" t="str">
        <f>IF('Gran-LLyLP'!G43="NP","NP",ROUND('Gran-LLyLP'!G43,1))</f>
        <v>NP</v>
      </c>
      <c r="D20" s="36"/>
      <c r="E20" s="37"/>
      <c r="F20" s="38"/>
      <c r="G20" s="36" t="s">
        <v>63</v>
      </c>
      <c r="H20" s="39" t="s">
        <v>64</v>
      </c>
      <c r="I20" s="38" t="s">
        <v>63</v>
      </c>
      <c r="J20" s="37" t="s">
        <v>64</v>
      </c>
      <c r="K20" s="40" t="s">
        <v>63</v>
      </c>
      <c r="L20" s="41" t="s">
        <v>64</v>
      </c>
      <c r="M20" s="42" t="s">
        <v>63</v>
      </c>
      <c r="N20" s="40" t="s">
        <v>64</v>
      </c>
      <c r="O20" s="43" t="s">
        <v>64</v>
      </c>
    </row>
    <row r="21" spans="1:15" x14ac:dyDescent="0.25">
      <c r="A21" s="2"/>
      <c r="B21" s="47" t="s">
        <v>65</v>
      </c>
      <c r="C21" s="45" t="str">
        <f>IF('Gran-LLyLP'!G44="NP","NP",ROUND('Gran-LLyLP'!G44,1))</f>
        <v>NP</v>
      </c>
      <c r="D21" s="36" t="s">
        <v>66</v>
      </c>
      <c r="E21" s="37" t="s">
        <v>66</v>
      </c>
      <c r="F21" s="38" t="s">
        <v>67</v>
      </c>
      <c r="G21" s="36" t="s">
        <v>56</v>
      </c>
      <c r="H21" s="39" t="s">
        <v>56</v>
      </c>
      <c r="I21" s="38" t="s">
        <v>68</v>
      </c>
      <c r="J21" s="37" t="s">
        <v>68</v>
      </c>
      <c r="K21" s="40" t="s">
        <v>56</v>
      </c>
      <c r="L21" s="41" t="s">
        <v>56</v>
      </c>
      <c r="M21" s="42" t="s">
        <v>68</v>
      </c>
      <c r="N21" s="40" t="s">
        <v>69</v>
      </c>
      <c r="O21" s="43" t="s">
        <v>69</v>
      </c>
    </row>
    <row r="22" spans="1:15" x14ac:dyDescent="0.25">
      <c r="A22" s="2"/>
      <c r="B22" s="48"/>
      <c r="C22" s="49" t="s">
        <v>70</v>
      </c>
      <c r="D22" s="50"/>
      <c r="E22" s="51"/>
      <c r="F22" s="52"/>
      <c r="G22" s="50"/>
      <c r="H22" s="53"/>
      <c r="I22" s="52"/>
      <c r="J22" s="51"/>
      <c r="K22" s="54"/>
      <c r="L22" s="55"/>
      <c r="M22" s="56"/>
      <c r="N22" s="54"/>
      <c r="O22" s="57"/>
    </row>
    <row r="23" spans="1:15" ht="13.8" thickBot="1" x14ac:dyDescent="0.3">
      <c r="A23" s="2"/>
      <c r="B23" s="58" t="s">
        <v>71</v>
      </c>
      <c r="C23" s="59">
        <f>+D38</f>
        <v>0</v>
      </c>
      <c r="D23" s="1194">
        <v>0</v>
      </c>
      <c r="E23" s="1195"/>
      <c r="F23" s="1">
        <v>0</v>
      </c>
      <c r="G23" s="1194">
        <v>0</v>
      </c>
      <c r="H23" s="1196"/>
      <c r="I23" s="1197" t="s">
        <v>72</v>
      </c>
      <c r="J23" s="1195"/>
      <c r="K23" s="60" t="s">
        <v>73</v>
      </c>
      <c r="L23" s="61" t="s">
        <v>74</v>
      </c>
      <c r="M23" s="62" t="s">
        <v>75</v>
      </c>
      <c r="N23" s="60" t="s">
        <v>76</v>
      </c>
      <c r="O23" s="63" t="s">
        <v>76</v>
      </c>
    </row>
    <row r="24" spans="1:15" ht="13.8" thickTop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7.399999999999999" x14ac:dyDescent="0.3">
      <c r="A26" s="2"/>
      <c r="B26" s="2"/>
      <c r="C26" s="2"/>
      <c r="D26" s="2"/>
      <c r="E26" s="64" t="s">
        <v>77</v>
      </c>
      <c r="F26" s="3"/>
      <c r="G26" s="65"/>
      <c r="H26" s="3"/>
      <c r="I26" s="3"/>
      <c r="J26" s="1190" t="str">
        <f>+D31&amp;" "&amp;F38</f>
        <v>A-1-a (0)</v>
      </c>
      <c r="K26" s="1191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2.75" hidden="1" customHeight="1" x14ac:dyDescent="0.25"/>
    <row r="29" spans="1:15" ht="12.75" hidden="1" customHeight="1" x14ac:dyDescent="0.25">
      <c r="D29" t="str">
        <f>IF(AND(C11&lt;=50,C12&lt;=30,C13&lt;=15,OR(C21&lt;=6,C21="NP"),C23&lt;=0),D6,"--")</f>
        <v>A-1-a</v>
      </c>
      <c r="E29" t="str">
        <f>IF(AND(C12&lt;=50,C13&lt;=25,OR(C21&lt;=6,C21="NP"),C23&lt;=0),E6,"--")</f>
        <v>A-1-b</v>
      </c>
      <c r="F29" t="str">
        <f>IF(AND(C12&gt;50,C13&lt;=10,OR(C20="N.P.",C20="NP",C20=0),OR(C21="N.P.",C21="NP",C21=0),C23&lt;=0),F5,"--")</f>
        <v>--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 x14ac:dyDescent="0.25">
      <c r="D30" t="str">
        <f>IF(D29&lt;&gt;"--",D29,"")</f>
        <v>A-1-a</v>
      </c>
      <c r="E30" t="str">
        <f>IF(AND(D29="--",E29&lt;&gt;"--"),E29,"")</f>
        <v/>
      </c>
      <c r="F30" t="str">
        <f>IF(AND(D29="--",E29="--",F29&lt;&gt;"--"),F29,"")</f>
        <v/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 x14ac:dyDescent="0.25">
      <c r="D31" t="str">
        <f>+D30&amp;E30&amp;F30&amp;G30&amp;H30&amp;I30&amp;J30&amp;K30&amp;L30&amp;M30&amp;N30&amp;O30</f>
        <v>A-1-a</v>
      </c>
    </row>
    <row r="32" spans="1:15" ht="12.75" hidden="1" customHeight="1" x14ac:dyDescent="0.25"/>
    <row r="33" spans="1:15" ht="12.75" hidden="1" customHeight="1" x14ac:dyDescent="0.25">
      <c r="C33" t="s">
        <v>78</v>
      </c>
      <c r="D33" s="119">
        <f>+IF(C13&gt;75,40,IF(C13&lt;35,1,IF(C13&lt;40,40-C13,C13-40)))</f>
        <v>1</v>
      </c>
    </row>
    <row r="34" spans="1:15" ht="12.75" hidden="1" customHeight="1" x14ac:dyDescent="0.25">
      <c r="C34" t="s">
        <v>79</v>
      </c>
      <c r="D34" s="119">
        <f>+IF(C13&gt;55,40,IF(C13&lt;15,1,C13-15))</f>
        <v>1</v>
      </c>
    </row>
    <row r="35" spans="1:15" ht="12.75" hidden="1" customHeight="1" x14ac:dyDescent="0.25">
      <c r="C35" s="66" t="s">
        <v>80</v>
      </c>
      <c r="D35" s="119">
        <f>+IF(C20="NP",1,IF(C20&gt;60,20,IF(C20&lt;40,1,C20-40)))</f>
        <v>1</v>
      </c>
    </row>
    <row r="36" spans="1:15" ht="12.75" hidden="1" customHeight="1" x14ac:dyDescent="0.25">
      <c r="C36" t="s">
        <v>81</v>
      </c>
      <c r="D36" s="119">
        <f>+IF(C21="NP",1,IF(C21&gt;30,20,IF(C21&lt;10,1,C21-10)))</f>
        <v>1</v>
      </c>
    </row>
    <row r="37" spans="1:15" ht="12.75" hidden="1" customHeight="1" x14ac:dyDescent="0.25"/>
    <row r="38" spans="1:15" ht="12.75" hidden="1" customHeight="1" x14ac:dyDescent="0.25">
      <c r="C38" s="67">
        <f>0.2*D33+0.005*D33*D35+0.01*D34*D36</f>
        <v>0.21500000000000002</v>
      </c>
      <c r="D38" s="68">
        <f>ROUND(C38,0)</f>
        <v>0</v>
      </c>
      <c r="F38" t="str">
        <f>+"("&amp;D38&amp;")"</f>
        <v>(0)</v>
      </c>
    </row>
    <row r="39" spans="1:15" ht="12.75" hidden="1" customHeight="1" x14ac:dyDescent="0.25"/>
    <row r="40" spans="1:15" ht="12.75" hidden="1" customHeight="1" x14ac:dyDescent="0.25"/>
    <row r="41" spans="1:15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15">
    <mergeCell ref="J26:K26"/>
    <mergeCell ref="N5:O5"/>
    <mergeCell ref="D23:E23"/>
    <mergeCell ref="G23:H23"/>
    <mergeCell ref="I23:J23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765A-50B1-4236-9E93-45FB72619E64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 x14ac:dyDescent="0.25"/>
  <cols>
    <col min="1" max="7" width="11.44140625" style="126"/>
    <col min="8" max="10" width="11.44140625" style="127"/>
    <col min="11" max="12" width="11.44140625" style="126"/>
    <col min="13" max="13" width="13.44140625" style="126" customWidth="1"/>
    <col min="14" max="16384" width="11.44140625" style="126"/>
  </cols>
  <sheetData>
    <row r="1" spans="1:16" x14ac:dyDescent="0.25">
      <c r="A1" s="122">
        <f>+D1</f>
        <v>76.2</v>
      </c>
      <c r="B1" s="123">
        <v>0</v>
      </c>
      <c r="C1" s="124" t="s">
        <v>14</v>
      </c>
      <c r="D1" s="125">
        <v>76.2</v>
      </c>
      <c r="E1" s="123">
        <v>0</v>
      </c>
      <c r="F1" s="123">
        <v>100</v>
      </c>
      <c r="G1" s="126">
        <f>+'Gran-LLyLP'!C23</f>
        <v>0</v>
      </c>
      <c r="H1" s="127">
        <f>+G1/'Gran-LLyLP'!$D$17*100</f>
        <v>0</v>
      </c>
      <c r="I1" s="127">
        <f>+H1</f>
        <v>0</v>
      </c>
      <c r="J1" s="127">
        <f>100-I1</f>
        <v>100</v>
      </c>
      <c r="L1" s="1199" t="s">
        <v>206</v>
      </c>
      <c r="M1" s="1199"/>
      <c r="N1" s="1199"/>
      <c r="O1" s="1199"/>
      <c r="P1" s="1199"/>
    </row>
    <row r="2" spans="1:16" x14ac:dyDescent="0.25">
      <c r="A2" s="128">
        <f>+A1</f>
        <v>76.2</v>
      </c>
      <c r="B2" s="123">
        <v>100</v>
      </c>
      <c r="C2" s="129" t="s">
        <v>15</v>
      </c>
      <c r="D2" s="125">
        <v>63.5</v>
      </c>
      <c r="E2" s="123">
        <v>0</v>
      </c>
      <c r="F2" s="123">
        <v>100</v>
      </c>
      <c r="G2" s="126">
        <f>+'Gran-LLyLP'!C24</f>
        <v>0</v>
      </c>
      <c r="H2" s="127">
        <f>+G2/'Gran-LLyLP'!$D$17*100</f>
        <v>0</v>
      </c>
      <c r="I2" s="127">
        <f>+H2+I1</f>
        <v>0</v>
      </c>
      <c r="J2" s="127">
        <f t="shared" ref="J2:J21" si="0">100-I2</f>
        <v>100</v>
      </c>
      <c r="L2" s="137" t="s">
        <v>208</v>
      </c>
      <c r="M2" s="137" t="s">
        <v>209</v>
      </c>
      <c r="N2" s="1198" t="s">
        <v>210</v>
      </c>
      <c r="O2" s="1198"/>
      <c r="P2" s="137" t="s">
        <v>207</v>
      </c>
    </row>
    <row r="3" spans="1:16" x14ac:dyDescent="0.25">
      <c r="A3" s="130"/>
      <c r="B3" s="130"/>
      <c r="C3" s="124" t="s">
        <v>8</v>
      </c>
      <c r="D3" s="125">
        <v>50.6</v>
      </c>
      <c r="E3" s="123">
        <v>0</v>
      </c>
      <c r="F3" s="123">
        <v>100</v>
      </c>
      <c r="G3" s="126">
        <f>+'Gran-LLyLP'!C25</f>
        <v>0</v>
      </c>
      <c r="H3" s="127">
        <f>+G3/'Gran-LLyLP'!$D$17*100</f>
        <v>0</v>
      </c>
      <c r="I3" s="127">
        <f t="shared" ref="I3:I21" si="1">+H3+I2</f>
        <v>0</v>
      </c>
      <c r="J3" s="127">
        <f t="shared" si="0"/>
        <v>100</v>
      </c>
      <c r="L3" s="134" t="str">
        <f>+C3</f>
        <v>2"</v>
      </c>
      <c r="M3" s="406">
        <f>+D3</f>
        <v>50.6</v>
      </c>
      <c r="N3" s="135">
        <f>+'Gran-LLyLP'!H25</f>
        <v>0</v>
      </c>
      <c r="O3" s="135">
        <f>+'Gran-LLyLP'!H25</f>
        <v>0</v>
      </c>
      <c r="P3" s="136">
        <f>+J3</f>
        <v>100</v>
      </c>
    </row>
    <row r="4" spans="1:16" x14ac:dyDescent="0.25">
      <c r="A4" s="122">
        <f>+D2</f>
        <v>63.5</v>
      </c>
      <c r="B4" s="123">
        <v>0</v>
      </c>
      <c r="C4" s="129" t="s">
        <v>9</v>
      </c>
      <c r="D4" s="125">
        <v>38.1</v>
      </c>
      <c r="E4" s="123">
        <v>0</v>
      </c>
      <c r="F4" s="123">
        <v>100</v>
      </c>
      <c r="G4" s="126">
        <f>+'Gran-LLyLP'!C26</f>
        <v>1384</v>
      </c>
      <c r="H4" s="127">
        <f>+G4/'Gran-LLyLP'!$D$17*100</f>
        <v>281.58697863682607</v>
      </c>
      <c r="I4" s="127">
        <f t="shared" si="1"/>
        <v>281.58697863682607</v>
      </c>
      <c r="J4" s="127">
        <f t="shared" si="0"/>
        <v>-181.58697863682607</v>
      </c>
      <c r="L4" s="134" t="str">
        <f t="shared" ref="L4:L21" si="2">+C4</f>
        <v>1 1/2"</v>
      </c>
      <c r="M4" s="406">
        <f t="shared" ref="M4:M21" si="3">+D4</f>
        <v>38.1</v>
      </c>
      <c r="N4" s="135">
        <f>+'Gran-LLyLP'!G26</f>
        <v>0</v>
      </c>
      <c r="O4" s="135">
        <f>+'Gran-LLyLP'!I26</f>
        <v>100</v>
      </c>
      <c r="P4" s="136">
        <f t="shared" ref="P4:P21" si="4">+J4</f>
        <v>-181.58697863682607</v>
      </c>
    </row>
    <row r="5" spans="1:16" x14ac:dyDescent="0.25">
      <c r="A5" s="128">
        <f>+A4</f>
        <v>63.5</v>
      </c>
      <c r="B5" s="123">
        <v>100</v>
      </c>
      <c r="C5" s="124" t="s">
        <v>10</v>
      </c>
      <c r="D5" s="125">
        <v>25.4</v>
      </c>
      <c r="E5" s="123">
        <v>0</v>
      </c>
      <c r="F5" s="123">
        <v>100</v>
      </c>
      <c r="G5" s="126">
        <f>+'Gran-LLyLP'!C27</f>
        <v>3256</v>
      </c>
      <c r="H5" s="127">
        <f>+G5/'Gran-LLyLP'!$D$17*100</f>
        <v>662.46185147507629</v>
      </c>
      <c r="I5" s="127">
        <f t="shared" si="1"/>
        <v>944.04883011190236</v>
      </c>
      <c r="J5" s="127">
        <f t="shared" si="0"/>
        <v>-844.04883011190236</v>
      </c>
      <c r="L5" s="134" t="str">
        <f t="shared" si="2"/>
        <v>1"</v>
      </c>
      <c r="M5" s="406">
        <f t="shared" si="3"/>
        <v>25.4</v>
      </c>
      <c r="N5" s="135">
        <f>+'Gran-LLyLP'!G27</f>
        <v>0</v>
      </c>
      <c r="O5" s="135">
        <f>+'Gran-LLyLP'!I27</f>
        <v>0</v>
      </c>
      <c r="P5" s="136">
        <f t="shared" si="4"/>
        <v>-844.04883011190236</v>
      </c>
    </row>
    <row r="6" spans="1:16" x14ac:dyDescent="0.25">
      <c r="A6" s="130"/>
      <c r="B6" s="130"/>
      <c r="C6" s="124" t="s">
        <v>11</v>
      </c>
      <c r="D6" s="125">
        <v>19.05</v>
      </c>
      <c r="E6" s="123">
        <v>0</v>
      </c>
      <c r="F6" s="123">
        <v>100</v>
      </c>
      <c r="G6" s="126">
        <f>+'Gran-LLyLP'!C28</f>
        <v>2413</v>
      </c>
      <c r="H6" s="127">
        <f>+G6/'Gran-LLyLP'!$D$17*100</f>
        <v>490.94608341810783</v>
      </c>
      <c r="I6" s="127">
        <f t="shared" si="1"/>
        <v>1434.9949135300103</v>
      </c>
      <c r="J6" s="127">
        <f t="shared" si="0"/>
        <v>-1334.9949135300103</v>
      </c>
      <c r="L6" s="134" t="str">
        <f t="shared" si="2"/>
        <v>3/4"</v>
      </c>
      <c r="M6" s="406">
        <f t="shared" si="3"/>
        <v>19.05</v>
      </c>
      <c r="N6" s="135">
        <f>+'Gran-LLyLP'!G28</f>
        <v>0</v>
      </c>
      <c r="O6" s="135">
        <f>+'Gran-LLyLP'!I28</f>
        <v>0</v>
      </c>
      <c r="P6" s="136">
        <f t="shared" si="4"/>
        <v>-1334.9949135300103</v>
      </c>
    </row>
    <row r="7" spans="1:16" x14ac:dyDescent="0.25">
      <c r="A7" s="122">
        <f>+D3</f>
        <v>50.6</v>
      </c>
      <c r="B7" s="123">
        <v>0</v>
      </c>
      <c r="C7" s="124" t="s">
        <v>12</v>
      </c>
      <c r="D7" s="125">
        <v>12.7</v>
      </c>
      <c r="E7" s="123">
        <v>0</v>
      </c>
      <c r="F7" s="123">
        <v>100</v>
      </c>
      <c r="G7" s="126">
        <f>+'Gran-LLyLP'!C29</f>
        <v>4064</v>
      </c>
      <c r="H7" s="127">
        <f>+G7/'Gran-LLyLP'!$D$17*100</f>
        <v>826.85656154628691</v>
      </c>
      <c r="I7" s="127">
        <f t="shared" si="1"/>
        <v>2261.851475076297</v>
      </c>
      <c r="J7" s="127">
        <f t="shared" si="0"/>
        <v>-2161.851475076297</v>
      </c>
      <c r="L7" s="134" t="str">
        <f t="shared" si="2"/>
        <v>1/2"</v>
      </c>
      <c r="M7" s="406">
        <f t="shared" si="3"/>
        <v>12.7</v>
      </c>
      <c r="N7" s="135">
        <f>+'Gran-LLyLP'!G30</f>
        <v>30</v>
      </c>
      <c r="O7" s="135">
        <f>+'Gran-LLyLP'!I30</f>
        <v>65</v>
      </c>
      <c r="P7" s="136">
        <f t="shared" si="4"/>
        <v>-2161.851475076297</v>
      </c>
    </row>
    <row r="8" spans="1:16" x14ac:dyDescent="0.25">
      <c r="A8" s="128">
        <f>+A7</f>
        <v>50.6</v>
      </c>
      <c r="B8" s="123">
        <v>100</v>
      </c>
      <c r="C8" s="124" t="s">
        <v>13</v>
      </c>
      <c r="D8" s="125">
        <v>9.5250000000000004</v>
      </c>
      <c r="E8" s="123">
        <v>0</v>
      </c>
      <c r="F8" s="123">
        <v>100</v>
      </c>
      <c r="G8" s="126">
        <f>+'Gran-LLyLP'!C30</f>
        <v>1986</v>
      </c>
      <c r="H8" s="127">
        <f>+G8/'Gran-LLyLP'!$D$17*100</f>
        <v>404.0691759918617</v>
      </c>
      <c r="I8" s="127">
        <f t="shared" si="1"/>
        <v>2665.9206510681588</v>
      </c>
      <c r="J8" s="127">
        <f t="shared" si="0"/>
        <v>-2565.9206510681588</v>
      </c>
      <c r="L8" s="134" t="str">
        <f t="shared" si="2"/>
        <v>3/8"</v>
      </c>
      <c r="M8" s="406">
        <f t="shared" si="3"/>
        <v>9.5250000000000004</v>
      </c>
      <c r="N8" s="135">
        <f>+'Gran-LLyLP'!G32</f>
        <v>25</v>
      </c>
      <c r="O8" s="135">
        <f>+'Gran-LLyLP'!I32</f>
        <v>55</v>
      </c>
      <c r="P8" s="136">
        <f t="shared" si="4"/>
        <v>-2565.9206510681588</v>
      </c>
    </row>
    <row r="9" spans="1:16" x14ac:dyDescent="0.25">
      <c r="A9" s="130"/>
      <c r="B9" s="130"/>
      <c r="C9" s="124" t="s">
        <v>16</v>
      </c>
      <c r="D9" s="125">
        <v>6.35</v>
      </c>
      <c r="E9" s="123">
        <v>0</v>
      </c>
      <c r="F9" s="123">
        <v>100</v>
      </c>
      <c r="I9" s="127">
        <f>+I8</f>
        <v>2665.9206510681588</v>
      </c>
      <c r="J9" s="127">
        <f>+(J8+J10)/2</f>
        <v>-2652.7975584944052</v>
      </c>
      <c r="L9" s="134" t="str">
        <f t="shared" si="2"/>
        <v>1/4"</v>
      </c>
      <c r="M9" s="406">
        <f t="shared" si="3"/>
        <v>6.35</v>
      </c>
      <c r="N9" s="135">
        <f>+'Gran-LLyLP'!G33</f>
        <v>0</v>
      </c>
      <c r="O9" s="135">
        <f>+'Gran-LLyLP'!I33</f>
        <v>0</v>
      </c>
      <c r="P9" s="136">
        <f t="shared" si="4"/>
        <v>-2652.7975584944052</v>
      </c>
    </row>
    <row r="10" spans="1:16" x14ac:dyDescent="0.25">
      <c r="A10" s="122">
        <f>+D4</f>
        <v>38.1</v>
      </c>
      <c r="B10" s="123">
        <v>0</v>
      </c>
      <c r="C10" s="124" t="s">
        <v>17</v>
      </c>
      <c r="D10" s="125">
        <v>4.76</v>
      </c>
      <c r="E10" s="123">
        <v>0</v>
      </c>
      <c r="F10" s="123">
        <v>100</v>
      </c>
      <c r="G10" s="126">
        <f>+'Gran-LLyLP'!C32</f>
        <v>854</v>
      </c>
      <c r="H10" s="127">
        <f>+G10/'Gran-LLyLP'!$D$17*100</f>
        <v>173.75381485249238</v>
      </c>
      <c r="I10" s="127">
        <f t="shared" si="1"/>
        <v>2839.6744659206511</v>
      </c>
      <c r="J10" s="127">
        <f t="shared" si="0"/>
        <v>-2739.6744659206511</v>
      </c>
      <c r="L10" s="134" t="str">
        <f t="shared" si="2"/>
        <v>No4</v>
      </c>
      <c r="M10" s="406">
        <f t="shared" si="3"/>
        <v>4.76</v>
      </c>
      <c r="N10" s="135">
        <f>+'Gran-LLyLP'!G36</f>
        <v>0</v>
      </c>
      <c r="O10" s="135">
        <f>+'Gran-LLyLP'!I36</f>
        <v>0</v>
      </c>
      <c r="P10" s="136">
        <f t="shared" si="4"/>
        <v>-2739.6744659206511</v>
      </c>
    </row>
    <row r="11" spans="1:16" x14ac:dyDescent="0.25">
      <c r="A11" s="128">
        <f>+A10</f>
        <v>38.1</v>
      </c>
      <c r="B11" s="123">
        <v>100</v>
      </c>
      <c r="C11" s="124">
        <v>8</v>
      </c>
      <c r="D11" s="125">
        <v>2.38</v>
      </c>
      <c r="E11" s="123">
        <v>0</v>
      </c>
      <c r="F11" s="123">
        <v>100</v>
      </c>
      <c r="I11" s="127">
        <f>+I10</f>
        <v>2839.6744659206511</v>
      </c>
      <c r="J11" s="127">
        <f>+(J10+J12)/2</f>
        <v>-2752.3906408952189</v>
      </c>
      <c r="L11" s="134">
        <f t="shared" si="2"/>
        <v>8</v>
      </c>
      <c r="M11" s="406">
        <f t="shared" si="3"/>
        <v>2.38</v>
      </c>
      <c r="N11" s="135">
        <f>+'Gran-LLyLP'!G40</f>
        <v>2</v>
      </c>
      <c r="O11" s="135">
        <f>+'Gran-LLyLP'!I40</f>
        <v>8</v>
      </c>
      <c r="P11" s="136">
        <f t="shared" si="4"/>
        <v>-2752.3906408952189</v>
      </c>
    </row>
    <row r="12" spans="1:16" x14ac:dyDescent="0.25">
      <c r="A12" s="130"/>
      <c r="B12" s="130"/>
      <c r="C12" s="124">
        <v>10</v>
      </c>
      <c r="D12" s="125">
        <v>2</v>
      </c>
      <c r="E12" s="123">
        <v>0</v>
      </c>
      <c r="F12" s="123">
        <v>100</v>
      </c>
      <c r="G12" s="126">
        <f>+'Gran-LLyLP'!C33</f>
        <v>125</v>
      </c>
      <c r="H12" s="127">
        <f>+G12/'Gran-LLyLP'!$D$17*100</f>
        <v>25.4323499491353</v>
      </c>
      <c r="I12" s="127">
        <f t="shared" si="1"/>
        <v>2865.1068158697863</v>
      </c>
      <c r="J12" s="127">
        <f t="shared" si="0"/>
        <v>-2765.1068158697863</v>
      </c>
      <c r="L12" s="134">
        <f t="shared" si="2"/>
        <v>10</v>
      </c>
      <c r="M12" s="406">
        <f t="shared" si="3"/>
        <v>2</v>
      </c>
      <c r="N12" s="131"/>
      <c r="O12" s="131"/>
      <c r="P12" s="136">
        <f t="shared" si="4"/>
        <v>-2765.1068158697863</v>
      </c>
    </row>
    <row r="13" spans="1:16" x14ac:dyDescent="0.25">
      <c r="A13" s="122">
        <f>+D5</f>
        <v>25.4</v>
      </c>
      <c r="B13" s="123">
        <v>0</v>
      </c>
      <c r="C13" s="124">
        <v>16</v>
      </c>
      <c r="D13" s="125">
        <v>1.19</v>
      </c>
      <c r="E13" s="123">
        <v>0</v>
      </c>
      <c r="F13" s="123">
        <v>100</v>
      </c>
      <c r="I13" s="127">
        <f>+I12</f>
        <v>2865.1068158697863</v>
      </c>
      <c r="J13" s="127">
        <f>+(J12+J14)/2</f>
        <v>-2766.9989827060017</v>
      </c>
      <c r="L13" s="134">
        <f t="shared" si="2"/>
        <v>16</v>
      </c>
      <c r="M13" s="406">
        <f t="shared" si="3"/>
        <v>1.19</v>
      </c>
      <c r="P13" s="136">
        <f t="shared" si="4"/>
        <v>-2766.9989827060017</v>
      </c>
    </row>
    <row r="14" spans="1:16" x14ac:dyDescent="0.25">
      <c r="A14" s="128">
        <f>+A13</f>
        <v>25.4</v>
      </c>
      <c r="B14" s="123">
        <v>100</v>
      </c>
      <c r="C14" s="124">
        <v>20</v>
      </c>
      <c r="D14" s="125">
        <v>0.84</v>
      </c>
      <c r="E14" s="123">
        <v>0</v>
      </c>
      <c r="F14" s="123">
        <v>100</v>
      </c>
      <c r="G14" s="126">
        <f>+'Gran-LLyLP'!C34</f>
        <v>18.600000000000001</v>
      </c>
      <c r="H14" s="127">
        <f>+G14/'Gran-LLyLP'!$D$17*100</f>
        <v>3.784333672431333</v>
      </c>
      <c r="I14" s="127">
        <f t="shared" si="1"/>
        <v>2868.8911495422176</v>
      </c>
      <c r="J14" s="127">
        <f t="shared" si="0"/>
        <v>-2768.8911495422176</v>
      </c>
      <c r="L14" s="134">
        <f t="shared" si="2"/>
        <v>20</v>
      </c>
      <c r="M14" s="406">
        <f t="shared" si="3"/>
        <v>0.84</v>
      </c>
      <c r="P14" s="136">
        <f t="shared" si="4"/>
        <v>-2768.8911495422176</v>
      </c>
    </row>
    <row r="15" spans="1:16" x14ac:dyDescent="0.25">
      <c r="A15" s="130"/>
      <c r="B15" s="130"/>
      <c r="C15" s="124">
        <v>30</v>
      </c>
      <c r="D15" s="125">
        <v>0.59</v>
      </c>
      <c r="E15" s="123">
        <v>0</v>
      </c>
      <c r="F15" s="123">
        <v>100</v>
      </c>
      <c r="I15" s="127">
        <f>+I14</f>
        <v>2868.8911495422176</v>
      </c>
      <c r="J15" s="127">
        <f>+(J14+J16)/2</f>
        <v>-2778.6571719226858</v>
      </c>
      <c r="L15" s="134">
        <f t="shared" si="2"/>
        <v>30</v>
      </c>
      <c r="M15" s="406">
        <f t="shared" si="3"/>
        <v>0.59</v>
      </c>
      <c r="P15" s="136">
        <f t="shared" si="4"/>
        <v>-2778.6571719226858</v>
      </c>
    </row>
    <row r="16" spans="1:16" x14ac:dyDescent="0.25">
      <c r="A16" s="122">
        <f>+D6</f>
        <v>19.05</v>
      </c>
      <c r="B16" s="123">
        <v>0</v>
      </c>
      <c r="C16" s="124">
        <v>40</v>
      </c>
      <c r="D16" s="125">
        <v>0.42</v>
      </c>
      <c r="E16" s="123">
        <v>0</v>
      </c>
      <c r="F16" s="123">
        <v>100</v>
      </c>
      <c r="G16" s="126">
        <f>+'Gran-LLyLP'!C36</f>
        <v>96</v>
      </c>
      <c r="H16" s="127">
        <f>+G16/'Gran-LLyLP'!$D$17*100</f>
        <v>19.532044760935911</v>
      </c>
      <c r="I16" s="127">
        <f>+H16+I15</f>
        <v>2888.4231943031537</v>
      </c>
      <c r="J16" s="127">
        <f>100-I16</f>
        <v>-2788.4231943031537</v>
      </c>
      <c r="L16" s="134">
        <f t="shared" si="2"/>
        <v>40</v>
      </c>
      <c r="M16" s="406">
        <f t="shared" si="3"/>
        <v>0.42</v>
      </c>
      <c r="P16" s="136">
        <f t="shared" si="4"/>
        <v>-2788.4231943031537</v>
      </c>
    </row>
    <row r="17" spans="1:16" x14ac:dyDescent="0.25">
      <c r="A17" s="128">
        <f>+A16</f>
        <v>19.05</v>
      </c>
      <c r="B17" s="123">
        <v>100</v>
      </c>
      <c r="C17" s="124">
        <v>50</v>
      </c>
      <c r="D17" s="125">
        <v>0.3</v>
      </c>
      <c r="E17" s="123">
        <v>0</v>
      </c>
      <c r="F17" s="123">
        <v>100</v>
      </c>
      <c r="I17" s="127">
        <f>+I16</f>
        <v>2888.4231943031537</v>
      </c>
      <c r="J17" s="127">
        <f>+(J16+J18)/2</f>
        <v>-2790.4170905391657</v>
      </c>
      <c r="L17" s="134">
        <f t="shared" si="2"/>
        <v>50</v>
      </c>
      <c r="M17" s="406">
        <f t="shared" si="3"/>
        <v>0.3</v>
      </c>
      <c r="P17" s="136">
        <f t="shared" si="4"/>
        <v>-2790.4170905391657</v>
      </c>
    </row>
    <row r="18" spans="1:16" x14ac:dyDescent="0.25">
      <c r="A18" s="130"/>
      <c r="B18" s="130"/>
      <c r="C18" s="124">
        <v>60</v>
      </c>
      <c r="D18" s="125">
        <v>0.25</v>
      </c>
      <c r="E18" s="123">
        <v>0</v>
      </c>
      <c r="F18" s="123">
        <v>100</v>
      </c>
      <c r="G18" s="126">
        <f>+'Gran-LLyLP'!C37</f>
        <v>19.600000000000001</v>
      </c>
      <c r="H18" s="127">
        <f>+G18/'Gran-LLyLP'!$D$17*100</f>
        <v>3.9877924720244149</v>
      </c>
      <c r="I18" s="127">
        <f t="shared" si="1"/>
        <v>2892.4109867751781</v>
      </c>
      <c r="J18" s="127">
        <f t="shared" si="0"/>
        <v>-2792.4109867751781</v>
      </c>
      <c r="L18" s="134">
        <f t="shared" si="2"/>
        <v>60</v>
      </c>
      <c r="M18" s="406">
        <f t="shared" si="3"/>
        <v>0.25</v>
      </c>
      <c r="P18" s="136">
        <f t="shared" si="4"/>
        <v>-2792.4109867751781</v>
      </c>
    </row>
    <row r="19" spans="1:16" x14ac:dyDescent="0.25">
      <c r="A19" s="122">
        <f>+D7</f>
        <v>12.7</v>
      </c>
      <c r="B19" s="123">
        <v>0</v>
      </c>
      <c r="C19" s="124">
        <v>80</v>
      </c>
      <c r="D19" s="125">
        <v>0.18</v>
      </c>
      <c r="E19" s="123">
        <v>0</v>
      </c>
      <c r="F19" s="123">
        <v>100</v>
      </c>
      <c r="G19" s="126">
        <f>'Gran-LLyLP'!C38</f>
        <v>23.6</v>
      </c>
      <c r="H19" s="127">
        <f>+G19/'Gran-LLyLP'!$D$17*100</f>
        <v>4.8016276703967451</v>
      </c>
      <c r="I19" s="127">
        <f>+H19+I18</f>
        <v>2897.2126144455747</v>
      </c>
      <c r="J19" s="127">
        <f t="shared" si="0"/>
        <v>-2797.2126144455747</v>
      </c>
      <c r="L19" s="134">
        <f t="shared" si="2"/>
        <v>80</v>
      </c>
      <c r="M19" s="406">
        <f t="shared" si="3"/>
        <v>0.18</v>
      </c>
      <c r="P19" s="136">
        <f t="shared" si="4"/>
        <v>-2797.2126144455747</v>
      </c>
    </row>
    <row r="20" spans="1:16" x14ac:dyDescent="0.25">
      <c r="A20" s="128">
        <f>+A19</f>
        <v>12.7</v>
      </c>
      <c r="B20" s="123">
        <v>100</v>
      </c>
      <c r="C20" s="124">
        <v>100</v>
      </c>
      <c r="D20" s="125">
        <v>0.14899999999999999</v>
      </c>
      <c r="E20" s="123">
        <v>0</v>
      </c>
      <c r="F20" s="123">
        <v>100</v>
      </c>
      <c r="G20" s="126">
        <f>+'Gran-LLyLP'!C39</f>
        <v>25.6</v>
      </c>
      <c r="H20" s="127">
        <f>+G20/'Gran-LLyLP'!$D$17*100</f>
        <v>5.2085452695829098</v>
      </c>
      <c r="I20" s="127">
        <f>+H20+I19</f>
        <v>2902.4211597151575</v>
      </c>
      <c r="J20" s="127">
        <f t="shared" si="0"/>
        <v>-2802.4211597151575</v>
      </c>
      <c r="L20" s="134">
        <f>+C20</f>
        <v>100</v>
      </c>
      <c r="M20" s="406">
        <f t="shared" si="3"/>
        <v>0.14899999999999999</v>
      </c>
      <c r="P20" s="136">
        <f t="shared" si="4"/>
        <v>-2802.4211597151575</v>
      </c>
    </row>
    <row r="21" spans="1:16" x14ac:dyDescent="0.25">
      <c r="A21" s="130"/>
      <c r="B21" s="130"/>
      <c r="C21" s="124">
        <v>200</v>
      </c>
      <c r="D21" s="125">
        <v>7.3999999999999996E-2</v>
      </c>
      <c r="E21" s="123">
        <v>0</v>
      </c>
      <c r="F21" s="123">
        <v>100</v>
      </c>
      <c r="G21" s="126">
        <f>+'Gran-LLyLP'!C40</f>
        <v>31.2</v>
      </c>
      <c r="H21" s="127">
        <f>+G21/'Gran-LLyLP'!$D$17*100</f>
        <v>6.3479145473041703</v>
      </c>
      <c r="I21" s="127">
        <f t="shared" si="1"/>
        <v>2908.7690742624618</v>
      </c>
      <c r="J21" s="127">
        <f t="shared" si="0"/>
        <v>-2808.7690742624618</v>
      </c>
      <c r="L21" s="134">
        <f t="shared" si="2"/>
        <v>200</v>
      </c>
      <c r="M21" s="406">
        <f t="shared" si="3"/>
        <v>7.3999999999999996E-2</v>
      </c>
      <c r="P21" s="136">
        <f t="shared" si="4"/>
        <v>-2808.7690742624618</v>
      </c>
    </row>
    <row r="22" spans="1:16" x14ac:dyDescent="0.25">
      <c r="A22" s="122">
        <f>+D8</f>
        <v>9.5250000000000004</v>
      </c>
      <c r="B22" s="123">
        <v>0</v>
      </c>
      <c r="D22" s="412" t="e">
        <f>+M22</f>
        <v>#REF!</v>
      </c>
      <c r="E22" s="123">
        <v>0</v>
      </c>
      <c r="F22" s="123">
        <v>100</v>
      </c>
      <c r="L22" s="134"/>
      <c r="M22" s="406" t="e">
        <f>#REF!</f>
        <v>#REF!</v>
      </c>
      <c r="P22" s="408" t="e">
        <f>+#REF!</f>
        <v>#REF!</v>
      </c>
    </row>
    <row r="23" spans="1:16" x14ac:dyDescent="0.25">
      <c r="A23" s="128">
        <f>+A22</f>
        <v>9.5250000000000004</v>
      </c>
      <c r="B23" s="123">
        <v>100</v>
      </c>
      <c r="D23" s="412" t="e">
        <f t="shared" ref="D23:D30" si="5">+M23</f>
        <v>#REF!</v>
      </c>
      <c r="E23" s="123">
        <v>0</v>
      </c>
      <c r="F23" s="123">
        <v>100</v>
      </c>
      <c r="L23" s="134"/>
      <c r="M23" s="406" t="e">
        <f>+#REF!</f>
        <v>#REF!</v>
      </c>
      <c r="P23" s="408" t="e">
        <f>+#REF!</f>
        <v>#REF!</v>
      </c>
    </row>
    <row r="24" spans="1:16" x14ac:dyDescent="0.25">
      <c r="A24" s="130"/>
      <c r="B24" s="130"/>
      <c r="D24" s="412" t="e">
        <f t="shared" si="5"/>
        <v>#REF!</v>
      </c>
      <c r="E24" s="123">
        <v>0</v>
      </c>
      <c r="F24" s="123">
        <v>100</v>
      </c>
      <c r="L24" s="134"/>
      <c r="M24" s="406" t="e">
        <f>+#REF!</f>
        <v>#REF!</v>
      </c>
      <c r="P24" s="408" t="e">
        <f>+#REF!</f>
        <v>#REF!</v>
      </c>
    </row>
    <row r="25" spans="1:16" x14ac:dyDescent="0.25">
      <c r="A25" s="122">
        <f>+D9</f>
        <v>6.35</v>
      </c>
      <c r="B25" s="123">
        <v>0</v>
      </c>
      <c r="D25" s="412" t="e">
        <f t="shared" si="5"/>
        <v>#REF!</v>
      </c>
      <c r="E25" s="123">
        <v>0</v>
      </c>
      <c r="F25" s="123">
        <v>100</v>
      </c>
      <c r="L25" s="134"/>
      <c r="M25" s="406" t="e">
        <f>+#REF!</f>
        <v>#REF!</v>
      </c>
      <c r="P25" s="408" t="e">
        <f>+#REF!</f>
        <v>#REF!</v>
      </c>
    </row>
    <row r="26" spans="1:16" x14ac:dyDescent="0.25">
      <c r="A26" s="128">
        <f>+A25</f>
        <v>6.35</v>
      </c>
      <c r="B26" s="123">
        <v>100</v>
      </c>
      <c r="D26" s="412" t="e">
        <f t="shared" si="5"/>
        <v>#REF!</v>
      </c>
      <c r="E26" s="123">
        <v>0</v>
      </c>
      <c r="F26" s="123">
        <v>100</v>
      </c>
      <c r="L26" s="134"/>
      <c r="M26" s="406" t="e">
        <f>+#REF!</f>
        <v>#REF!</v>
      </c>
      <c r="P26" s="408" t="e">
        <f>+#REF!</f>
        <v>#REF!</v>
      </c>
    </row>
    <row r="27" spans="1:16" x14ac:dyDescent="0.25">
      <c r="A27" s="130"/>
      <c r="B27" s="130"/>
      <c r="D27" s="412" t="e">
        <f t="shared" si="5"/>
        <v>#REF!</v>
      </c>
      <c r="E27" s="123">
        <v>0</v>
      </c>
      <c r="F27" s="123">
        <v>100</v>
      </c>
      <c r="L27" s="407"/>
      <c r="M27" s="406" t="e">
        <f>+#REF!</f>
        <v>#REF!</v>
      </c>
      <c r="P27" s="408" t="e">
        <f>+#REF!</f>
        <v>#REF!</v>
      </c>
    </row>
    <row r="28" spans="1:16" x14ac:dyDescent="0.25">
      <c r="A28" s="122">
        <f>+D10</f>
        <v>4.76</v>
      </c>
      <c r="B28" s="123">
        <v>0</v>
      </c>
      <c r="D28" s="412" t="e">
        <f t="shared" si="5"/>
        <v>#REF!</v>
      </c>
      <c r="E28" s="123">
        <v>0</v>
      </c>
      <c r="F28" s="123">
        <v>100</v>
      </c>
      <c r="G28" s="132"/>
      <c r="L28" s="407"/>
      <c r="M28" s="406" t="e">
        <f>+#REF!</f>
        <v>#REF!</v>
      </c>
      <c r="P28" s="408" t="e">
        <f>+#REF!</f>
        <v>#REF!</v>
      </c>
    </row>
    <row r="29" spans="1:16" x14ac:dyDescent="0.25">
      <c r="A29" s="128">
        <f>+A28</f>
        <v>4.76</v>
      </c>
      <c r="B29" s="123">
        <v>100</v>
      </c>
      <c r="D29" s="412" t="e">
        <f t="shared" si="5"/>
        <v>#REF!</v>
      </c>
      <c r="E29" s="123">
        <v>0</v>
      </c>
      <c r="F29" s="123">
        <v>100</v>
      </c>
      <c r="L29" s="407"/>
      <c r="M29" s="406" t="e">
        <f>+#REF!</f>
        <v>#REF!</v>
      </c>
      <c r="P29" s="408" t="e">
        <f>+#REF!</f>
        <v>#REF!</v>
      </c>
    </row>
    <row r="30" spans="1:16" x14ac:dyDescent="0.25">
      <c r="A30" s="130"/>
      <c r="B30" s="130"/>
      <c r="D30" s="413" t="e">
        <f t="shared" si="5"/>
        <v>#REF!</v>
      </c>
      <c r="E30" s="123">
        <v>0</v>
      </c>
      <c r="F30" s="123">
        <v>100</v>
      </c>
      <c r="L30" s="407"/>
      <c r="M30" s="406" t="e">
        <f>+#REF!</f>
        <v>#REF!</v>
      </c>
      <c r="P30" s="408" t="e">
        <f>+#REF!</f>
        <v>#REF!</v>
      </c>
    </row>
    <row r="31" spans="1:16" x14ac:dyDescent="0.25">
      <c r="A31" s="122">
        <f>+D11</f>
        <v>2.38</v>
      </c>
      <c r="B31" s="133">
        <v>0</v>
      </c>
      <c r="M31" s="405"/>
    </row>
    <row r="32" spans="1:16" x14ac:dyDescent="0.25">
      <c r="A32" s="128">
        <f>+A31</f>
        <v>2.38</v>
      </c>
      <c r="B32" s="133">
        <v>100</v>
      </c>
      <c r="M32" s="405"/>
    </row>
    <row r="33" spans="1:13" x14ac:dyDescent="0.25">
      <c r="A33" s="130"/>
      <c r="B33" s="130"/>
      <c r="M33" s="405"/>
    </row>
    <row r="34" spans="1:13" x14ac:dyDescent="0.25">
      <c r="A34" s="122">
        <f>+D12</f>
        <v>2</v>
      </c>
      <c r="B34" s="133">
        <v>0</v>
      </c>
      <c r="M34" s="405"/>
    </row>
    <row r="35" spans="1:13" x14ac:dyDescent="0.25">
      <c r="A35" s="128">
        <f>+A34</f>
        <v>2</v>
      </c>
      <c r="B35" s="133">
        <v>100</v>
      </c>
      <c r="M35" s="405"/>
    </row>
    <row r="36" spans="1:13" x14ac:dyDescent="0.25">
      <c r="A36" s="130"/>
      <c r="B36" s="130"/>
      <c r="M36" s="405"/>
    </row>
    <row r="37" spans="1:13" x14ac:dyDescent="0.25">
      <c r="A37" s="122">
        <f>+D13</f>
        <v>1.19</v>
      </c>
      <c r="B37" s="133">
        <v>0</v>
      </c>
      <c r="M37" s="405"/>
    </row>
    <row r="38" spans="1:13" x14ac:dyDescent="0.25">
      <c r="A38" s="128">
        <f>+A37</f>
        <v>1.19</v>
      </c>
      <c r="B38" s="133">
        <v>100</v>
      </c>
      <c r="M38" s="405"/>
    </row>
    <row r="39" spans="1:13" x14ac:dyDescent="0.25">
      <c r="A39" s="130"/>
      <c r="B39" s="130"/>
      <c r="M39" s="405"/>
    </row>
    <row r="40" spans="1:13" x14ac:dyDescent="0.25">
      <c r="A40" s="122">
        <f>+D14</f>
        <v>0.84</v>
      </c>
      <c r="B40" s="133">
        <v>0</v>
      </c>
      <c r="M40" s="405"/>
    </row>
    <row r="41" spans="1:13" x14ac:dyDescent="0.25">
      <c r="A41" s="128">
        <f>+A40</f>
        <v>0.84</v>
      </c>
      <c r="B41" s="133">
        <v>100</v>
      </c>
    </row>
    <row r="42" spans="1:13" x14ac:dyDescent="0.25">
      <c r="A42" s="130"/>
      <c r="B42" s="130"/>
    </row>
    <row r="43" spans="1:13" x14ac:dyDescent="0.25">
      <c r="A43" s="122">
        <f>+D15</f>
        <v>0.59</v>
      </c>
      <c r="B43" s="133">
        <v>0</v>
      </c>
    </row>
    <row r="44" spans="1:13" x14ac:dyDescent="0.25">
      <c r="A44" s="128">
        <f>+A43</f>
        <v>0.59</v>
      </c>
      <c r="B44" s="133">
        <v>100</v>
      </c>
    </row>
    <row r="45" spans="1:13" x14ac:dyDescent="0.25">
      <c r="A45" s="130"/>
      <c r="B45" s="130"/>
    </row>
    <row r="46" spans="1:13" x14ac:dyDescent="0.25">
      <c r="A46" s="122">
        <f>+D16</f>
        <v>0.42</v>
      </c>
      <c r="B46" s="133">
        <v>0</v>
      </c>
    </row>
    <row r="47" spans="1:13" x14ac:dyDescent="0.25">
      <c r="A47" s="128">
        <f>+A46</f>
        <v>0.42</v>
      </c>
      <c r="B47" s="133">
        <v>100</v>
      </c>
    </row>
    <row r="48" spans="1:13" x14ac:dyDescent="0.25">
      <c r="A48" s="130"/>
      <c r="B48" s="130"/>
    </row>
    <row r="49" spans="1:10" x14ac:dyDescent="0.25">
      <c r="A49" s="128">
        <f>+D17</f>
        <v>0.3</v>
      </c>
      <c r="B49" s="123">
        <v>0</v>
      </c>
    </row>
    <row r="50" spans="1:10" x14ac:dyDescent="0.25">
      <c r="A50" s="128">
        <f>+A49</f>
        <v>0.3</v>
      </c>
      <c r="B50" s="123">
        <v>100</v>
      </c>
    </row>
    <row r="51" spans="1:10" x14ac:dyDescent="0.25">
      <c r="A51" s="130"/>
      <c r="B51" s="130"/>
    </row>
    <row r="52" spans="1:10" x14ac:dyDescent="0.25">
      <c r="A52" s="122">
        <f>+D18</f>
        <v>0.25</v>
      </c>
      <c r="B52" s="133">
        <v>0</v>
      </c>
    </row>
    <row r="53" spans="1:10" x14ac:dyDescent="0.25">
      <c r="A53" s="128">
        <f>+A52</f>
        <v>0.25</v>
      </c>
      <c r="B53" s="133">
        <v>100</v>
      </c>
    </row>
    <row r="54" spans="1:10" x14ac:dyDescent="0.25">
      <c r="A54" s="130"/>
      <c r="B54" s="130"/>
    </row>
    <row r="55" spans="1:10" x14ac:dyDescent="0.25">
      <c r="A55" s="122">
        <f>+D19</f>
        <v>0.18</v>
      </c>
      <c r="B55" s="133">
        <v>0</v>
      </c>
    </row>
    <row r="56" spans="1:10" x14ac:dyDescent="0.25">
      <c r="A56" s="128">
        <f>+A55</f>
        <v>0.18</v>
      </c>
      <c r="B56" s="133">
        <v>100</v>
      </c>
    </row>
    <row r="57" spans="1:10" x14ac:dyDescent="0.25">
      <c r="A57" s="130"/>
      <c r="B57" s="130"/>
    </row>
    <row r="58" spans="1:10" x14ac:dyDescent="0.25">
      <c r="A58" s="122">
        <f>+D20</f>
        <v>0.14899999999999999</v>
      </c>
      <c r="B58" s="133">
        <v>0</v>
      </c>
    </row>
    <row r="59" spans="1:10" x14ac:dyDescent="0.25">
      <c r="A59" s="128">
        <f>+A58</f>
        <v>0.14899999999999999</v>
      </c>
      <c r="B59" s="133">
        <v>100</v>
      </c>
    </row>
    <row r="60" spans="1:10" x14ac:dyDescent="0.25">
      <c r="A60" s="130"/>
      <c r="B60" s="130"/>
    </row>
    <row r="61" spans="1:10" x14ac:dyDescent="0.25">
      <c r="A61" s="122">
        <f>+D21</f>
        <v>7.3999999999999996E-2</v>
      </c>
      <c r="B61" s="133">
        <v>0</v>
      </c>
    </row>
    <row r="62" spans="1:10" x14ac:dyDescent="0.25">
      <c r="A62" s="128">
        <f>+A61</f>
        <v>7.3999999999999996E-2</v>
      </c>
      <c r="B62" s="133">
        <v>100</v>
      </c>
    </row>
    <row r="64" spans="1:10" s="410" customFormat="1" ht="10.199999999999999" x14ac:dyDescent="0.25">
      <c r="A64" s="409" t="e">
        <f>+M22</f>
        <v>#REF!</v>
      </c>
      <c r="B64" s="133">
        <v>0</v>
      </c>
      <c r="H64" s="411"/>
      <c r="I64" s="411"/>
      <c r="J64" s="411"/>
    </row>
    <row r="65" spans="1:10" s="410" customFormat="1" ht="10.199999999999999" x14ac:dyDescent="0.25">
      <c r="A65" s="409" t="e">
        <f>+A64</f>
        <v>#REF!</v>
      </c>
      <c r="B65" s="133">
        <v>100</v>
      </c>
      <c r="H65" s="411"/>
      <c r="I65" s="411"/>
      <c r="J65" s="411"/>
    </row>
    <row r="66" spans="1:10" s="410" customFormat="1" ht="10.199999999999999" x14ac:dyDescent="0.25">
      <c r="H66" s="411"/>
      <c r="I66" s="411"/>
      <c r="J66" s="411"/>
    </row>
    <row r="67" spans="1:10" s="410" customFormat="1" ht="10.199999999999999" x14ac:dyDescent="0.25">
      <c r="A67" s="409" t="e">
        <f>+M23</f>
        <v>#REF!</v>
      </c>
      <c r="B67" s="133">
        <v>0</v>
      </c>
      <c r="H67" s="411"/>
      <c r="I67" s="411"/>
      <c r="J67" s="411"/>
    </row>
    <row r="68" spans="1:10" s="410" customFormat="1" ht="10.199999999999999" x14ac:dyDescent="0.25">
      <c r="A68" s="409" t="e">
        <f>+A67</f>
        <v>#REF!</v>
      </c>
      <c r="B68" s="133">
        <v>100</v>
      </c>
      <c r="H68" s="411"/>
      <c r="I68" s="411"/>
      <c r="J68" s="411"/>
    </row>
    <row r="69" spans="1:10" s="410" customFormat="1" ht="10.199999999999999" x14ac:dyDescent="0.25">
      <c r="H69" s="411"/>
      <c r="I69" s="411"/>
      <c r="J69" s="411"/>
    </row>
    <row r="70" spans="1:10" s="410" customFormat="1" ht="10.199999999999999" x14ac:dyDescent="0.25">
      <c r="A70" s="409" t="e">
        <f>+M24</f>
        <v>#REF!</v>
      </c>
      <c r="B70" s="133">
        <v>0</v>
      </c>
      <c r="H70" s="411"/>
      <c r="I70" s="411"/>
      <c r="J70" s="411"/>
    </row>
    <row r="71" spans="1:10" s="410" customFormat="1" ht="10.199999999999999" x14ac:dyDescent="0.25">
      <c r="A71" s="409" t="e">
        <f>+A70</f>
        <v>#REF!</v>
      </c>
      <c r="B71" s="133">
        <v>100</v>
      </c>
      <c r="H71" s="411"/>
      <c r="I71" s="411"/>
      <c r="J71" s="411"/>
    </row>
    <row r="72" spans="1:10" s="410" customFormat="1" ht="10.199999999999999" x14ac:dyDescent="0.25">
      <c r="H72" s="411"/>
      <c r="I72" s="411"/>
      <c r="J72" s="411"/>
    </row>
    <row r="73" spans="1:10" s="410" customFormat="1" ht="10.199999999999999" x14ac:dyDescent="0.25">
      <c r="A73" s="409" t="e">
        <f>+M25</f>
        <v>#REF!</v>
      </c>
      <c r="B73" s="133">
        <v>0</v>
      </c>
      <c r="H73" s="411"/>
      <c r="I73" s="411"/>
      <c r="J73" s="411"/>
    </row>
    <row r="74" spans="1:10" s="410" customFormat="1" ht="10.199999999999999" x14ac:dyDescent="0.25">
      <c r="A74" s="409" t="e">
        <f>+A73</f>
        <v>#REF!</v>
      </c>
      <c r="B74" s="133">
        <v>100</v>
      </c>
      <c r="H74" s="411"/>
      <c r="I74" s="411"/>
      <c r="J74" s="411"/>
    </row>
    <row r="75" spans="1:10" s="410" customFormat="1" ht="10.199999999999999" x14ac:dyDescent="0.25">
      <c r="H75" s="411"/>
      <c r="I75" s="411"/>
      <c r="J75" s="411"/>
    </row>
    <row r="76" spans="1:10" s="410" customFormat="1" ht="10.199999999999999" x14ac:dyDescent="0.25">
      <c r="A76" s="409" t="e">
        <f>+'Apoyo 2'!M26</f>
        <v>#REF!</v>
      </c>
      <c r="B76" s="133">
        <v>0</v>
      </c>
      <c r="H76" s="411"/>
      <c r="I76" s="411"/>
      <c r="J76" s="411"/>
    </row>
    <row r="77" spans="1:10" s="410" customFormat="1" ht="10.199999999999999" x14ac:dyDescent="0.25">
      <c r="A77" s="409" t="e">
        <f>+A76</f>
        <v>#REF!</v>
      </c>
      <c r="B77" s="133">
        <v>100</v>
      </c>
      <c r="H77" s="411"/>
      <c r="I77" s="411"/>
      <c r="J77" s="411"/>
    </row>
    <row r="78" spans="1:10" s="410" customFormat="1" ht="10.199999999999999" x14ac:dyDescent="0.25">
      <c r="H78" s="411"/>
      <c r="I78" s="411"/>
      <c r="J78" s="411"/>
    </row>
    <row r="79" spans="1:10" s="410" customFormat="1" ht="10.199999999999999" x14ac:dyDescent="0.25">
      <c r="A79" s="409" t="e">
        <f>+M27</f>
        <v>#REF!</v>
      </c>
      <c r="B79" s="133">
        <v>0</v>
      </c>
      <c r="H79" s="411"/>
      <c r="I79" s="411"/>
      <c r="J79" s="411"/>
    </row>
    <row r="80" spans="1:10" s="410" customFormat="1" ht="10.199999999999999" x14ac:dyDescent="0.25">
      <c r="A80" s="409" t="e">
        <f>+A79</f>
        <v>#REF!</v>
      </c>
      <c r="B80" s="133">
        <v>100</v>
      </c>
      <c r="H80" s="411"/>
      <c r="I80" s="411"/>
      <c r="J80" s="411"/>
    </row>
    <row r="81" spans="1:10" s="410" customFormat="1" ht="10.199999999999999" x14ac:dyDescent="0.25">
      <c r="H81" s="411"/>
      <c r="I81" s="411"/>
      <c r="J81" s="411"/>
    </row>
    <row r="82" spans="1:10" s="410" customFormat="1" ht="10.199999999999999" x14ac:dyDescent="0.25">
      <c r="A82" s="409" t="e">
        <f>+M28</f>
        <v>#REF!</v>
      </c>
      <c r="B82" s="133">
        <v>0</v>
      </c>
      <c r="H82" s="411"/>
      <c r="I82" s="411"/>
      <c r="J82" s="411"/>
    </row>
    <row r="83" spans="1:10" s="410" customFormat="1" ht="10.199999999999999" x14ac:dyDescent="0.25">
      <c r="A83" s="409" t="e">
        <f>+A82</f>
        <v>#REF!</v>
      </c>
      <c r="B83" s="133">
        <v>100</v>
      </c>
      <c r="H83" s="411"/>
      <c r="I83" s="411"/>
      <c r="J83" s="411"/>
    </row>
    <row r="84" spans="1:10" s="410" customFormat="1" ht="10.199999999999999" x14ac:dyDescent="0.25">
      <c r="H84" s="411"/>
      <c r="I84" s="411"/>
      <c r="J84" s="411"/>
    </row>
    <row r="85" spans="1:10" s="410" customFormat="1" ht="10.199999999999999" x14ac:dyDescent="0.25">
      <c r="A85" s="409" t="e">
        <f>+M29</f>
        <v>#REF!</v>
      </c>
      <c r="B85" s="133">
        <v>0</v>
      </c>
      <c r="H85" s="411"/>
      <c r="I85" s="411"/>
      <c r="J85" s="411"/>
    </row>
    <row r="86" spans="1:10" s="410" customFormat="1" ht="10.199999999999999" x14ac:dyDescent="0.25">
      <c r="A86" s="409" t="e">
        <f>+A85</f>
        <v>#REF!</v>
      </c>
      <c r="B86" s="133">
        <v>100</v>
      </c>
      <c r="H86" s="411"/>
      <c r="I86" s="411"/>
      <c r="J86" s="411"/>
    </row>
    <row r="87" spans="1:10" s="410" customFormat="1" ht="10.199999999999999" x14ac:dyDescent="0.25">
      <c r="H87" s="411"/>
      <c r="I87" s="411"/>
      <c r="J87" s="411"/>
    </row>
    <row r="88" spans="1:10" s="410" customFormat="1" ht="10.199999999999999" x14ac:dyDescent="0.25">
      <c r="A88" s="409" t="e">
        <f>+M30</f>
        <v>#REF!</v>
      </c>
      <c r="B88" s="133">
        <v>0</v>
      </c>
      <c r="H88" s="411"/>
      <c r="I88" s="411"/>
      <c r="J88" s="411"/>
    </row>
    <row r="89" spans="1:10" s="410" customFormat="1" ht="10.199999999999999" x14ac:dyDescent="0.25">
      <c r="A89" s="409" t="e">
        <f>+A88</f>
        <v>#REF!</v>
      </c>
      <c r="B89" s="133">
        <v>100</v>
      </c>
      <c r="H89" s="411"/>
      <c r="I89" s="411"/>
      <c r="J89" s="411"/>
    </row>
    <row r="90" spans="1:10" s="410" customFormat="1" ht="10.199999999999999" x14ac:dyDescent="0.25">
      <c r="H90" s="411"/>
      <c r="I90" s="411"/>
      <c r="J90" s="411"/>
    </row>
    <row r="91" spans="1:10" s="410" customFormat="1" ht="10.199999999999999" x14ac:dyDescent="0.25">
      <c r="H91" s="411"/>
      <c r="I91" s="411"/>
      <c r="J91" s="411"/>
    </row>
    <row r="92" spans="1:10" s="410" customFormat="1" ht="10.199999999999999" x14ac:dyDescent="0.25">
      <c r="H92" s="411"/>
      <c r="I92" s="411"/>
      <c r="J92" s="411"/>
    </row>
    <row r="93" spans="1:10" s="410" customFormat="1" ht="10.199999999999999" x14ac:dyDescent="0.25">
      <c r="H93" s="411"/>
      <c r="I93" s="411"/>
      <c r="J93" s="411"/>
    </row>
    <row r="94" spans="1:10" s="410" customFormat="1" ht="10.199999999999999" x14ac:dyDescent="0.25">
      <c r="H94" s="411"/>
      <c r="I94" s="411"/>
      <c r="J94" s="411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B415-8239-41B8-A3B7-461291453701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 x14ac:dyDescent="0.25"/>
  <cols>
    <col min="1" max="3" width="6.6640625" customWidth="1"/>
    <col min="4" max="15" width="9.33203125" customWidth="1"/>
    <col min="16" max="23" width="9.33203125" style="427" customWidth="1"/>
  </cols>
  <sheetData>
    <row r="1" spans="1:23" s="425" customFormat="1" ht="11.4" customHeight="1" thickTop="1" x14ac:dyDescent="0.2">
      <c r="A1" s="1200" t="s">
        <v>322</v>
      </c>
      <c r="B1" s="1201"/>
      <c r="C1" s="1201"/>
      <c r="D1" s="1202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54"/>
      <c r="Q1" s="454"/>
      <c r="R1" s="454"/>
      <c r="S1" s="454"/>
      <c r="T1" s="454"/>
      <c r="U1" s="454"/>
      <c r="V1" s="454"/>
      <c r="W1" s="454"/>
    </row>
    <row r="2" spans="1:23" s="425" customFormat="1" ht="11.4" customHeight="1" x14ac:dyDescent="0.2">
      <c r="A2" s="1203"/>
      <c r="B2" s="1019"/>
      <c r="C2" s="1019"/>
      <c r="D2" s="120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54"/>
      <c r="Q2" s="454"/>
      <c r="R2" s="454"/>
      <c r="S2" s="454"/>
      <c r="T2" s="454"/>
      <c r="U2" s="454"/>
      <c r="V2" s="454"/>
      <c r="W2" s="454"/>
    </row>
    <row r="3" spans="1:23" s="425" customFormat="1" ht="11.4" customHeight="1" x14ac:dyDescent="0.2">
      <c r="A3" s="1203"/>
      <c r="B3" s="1019"/>
      <c r="C3" s="1019"/>
      <c r="D3" s="120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54"/>
      <c r="Q3" s="454"/>
      <c r="R3" s="454"/>
      <c r="S3" s="454"/>
      <c r="T3" s="454"/>
      <c r="U3" s="454"/>
      <c r="V3" s="454"/>
      <c r="W3" s="454"/>
    </row>
    <row r="4" spans="1:23" s="425" customFormat="1" ht="11.4" customHeight="1" thickBot="1" x14ac:dyDescent="0.25">
      <c r="A4" s="1205"/>
      <c r="B4" s="1206"/>
      <c r="C4" s="1206"/>
      <c r="D4" s="1207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54"/>
      <c r="Q4" s="454"/>
      <c r="R4" s="454"/>
      <c r="S4" s="454"/>
      <c r="T4" s="454"/>
      <c r="U4" s="454"/>
      <c r="V4" s="454"/>
      <c r="W4" s="454"/>
    </row>
    <row r="5" spans="1:23" s="425" customFormat="1" ht="11.4" customHeight="1" thickTop="1" x14ac:dyDescent="0.3">
      <c r="A5" s="1212"/>
      <c r="B5" s="1212"/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433"/>
      <c r="Q5" s="433"/>
      <c r="R5" s="454"/>
      <c r="S5" s="454"/>
      <c r="T5" s="454"/>
      <c r="U5" s="454"/>
      <c r="V5" s="454"/>
      <c r="W5" s="454"/>
    </row>
    <row r="6" spans="1:23" s="424" customFormat="1" ht="18.600000000000001" customHeight="1" x14ac:dyDescent="0.2">
      <c r="A6" s="1214" t="s">
        <v>313</v>
      </c>
      <c r="B6" s="1215"/>
      <c r="C6" s="1215"/>
      <c r="D6" s="1215"/>
      <c r="E6" s="1215"/>
      <c r="F6" s="1215"/>
      <c r="G6" s="1215"/>
      <c r="H6" s="1215"/>
      <c r="I6" s="1215"/>
      <c r="J6" s="1215"/>
      <c r="K6" s="1215"/>
      <c r="L6" s="1215"/>
      <c r="M6" s="1215"/>
      <c r="N6" s="1215"/>
      <c r="O6" s="1215"/>
      <c r="P6" s="455"/>
      <c r="Q6" s="455"/>
      <c r="R6" s="455"/>
      <c r="S6" s="455"/>
      <c r="T6" s="455"/>
      <c r="U6" s="455"/>
      <c r="V6" s="455"/>
      <c r="W6" s="455"/>
    </row>
    <row r="7" spans="1:23" s="424" customFormat="1" ht="3.6" customHeight="1" thickBot="1" x14ac:dyDescent="0.35">
      <c r="A7" s="435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5"/>
      <c r="M7" s="435"/>
      <c r="N7" s="435"/>
      <c r="O7" s="435"/>
      <c r="P7" s="455"/>
      <c r="Q7" s="455"/>
      <c r="R7" s="455"/>
      <c r="S7" s="455"/>
      <c r="T7" s="455"/>
      <c r="U7" s="455"/>
      <c r="V7" s="455"/>
      <c r="W7" s="455"/>
    </row>
    <row r="8" spans="1:23" s="424" customFormat="1" ht="13.5" customHeight="1" thickTop="1" x14ac:dyDescent="0.3">
      <c r="A8" s="436"/>
      <c r="B8" s="436"/>
      <c r="C8" s="436"/>
      <c r="D8" s="436"/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55"/>
      <c r="Q8" s="455"/>
      <c r="R8" s="455"/>
      <c r="S8" s="455"/>
      <c r="T8" s="455"/>
      <c r="U8" s="455"/>
      <c r="V8" s="455"/>
      <c r="W8" s="455"/>
    </row>
    <row r="9" spans="1:23" ht="13.8" x14ac:dyDescent="0.25">
      <c r="A9" s="402" t="s">
        <v>312</v>
      </c>
      <c r="B9" s="158"/>
      <c r="C9" s="160" t="s">
        <v>0</v>
      </c>
      <c r="D9" s="403" t="str">
        <f>Datos!D9</f>
        <v>Tunel de Puruchuco</v>
      </c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</row>
    <row r="10" spans="1:23" s="426" customFormat="1" ht="13.8" x14ac:dyDescent="0.3">
      <c r="A10" s="402" t="s">
        <v>235</v>
      </c>
      <c r="B10" s="384"/>
      <c r="C10" s="160" t="s">
        <v>0</v>
      </c>
      <c r="D10" s="403" t="str">
        <f>Datos!D10</f>
        <v>Av. Javier Prado S/N Alt. Huaca de Puruchuco</v>
      </c>
      <c r="E10" s="385"/>
      <c r="F10" s="385"/>
      <c r="G10" s="386"/>
      <c r="H10" s="383"/>
      <c r="I10" s="386"/>
      <c r="J10" s="383"/>
      <c r="K10" s="437"/>
      <c r="L10" s="438"/>
      <c r="M10" s="439"/>
      <c r="N10" s="385"/>
      <c r="O10" s="386"/>
      <c r="P10" s="456"/>
      <c r="Q10" s="456"/>
      <c r="R10" s="456"/>
      <c r="S10" s="456"/>
      <c r="T10" s="456"/>
      <c r="U10" s="456"/>
      <c r="V10" s="456"/>
      <c r="W10" s="456"/>
    </row>
    <row r="11" spans="1:23" s="426" customFormat="1" ht="13.8" x14ac:dyDescent="0.3">
      <c r="A11" s="402" t="s">
        <v>161</v>
      </c>
      <c r="B11" s="384"/>
      <c r="C11" s="160" t="s">
        <v>0</v>
      </c>
      <c r="D11" s="403" t="str">
        <f>Datos!D11</f>
        <v>Cantera Dorita</v>
      </c>
      <c r="E11" s="385"/>
      <c r="F11" s="385"/>
      <c r="G11" s="386"/>
      <c r="H11" s="383"/>
      <c r="I11" s="386"/>
      <c r="J11" s="383"/>
      <c r="K11" s="437"/>
      <c r="L11" s="438"/>
      <c r="M11" s="440"/>
      <c r="N11" s="385"/>
      <c r="O11" s="386"/>
      <c r="P11" s="456"/>
      <c r="Q11" s="456"/>
      <c r="R11" s="456"/>
      <c r="S11" s="456"/>
      <c r="T11" s="456"/>
      <c r="U11" s="456"/>
      <c r="V11" s="456"/>
      <c r="W11" s="456"/>
    </row>
    <row r="12" spans="1:23" s="426" customFormat="1" ht="13.8" x14ac:dyDescent="0.3">
      <c r="A12" s="383" t="s">
        <v>159</v>
      </c>
      <c r="B12" s="384"/>
      <c r="C12" s="160" t="s">
        <v>0</v>
      </c>
      <c r="D12" s="1216" t="e">
        <f>Datos!#REF!</f>
        <v>#REF!</v>
      </c>
      <c r="E12" s="1216"/>
      <c r="F12" s="385"/>
      <c r="G12" s="386"/>
      <c r="H12" s="383"/>
      <c r="I12" s="386"/>
      <c r="J12" s="383"/>
      <c r="K12" s="437"/>
      <c r="L12" s="438"/>
      <c r="M12" s="1213"/>
      <c r="N12" s="1213"/>
      <c r="O12" s="386"/>
      <c r="P12" s="456"/>
      <c r="Q12" s="456"/>
      <c r="R12" s="456"/>
      <c r="S12" s="456"/>
      <c r="T12" s="456"/>
      <c r="U12" s="456"/>
      <c r="V12" s="456"/>
      <c r="W12" s="456"/>
    </row>
    <row r="13" spans="1:23" s="426" customFormat="1" ht="13.8" x14ac:dyDescent="0.3">
      <c r="A13" s="383"/>
      <c r="B13" s="386"/>
      <c r="C13" s="387"/>
      <c r="D13" s="385"/>
      <c r="E13" s="385"/>
      <c r="F13" s="385"/>
      <c r="G13" s="386"/>
      <c r="H13" s="383"/>
      <c r="I13" s="386"/>
      <c r="J13" s="383"/>
      <c r="K13" s="386"/>
      <c r="L13" s="385"/>
      <c r="M13" s="385"/>
      <c r="N13" s="386"/>
      <c r="O13" s="386"/>
      <c r="P13" s="456"/>
      <c r="Q13" s="456"/>
      <c r="R13" s="456"/>
      <c r="S13" s="456"/>
      <c r="T13" s="456"/>
      <c r="U13" s="456"/>
      <c r="V13" s="456"/>
      <c r="W13" s="456"/>
    </row>
    <row r="14" spans="1:23" s="426" customFormat="1" ht="13.8" x14ac:dyDescent="0.3">
      <c r="A14" s="383" t="s">
        <v>276</v>
      </c>
      <c r="B14" s="386"/>
      <c r="C14" s="386"/>
      <c r="D14" s="383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456"/>
      <c r="Q14" s="456"/>
      <c r="R14" s="456"/>
      <c r="S14" s="456"/>
      <c r="T14" s="456"/>
      <c r="U14" s="456"/>
      <c r="V14" s="456"/>
      <c r="W14" s="456"/>
    </row>
    <row r="15" spans="1:23" s="426" customFormat="1" ht="13.8" x14ac:dyDescent="0.3">
      <c r="A15" s="1210" t="s">
        <v>277</v>
      </c>
      <c r="B15" s="1210" t="s">
        <v>278</v>
      </c>
      <c r="C15" s="1208" t="s">
        <v>279</v>
      </c>
      <c r="D15" s="1208" t="s">
        <v>280</v>
      </c>
      <c r="E15" s="1208" t="s">
        <v>281</v>
      </c>
      <c r="F15" s="1208" t="s">
        <v>282</v>
      </c>
      <c r="G15" s="1208" t="s">
        <v>283</v>
      </c>
      <c r="H15" s="1208" t="s">
        <v>284</v>
      </c>
      <c r="I15" s="1208" t="s">
        <v>285</v>
      </c>
      <c r="J15" s="441" t="s">
        <v>286</v>
      </c>
      <c r="K15" s="1208" t="s">
        <v>287</v>
      </c>
      <c r="L15" s="1208" t="s">
        <v>288</v>
      </c>
      <c r="M15" s="1208" t="s">
        <v>289</v>
      </c>
      <c r="N15" s="1211" t="s">
        <v>290</v>
      </c>
      <c r="O15" s="1211" t="s">
        <v>291</v>
      </c>
      <c r="P15" s="1221" t="s">
        <v>292</v>
      </c>
      <c r="Q15" s="1219" t="s">
        <v>293</v>
      </c>
      <c r="R15" s="1219" t="s">
        <v>294</v>
      </c>
      <c r="S15" s="1219" t="s">
        <v>295</v>
      </c>
      <c r="T15" s="1219" t="s">
        <v>296</v>
      </c>
      <c r="U15" s="1219" t="s">
        <v>297</v>
      </c>
      <c r="V15" s="1219" t="s">
        <v>298</v>
      </c>
      <c r="W15" s="1217" t="s">
        <v>299</v>
      </c>
    </row>
    <row r="16" spans="1:23" s="426" customFormat="1" ht="13.8" x14ac:dyDescent="0.3">
      <c r="A16" s="1210"/>
      <c r="B16" s="1210"/>
      <c r="C16" s="1208"/>
      <c r="D16" s="1208"/>
      <c r="E16" s="1208"/>
      <c r="F16" s="1208"/>
      <c r="G16" s="1208"/>
      <c r="H16" s="1208"/>
      <c r="I16" s="1208"/>
      <c r="J16" s="442" t="s">
        <v>315</v>
      </c>
      <c r="K16" s="1208"/>
      <c r="L16" s="1208"/>
      <c r="M16" s="1208"/>
      <c r="N16" s="1211"/>
      <c r="O16" s="1211"/>
      <c r="P16" s="1222"/>
      <c r="Q16" s="1220"/>
      <c r="R16" s="1220"/>
      <c r="S16" s="1220"/>
      <c r="T16" s="1220"/>
      <c r="U16" s="1220"/>
      <c r="V16" s="1220"/>
      <c r="W16" s="1218"/>
    </row>
    <row r="17" spans="1:23" s="428" customFormat="1" ht="13.8" x14ac:dyDescent="0.3">
      <c r="A17" s="443">
        <v>1</v>
      </c>
      <c r="B17" s="448">
        <v>24</v>
      </c>
      <c r="C17" s="448">
        <v>17.5</v>
      </c>
      <c r="D17" s="449">
        <v>0.5</v>
      </c>
      <c r="E17" s="450">
        <v>1.0199</v>
      </c>
      <c r="F17" s="444">
        <f t="shared" ref="F17:F25" si="0">+E17-D17+C17</f>
        <v>18.0199</v>
      </c>
      <c r="G17" s="445">
        <f t="shared" ref="G17:G25" si="1">+F17*$D$31/$D$28*100</f>
        <v>17.978936359371932</v>
      </c>
      <c r="H17" s="446">
        <f t="shared" ref="H17:H25" si="2">+$D$29/100</f>
        <v>0.27800000000000014</v>
      </c>
      <c r="I17" s="445">
        <f t="shared" ref="I17:I25" si="3">+H17*G17</f>
        <v>4.9981443079053998</v>
      </c>
      <c r="J17" s="445">
        <v>7.8E-2</v>
      </c>
      <c r="K17" s="445">
        <f t="shared" ref="K17:K25" si="4">+(253.85-F17)/461.54</f>
        <v>0.51096351345495505</v>
      </c>
      <c r="L17" s="444">
        <f t="shared" ref="L17:L25" si="5">+($D$31-T17)*(W17-V17)/(U17-T17)+V17</f>
        <v>0.99683526846276038</v>
      </c>
      <c r="M17" s="444">
        <f t="shared" ref="M17:M25" si="6">+(B17-P17)*(S17-R17)/(Q17-P17)+R17</f>
        <v>0.94761999999999991</v>
      </c>
      <c r="N17" s="444">
        <f t="shared" ref="N17:N25" si="7">+M17*L17*K17*J17</f>
        <v>3.7648016952033334E-2</v>
      </c>
      <c r="O17" s="446">
        <f>+$D$30-I17</f>
        <v>1.8556920946002364E-3</v>
      </c>
      <c r="P17" s="459">
        <v>23.9</v>
      </c>
      <c r="Q17" s="460">
        <v>24.4</v>
      </c>
      <c r="R17" s="460">
        <v>0.94889999999999997</v>
      </c>
      <c r="S17" s="460">
        <v>0.9425</v>
      </c>
      <c r="T17" s="461">
        <v>0.99329999999999996</v>
      </c>
      <c r="U17" s="461">
        <v>0.9889</v>
      </c>
      <c r="V17" s="462">
        <v>0.99099999999999999</v>
      </c>
      <c r="W17" s="463">
        <v>0.98519999999999996</v>
      </c>
    </row>
    <row r="18" spans="1:23" s="428" customFormat="1" ht="13.8" x14ac:dyDescent="0.3">
      <c r="A18" s="443">
        <v>2</v>
      </c>
      <c r="B18" s="448">
        <v>24</v>
      </c>
      <c r="C18" s="448">
        <v>16.5</v>
      </c>
      <c r="D18" s="449">
        <v>0.5</v>
      </c>
      <c r="E18" s="450">
        <v>1.0199</v>
      </c>
      <c r="F18" s="444">
        <f t="shared" si="0"/>
        <v>17.0199</v>
      </c>
      <c r="G18" s="445">
        <f t="shared" si="1"/>
        <v>16.98120960398639</v>
      </c>
      <c r="H18" s="446">
        <f t="shared" si="2"/>
        <v>0.27800000000000014</v>
      </c>
      <c r="I18" s="445">
        <f t="shared" si="3"/>
        <v>4.7207762699082183</v>
      </c>
      <c r="J18" s="445">
        <v>5.5E-2</v>
      </c>
      <c r="K18" s="445">
        <f t="shared" si="4"/>
        <v>0.51313017289942364</v>
      </c>
      <c r="L18" s="444">
        <f t="shared" si="5"/>
        <v>0.99683526846276038</v>
      </c>
      <c r="M18" s="444">
        <f t="shared" si="6"/>
        <v>0.94761999999999991</v>
      </c>
      <c r="N18" s="444">
        <f t="shared" si="7"/>
        <v>2.6659245585054787E-2</v>
      </c>
      <c r="O18" s="446">
        <f t="shared" ref="O18:O25" si="8">+I17-I18</f>
        <v>0.27736803799718146</v>
      </c>
      <c r="P18" s="464">
        <v>23.9</v>
      </c>
      <c r="Q18" s="465">
        <v>24.4</v>
      </c>
      <c r="R18" s="465">
        <v>0.94889999999999997</v>
      </c>
      <c r="S18" s="465">
        <v>0.9425</v>
      </c>
      <c r="T18" s="466">
        <f t="shared" ref="T18:W25" si="9">+T17</f>
        <v>0.99329999999999996</v>
      </c>
      <c r="U18" s="466">
        <f t="shared" si="9"/>
        <v>0.9889</v>
      </c>
      <c r="V18" s="466">
        <f t="shared" si="9"/>
        <v>0.99099999999999999</v>
      </c>
      <c r="W18" s="467">
        <f t="shared" si="9"/>
        <v>0.98519999999999996</v>
      </c>
    </row>
    <row r="19" spans="1:23" s="428" customFormat="1" ht="13.8" x14ac:dyDescent="0.3">
      <c r="A19" s="443">
        <v>5</v>
      </c>
      <c r="B19" s="448">
        <v>24</v>
      </c>
      <c r="C19" s="448">
        <v>14.5</v>
      </c>
      <c r="D19" s="449">
        <v>0.5</v>
      </c>
      <c r="E19" s="450">
        <v>1.0199</v>
      </c>
      <c r="F19" s="444">
        <f t="shared" si="0"/>
        <v>15.0199</v>
      </c>
      <c r="G19" s="445">
        <f t="shared" si="1"/>
        <v>14.985756093215304</v>
      </c>
      <c r="H19" s="446">
        <f t="shared" si="2"/>
        <v>0.27800000000000014</v>
      </c>
      <c r="I19" s="445">
        <f t="shared" si="3"/>
        <v>4.1660401939138563</v>
      </c>
      <c r="J19" s="445">
        <v>3.5000000000000003E-2</v>
      </c>
      <c r="K19" s="445">
        <f t="shared" si="4"/>
        <v>0.51746349178836071</v>
      </c>
      <c r="L19" s="444">
        <f t="shared" si="5"/>
        <v>0.99683526846276038</v>
      </c>
      <c r="M19" s="444">
        <f t="shared" si="6"/>
        <v>0.94783333333333331</v>
      </c>
      <c r="N19" s="444">
        <f t="shared" si="7"/>
        <v>1.7112093009365517E-2</v>
      </c>
      <c r="O19" s="446">
        <f t="shared" si="8"/>
        <v>0.55473607599436203</v>
      </c>
      <c r="P19" s="464">
        <v>23.3</v>
      </c>
      <c r="Q19" s="465">
        <v>23.9</v>
      </c>
      <c r="R19" s="465">
        <v>0.95530000000000004</v>
      </c>
      <c r="S19" s="465">
        <v>0.94889999999999997</v>
      </c>
      <c r="T19" s="466">
        <f t="shared" si="9"/>
        <v>0.99329999999999996</v>
      </c>
      <c r="U19" s="466">
        <f t="shared" si="9"/>
        <v>0.9889</v>
      </c>
      <c r="V19" s="466">
        <f t="shared" si="9"/>
        <v>0.99099999999999999</v>
      </c>
      <c r="W19" s="467">
        <f t="shared" si="9"/>
        <v>0.98519999999999996</v>
      </c>
    </row>
    <row r="20" spans="1:23" s="428" customFormat="1" ht="13.8" x14ac:dyDescent="0.3">
      <c r="A20" s="443">
        <v>10</v>
      </c>
      <c r="B20" s="448">
        <v>24</v>
      </c>
      <c r="C20" s="448">
        <v>13</v>
      </c>
      <c r="D20" s="449">
        <v>0.5</v>
      </c>
      <c r="E20" s="450">
        <v>1.0199</v>
      </c>
      <c r="F20" s="444">
        <f t="shared" si="0"/>
        <v>13.5199</v>
      </c>
      <c r="G20" s="445">
        <f t="shared" si="1"/>
        <v>13.489165960136992</v>
      </c>
      <c r="H20" s="446">
        <f t="shared" si="2"/>
        <v>0.27800000000000014</v>
      </c>
      <c r="I20" s="445">
        <f t="shared" si="3"/>
        <v>3.7499881369180854</v>
      </c>
      <c r="J20" s="404">
        <f>(J19+J21)/2</f>
        <v>2.7500000000000004E-2</v>
      </c>
      <c r="K20" s="445">
        <f t="shared" si="4"/>
        <v>0.52071348095506342</v>
      </c>
      <c r="L20" s="444">
        <f t="shared" si="5"/>
        <v>0.99683526846276038</v>
      </c>
      <c r="M20" s="444">
        <f t="shared" si="6"/>
        <v>0.94783333333333331</v>
      </c>
      <c r="N20" s="444">
        <f t="shared" si="7"/>
        <v>1.3529660165965941E-2</v>
      </c>
      <c r="O20" s="446">
        <f t="shared" si="8"/>
        <v>0.41605205699577086</v>
      </c>
      <c r="P20" s="464">
        <v>23.3</v>
      </c>
      <c r="Q20" s="465">
        <v>23.9</v>
      </c>
      <c r="R20" s="465">
        <v>0.95530000000000004</v>
      </c>
      <c r="S20" s="465">
        <v>0.94889999999999997</v>
      </c>
      <c r="T20" s="466">
        <f t="shared" si="9"/>
        <v>0.99329999999999996</v>
      </c>
      <c r="U20" s="466">
        <f t="shared" si="9"/>
        <v>0.9889</v>
      </c>
      <c r="V20" s="466">
        <f t="shared" si="9"/>
        <v>0.99099999999999999</v>
      </c>
      <c r="W20" s="467">
        <f t="shared" si="9"/>
        <v>0.98519999999999996</v>
      </c>
    </row>
    <row r="21" spans="1:23" s="428" customFormat="1" ht="13.8" x14ac:dyDescent="0.3">
      <c r="A21" s="443">
        <v>15</v>
      </c>
      <c r="B21" s="448">
        <v>24</v>
      </c>
      <c r="C21" s="448">
        <v>13</v>
      </c>
      <c r="D21" s="449">
        <v>0.5</v>
      </c>
      <c r="E21" s="450">
        <v>1.0199</v>
      </c>
      <c r="F21" s="444">
        <f t="shared" si="0"/>
        <v>13.5199</v>
      </c>
      <c r="G21" s="445">
        <f t="shared" si="1"/>
        <v>13.489165960136992</v>
      </c>
      <c r="H21" s="446">
        <f t="shared" si="2"/>
        <v>0.27800000000000014</v>
      </c>
      <c r="I21" s="445">
        <f t="shared" si="3"/>
        <v>3.7499881369180854</v>
      </c>
      <c r="J21" s="445">
        <v>0.02</v>
      </c>
      <c r="K21" s="445">
        <f t="shared" si="4"/>
        <v>0.52071348095506342</v>
      </c>
      <c r="L21" s="444">
        <f t="shared" si="5"/>
        <v>0.99683526846276038</v>
      </c>
      <c r="M21" s="444">
        <f t="shared" si="6"/>
        <v>0.9464800000000001</v>
      </c>
      <c r="N21" s="444">
        <f t="shared" si="7"/>
        <v>9.8257034734147309E-3</v>
      </c>
      <c r="O21" s="446">
        <f t="shared" si="8"/>
        <v>0</v>
      </c>
      <c r="P21" s="464">
        <v>22.8</v>
      </c>
      <c r="Q21" s="465">
        <v>23.3</v>
      </c>
      <c r="R21" s="465">
        <v>0.96160000000000001</v>
      </c>
      <c r="S21" s="465">
        <v>0.95530000000000004</v>
      </c>
      <c r="T21" s="466">
        <f t="shared" si="9"/>
        <v>0.99329999999999996</v>
      </c>
      <c r="U21" s="466">
        <f t="shared" si="9"/>
        <v>0.9889</v>
      </c>
      <c r="V21" s="466">
        <f t="shared" si="9"/>
        <v>0.99099999999999999</v>
      </c>
      <c r="W21" s="467">
        <f t="shared" si="9"/>
        <v>0.98519999999999996</v>
      </c>
    </row>
    <row r="22" spans="1:23" s="428" customFormat="1" ht="13.8" x14ac:dyDescent="0.3">
      <c r="A22" s="443">
        <v>30</v>
      </c>
      <c r="B22" s="448">
        <v>24.5</v>
      </c>
      <c r="C22" s="448">
        <v>12</v>
      </c>
      <c r="D22" s="449">
        <v>0.5</v>
      </c>
      <c r="E22" s="450">
        <v>1.1398999999999999</v>
      </c>
      <c r="F22" s="444">
        <f t="shared" si="0"/>
        <v>12.639900000000001</v>
      </c>
      <c r="G22" s="445">
        <f t="shared" si="1"/>
        <v>12.611166415397715</v>
      </c>
      <c r="H22" s="446">
        <f t="shared" si="2"/>
        <v>0.27800000000000014</v>
      </c>
      <c r="I22" s="445">
        <f t="shared" si="3"/>
        <v>3.5059042634805664</v>
      </c>
      <c r="J22" s="445">
        <v>1.4E-2</v>
      </c>
      <c r="K22" s="445">
        <f t="shared" si="4"/>
        <v>0.52262014126619571</v>
      </c>
      <c r="L22" s="444">
        <f t="shared" si="5"/>
        <v>0.99683526846276038</v>
      </c>
      <c r="M22" s="444">
        <f t="shared" si="6"/>
        <v>0.94018000000000013</v>
      </c>
      <c r="N22" s="444">
        <f t="shared" si="7"/>
        <v>6.8572278797082789E-3</v>
      </c>
      <c r="O22" s="446">
        <f t="shared" si="8"/>
        <v>0.24408387343751903</v>
      </c>
      <c r="P22" s="464">
        <v>22.8</v>
      </c>
      <c r="Q22" s="465">
        <v>23.3</v>
      </c>
      <c r="R22" s="465">
        <v>0.96160000000000001</v>
      </c>
      <c r="S22" s="465">
        <v>0.95530000000000004</v>
      </c>
      <c r="T22" s="466">
        <f t="shared" si="9"/>
        <v>0.99329999999999996</v>
      </c>
      <c r="U22" s="466">
        <f t="shared" si="9"/>
        <v>0.9889</v>
      </c>
      <c r="V22" s="466">
        <f t="shared" si="9"/>
        <v>0.99099999999999999</v>
      </c>
      <c r="W22" s="467">
        <f t="shared" si="9"/>
        <v>0.98519999999999996</v>
      </c>
    </row>
    <row r="23" spans="1:23" s="428" customFormat="1" ht="13.8" x14ac:dyDescent="0.3">
      <c r="A23" s="443">
        <v>60</v>
      </c>
      <c r="B23" s="448">
        <v>24.5</v>
      </c>
      <c r="C23" s="448">
        <v>11.5</v>
      </c>
      <c r="D23" s="449">
        <v>0.5</v>
      </c>
      <c r="E23" s="450">
        <v>1.1398999999999999</v>
      </c>
      <c r="F23" s="444">
        <f t="shared" si="0"/>
        <v>12.139900000000001</v>
      </c>
      <c r="G23" s="445">
        <f t="shared" si="1"/>
        <v>12.112303037704946</v>
      </c>
      <c r="H23" s="446">
        <f t="shared" si="2"/>
        <v>0.27800000000000014</v>
      </c>
      <c r="I23" s="445">
        <f t="shared" si="3"/>
        <v>3.3672202444819765</v>
      </c>
      <c r="J23" s="445">
        <v>0.01</v>
      </c>
      <c r="K23" s="445">
        <f t="shared" si="4"/>
        <v>0.52370347098842995</v>
      </c>
      <c r="L23" s="444">
        <f t="shared" si="5"/>
        <v>0.99683526846276038</v>
      </c>
      <c r="M23" s="444">
        <f t="shared" si="6"/>
        <v>0.9393800000000001</v>
      </c>
      <c r="N23" s="444">
        <f t="shared" si="7"/>
        <v>4.9039965611591269E-3</v>
      </c>
      <c r="O23" s="446">
        <f t="shared" si="8"/>
        <v>0.13868401899858984</v>
      </c>
      <c r="P23" s="464">
        <v>21.7</v>
      </c>
      <c r="Q23" s="465">
        <v>22.2</v>
      </c>
      <c r="R23" s="465">
        <v>0.97409999999999997</v>
      </c>
      <c r="S23" s="465">
        <v>0.96789999999999998</v>
      </c>
      <c r="T23" s="466">
        <f t="shared" si="9"/>
        <v>0.99329999999999996</v>
      </c>
      <c r="U23" s="466">
        <f t="shared" si="9"/>
        <v>0.9889</v>
      </c>
      <c r="V23" s="466">
        <f t="shared" si="9"/>
        <v>0.99099999999999999</v>
      </c>
      <c r="W23" s="467">
        <f t="shared" si="9"/>
        <v>0.98519999999999996</v>
      </c>
    </row>
    <row r="24" spans="1:23" s="428" customFormat="1" ht="13.8" x14ac:dyDescent="0.3">
      <c r="A24" s="443">
        <v>240</v>
      </c>
      <c r="B24" s="448">
        <v>24</v>
      </c>
      <c r="C24" s="448">
        <v>9.5</v>
      </c>
      <c r="D24" s="449">
        <v>0.5</v>
      </c>
      <c r="E24" s="450">
        <v>1.0199</v>
      </c>
      <c r="F24" s="444">
        <f t="shared" si="0"/>
        <v>10.0199</v>
      </c>
      <c r="G24" s="445">
        <f t="shared" si="1"/>
        <v>9.9971223162875944</v>
      </c>
      <c r="H24" s="446">
        <f t="shared" si="2"/>
        <v>0.27800000000000014</v>
      </c>
      <c r="I24" s="445">
        <f>+H24*G24</f>
        <v>2.7792000039279525</v>
      </c>
      <c r="J24" s="445">
        <v>5.0000000000000001E-3</v>
      </c>
      <c r="K24" s="445">
        <f t="shared" si="4"/>
        <v>0.5282967890107032</v>
      </c>
      <c r="L24" s="444">
        <f t="shared" si="5"/>
        <v>0.99683526846276038</v>
      </c>
      <c r="M24" s="444">
        <f t="shared" si="6"/>
        <v>0.94558000000000009</v>
      </c>
      <c r="N24" s="444">
        <f t="shared" si="7"/>
        <v>2.4898297299719356E-3</v>
      </c>
      <c r="O24" s="446">
        <f t="shared" si="8"/>
        <v>0.58802024055402402</v>
      </c>
      <c r="P24" s="464">
        <v>21.7</v>
      </c>
      <c r="Q24" s="465">
        <v>22.2</v>
      </c>
      <c r="R24" s="465">
        <v>0.97409999999999997</v>
      </c>
      <c r="S24" s="465">
        <v>0.96789999999999998</v>
      </c>
      <c r="T24" s="466">
        <f t="shared" si="9"/>
        <v>0.99329999999999996</v>
      </c>
      <c r="U24" s="466">
        <f t="shared" si="9"/>
        <v>0.9889</v>
      </c>
      <c r="V24" s="466">
        <f t="shared" si="9"/>
        <v>0.99099999999999999</v>
      </c>
      <c r="W24" s="467">
        <f t="shared" si="9"/>
        <v>0.98519999999999996</v>
      </c>
    </row>
    <row r="25" spans="1:23" s="428" customFormat="1" ht="13.8" x14ac:dyDescent="0.3">
      <c r="A25" s="443">
        <v>1440</v>
      </c>
      <c r="B25" s="448">
        <v>24</v>
      </c>
      <c r="C25" s="448">
        <v>8</v>
      </c>
      <c r="D25" s="449">
        <v>0.5</v>
      </c>
      <c r="E25" s="450">
        <v>1.0199</v>
      </c>
      <c r="F25" s="444">
        <f t="shared" si="0"/>
        <v>8.5198999999999998</v>
      </c>
      <c r="G25" s="445">
        <f t="shared" si="1"/>
        <v>8.5005321832092804</v>
      </c>
      <c r="H25" s="446">
        <f t="shared" si="2"/>
        <v>0.27800000000000014</v>
      </c>
      <c r="I25" s="445">
        <f t="shared" si="3"/>
        <v>2.3631479469321812</v>
      </c>
      <c r="J25" s="445">
        <v>2E-3</v>
      </c>
      <c r="K25" s="445">
        <f t="shared" si="4"/>
        <v>0.53154677817740603</v>
      </c>
      <c r="L25" s="444">
        <f t="shared" si="5"/>
        <v>0.99683526846276038</v>
      </c>
      <c r="M25" s="444">
        <f t="shared" si="6"/>
        <v>0.9443399999999994</v>
      </c>
      <c r="N25" s="444">
        <f t="shared" si="7"/>
        <v>1.0007446261248011E-3</v>
      </c>
      <c r="O25" s="446">
        <f t="shared" si="8"/>
        <v>0.4160520569957713</v>
      </c>
      <c r="P25" s="464">
        <v>20.6</v>
      </c>
      <c r="Q25" s="465">
        <v>21.1</v>
      </c>
      <c r="R25" s="465">
        <v>0.98650000000000004</v>
      </c>
      <c r="S25" s="465">
        <v>0.98029999999999995</v>
      </c>
      <c r="T25" s="466">
        <f t="shared" si="9"/>
        <v>0.99329999999999996</v>
      </c>
      <c r="U25" s="466">
        <f t="shared" si="9"/>
        <v>0.9889</v>
      </c>
      <c r="V25" s="466">
        <f t="shared" si="9"/>
        <v>0.99099999999999999</v>
      </c>
      <c r="W25" s="467">
        <f t="shared" si="9"/>
        <v>0.98519999999999996</v>
      </c>
    </row>
    <row r="26" spans="1:23" s="426" customFormat="1" ht="13.8" x14ac:dyDescent="0.3">
      <c r="A26" s="388"/>
      <c r="B26" s="389"/>
      <c r="C26" s="390"/>
      <c r="D26" s="391"/>
      <c r="E26" s="392"/>
      <c r="F26" s="392"/>
      <c r="G26" s="393"/>
      <c r="H26" s="394"/>
      <c r="I26" s="393"/>
      <c r="J26" s="395"/>
      <c r="K26" s="393"/>
      <c r="L26" s="393"/>
      <c r="M26" s="392"/>
      <c r="N26" s="392"/>
      <c r="O26" s="396"/>
      <c r="P26" s="468"/>
      <c r="Q26" s="469"/>
      <c r="R26" s="469"/>
      <c r="S26" s="469"/>
      <c r="T26" s="470"/>
      <c r="U26" s="470"/>
      <c r="V26" s="470"/>
      <c r="W26" s="471"/>
    </row>
    <row r="27" spans="1:23" s="429" customFormat="1" ht="12" x14ac:dyDescent="0.25">
      <c r="A27" s="397" t="s">
        <v>316</v>
      </c>
      <c r="B27" s="398"/>
      <c r="C27" s="161"/>
      <c r="D27" s="381" t="s">
        <v>300</v>
      </c>
      <c r="E27" s="161"/>
      <c r="F27" s="397" t="s">
        <v>301</v>
      </c>
      <c r="G27" s="398"/>
      <c r="H27" s="398"/>
      <c r="I27" s="430">
        <v>2.66</v>
      </c>
      <c r="J27" s="414" t="s">
        <v>314</v>
      </c>
      <c r="K27" s="161"/>
      <c r="L27" s="161"/>
      <c r="M27" s="161"/>
      <c r="N27" s="161"/>
      <c r="O27" s="398"/>
      <c r="P27" s="457"/>
      <c r="Q27" s="457"/>
      <c r="R27" s="457"/>
      <c r="S27" s="457"/>
      <c r="T27" s="457"/>
      <c r="U27" s="457"/>
      <c r="V27" s="457"/>
      <c r="W27" s="457"/>
    </row>
    <row r="28" spans="1:23" s="429" customFormat="1" ht="12.6" x14ac:dyDescent="0.25">
      <c r="A28" s="397" t="s">
        <v>317</v>
      </c>
      <c r="B28" s="398"/>
      <c r="C28" s="161"/>
      <c r="D28" s="382">
        <v>100</v>
      </c>
      <c r="E28" s="161"/>
      <c r="F28" s="397" t="s">
        <v>302</v>
      </c>
      <c r="G28" s="398"/>
      <c r="H28" s="398"/>
      <c r="I28" s="453" t="str">
        <f>+'Gran-LLyLP'!G43</f>
        <v>NP</v>
      </c>
      <c r="J28" s="161"/>
      <c r="K28" s="397" t="s">
        <v>303</v>
      </c>
      <c r="L28" s="398"/>
      <c r="M28" s="398"/>
      <c r="N28" s="451">
        <f>+D30-I23</f>
        <v>1.6327797555180235</v>
      </c>
      <c r="O28" s="447" t="s">
        <v>191</v>
      </c>
      <c r="P28" s="457"/>
      <c r="Q28" s="457"/>
      <c r="R28" s="457"/>
      <c r="S28" s="457"/>
      <c r="T28" s="457"/>
      <c r="U28" s="457"/>
      <c r="V28" s="457"/>
      <c r="W28" s="457"/>
    </row>
    <row r="29" spans="1:23" s="429" customFormat="1" ht="12.6" x14ac:dyDescent="0.25">
      <c r="A29" s="397" t="s">
        <v>318</v>
      </c>
      <c r="B29" s="398"/>
      <c r="C29" s="161"/>
      <c r="D29" s="400">
        <f>+'Gran-LLyLP'!F33</f>
        <v>27.800000000000011</v>
      </c>
      <c r="E29" s="161"/>
      <c r="F29" s="397" t="s">
        <v>304</v>
      </c>
      <c r="G29" s="398"/>
      <c r="H29" s="398"/>
      <c r="I29" s="453">
        <f>+'Gran-LLyLP'!O28</f>
        <v>0</v>
      </c>
      <c r="J29" s="161"/>
      <c r="K29" s="397" t="s">
        <v>305</v>
      </c>
      <c r="L29" s="398"/>
      <c r="M29" s="398"/>
      <c r="N29" s="451">
        <f>+I23-I25</f>
        <v>1.0040722975497953</v>
      </c>
      <c r="O29" s="447" t="s">
        <v>191</v>
      </c>
      <c r="P29" s="457"/>
      <c r="Q29" s="457"/>
      <c r="R29" s="457"/>
      <c r="S29" s="457"/>
      <c r="T29" s="457"/>
      <c r="U29" s="457"/>
      <c r="V29" s="457"/>
      <c r="W29" s="457"/>
    </row>
    <row r="30" spans="1:23" s="426" customFormat="1" ht="13.8" x14ac:dyDescent="0.3">
      <c r="A30" s="397" t="s">
        <v>319</v>
      </c>
      <c r="B30" s="398"/>
      <c r="C30" s="161"/>
      <c r="D30" s="400">
        <f>+'Gran-LLyLP'!F40</f>
        <v>5</v>
      </c>
      <c r="E30" s="383"/>
      <c r="F30" s="397" t="s">
        <v>306</v>
      </c>
      <c r="G30" s="398"/>
      <c r="H30" s="398"/>
      <c r="I30" s="453" t="str">
        <f>+'Gran-LLyLP'!G44</f>
        <v>NP</v>
      </c>
      <c r="J30" s="437"/>
      <c r="K30" s="397" t="s">
        <v>307</v>
      </c>
      <c r="L30" s="398"/>
      <c r="M30" s="398"/>
      <c r="N30" s="452">
        <f>+I25</f>
        <v>2.3631479469321812</v>
      </c>
      <c r="O30" s="447" t="s">
        <v>191</v>
      </c>
      <c r="P30" s="456"/>
      <c r="Q30" s="456"/>
      <c r="R30" s="456"/>
      <c r="S30" s="456"/>
      <c r="T30" s="456"/>
      <c r="U30" s="456"/>
      <c r="V30" s="456"/>
      <c r="W30" s="456"/>
    </row>
    <row r="31" spans="1:23" s="426" customFormat="1" ht="13.8" x14ac:dyDescent="0.3">
      <c r="A31" s="397" t="s">
        <v>320</v>
      </c>
      <c r="B31" s="398"/>
      <c r="C31" s="161"/>
      <c r="D31" s="401">
        <f>0.622641509*I27/(I27-1)</f>
        <v>0.99772675538554223</v>
      </c>
      <c r="E31" s="386"/>
      <c r="F31" s="397" t="s">
        <v>308</v>
      </c>
      <c r="G31" s="398"/>
      <c r="H31" s="398"/>
      <c r="I31" s="399" t="str">
        <f>+'Gran-LLyLP'!D43</f>
        <v>GW-GM</v>
      </c>
      <c r="J31" s="437"/>
      <c r="K31" s="437"/>
      <c r="L31" s="437"/>
      <c r="M31" s="437"/>
      <c r="N31" s="437"/>
      <c r="O31" s="386"/>
      <c r="P31" s="456"/>
      <c r="Q31" s="456"/>
      <c r="R31" s="456"/>
      <c r="S31" s="456"/>
      <c r="T31" s="456"/>
      <c r="U31" s="456"/>
      <c r="V31" s="456"/>
      <c r="W31" s="456"/>
    </row>
    <row r="32" spans="1:23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</row>
    <row r="33" spans="1:23" x14ac:dyDescent="0.2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</row>
    <row r="34" spans="1:23" x14ac:dyDescent="0.2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</row>
    <row r="35" spans="1:23" x14ac:dyDescent="0.2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</row>
    <row r="36" spans="1:23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</row>
    <row r="37" spans="1:23" s="431" customFormat="1" x14ac:dyDescent="0.25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458"/>
      <c r="Q37" s="458"/>
      <c r="R37" s="458"/>
      <c r="S37" s="458"/>
      <c r="T37" s="458"/>
      <c r="U37" s="458"/>
      <c r="V37" s="458"/>
      <c r="W37" s="458"/>
    </row>
    <row r="38" spans="1:23" s="431" customFormat="1" x14ac:dyDescent="0.25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458"/>
      <c r="Q38" s="458"/>
      <c r="R38" s="458"/>
      <c r="S38" s="458"/>
      <c r="T38" s="458"/>
      <c r="U38" s="458"/>
      <c r="V38" s="458"/>
      <c r="W38" s="458"/>
    </row>
    <row r="39" spans="1:23" s="431" customFormat="1" x14ac:dyDescent="0.25">
      <c r="A39" s="159"/>
      <c r="B39" s="159"/>
      <c r="C39" s="159"/>
      <c r="D39" s="1209"/>
      <c r="E39" s="1209"/>
      <c r="F39" s="159"/>
      <c r="G39" s="159"/>
      <c r="H39" s="1209"/>
      <c r="I39" s="1209"/>
      <c r="J39" s="159"/>
      <c r="K39" s="159"/>
      <c r="L39" s="1209"/>
      <c r="M39" s="1209"/>
      <c r="N39" s="159"/>
      <c r="O39" s="159"/>
      <c r="P39" s="458"/>
      <c r="Q39" s="458"/>
      <c r="R39" s="458"/>
      <c r="S39" s="458"/>
      <c r="T39" s="458"/>
      <c r="U39" s="458"/>
      <c r="V39" s="458"/>
      <c r="W39" s="458"/>
    </row>
    <row r="40" spans="1:23" s="431" customFormat="1" x14ac:dyDescent="0.2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458"/>
      <c r="Q40" s="458"/>
      <c r="R40" s="458"/>
      <c r="S40" s="458"/>
      <c r="T40" s="458"/>
      <c r="U40" s="458"/>
      <c r="V40" s="458"/>
      <c r="W40" s="458"/>
    </row>
    <row r="41" spans="1:23" s="431" customFormat="1" x14ac:dyDescent="0.25">
      <c r="N41" s="432"/>
      <c r="P41" s="458"/>
      <c r="Q41" s="458"/>
      <c r="R41" s="458"/>
      <c r="S41" s="458"/>
      <c r="T41" s="458"/>
      <c r="U41" s="458"/>
      <c r="V41" s="458"/>
      <c r="W41" s="458"/>
    </row>
    <row r="42" spans="1:23" s="431" customFormat="1" x14ac:dyDescent="0.25">
      <c r="P42" s="458"/>
      <c r="Q42" s="458"/>
      <c r="R42" s="458"/>
      <c r="S42" s="458"/>
      <c r="T42" s="458"/>
      <c r="U42" s="458"/>
      <c r="V42" s="458"/>
      <c r="W42" s="458"/>
    </row>
    <row r="43" spans="1:23" s="431" customFormat="1" x14ac:dyDescent="0.25">
      <c r="P43" s="458"/>
      <c r="Q43" s="458"/>
      <c r="R43" s="458"/>
      <c r="S43" s="458"/>
      <c r="T43" s="458"/>
      <c r="U43" s="458"/>
      <c r="V43" s="458"/>
      <c r="W43" s="458"/>
    </row>
    <row r="44" spans="1:23" s="431" customFormat="1" x14ac:dyDescent="0.25">
      <c r="P44" s="458"/>
      <c r="Q44" s="458"/>
      <c r="R44" s="458"/>
      <c r="S44" s="458"/>
      <c r="T44" s="458"/>
      <c r="U44" s="458"/>
      <c r="V44" s="458"/>
      <c r="W44" s="458"/>
    </row>
    <row r="45" spans="1:23" s="431" customFormat="1" x14ac:dyDescent="0.25">
      <c r="P45" s="458"/>
      <c r="Q45" s="458"/>
      <c r="R45" s="458"/>
      <c r="S45" s="458"/>
      <c r="T45" s="458"/>
      <c r="U45" s="458"/>
      <c r="V45" s="458"/>
      <c r="W45" s="458"/>
    </row>
    <row r="54" spans="1:3" ht="13.8" x14ac:dyDescent="0.3">
      <c r="A54" s="426" t="s">
        <v>309</v>
      </c>
      <c r="C54">
        <f>+D30</f>
        <v>5</v>
      </c>
    </row>
    <row r="55" spans="1:3" ht="13.8" x14ac:dyDescent="0.3">
      <c r="A55" s="426" t="s">
        <v>310</v>
      </c>
      <c r="C55">
        <v>0.54</v>
      </c>
    </row>
    <row r="56" spans="1:3" ht="13.8" x14ac:dyDescent="0.3">
      <c r="A56" s="426" t="s">
        <v>311</v>
      </c>
      <c r="C56">
        <v>0</v>
      </c>
    </row>
  </sheetData>
  <mergeCells count="30">
    <mergeCell ref="A6:O6"/>
    <mergeCell ref="D12:E12"/>
    <mergeCell ref="W15:W16"/>
    <mergeCell ref="V15:V16"/>
    <mergeCell ref="U15:U16"/>
    <mergeCell ref="T15:T16"/>
    <mergeCell ref="S15:S16"/>
    <mergeCell ref="R15:R16"/>
    <mergeCell ref="Q15:Q16"/>
    <mergeCell ref="P15:P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541020</xdr:colOff>
                <xdr:row>0</xdr:row>
                <xdr:rowOff>53340</xdr:rowOff>
              </from>
              <to>
                <xdr:col>14</xdr:col>
                <xdr:colOff>518160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D40D-0FED-4EB6-AB93-FC7A0FA20719}">
  <dimension ref="A1:E44"/>
  <sheetViews>
    <sheetView zoomScaleNormal="100" zoomScaleSheetLayoutView="100" workbookViewId="0">
      <selection sqref="A1:A4"/>
    </sheetView>
  </sheetViews>
  <sheetFormatPr baseColWidth="10" defaultColWidth="11.44140625" defaultRowHeight="13.2" x14ac:dyDescent="0.25"/>
  <cols>
    <col min="1" max="1" width="27.33203125" style="139" customWidth="1"/>
    <col min="2" max="4" width="17.5546875" style="139" customWidth="1"/>
    <col min="5" max="5" width="2.109375" style="139" customWidth="1"/>
    <col min="6" max="16384" width="11.44140625" style="139"/>
  </cols>
  <sheetData>
    <row r="1" spans="1:5" ht="11.4" customHeight="1" thickTop="1" x14ac:dyDescent="0.25">
      <c r="A1" s="1223" t="s">
        <v>322</v>
      </c>
      <c r="B1" s="140"/>
      <c r="C1" s="140"/>
      <c r="D1" s="175"/>
      <c r="E1" s="175"/>
    </row>
    <row r="2" spans="1:5" ht="11.4" customHeight="1" x14ac:dyDescent="0.25">
      <c r="A2" s="1224"/>
      <c r="B2" s="140"/>
      <c r="C2" s="140"/>
      <c r="D2" s="140"/>
      <c r="E2" s="140"/>
    </row>
    <row r="3" spans="1:5" ht="11.4" customHeight="1" x14ac:dyDescent="0.25">
      <c r="A3" s="1224"/>
      <c r="B3" s="140"/>
      <c r="C3" s="140"/>
      <c r="D3" s="140"/>
      <c r="E3" s="140"/>
    </row>
    <row r="4" spans="1:5" ht="11.4" customHeight="1" thickBot="1" x14ac:dyDescent="0.3">
      <c r="A4" s="1225"/>
      <c r="B4" s="184"/>
      <c r="C4" s="185"/>
      <c r="D4" s="184"/>
      <c r="E4" s="185"/>
    </row>
    <row r="5" spans="1:5" ht="11.4" customHeight="1" thickTop="1" x14ac:dyDescent="0.25">
      <c r="A5" s="184"/>
      <c r="B5" s="343"/>
      <c r="C5" s="140"/>
      <c r="D5" s="140"/>
    </row>
    <row r="6" spans="1:5" ht="19.5" customHeight="1" x14ac:dyDescent="0.25">
      <c r="A6" s="1226" t="s">
        <v>323</v>
      </c>
      <c r="B6" s="1226"/>
      <c r="C6" s="1226"/>
      <c r="D6" s="1226"/>
    </row>
    <row r="7" spans="1:5" ht="3.75" customHeight="1" thickBot="1" x14ac:dyDescent="0.3">
      <c r="A7" s="230"/>
      <c r="B7" s="344"/>
      <c r="C7" s="240"/>
      <c r="D7" s="240"/>
    </row>
    <row r="8" spans="1:5" ht="13.2" customHeight="1" thickTop="1" x14ac:dyDescent="0.25">
      <c r="A8" s="1228"/>
      <c r="B8" s="1228"/>
      <c r="C8" s="1228"/>
      <c r="D8" s="1228"/>
    </row>
    <row r="9" spans="1:5" ht="13.2" customHeight="1" x14ac:dyDescent="0.25">
      <c r="A9" s="345"/>
      <c r="B9" s="345"/>
      <c r="C9" s="345"/>
      <c r="D9" s="345"/>
      <c r="E9" s="346"/>
    </row>
    <row r="10" spans="1:5" ht="13.2" customHeight="1" x14ac:dyDescent="0.25">
      <c r="A10" s="347"/>
      <c r="B10" s="347"/>
      <c r="C10" s="347"/>
      <c r="D10" s="347"/>
      <c r="E10" s="348"/>
    </row>
    <row r="11" spans="1:5" ht="13.2" customHeight="1" x14ac:dyDescent="0.25"/>
    <row r="12" spans="1:5" ht="13.2" customHeight="1" x14ac:dyDescent="0.25">
      <c r="A12" s="349" t="e">
        <f>+Datos!#REF!</f>
        <v>#REF!</v>
      </c>
      <c r="B12" s="350" t="e">
        <f>+Datos!#REF!</f>
        <v>#REF!</v>
      </c>
      <c r="C12" s="351"/>
    </row>
    <row r="13" spans="1:5" ht="13.2" customHeight="1" x14ac:dyDescent="0.25">
      <c r="A13" s="349" t="e">
        <f>+Datos!#REF!</f>
        <v>#REF!</v>
      </c>
      <c r="B13" s="350" t="e">
        <f>+Datos!#REF!</f>
        <v>#REF!</v>
      </c>
      <c r="C13" s="352"/>
    </row>
    <row r="14" spans="1:5" ht="13.2" customHeight="1" x14ac:dyDescent="0.25">
      <c r="A14" s="349" t="e">
        <f>+Datos!#REF!</f>
        <v>#REF!</v>
      </c>
      <c r="B14" s="353" t="e">
        <f>+Datos!#REF!</f>
        <v>#REF!</v>
      </c>
      <c r="C14" s="354"/>
    </row>
    <row r="15" spans="1:5" ht="13.2" customHeight="1" x14ac:dyDescent="0.25">
      <c r="A15" s="349"/>
      <c r="B15" s="355"/>
      <c r="C15" s="354"/>
    </row>
    <row r="16" spans="1:5" ht="13.2" customHeight="1" x14ac:dyDescent="0.25">
      <c r="A16" s="349" t="str">
        <f>+Datos!A8</f>
        <v>Solicitado   :</v>
      </c>
      <c r="B16" s="356"/>
      <c r="C16" s="357"/>
    </row>
    <row r="17" spans="1:4" ht="13.2" customHeight="1" x14ac:dyDescent="0.25">
      <c r="A17" s="349" t="str">
        <f>+Datos!A9</f>
        <v>Proyecto    :</v>
      </c>
      <c r="B17" s="350" t="str">
        <f>+Datos!D9</f>
        <v>Tunel de Puruchuco</v>
      </c>
      <c r="C17" s="358"/>
      <c r="D17" s="359"/>
    </row>
    <row r="18" spans="1:4" ht="13.2" customHeight="1" x14ac:dyDescent="0.25">
      <c r="A18" s="349" t="str">
        <f>+Datos!A10</f>
        <v>Ubicación   :</v>
      </c>
      <c r="B18" s="350" t="str">
        <f>+Datos!D10</f>
        <v>Av. Javier Prado S/N Alt. Huaca de Puruchuco</v>
      </c>
      <c r="C18" s="360"/>
      <c r="D18" s="359"/>
    </row>
    <row r="19" spans="1:4" ht="13.2" customHeight="1" x14ac:dyDescent="0.25">
      <c r="A19" s="349" t="str">
        <f>+Datos!A11</f>
        <v>Cantera      :</v>
      </c>
      <c r="B19" s="350" t="str">
        <f>+Datos!D11</f>
        <v>Cantera Dorita</v>
      </c>
      <c r="C19" s="361"/>
      <c r="D19" s="359"/>
    </row>
    <row r="20" spans="1:4" ht="13.2" customHeight="1" x14ac:dyDescent="0.25">
      <c r="A20" s="349" t="str">
        <f>+Datos!A12</f>
        <v>Material     :</v>
      </c>
      <c r="B20" s="350" t="str">
        <f>+Datos!D12</f>
        <v>Base Granular</v>
      </c>
      <c r="D20" s="359"/>
    </row>
    <row r="21" spans="1:4" ht="13.2" customHeight="1" x14ac:dyDescent="0.25">
      <c r="A21" s="1229" t="s">
        <v>222</v>
      </c>
      <c r="B21" s="1229"/>
      <c r="C21" s="1229"/>
      <c r="D21" s="1229"/>
    </row>
    <row r="22" spans="1:4" ht="13.2" customHeight="1" x14ac:dyDescent="0.25"/>
    <row r="23" spans="1:4" ht="15.9" customHeight="1" x14ac:dyDescent="0.25">
      <c r="A23" s="362" t="s">
        <v>218</v>
      </c>
      <c r="B23" s="363"/>
      <c r="C23" s="363">
        <v>1</v>
      </c>
      <c r="D23" s="363"/>
    </row>
    <row r="24" spans="1:4" ht="15.9" customHeight="1" x14ac:dyDescent="0.25">
      <c r="A24" s="362" t="s">
        <v>253</v>
      </c>
      <c r="B24" s="252"/>
      <c r="C24" s="423">
        <v>138.4</v>
      </c>
      <c r="D24" s="252"/>
    </row>
    <row r="25" spans="1:4" ht="15.9" customHeight="1" x14ac:dyDescent="0.25">
      <c r="A25" s="362" t="s">
        <v>254</v>
      </c>
      <c r="B25" s="252"/>
      <c r="C25" s="423">
        <v>112</v>
      </c>
      <c r="D25" s="252"/>
    </row>
    <row r="26" spans="1:4" ht="15.9" customHeight="1" x14ac:dyDescent="0.25">
      <c r="A26" s="362" t="s">
        <v>255</v>
      </c>
      <c r="B26" s="252"/>
      <c r="C26" s="423"/>
      <c r="D26" s="252"/>
    </row>
    <row r="27" spans="1:4" ht="15.9" customHeight="1" x14ac:dyDescent="0.25">
      <c r="A27" s="362" t="s">
        <v>256</v>
      </c>
      <c r="B27" s="252"/>
      <c r="C27" s="252">
        <f>+C24-C25</f>
        <v>26.400000000000006</v>
      </c>
      <c r="D27" s="252"/>
    </row>
    <row r="28" spans="1:4" ht="15.9" customHeight="1" x14ac:dyDescent="0.25">
      <c r="A28" s="362" t="s">
        <v>257</v>
      </c>
      <c r="B28" s="252"/>
      <c r="C28" s="252">
        <f>+C25-C26</f>
        <v>112</v>
      </c>
      <c r="D28" s="252"/>
    </row>
    <row r="29" spans="1:4" ht="15.9" customHeight="1" x14ac:dyDescent="0.25">
      <c r="A29" s="362" t="s">
        <v>258</v>
      </c>
      <c r="B29" s="252"/>
      <c r="C29" s="252">
        <f>+C27/C28*100</f>
        <v>23.571428571428577</v>
      </c>
      <c r="D29" s="252"/>
    </row>
    <row r="30" spans="1:4" ht="15.9" customHeight="1" x14ac:dyDescent="0.25">
      <c r="A30" s="362" t="s">
        <v>259</v>
      </c>
      <c r="B30" s="1230">
        <f>AVERAGE(B29:D29)/100</f>
        <v>0.23571428571428577</v>
      </c>
      <c r="C30" s="1231"/>
      <c r="D30" s="1232"/>
    </row>
    <row r="31" spans="1:4" x14ac:dyDescent="0.25">
      <c r="A31" s="140"/>
      <c r="B31" s="153"/>
      <c r="C31" s="153"/>
      <c r="D31" s="153"/>
    </row>
    <row r="32" spans="1:4" x14ac:dyDescent="0.25">
      <c r="A32" s="364" t="s">
        <v>217</v>
      </c>
      <c r="B32" s="365"/>
      <c r="C32" s="366"/>
      <c r="D32" s="367"/>
    </row>
    <row r="33" spans="1:4" x14ac:dyDescent="0.25">
      <c r="A33" s="368"/>
      <c r="B33" s="350"/>
      <c r="C33" s="369"/>
      <c r="D33" s="370"/>
    </row>
    <row r="34" spans="1:4" x14ac:dyDescent="0.25">
      <c r="A34" s="371"/>
      <c r="B34" s="372"/>
      <c r="C34" s="372"/>
      <c r="D34" s="373"/>
    </row>
    <row r="35" spans="1:4" x14ac:dyDescent="0.25">
      <c r="A35" s="374"/>
      <c r="B35" s="1227"/>
      <c r="C35" s="1227"/>
      <c r="D35" s="375"/>
    </row>
    <row r="36" spans="1:4" x14ac:dyDescent="0.25">
      <c r="A36" s="376"/>
      <c r="B36" s="377"/>
      <c r="C36" s="377"/>
      <c r="D36" s="378"/>
    </row>
    <row r="37" spans="1:4" x14ac:dyDescent="0.25">
      <c r="A37" s="144"/>
      <c r="B37" s="156"/>
      <c r="C37" s="156"/>
      <c r="D37" s="148"/>
    </row>
    <row r="38" spans="1:4" x14ac:dyDescent="0.25">
      <c r="A38" s="379"/>
    </row>
    <row r="41" spans="1:4" x14ac:dyDescent="0.25">
      <c r="A41" s="157"/>
      <c r="B41" s="157"/>
    </row>
    <row r="42" spans="1:4" x14ac:dyDescent="0.25">
      <c r="A42" s="380"/>
    </row>
    <row r="43" spans="1:4" x14ac:dyDescent="0.25">
      <c r="B43" s="140"/>
      <c r="C43" s="140"/>
      <c r="D43" s="140"/>
    </row>
    <row r="44" spans="1:4" x14ac:dyDescent="0.25">
      <c r="A44" s="157"/>
      <c r="B44" s="153"/>
      <c r="C44" s="140"/>
      <c r="D44" s="14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1127760</xdr:colOff>
                <xdr:row>0</xdr:row>
                <xdr:rowOff>45720</xdr:rowOff>
              </from>
              <to>
                <xdr:col>3</xdr:col>
                <xdr:colOff>1173480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0368-4E6C-471E-ABA8-83578DE9E3D9}">
  <sheetPr codeName="Hoja14">
    <pageSetUpPr fitToPage="1"/>
  </sheetPr>
  <dimension ref="A1:V59"/>
  <sheetViews>
    <sheetView view="pageBreakPreview" topLeftCell="A22" zoomScale="115" zoomScaleNormal="100" zoomScaleSheetLayoutView="115" workbookViewId="0">
      <selection activeCell="A22" sqref="A22:Q31"/>
    </sheetView>
  </sheetViews>
  <sheetFormatPr baseColWidth="10" defaultColWidth="11.44140625" defaultRowHeight="13.2" x14ac:dyDescent="0.25"/>
  <cols>
    <col min="1" max="17" width="6.33203125" style="139" customWidth="1"/>
    <col min="18" max="20" width="11.44140625" style="139"/>
    <col min="21" max="21" width="13" style="139" customWidth="1"/>
    <col min="22" max="22" width="3.6640625" style="139" customWidth="1"/>
    <col min="23" max="16384" width="11.44140625" style="139"/>
  </cols>
  <sheetData>
    <row r="1" spans="1:22" ht="15.75" customHeight="1" thickTop="1" x14ac:dyDescent="0.25">
      <c r="A1" s="1243"/>
      <c r="B1" s="1244"/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1244"/>
      <c r="O1" s="1244"/>
      <c r="P1" s="1244"/>
      <c r="Q1" s="1245"/>
      <c r="V1" s="963" t="s">
        <v>551</v>
      </c>
    </row>
    <row r="2" spans="1:22" ht="15.75" customHeight="1" x14ac:dyDescent="0.25">
      <c r="A2" s="1246"/>
      <c r="B2" s="1247"/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7"/>
      <c r="O2" s="1247"/>
      <c r="P2" s="1247"/>
      <c r="Q2" s="1248"/>
      <c r="V2" s="963" t="s">
        <v>548</v>
      </c>
    </row>
    <row r="3" spans="1:22" ht="15.75" customHeight="1" x14ac:dyDescent="0.25">
      <c r="A3" s="1246"/>
      <c r="B3" s="1247"/>
      <c r="C3" s="1247"/>
      <c r="D3" s="1247"/>
      <c r="E3" s="1247"/>
      <c r="F3" s="1247"/>
      <c r="G3" s="1247"/>
      <c r="H3" s="1247"/>
      <c r="I3" s="1247"/>
      <c r="J3" s="1247"/>
      <c r="K3" s="1247"/>
      <c r="L3" s="1247"/>
      <c r="M3" s="1247"/>
      <c r="N3" s="1247"/>
      <c r="O3" s="1247"/>
      <c r="P3" s="1247"/>
      <c r="Q3" s="1248"/>
      <c r="V3" s="963" t="s">
        <v>549</v>
      </c>
    </row>
    <row r="4" spans="1:22" ht="15.75" customHeight="1" x14ac:dyDescent="0.25">
      <c r="A4" s="1246"/>
      <c r="B4" s="1247"/>
      <c r="C4" s="1247"/>
      <c r="D4" s="1247"/>
      <c r="E4" s="1247"/>
      <c r="F4" s="1247"/>
      <c r="G4" s="1247"/>
      <c r="H4" s="1247"/>
      <c r="I4" s="1247"/>
      <c r="J4" s="1247"/>
      <c r="K4" s="1247"/>
      <c r="L4" s="1247"/>
      <c r="M4" s="1247"/>
      <c r="N4" s="1247"/>
      <c r="O4" s="1247"/>
      <c r="P4" s="1247"/>
      <c r="Q4" s="1248"/>
      <c r="V4" s="963" t="s">
        <v>550</v>
      </c>
    </row>
    <row r="5" spans="1:22" ht="15.75" customHeight="1" thickBot="1" x14ac:dyDescent="0.3">
      <c r="A5" s="1249"/>
      <c r="B5" s="1250"/>
      <c r="C5" s="1250"/>
      <c r="D5" s="1250"/>
      <c r="E5" s="1250"/>
      <c r="F5" s="1250"/>
      <c r="G5" s="1250"/>
      <c r="H5" s="1250"/>
      <c r="I5" s="1250"/>
      <c r="J5" s="1250"/>
      <c r="K5" s="1250"/>
      <c r="L5" s="1250"/>
      <c r="M5" s="1250"/>
      <c r="N5" s="1250"/>
      <c r="O5" s="1250"/>
      <c r="P5" s="1250"/>
      <c r="Q5" s="1251"/>
      <c r="T5"/>
    </row>
    <row r="6" spans="1:22" ht="15.75" customHeight="1" thickTop="1" x14ac:dyDescent="0.25">
      <c r="A6" s="184"/>
      <c r="B6" s="140"/>
      <c r="C6" s="140"/>
      <c r="D6" s="140"/>
      <c r="E6" s="140"/>
      <c r="F6" s="140"/>
      <c r="G6" s="140"/>
      <c r="H6" s="140"/>
      <c r="I6" s="140"/>
      <c r="J6" s="140"/>
    </row>
    <row r="7" spans="1:22" ht="15.75" customHeight="1" x14ac:dyDescent="0.25">
      <c r="A7" s="140"/>
      <c r="B7" s="888"/>
      <c r="C7" s="888"/>
      <c r="D7" s="888"/>
      <c r="E7" s="888"/>
      <c r="F7" s="888"/>
      <c r="G7" s="888"/>
      <c r="H7" s="888"/>
      <c r="I7" s="888"/>
      <c r="J7" s="140"/>
    </row>
    <row r="8" spans="1:22" ht="15.75" customHeight="1" x14ac:dyDescent="0.25">
      <c r="A8" s="1252" t="s">
        <v>506</v>
      </c>
      <c r="B8" s="1252"/>
      <c r="C8" s="1252"/>
      <c r="D8" s="1252"/>
      <c r="E8" s="1252"/>
      <c r="F8" s="1252"/>
      <c r="G8" s="1252"/>
      <c r="H8" s="1252"/>
      <c r="I8" s="1252"/>
      <c r="J8" s="1252"/>
      <c r="K8" s="1252"/>
      <c r="L8" s="1252"/>
      <c r="M8" s="1252"/>
      <c r="N8" s="1252"/>
      <c r="O8" s="1252"/>
      <c r="P8" s="1252"/>
      <c r="Q8" s="1252"/>
    </row>
    <row r="9" spans="1:22" ht="15.75" customHeight="1" x14ac:dyDescent="0.25">
      <c r="A9" s="1253" t="s">
        <v>534</v>
      </c>
      <c r="B9" s="1253"/>
      <c r="C9" s="1253"/>
      <c r="D9" s="1253"/>
      <c r="E9" s="1253"/>
      <c r="F9" s="1253"/>
      <c r="G9" s="1253"/>
      <c r="H9" s="1253"/>
      <c r="I9" s="1253"/>
      <c r="J9" s="1253"/>
      <c r="K9" s="1253"/>
      <c r="L9" s="1253"/>
      <c r="M9" s="1253"/>
      <c r="N9" s="1253"/>
      <c r="O9" s="1253"/>
      <c r="P9" s="1253"/>
      <c r="Q9" s="1253"/>
    </row>
    <row r="10" spans="1:22" ht="15.75" customHeight="1" x14ac:dyDescent="0.25">
      <c r="A10" s="882"/>
      <c r="B10" s="882"/>
      <c r="C10" s="882"/>
      <c r="D10" s="882"/>
      <c r="E10" s="882"/>
      <c r="F10" s="882"/>
      <c r="G10" s="882"/>
      <c r="H10" s="882"/>
      <c r="I10" s="882"/>
      <c r="J10" s="882"/>
    </row>
    <row r="11" spans="1:22" ht="15.75" customHeight="1" x14ac:dyDescent="0.25">
      <c r="A11" s="883"/>
      <c r="B11" s="954"/>
      <c r="C11" s="954"/>
      <c r="D11" s="954"/>
      <c r="E11" s="954"/>
      <c r="F11" s="954"/>
      <c r="G11" s="954"/>
      <c r="H11" s="954"/>
      <c r="I11" s="954"/>
      <c r="J11" s="884"/>
    </row>
    <row r="12" spans="1:22" ht="15.75" customHeight="1" x14ac:dyDescent="0.25">
      <c r="A12" s="883"/>
      <c r="B12" s="954"/>
      <c r="C12" s="954"/>
      <c r="D12" s="954"/>
      <c r="E12" s="954"/>
      <c r="F12" s="954"/>
      <c r="G12" s="954"/>
      <c r="H12" s="954"/>
      <c r="I12" s="954"/>
      <c r="J12" s="887"/>
    </row>
    <row r="13" spans="1:22" ht="15.75" customHeight="1" x14ac:dyDescent="0.25">
      <c r="A13" s="883"/>
      <c r="B13" s="884"/>
      <c r="C13" s="885"/>
      <c r="D13" s="885"/>
      <c r="E13" s="885"/>
      <c r="F13" s="885"/>
      <c r="G13" s="885"/>
      <c r="H13" s="885"/>
      <c r="I13" s="886"/>
      <c r="J13" s="936"/>
    </row>
    <row r="14" spans="1:22" ht="15.75" customHeight="1" x14ac:dyDescent="0.25"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22" ht="30" customHeight="1" x14ac:dyDescent="0.25">
      <c r="A15" s="1261" t="s">
        <v>554</v>
      </c>
      <c r="B15" s="1262"/>
      <c r="C15" s="1262"/>
      <c r="D15" s="1262"/>
      <c r="E15" s="1262"/>
      <c r="F15" s="1262"/>
      <c r="G15" s="1262"/>
      <c r="H15" s="1262"/>
      <c r="I15" s="1262"/>
      <c r="J15" s="1262"/>
      <c r="K15" s="1262"/>
      <c r="L15" s="1262"/>
      <c r="M15" s="1262"/>
      <c r="N15" s="1262"/>
      <c r="O15" s="1262"/>
      <c r="P15" s="1262"/>
      <c r="Q15" s="1263"/>
    </row>
    <row r="16" spans="1:22" ht="15.75" customHeight="1" x14ac:dyDescent="0.25">
      <c r="A16" s="1254" t="s">
        <v>531</v>
      </c>
      <c r="B16" s="1255"/>
      <c r="C16" s="1255"/>
      <c r="D16" s="1255"/>
      <c r="E16" s="1255"/>
      <c r="F16" s="1255"/>
      <c r="G16" s="1255"/>
      <c r="H16" s="1255"/>
      <c r="I16" s="1255"/>
      <c r="J16" s="1255"/>
      <c r="K16" s="1255"/>
      <c r="L16" s="1255"/>
      <c r="M16" s="1255"/>
      <c r="N16" s="1255"/>
      <c r="O16" s="1255"/>
      <c r="P16" s="1255"/>
      <c r="Q16" s="1256"/>
    </row>
    <row r="17" spans="1:17" ht="15.75" customHeight="1" x14ac:dyDescent="0.25">
      <c r="A17" s="966"/>
      <c r="B17" s="966"/>
      <c r="C17" s="966"/>
      <c r="D17" s="966"/>
      <c r="E17" s="966"/>
      <c r="F17" s="966"/>
      <c r="G17" s="966"/>
      <c r="H17" s="966"/>
      <c r="I17" s="966"/>
      <c r="J17" s="966"/>
      <c r="K17" s="966"/>
      <c r="L17" s="966"/>
      <c r="M17" s="966"/>
      <c r="N17" s="966"/>
      <c r="O17" s="966"/>
      <c r="P17" s="966"/>
      <c r="Q17" s="966"/>
    </row>
    <row r="18" spans="1:17" ht="15.75" customHeight="1" x14ac:dyDescent="0.25">
      <c r="A18" s="959"/>
      <c r="B18" s="959"/>
      <c r="C18" s="959"/>
      <c r="D18" s="959"/>
      <c r="E18" s="959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59"/>
      <c r="Q18" s="959"/>
    </row>
    <row r="19" spans="1:17" ht="15.75" customHeight="1" x14ac:dyDescent="0.25">
      <c r="A19" s="959"/>
      <c r="B19" s="959"/>
      <c r="C19" s="959"/>
      <c r="D19" s="959"/>
      <c r="E19" s="959"/>
      <c r="F19" s="959"/>
      <c r="G19" s="959"/>
      <c r="H19" s="959"/>
      <c r="I19" s="959"/>
      <c r="J19" s="959"/>
      <c r="K19" s="959"/>
      <c r="L19" s="959"/>
      <c r="M19" s="959"/>
      <c r="N19" s="959"/>
      <c r="O19" s="959"/>
      <c r="P19" s="959"/>
      <c r="Q19" s="959"/>
    </row>
    <row r="20" spans="1:17" ht="15.75" customHeight="1" x14ac:dyDescent="0.25">
      <c r="A20" s="959"/>
      <c r="B20" s="959"/>
      <c r="C20" s="959"/>
      <c r="D20" s="959"/>
      <c r="E20" s="959"/>
      <c r="F20" s="959"/>
      <c r="G20" s="959"/>
      <c r="H20" s="959"/>
      <c r="I20" s="959"/>
      <c r="J20" s="959"/>
      <c r="K20" s="959"/>
      <c r="L20" s="959"/>
      <c r="M20" s="959"/>
      <c r="N20" s="959"/>
      <c r="O20" s="959"/>
      <c r="P20" s="959"/>
      <c r="Q20" s="959"/>
    </row>
    <row r="21" spans="1:17" ht="15.75" customHeight="1" x14ac:dyDescent="0.25">
      <c r="A21" s="955"/>
      <c r="B21" s="955"/>
      <c r="C21" s="955"/>
      <c r="D21" s="955"/>
      <c r="E21" s="955"/>
      <c r="F21" s="955"/>
      <c r="G21" s="955"/>
      <c r="H21" s="955"/>
      <c r="I21" s="955"/>
      <c r="J21" s="955"/>
      <c r="K21" s="955"/>
      <c r="L21" s="955"/>
      <c r="M21" s="955"/>
      <c r="N21" s="955"/>
      <c r="O21" s="955"/>
      <c r="P21" s="955"/>
      <c r="Q21" s="156"/>
    </row>
    <row r="22" spans="1:17" ht="15.75" customHeight="1" x14ac:dyDescent="0.25">
      <c r="A22" s="1259" t="s">
        <v>536</v>
      </c>
      <c r="B22" s="1259"/>
      <c r="C22" s="1257" t="s">
        <v>535</v>
      </c>
      <c r="D22" s="1257"/>
      <c r="E22" s="1257"/>
      <c r="F22" s="1233" t="s">
        <v>540</v>
      </c>
      <c r="G22" s="1233"/>
      <c r="H22" s="1233"/>
      <c r="I22" s="1233"/>
      <c r="J22" s="1233" t="s">
        <v>545</v>
      </c>
      <c r="K22" s="1233"/>
      <c r="L22" s="1233"/>
      <c r="M22" s="1233"/>
      <c r="N22" s="1233" t="s">
        <v>553</v>
      </c>
      <c r="O22" s="1233"/>
      <c r="P22" s="1233"/>
      <c r="Q22" s="1233"/>
    </row>
    <row r="23" spans="1:17" ht="15.75" customHeight="1" x14ac:dyDescent="0.25">
      <c r="A23" s="1260"/>
      <c r="B23" s="1260"/>
      <c r="C23" s="1258"/>
      <c r="D23" s="1258"/>
      <c r="E23" s="1258"/>
      <c r="F23" s="1233"/>
      <c r="G23" s="1233"/>
      <c r="H23" s="1233"/>
      <c r="I23" s="1233"/>
      <c r="J23" s="1233"/>
      <c r="K23" s="1233"/>
      <c r="L23" s="1233"/>
      <c r="M23" s="1233"/>
      <c r="N23" s="1233"/>
      <c r="O23" s="1233"/>
      <c r="P23" s="1233"/>
      <c r="Q23" s="1233"/>
    </row>
    <row r="24" spans="1:17" ht="15.75" customHeight="1" x14ac:dyDescent="0.25">
      <c r="A24" s="949" t="s">
        <v>537</v>
      </c>
      <c r="B24" s="950"/>
      <c r="C24" s="1234" t="s">
        <v>539</v>
      </c>
      <c r="D24" s="1234" t="s">
        <v>543</v>
      </c>
      <c r="E24" s="1234" t="s">
        <v>541</v>
      </c>
      <c r="F24" s="1234" t="s">
        <v>539</v>
      </c>
      <c r="G24" s="1234" t="s">
        <v>543</v>
      </c>
      <c r="H24" s="1234" t="s">
        <v>544</v>
      </c>
      <c r="I24" s="1234" t="s">
        <v>542</v>
      </c>
      <c r="J24" s="1234" t="s">
        <v>539</v>
      </c>
      <c r="K24" s="1234" t="s">
        <v>543</v>
      </c>
      <c r="L24" s="1234" t="s">
        <v>544</v>
      </c>
      <c r="M24" s="1234" t="s">
        <v>542</v>
      </c>
      <c r="N24" s="1234" t="s">
        <v>539</v>
      </c>
      <c r="O24" s="1234" t="s">
        <v>543</v>
      </c>
      <c r="P24" s="1234" t="s">
        <v>544</v>
      </c>
      <c r="Q24" s="1234" t="s">
        <v>542</v>
      </c>
    </row>
    <row r="25" spans="1:17" ht="15.75" customHeight="1" x14ac:dyDescent="0.25">
      <c r="A25" s="949" t="s">
        <v>546</v>
      </c>
      <c r="B25" s="935" t="s">
        <v>214</v>
      </c>
      <c r="C25" s="1235"/>
      <c r="D25" s="1235"/>
      <c r="E25" s="1235"/>
      <c r="F25" s="1235"/>
      <c r="G25" s="1235"/>
      <c r="H25" s="1235"/>
      <c r="I25" s="1235"/>
      <c r="J25" s="1235"/>
      <c r="K25" s="1235"/>
      <c r="L25" s="1235"/>
      <c r="M25" s="1235"/>
      <c r="N25" s="1235"/>
      <c r="O25" s="1235"/>
      <c r="P25" s="1235"/>
      <c r="Q25" s="1235"/>
    </row>
    <row r="26" spans="1:17" ht="15.75" customHeight="1" x14ac:dyDescent="0.25">
      <c r="A26" s="956" t="s">
        <v>8</v>
      </c>
      <c r="B26" s="957" t="s">
        <v>9</v>
      </c>
      <c r="C26" s="973"/>
      <c r="D26" s="973"/>
      <c r="E26" s="978" t="str">
        <f>IF(C26="","",((C26/$C$31*100)))</f>
        <v/>
      </c>
      <c r="F26" s="976"/>
      <c r="G26" s="964"/>
      <c r="H26" s="979" t="str">
        <f>IF(F26="","",((F26/C26*100)))</f>
        <v/>
      </c>
      <c r="I26" s="979" t="str">
        <f>IF(F26="","",((F26/$C$31*100)))</f>
        <v/>
      </c>
      <c r="J26" s="977"/>
      <c r="K26" s="964"/>
      <c r="L26" s="979" t="str">
        <f>IF(F26="","",((F26/C26*100)))</f>
        <v/>
      </c>
      <c r="M26" s="979" t="str">
        <f>IF(J26="","",((J26/$C$31*100)))</f>
        <v/>
      </c>
      <c r="N26" s="979" t="str">
        <f>IF(C26="","",((C26-F26-J26)))</f>
        <v/>
      </c>
      <c r="O26" s="980"/>
      <c r="P26" s="979" t="str">
        <f>IF(J26="","",((J26/H26*100)))</f>
        <v/>
      </c>
      <c r="Q26" s="979" t="str">
        <f>IF(N26="","",((N26/$C$31*100)))</f>
        <v/>
      </c>
    </row>
    <row r="27" spans="1:17" ht="15.75" customHeight="1" x14ac:dyDescent="0.25">
      <c r="A27" s="956" t="s">
        <v>9</v>
      </c>
      <c r="B27" s="957" t="s">
        <v>10</v>
      </c>
      <c r="C27" s="974">
        <v>6252</v>
      </c>
      <c r="D27" s="974"/>
      <c r="E27" s="978">
        <f>IF(C27="","",((C27/$C$31*100)))</f>
        <v>46.587183308494787</v>
      </c>
      <c r="F27" s="977">
        <v>150</v>
      </c>
      <c r="G27" s="964"/>
      <c r="H27" s="979">
        <f>IF(F27="","",((F27/C27*100)))</f>
        <v>2.3992322456813819</v>
      </c>
      <c r="I27" s="979">
        <f>IF(F27="","",((F27/$C$31*100)))</f>
        <v>1.1177347242921014</v>
      </c>
      <c r="J27" s="977">
        <v>214</v>
      </c>
      <c r="K27" s="964"/>
      <c r="L27" s="979">
        <f>IF(F27="","",((F27/C27*100)))</f>
        <v>2.3992322456813819</v>
      </c>
      <c r="M27" s="979">
        <f>IF(J27="","",((J27/$C$31*100)))</f>
        <v>1.5946348733233979</v>
      </c>
      <c r="N27" s="979">
        <f>IF(C27="","",((C27-F27-J27)))</f>
        <v>5888</v>
      </c>
      <c r="O27" s="980"/>
      <c r="P27" s="979">
        <f>IF(J27="","",((J27/H27*100)))</f>
        <v>8919.52</v>
      </c>
      <c r="Q27" s="979">
        <f>IF(N27="","",((N27/$C$31*100)))</f>
        <v>43.874813710879287</v>
      </c>
    </row>
    <row r="28" spans="1:17" ht="15.75" customHeight="1" x14ac:dyDescent="0.25">
      <c r="A28" s="956" t="s">
        <v>10</v>
      </c>
      <c r="B28" s="957" t="s">
        <v>11</v>
      </c>
      <c r="C28" s="974">
        <v>2568</v>
      </c>
      <c r="D28" s="974"/>
      <c r="E28" s="978">
        <f>IF(C28="","",((C28/$C$31*100)))</f>
        <v>19.135618479880776</v>
      </c>
      <c r="F28" s="977">
        <v>132</v>
      </c>
      <c r="G28" s="965"/>
      <c r="H28" s="979">
        <f>IF(F28="","",((F28/C28*100)))</f>
        <v>5.1401869158878499</v>
      </c>
      <c r="I28" s="979">
        <f>IF(F28="","",((F28/$C$31*100)))</f>
        <v>0.98360655737704927</v>
      </c>
      <c r="J28" s="977">
        <v>198</v>
      </c>
      <c r="K28" s="965"/>
      <c r="L28" s="979">
        <f>IF(F28="","",((F28/C28*100)))</f>
        <v>5.1401869158878499</v>
      </c>
      <c r="M28" s="979">
        <f>IF(J28="","",((J28/$C$31*100)))</f>
        <v>1.4754098360655739</v>
      </c>
      <c r="N28" s="979">
        <f>IF(C28="","",((C28-F28-J28)))</f>
        <v>2238</v>
      </c>
      <c r="O28" s="979"/>
      <c r="P28" s="979">
        <f>IF(J28="","",((J28/H28*100)))</f>
        <v>3852.0000000000005</v>
      </c>
      <c r="Q28" s="979">
        <f>IF(N28="","",((N28/$C$31*100)))</f>
        <v>16.676602086438152</v>
      </c>
    </row>
    <row r="29" spans="1:17" ht="15.75" customHeight="1" x14ac:dyDescent="0.25">
      <c r="A29" s="956" t="s">
        <v>11</v>
      </c>
      <c r="B29" s="957" t="s">
        <v>12</v>
      </c>
      <c r="C29" s="974">
        <v>3125</v>
      </c>
      <c r="D29" s="974"/>
      <c r="E29" s="978">
        <f>IF(C29="","",((C29/$C$31*100)))</f>
        <v>23.286140089418776</v>
      </c>
      <c r="F29" s="977">
        <v>111</v>
      </c>
      <c r="G29" s="965"/>
      <c r="H29" s="979">
        <f>IF(F29="","",((F29/C29*100)))</f>
        <v>3.5520000000000005</v>
      </c>
      <c r="I29" s="979">
        <f>IF(F29="","",((F29/$C$31*100)))</f>
        <v>0.82712369597615498</v>
      </c>
      <c r="J29" s="977">
        <v>154</v>
      </c>
      <c r="K29" s="965"/>
      <c r="L29" s="979">
        <f>IF(F29="","",((F29/C29*100)))</f>
        <v>3.5520000000000005</v>
      </c>
      <c r="M29" s="979">
        <f>IF(J29="","",((J29/$C$31*100)))</f>
        <v>1.1475409836065573</v>
      </c>
      <c r="N29" s="979">
        <f>IF(C29="","",((C29-F29-J29)))</f>
        <v>2860</v>
      </c>
      <c r="O29" s="979"/>
      <c r="P29" s="979">
        <f>IF(J29="","",((J29/H29*100)))</f>
        <v>4335.5855855855852</v>
      </c>
      <c r="Q29" s="979">
        <f>IF(N29="","",((N29/$C$31*100)))</f>
        <v>21.311475409836063</v>
      </c>
    </row>
    <row r="30" spans="1:17" ht="15.75" customHeight="1" x14ac:dyDescent="0.25">
      <c r="A30" s="956" t="s">
        <v>12</v>
      </c>
      <c r="B30" s="957" t="s">
        <v>13</v>
      </c>
      <c r="C30" s="974">
        <v>1475</v>
      </c>
      <c r="D30" s="974"/>
      <c r="E30" s="978">
        <f>IF(C30="","",((C30/$C$31*100)))</f>
        <v>10.991058122205663</v>
      </c>
      <c r="F30" s="977">
        <v>87</v>
      </c>
      <c r="G30" s="965"/>
      <c r="H30" s="979">
        <f>IF(F30="","",((F30/C30*100)))</f>
        <v>5.898305084745763</v>
      </c>
      <c r="I30" s="979">
        <f>IF(F30="","",((F30/$C$31*100)))</f>
        <v>0.64828614008941876</v>
      </c>
      <c r="J30" s="977">
        <v>113</v>
      </c>
      <c r="K30" s="965"/>
      <c r="L30" s="979">
        <f>IF(F30="","",((F30/C30*100)))</f>
        <v>5.898305084745763</v>
      </c>
      <c r="M30" s="979">
        <f>IF(J30="","",((J30/$C$31*100)))</f>
        <v>0.84202682563338305</v>
      </c>
      <c r="N30" s="979">
        <f>IF(C30="","",((C30-F30-J30)))</f>
        <v>1275</v>
      </c>
      <c r="O30" s="979"/>
      <c r="P30" s="979">
        <f>IF(J30="","",((J30/H30*100)))</f>
        <v>1915.8045977011493</v>
      </c>
      <c r="Q30" s="979">
        <f>IF(N30="","",((N30/$C$31*100)))</f>
        <v>9.5007451564828607</v>
      </c>
    </row>
    <row r="31" spans="1:17" ht="15.75" customHeight="1" x14ac:dyDescent="0.25">
      <c r="A31" s="1241" t="s">
        <v>538</v>
      </c>
      <c r="B31" s="1242"/>
      <c r="C31" s="975">
        <f>SUM(C26:C30)</f>
        <v>13420</v>
      </c>
      <c r="D31" s="984"/>
      <c r="E31" s="979">
        <f>SUM(E26:E30)</f>
        <v>100</v>
      </c>
      <c r="F31" s="960"/>
      <c r="G31" s="958"/>
      <c r="H31" s="961">
        <f>SUM(H26:H30)</f>
        <v>16.989724246314992</v>
      </c>
      <c r="I31" s="948">
        <f>SUM(I26:I30)</f>
        <v>3.5767511177347249</v>
      </c>
      <c r="J31" s="960"/>
      <c r="K31" s="958"/>
      <c r="L31" s="961">
        <f>SUM(L26:L30)</f>
        <v>16.989724246314992</v>
      </c>
      <c r="M31" s="948">
        <f>SUM(M26:M30)</f>
        <v>5.0596125186289118</v>
      </c>
      <c r="N31" s="981"/>
      <c r="O31" s="982"/>
      <c r="P31" s="961">
        <f>SUM(P26:P30)</f>
        <v>19022.910183286735</v>
      </c>
      <c r="Q31" s="948">
        <f>SUM(Q26:Q30)</f>
        <v>91.36363636363636</v>
      </c>
    </row>
    <row r="32" spans="1:17" ht="15.75" customHeight="1" x14ac:dyDescent="0.25">
      <c r="A32" s="967"/>
      <c r="B32" s="967"/>
      <c r="C32" s="968"/>
      <c r="D32" s="970"/>
      <c r="E32" s="967"/>
      <c r="F32" s="969"/>
      <c r="G32" s="970"/>
      <c r="H32" s="970"/>
      <c r="I32" s="970"/>
      <c r="J32" s="971"/>
      <c r="K32" s="962"/>
      <c r="L32" s="972"/>
      <c r="M32" s="972"/>
      <c r="N32" s="972"/>
      <c r="O32" s="972"/>
      <c r="P32" s="972"/>
      <c r="Q32" s="972"/>
    </row>
    <row r="33" spans="1:17" ht="15.75" hidden="1" customHeight="1" x14ac:dyDescent="0.25">
      <c r="A33" s="972" t="s">
        <v>552</v>
      </c>
      <c r="B33" s="972"/>
      <c r="C33" s="972"/>
      <c r="D33" s="972"/>
      <c r="E33" s="972"/>
      <c r="F33" s="972"/>
      <c r="G33" s="1238" t="s">
        <v>548</v>
      </c>
      <c r="H33" s="1237"/>
      <c r="I33" s="962"/>
      <c r="J33" s="962"/>
      <c r="K33" s="972"/>
      <c r="L33" s="972"/>
      <c r="M33" s="972"/>
      <c r="N33" s="972"/>
      <c r="O33" s="972"/>
      <c r="P33" s="972"/>
      <c r="Q33" s="972"/>
    </row>
    <row r="34" spans="1:17" ht="15.75" customHeight="1" x14ac:dyDescent="0.25">
      <c r="A34" s="962" t="s">
        <v>547</v>
      </c>
      <c r="B34" s="962"/>
      <c r="C34" s="962"/>
      <c r="D34" s="962"/>
      <c r="E34" s="962"/>
      <c r="F34" s="962"/>
      <c r="G34" s="1236">
        <f>I31+M31</f>
        <v>8.6363636363636367</v>
      </c>
      <c r="H34" s="1237"/>
      <c r="I34" s="962"/>
      <c r="J34" s="972"/>
      <c r="K34" s="972"/>
      <c r="L34" s="972"/>
      <c r="M34" s="972"/>
      <c r="N34" s="972"/>
      <c r="O34" s="972"/>
      <c r="P34" s="972"/>
      <c r="Q34" s="972"/>
    </row>
    <row r="35" spans="1:17" ht="15.75" customHeight="1" x14ac:dyDescent="0.25">
      <c r="A35" s="962"/>
      <c r="B35" s="972"/>
      <c r="C35" s="972"/>
      <c r="D35" s="972"/>
      <c r="E35" s="972"/>
      <c r="F35" s="962"/>
      <c r="G35" s="952"/>
      <c r="H35" s="952"/>
      <c r="I35" s="953"/>
      <c r="J35" s="972"/>
      <c r="K35" s="972"/>
      <c r="L35" s="972"/>
      <c r="M35" s="972"/>
      <c r="N35" s="972"/>
      <c r="O35" s="972"/>
      <c r="P35" s="972"/>
      <c r="Q35" s="972"/>
    </row>
    <row r="36" spans="1:17" ht="15.75" customHeight="1" x14ac:dyDescent="0.25">
      <c r="A36" s="140"/>
      <c r="F36" s="140"/>
      <c r="G36" s="952"/>
      <c r="H36" s="952"/>
      <c r="I36" s="953"/>
    </row>
    <row r="37" spans="1:17" ht="15.75" customHeight="1" x14ac:dyDescent="0.25">
      <c r="A37" s="140"/>
      <c r="B37" s="140"/>
      <c r="C37" s="140"/>
      <c r="D37" s="140"/>
      <c r="E37" s="140"/>
      <c r="F37" s="140"/>
      <c r="G37" s="140"/>
      <c r="H37" s="140"/>
      <c r="I37" s="140"/>
    </row>
    <row r="38" spans="1:17" ht="15.75" customHeight="1" x14ac:dyDescent="0.25">
      <c r="A38" s="140"/>
      <c r="B38" s="140"/>
      <c r="C38" s="140"/>
      <c r="D38" s="140"/>
      <c r="E38" s="140"/>
      <c r="F38" s="153"/>
      <c r="G38" s="153"/>
      <c r="H38" s="154"/>
      <c r="I38" s="140"/>
    </row>
    <row r="39" spans="1:17" ht="15.75" customHeight="1" x14ac:dyDescent="0.25">
      <c r="A39" s="909"/>
      <c r="B39" s="140"/>
      <c r="C39" s="140"/>
      <c r="D39" s="140"/>
      <c r="E39" s="140"/>
      <c r="F39" s="153"/>
      <c r="G39" s="153"/>
      <c r="H39" s="140"/>
      <c r="I39" s="140"/>
    </row>
    <row r="40" spans="1:17" ht="15.75" customHeight="1" x14ac:dyDescent="0.25">
      <c r="A40" s="938"/>
      <c r="B40" s="938"/>
      <c r="C40" s="951"/>
      <c r="D40" s="951"/>
      <c r="E40" s="140"/>
      <c r="F40" s="140"/>
      <c r="G40" s="140"/>
      <c r="H40" s="140"/>
      <c r="I40" s="140"/>
    </row>
    <row r="41" spans="1:17" ht="15.75" customHeight="1" x14ac:dyDescent="0.25">
      <c r="A41" s="938"/>
      <c r="B41" s="938"/>
      <c r="C41" s="951"/>
      <c r="D41" s="951"/>
      <c r="E41" s="140"/>
      <c r="F41" s="140"/>
      <c r="G41" s="140"/>
      <c r="H41" s="140"/>
      <c r="I41" s="140"/>
    </row>
    <row r="42" spans="1:17" ht="15.75" customHeight="1" x14ac:dyDescent="0.25">
      <c r="E42" s="157"/>
      <c r="I42" s="157"/>
    </row>
    <row r="43" spans="1:17" ht="15.75" customHeight="1" x14ac:dyDescent="0.25">
      <c r="E43" s="157"/>
      <c r="I43" s="157"/>
    </row>
    <row r="44" spans="1:17" ht="15.75" customHeight="1" x14ac:dyDescent="0.25">
      <c r="E44" s="157"/>
      <c r="I44" s="157"/>
    </row>
    <row r="45" spans="1:17" ht="15.75" customHeight="1" x14ac:dyDescent="0.25">
      <c r="E45" s="157"/>
      <c r="I45" s="157"/>
    </row>
    <row r="46" spans="1:17" ht="15.75" customHeight="1" x14ac:dyDescent="0.25">
      <c r="E46" s="157"/>
      <c r="I46" s="157"/>
    </row>
    <row r="47" spans="1:17" ht="15.75" customHeight="1" x14ac:dyDescent="0.25">
      <c r="E47" s="157"/>
      <c r="I47" s="157"/>
    </row>
    <row r="48" spans="1:17" ht="15.75" customHeight="1" x14ac:dyDescent="0.25">
      <c r="E48" s="157"/>
      <c r="I48" s="157"/>
    </row>
    <row r="49" spans="1:17" ht="15.75" customHeight="1" x14ac:dyDescent="0.25">
      <c r="E49" s="157"/>
      <c r="I49" s="157"/>
    </row>
    <row r="50" spans="1:17" ht="15.75" customHeight="1" x14ac:dyDescent="0.25">
      <c r="E50" s="157"/>
      <c r="I50" s="157"/>
    </row>
    <row r="51" spans="1:17" ht="15.75" customHeight="1" x14ac:dyDescent="0.25">
      <c r="A51" s="911"/>
      <c r="B51" s="911"/>
      <c r="C51" s="911"/>
      <c r="D51" s="911"/>
      <c r="E51" s="911"/>
      <c r="F51" s="911"/>
      <c r="G51" s="911"/>
      <c r="H51" s="911"/>
      <c r="I51" s="911"/>
      <c r="J51" s="911"/>
    </row>
    <row r="52" spans="1:17" ht="15.75" customHeight="1" x14ac:dyDescent="0.25">
      <c r="A52" s="911"/>
      <c r="B52" s="1239"/>
      <c r="C52" s="1239"/>
      <c r="D52" s="983"/>
      <c r="E52" s="1239"/>
      <c r="F52" s="1239"/>
      <c r="G52" s="1239"/>
      <c r="H52" s="1239"/>
      <c r="J52" s="911"/>
    </row>
    <row r="53" spans="1:17" ht="15.75" customHeight="1" x14ac:dyDescent="0.25">
      <c r="A53" s="911"/>
      <c r="B53" s="911"/>
      <c r="C53" s="911"/>
      <c r="D53" s="911"/>
      <c r="E53" s="911"/>
      <c r="F53" s="911"/>
      <c r="G53" s="911"/>
      <c r="H53" s="911"/>
      <c r="I53" s="911"/>
      <c r="J53" s="911"/>
    </row>
    <row r="54" spans="1:17" ht="15.75" customHeight="1" x14ac:dyDescent="0.25">
      <c r="A54" s="911"/>
      <c r="B54" s="911"/>
      <c r="C54" s="911"/>
      <c r="D54" s="911"/>
      <c r="E54" s="911"/>
      <c r="F54" s="911"/>
      <c r="G54" s="911"/>
      <c r="H54" s="911"/>
      <c r="I54" s="911"/>
      <c r="J54" s="911"/>
    </row>
    <row r="55" spans="1:17" ht="15.75" customHeight="1" x14ac:dyDescent="0.25"/>
    <row r="56" spans="1:17" ht="15.75" customHeight="1" x14ac:dyDescent="0.25">
      <c r="A56" s="910" t="s">
        <v>527</v>
      </c>
      <c r="B56" s="911"/>
    </row>
    <row r="57" spans="1:17" ht="15.75" customHeight="1" x14ac:dyDescent="0.25">
      <c r="A57" s="910" t="s">
        <v>555</v>
      </c>
      <c r="B57" s="911"/>
    </row>
    <row r="58" spans="1:17" ht="15.75" customHeight="1" x14ac:dyDescent="0.25"/>
    <row r="59" spans="1:17" ht="30.6" customHeight="1" x14ac:dyDescent="0.25">
      <c r="A59" s="1240" t="s">
        <v>529</v>
      </c>
      <c r="B59" s="1240"/>
      <c r="C59" s="1240"/>
      <c r="D59" s="1240"/>
      <c r="E59" s="1240"/>
      <c r="F59" s="1240"/>
      <c r="G59" s="1240"/>
      <c r="H59" s="1240"/>
      <c r="I59" s="1240"/>
      <c r="J59" s="1240"/>
      <c r="K59" s="1240"/>
      <c r="L59" s="1240"/>
      <c r="M59" s="1240"/>
      <c r="N59" s="1240"/>
      <c r="O59" s="1240"/>
      <c r="P59" s="1240"/>
      <c r="Q59" s="1240"/>
    </row>
  </sheetData>
  <protectedRanges>
    <protectedRange sqref="B13" name="Rango3_3_1_1_1_1_1_1_1_1_1"/>
    <protectedRange sqref="B22" name="Rango3_3_1_1_1_1_1_1_1_1_2"/>
    <protectedRange sqref="B11:B12" name="Rango3_3_1_1_1_1_1_2_1_2"/>
    <protectedRange sqref="B52" name="Rango3_3_1_1_1_1_1_2_1_3"/>
  </protectedRanges>
  <mergeCells count="32">
    <mergeCell ref="A1:Q5"/>
    <mergeCell ref="A8:Q8"/>
    <mergeCell ref="A9:Q9"/>
    <mergeCell ref="A16:Q16"/>
    <mergeCell ref="H24:H25"/>
    <mergeCell ref="I24:I25"/>
    <mergeCell ref="C22:E23"/>
    <mergeCell ref="A22:B23"/>
    <mergeCell ref="A15:Q15"/>
    <mergeCell ref="Q24:Q25"/>
    <mergeCell ref="A59:Q59"/>
    <mergeCell ref="D24:D25"/>
    <mergeCell ref="N22:Q23"/>
    <mergeCell ref="N24:N25"/>
    <mergeCell ref="O24:O25"/>
    <mergeCell ref="F24:F25"/>
    <mergeCell ref="A31:B31"/>
    <mergeCell ref="F22:I23"/>
    <mergeCell ref="C24:C25"/>
    <mergeCell ref="E24:E25"/>
    <mergeCell ref="E52:F52"/>
    <mergeCell ref="P24:P25"/>
    <mergeCell ref="G24:G25"/>
    <mergeCell ref="B52:C52"/>
    <mergeCell ref="K24:K25"/>
    <mergeCell ref="L24:L25"/>
    <mergeCell ref="J22:M23"/>
    <mergeCell ref="J24:J25"/>
    <mergeCell ref="G34:H34"/>
    <mergeCell ref="G33:H33"/>
    <mergeCell ref="G52:H52"/>
    <mergeCell ref="M24:M25"/>
  </mergeCells>
  <phoneticPr fontId="0" type="noConversion"/>
  <dataValidations count="1">
    <dataValidation type="list" allowBlank="1" showInputMessage="1" showErrorMessage="1" sqref="G33:H33" xr:uid="{844A1A61-6236-427B-9DF6-102196E0DCCD}">
      <formula1>$V$1:$V$4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274" scale="7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0379-B2D1-4AE0-81A7-64AC3BB3DB09}">
  <sheetPr>
    <tabColor rgb="FF00B050"/>
  </sheetPr>
  <dimension ref="A1:Y56"/>
  <sheetViews>
    <sheetView showGridLines="0" tabSelected="1" view="pageBreakPreview" topLeftCell="A33" zoomScale="110" zoomScaleNormal="110" zoomScaleSheetLayoutView="110" workbookViewId="0">
      <selection activeCell="A7" sqref="A7:S7"/>
    </sheetView>
  </sheetViews>
  <sheetFormatPr baseColWidth="10" defaultColWidth="11.44140625" defaultRowHeight="13.2" x14ac:dyDescent="0.25"/>
  <cols>
    <col min="1" max="1" width="1.33203125" style="139" customWidth="1"/>
    <col min="2" max="2" width="11" style="139" customWidth="1"/>
    <col min="3" max="3" width="7.44140625" style="139" customWidth="1"/>
    <col min="4" max="15" width="6.5546875" style="139" customWidth="1"/>
    <col min="16" max="16" width="5.109375" style="139" customWidth="1"/>
    <col min="17" max="17" width="7.109375" style="139" customWidth="1"/>
    <col min="18" max="18" width="5.33203125" style="139" customWidth="1"/>
    <col min="19" max="19" width="2" style="139" customWidth="1"/>
    <col min="20" max="20" width="11.44140625" style="139"/>
    <col min="21" max="21" width="8.33203125" style="139" customWidth="1"/>
    <col min="22" max="22" width="11.44140625" style="139"/>
    <col min="23" max="23" width="13" style="139" customWidth="1"/>
    <col min="24" max="24" width="3.6640625" style="139" customWidth="1"/>
    <col min="25" max="16384" width="11.44140625" style="139"/>
  </cols>
  <sheetData>
    <row r="1" spans="1:24" ht="15.75" customHeight="1" thickTop="1" x14ac:dyDescent="0.25">
      <c r="A1" s="1243"/>
      <c r="B1" s="1244"/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1244"/>
      <c r="O1" s="1244"/>
      <c r="P1" s="1244"/>
      <c r="Q1" s="1244"/>
      <c r="R1" s="1244"/>
      <c r="S1" s="1245"/>
      <c r="X1" s="963"/>
    </row>
    <row r="2" spans="1:24" ht="15.75" customHeight="1" x14ac:dyDescent="0.25">
      <c r="A2" s="1246"/>
      <c r="B2" s="1247"/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7"/>
      <c r="O2" s="1247"/>
      <c r="P2" s="1247"/>
      <c r="Q2" s="1247"/>
      <c r="R2" s="1247"/>
      <c r="S2" s="1248"/>
      <c r="X2" s="963"/>
    </row>
    <row r="3" spans="1:24" ht="15.75" customHeight="1" x14ac:dyDescent="0.25">
      <c r="A3" s="1246"/>
      <c r="B3" s="1247"/>
      <c r="C3" s="1247"/>
      <c r="D3" s="1247"/>
      <c r="E3" s="1247"/>
      <c r="F3" s="1247"/>
      <c r="G3" s="1247"/>
      <c r="H3" s="1247"/>
      <c r="I3" s="1247"/>
      <c r="J3" s="1247"/>
      <c r="K3" s="1247"/>
      <c r="L3" s="1247"/>
      <c r="M3" s="1247"/>
      <c r="N3" s="1247"/>
      <c r="O3" s="1247"/>
      <c r="P3" s="1247"/>
      <c r="Q3" s="1247"/>
      <c r="R3" s="1247"/>
      <c r="S3" s="1248"/>
      <c r="X3" s="963"/>
    </row>
    <row r="4" spans="1:24" ht="15.75" customHeight="1" x14ac:dyDescent="0.25">
      <c r="A4" s="1246"/>
      <c r="B4" s="1247"/>
      <c r="C4" s="1247"/>
      <c r="D4" s="1247"/>
      <c r="E4" s="1247"/>
      <c r="F4" s="1247"/>
      <c r="G4" s="1247"/>
      <c r="H4" s="1247"/>
      <c r="I4" s="1247"/>
      <c r="J4" s="1247"/>
      <c r="K4" s="1247"/>
      <c r="L4" s="1247"/>
      <c r="M4" s="1247"/>
      <c r="N4" s="1247"/>
      <c r="O4" s="1247"/>
      <c r="P4" s="1247"/>
      <c r="Q4" s="1247"/>
      <c r="R4" s="1247"/>
      <c r="S4" s="1248"/>
      <c r="X4" s="963"/>
    </row>
    <row r="5" spans="1:24" ht="15.75" customHeight="1" thickBot="1" x14ac:dyDescent="0.3">
      <c r="A5" s="1249"/>
      <c r="B5" s="1250"/>
      <c r="C5" s="1250"/>
      <c r="D5" s="1250"/>
      <c r="E5" s="1250"/>
      <c r="F5" s="1250"/>
      <c r="G5" s="1250"/>
      <c r="H5" s="1250"/>
      <c r="I5" s="1250"/>
      <c r="J5" s="1250"/>
      <c r="K5" s="1250"/>
      <c r="L5" s="1250"/>
      <c r="M5" s="1250"/>
      <c r="N5" s="1250"/>
      <c r="O5" s="1250"/>
      <c r="P5" s="1250"/>
      <c r="Q5" s="1250"/>
      <c r="R5" s="1250"/>
      <c r="S5" s="1251"/>
      <c r="V5"/>
    </row>
    <row r="6" spans="1:24" ht="15.75" customHeight="1" thickTop="1" x14ac:dyDescent="0.25">
      <c r="A6" s="184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24" ht="15.75" customHeight="1" x14ac:dyDescent="0.25">
      <c r="A7" s="1252" t="s">
        <v>506</v>
      </c>
      <c r="B7" s="1252"/>
      <c r="C7" s="1252"/>
      <c r="D7" s="1252"/>
      <c r="E7" s="1252"/>
      <c r="F7" s="1252"/>
      <c r="G7" s="1252"/>
      <c r="H7" s="1252"/>
      <c r="I7" s="1252"/>
      <c r="J7" s="1252"/>
      <c r="K7" s="1252"/>
      <c r="L7" s="1252"/>
      <c r="M7" s="1252"/>
      <c r="N7" s="1252"/>
      <c r="O7" s="1252"/>
      <c r="P7" s="1252"/>
      <c r="Q7" s="1252"/>
      <c r="R7" s="1252"/>
      <c r="S7" s="1252"/>
    </row>
    <row r="8" spans="1:24" ht="15.75" customHeight="1" x14ac:dyDescent="0.25">
      <c r="A8" s="1253" t="s">
        <v>585</v>
      </c>
      <c r="B8" s="1253"/>
      <c r="C8" s="1253"/>
      <c r="D8" s="1253"/>
      <c r="E8" s="1253"/>
      <c r="F8" s="1253"/>
      <c r="G8" s="1253"/>
      <c r="H8" s="1253"/>
      <c r="I8" s="1253"/>
      <c r="J8" s="1253"/>
      <c r="K8" s="1253"/>
      <c r="L8" s="1253"/>
      <c r="M8" s="1253"/>
      <c r="N8" s="1253"/>
      <c r="O8" s="1253"/>
      <c r="P8" s="1253"/>
      <c r="Q8" s="1253"/>
      <c r="R8" s="1253"/>
      <c r="S8" s="1253"/>
    </row>
    <row r="9" spans="1:24" ht="15.75" customHeight="1" x14ac:dyDescent="0.25">
      <c r="A9" s="882"/>
      <c r="B9" s="882"/>
      <c r="C9" s="882"/>
      <c r="D9" s="882"/>
    </row>
    <row r="10" spans="1:24" ht="15.75" customHeight="1" x14ac:dyDescent="0.25">
      <c r="A10" s="883"/>
      <c r="B10" s="954"/>
      <c r="C10" s="954"/>
      <c r="D10" s="1376" t="s">
        <v>600</v>
      </c>
      <c r="E10" s="1376"/>
      <c r="F10" s="1376"/>
      <c r="G10" s="1376" t="s">
        <v>601</v>
      </c>
      <c r="H10" s="1376"/>
      <c r="I10" s="1376"/>
      <c r="J10" s="1376" t="s">
        <v>525</v>
      </c>
      <c r="K10" s="1376"/>
      <c r="L10" s="1376"/>
      <c r="M10" s="1277" t="s">
        <v>602</v>
      </c>
      <c r="N10" s="1277"/>
      <c r="O10" s="1277"/>
    </row>
    <row r="11" spans="1:24" ht="15.75" customHeight="1" x14ac:dyDescent="0.25">
      <c r="A11" s="883"/>
      <c r="B11" s="954"/>
      <c r="C11" s="954"/>
      <c r="D11" s="1377"/>
      <c r="E11" s="1378"/>
      <c r="F11" s="1379"/>
      <c r="G11" s="1380"/>
      <c r="H11" s="1381"/>
      <c r="I11" s="1382"/>
      <c r="J11" s="1377"/>
      <c r="K11" s="1378"/>
      <c r="L11" s="1379"/>
      <c r="M11" s="1383"/>
      <c r="N11" s="1384"/>
      <c r="O11" s="1385"/>
    </row>
    <row r="12" spans="1:24" ht="15.75" customHeight="1" x14ac:dyDescent="0.25">
      <c r="A12" s="883"/>
      <c r="B12" s="885"/>
      <c r="C12" s="885"/>
      <c r="D12" s="885"/>
      <c r="E12" s="885"/>
      <c r="F12" s="885"/>
      <c r="G12" s="885"/>
      <c r="H12" s="885"/>
      <c r="I12" s="885"/>
      <c r="J12" s="886"/>
      <c r="K12" s="936"/>
      <c r="L12" s="936"/>
      <c r="M12" s="936"/>
    </row>
    <row r="13" spans="1:24" ht="8.25" customHeight="1" x14ac:dyDescent="0.25"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</row>
    <row r="14" spans="1:24" ht="30" customHeight="1" x14ac:dyDescent="0.25">
      <c r="A14" s="1261" t="s">
        <v>562</v>
      </c>
      <c r="B14" s="1262"/>
      <c r="C14" s="1262"/>
      <c r="D14" s="1262"/>
      <c r="E14" s="1262"/>
      <c r="F14" s="1262"/>
      <c r="G14" s="1262"/>
      <c r="H14" s="1262"/>
      <c r="I14" s="1262"/>
      <c r="J14" s="1262"/>
      <c r="K14" s="1262"/>
      <c r="L14" s="1262"/>
      <c r="M14" s="1262"/>
      <c r="N14" s="1262"/>
      <c r="O14" s="1262"/>
      <c r="P14" s="1262"/>
      <c r="Q14" s="1262"/>
      <c r="R14" s="1262"/>
      <c r="S14" s="1263"/>
    </row>
    <row r="15" spans="1:24" ht="15.75" customHeight="1" x14ac:dyDescent="0.25">
      <c r="A15" s="1254" t="s">
        <v>596</v>
      </c>
      <c r="B15" s="1255"/>
      <c r="C15" s="1255"/>
      <c r="D15" s="1255"/>
      <c r="E15" s="1255"/>
      <c r="F15" s="1255"/>
      <c r="G15" s="1255"/>
      <c r="H15" s="1255"/>
      <c r="I15" s="1255"/>
      <c r="J15" s="1255"/>
      <c r="K15" s="1255"/>
      <c r="L15" s="1255"/>
      <c r="M15" s="1255"/>
      <c r="N15" s="1255"/>
      <c r="O15" s="1255"/>
      <c r="P15" s="1255"/>
      <c r="Q15" s="1255"/>
      <c r="R15" s="1255"/>
      <c r="S15" s="1256"/>
    </row>
    <row r="16" spans="1:24" ht="10.5" customHeight="1" x14ac:dyDescent="0.25">
      <c r="A16" s="966"/>
      <c r="B16" s="966"/>
      <c r="C16" s="966"/>
      <c r="D16" s="966"/>
      <c r="E16" s="966"/>
      <c r="F16" s="966"/>
      <c r="G16" s="966"/>
      <c r="H16" s="966"/>
      <c r="I16" s="966"/>
      <c r="J16" s="966"/>
      <c r="K16" s="966"/>
      <c r="L16" s="966"/>
      <c r="M16" s="966"/>
      <c r="N16" s="966"/>
      <c r="O16" s="966"/>
      <c r="P16" s="966"/>
      <c r="Q16" s="966"/>
      <c r="R16" s="966"/>
      <c r="S16" s="966"/>
    </row>
    <row r="17" spans="1:22" ht="15.75" customHeight="1" x14ac:dyDescent="0.25">
      <c r="A17" s="959"/>
      <c r="B17" s="959"/>
      <c r="C17" s="959"/>
      <c r="D17" s="959"/>
      <c r="E17" s="1264" t="s">
        <v>559</v>
      </c>
      <c r="F17" s="1265"/>
      <c r="G17" s="1266"/>
      <c r="H17" s="938"/>
      <c r="I17" s="1264" t="s">
        <v>584</v>
      </c>
      <c r="J17" s="1265"/>
      <c r="K17" s="1266"/>
      <c r="L17" s="140"/>
      <c r="M17" s="140"/>
      <c r="N17" s="140"/>
      <c r="O17" s="140"/>
      <c r="P17" s="959"/>
      <c r="Q17" s="959"/>
      <c r="R17" s="959"/>
      <c r="S17" s="959"/>
    </row>
    <row r="18" spans="1:22" ht="15.75" customHeight="1" x14ac:dyDescent="0.25">
      <c r="A18" s="959"/>
      <c r="B18" s="959"/>
      <c r="E18" s="1013" t="s">
        <v>560</v>
      </c>
      <c r="F18" s="1012"/>
      <c r="G18" s="1007"/>
      <c r="H18" s="959"/>
      <c r="I18" s="1017" t="s">
        <v>588</v>
      </c>
      <c r="J18" s="1015"/>
      <c r="K18" s="1014"/>
      <c r="L18" s="959"/>
      <c r="M18" s="959"/>
      <c r="N18" s="959"/>
      <c r="O18" s="959"/>
      <c r="P18" s="959"/>
      <c r="Q18" s="959"/>
      <c r="R18" s="959"/>
      <c r="S18" s="959"/>
    </row>
    <row r="19" spans="1:22" ht="21" customHeight="1" x14ac:dyDescent="0.25">
      <c r="A19" s="959"/>
      <c r="B19" s="959"/>
      <c r="E19" s="1013" t="s">
        <v>567</v>
      </c>
      <c r="F19" s="1012"/>
      <c r="G19" s="1007"/>
      <c r="H19" s="959"/>
      <c r="I19" s="1016" t="s">
        <v>586</v>
      </c>
      <c r="J19" s="1012"/>
      <c r="K19" s="1007"/>
      <c r="L19" s="959"/>
      <c r="M19" s="959"/>
      <c r="N19" s="959"/>
      <c r="O19" s="959"/>
      <c r="P19" s="959"/>
      <c r="Q19" s="959"/>
      <c r="R19" s="959"/>
      <c r="S19" s="959"/>
    </row>
    <row r="20" spans="1:22" ht="18" customHeight="1" x14ac:dyDescent="0.25">
      <c r="A20" s="988"/>
      <c r="B20" s="140"/>
      <c r="C20" s="986"/>
      <c r="D20" s="955"/>
      <c r="E20" s="1000" t="s">
        <v>573</v>
      </c>
      <c r="F20" s="955"/>
      <c r="G20" s="955"/>
      <c r="H20" s="955"/>
      <c r="I20" s="955"/>
      <c r="J20" s="955"/>
      <c r="K20" s="955"/>
      <c r="L20" s="955"/>
      <c r="M20" s="986"/>
      <c r="N20" s="986"/>
      <c r="O20" s="986"/>
      <c r="P20" s="986"/>
      <c r="Q20" s="986"/>
      <c r="R20" s="986"/>
      <c r="S20" s="140"/>
    </row>
    <row r="21" spans="1:22" ht="16.95" customHeight="1" x14ac:dyDescent="0.25">
      <c r="B21" s="1278" t="s">
        <v>566</v>
      </c>
      <c r="C21" s="1279"/>
      <c r="D21" s="1282" t="s">
        <v>557</v>
      </c>
      <c r="E21" s="1283"/>
      <c r="F21" s="1283"/>
      <c r="G21" s="1283"/>
      <c r="H21" s="1284"/>
      <c r="I21" s="1285" t="s">
        <v>571</v>
      </c>
      <c r="J21" s="1286"/>
      <c r="K21" s="1286"/>
      <c r="L21" s="1287"/>
      <c r="M21" s="998"/>
      <c r="N21" s="1013" t="s">
        <v>580</v>
      </c>
      <c r="O21" s="1009"/>
      <c r="P21" s="142"/>
      <c r="Q21" s="1299"/>
      <c r="R21" s="1299"/>
    </row>
    <row r="22" spans="1:22" ht="16.95" customHeight="1" x14ac:dyDescent="0.25">
      <c r="B22" s="1280"/>
      <c r="C22" s="1281"/>
      <c r="D22" s="1282" t="s">
        <v>558</v>
      </c>
      <c r="E22" s="1283"/>
      <c r="F22" s="1283"/>
      <c r="G22" s="1283"/>
      <c r="H22" s="1284"/>
      <c r="I22" s="1288"/>
      <c r="J22" s="1289"/>
      <c r="K22" s="1289"/>
      <c r="L22" s="1290"/>
      <c r="M22" s="998"/>
      <c r="N22" s="1013" t="s">
        <v>581</v>
      </c>
      <c r="O22" s="1010"/>
      <c r="P22" s="1011"/>
      <c r="Q22" s="1299"/>
      <c r="R22" s="1299"/>
    </row>
    <row r="23" spans="1:22" ht="16.95" customHeight="1" x14ac:dyDescent="0.25">
      <c r="B23" s="1307" t="s">
        <v>537</v>
      </c>
      <c r="C23" s="1308"/>
      <c r="D23" s="1311" t="s">
        <v>565</v>
      </c>
      <c r="E23" s="1311"/>
      <c r="F23" s="1311" t="s">
        <v>541</v>
      </c>
      <c r="G23" s="1311"/>
      <c r="H23" s="1312" t="s">
        <v>583</v>
      </c>
      <c r="I23" s="1311" t="s">
        <v>572</v>
      </c>
      <c r="J23" s="1311"/>
      <c r="K23" s="1311" t="s">
        <v>564</v>
      </c>
      <c r="L23" s="1311"/>
      <c r="M23" s="140"/>
      <c r="N23" s="1013" t="s">
        <v>582</v>
      </c>
      <c r="O23" s="1010"/>
      <c r="P23" s="1011"/>
      <c r="Q23" s="1299"/>
      <c r="R23" s="1299"/>
    </row>
    <row r="24" spans="1:22" ht="4.95" customHeight="1" x14ac:dyDescent="0.25">
      <c r="B24" s="1309"/>
      <c r="C24" s="1310"/>
      <c r="D24" s="1311"/>
      <c r="E24" s="1311"/>
      <c r="F24" s="1311"/>
      <c r="G24" s="1311"/>
      <c r="H24" s="1312"/>
      <c r="I24" s="1311"/>
      <c r="J24" s="1311"/>
      <c r="K24" s="1311"/>
      <c r="L24" s="1311"/>
      <c r="U24" s="989"/>
      <c r="V24" s="989"/>
    </row>
    <row r="25" spans="1:22" ht="24" customHeight="1" x14ac:dyDescent="0.25">
      <c r="B25" s="990" t="s">
        <v>213</v>
      </c>
      <c r="C25" s="1006" t="s">
        <v>563</v>
      </c>
      <c r="D25" s="1311"/>
      <c r="E25" s="1311"/>
      <c r="F25" s="1311"/>
      <c r="G25" s="1311"/>
      <c r="H25" s="1312"/>
      <c r="I25" s="1311"/>
      <c r="J25" s="1311"/>
      <c r="K25" s="1311"/>
      <c r="L25" s="1311"/>
      <c r="N25" s="1297" t="s">
        <v>556</v>
      </c>
      <c r="O25" s="1297"/>
      <c r="P25" s="1297" t="s">
        <v>587</v>
      </c>
      <c r="Q25" s="1297"/>
      <c r="U25" s="989"/>
      <c r="V25" s="989"/>
    </row>
    <row r="26" spans="1:22" ht="20.25" customHeight="1" x14ac:dyDescent="0.25">
      <c r="B26" s="994" t="s">
        <v>589</v>
      </c>
      <c r="C26" s="994" t="s">
        <v>590</v>
      </c>
      <c r="D26" s="1269"/>
      <c r="E26" s="1270"/>
      <c r="F26" s="1271"/>
      <c r="G26" s="1272"/>
      <c r="H26" s="1004"/>
      <c r="I26" s="1269"/>
      <c r="J26" s="1270"/>
      <c r="K26" s="1267"/>
      <c r="L26" s="1268"/>
      <c r="N26" s="1276" t="s">
        <v>589</v>
      </c>
      <c r="O26" s="1276"/>
      <c r="P26" s="1277">
        <v>20000</v>
      </c>
      <c r="Q26" s="1277"/>
      <c r="U26" s="989"/>
      <c r="V26" s="989"/>
    </row>
    <row r="27" spans="1:22" ht="20.25" customHeight="1" x14ac:dyDescent="0.25">
      <c r="B27" s="994" t="s">
        <v>590</v>
      </c>
      <c r="C27" s="994" t="s">
        <v>591</v>
      </c>
      <c r="D27" s="1269"/>
      <c r="E27" s="1270"/>
      <c r="F27" s="1271"/>
      <c r="G27" s="1272"/>
      <c r="H27" s="1004"/>
      <c r="I27" s="1269"/>
      <c r="J27" s="1270"/>
      <c r="K27" s="1267"/>
      <c r="L27" s="1268"/>
      <c r="N27" s="1276" t="s">
        <v>590</v>
      </c>
      <c r="O27" s="1276"/>
      <c r="P27" s="1277">
        <v>15000</v>
      </c>
      <c r="Q27" s="1277"/>
      <c r="U27" s="989"/>
      <c r="V27" s="989"/>
    </row>
    <row r="28" spans="1:22" ht="20.25" customHeight="1" x14ac:dyDescent="0.25">
      <c r="B28" s="994" t="s">
        <v>591</v>
      </c>
      <c r="C28" s="994" t="s">
        <v>592</v>
      </c>
      <c r="D28" s="1269"/>
      <c r="E28" s="1270"/>
      <c r="F28" s="1271"/>
      <c r="G28" s="1272"/>
      <c r="H28" s="1004"/>
      <c r="I28" s="1269"/>
      <c r="J28" s="1270"/>
      <c r="K28" s="1267"/>
      <c r="L28" s="1268"/>
      <c r="N28" s="1276" t="s">
        <v>591</v>
      </c>
      <c r="O28" s="1276"/>
      <c r="P28" s="1277">
        <v>10000</v>
      </c>
      <c r="Q28" s="1277"/>
      <c r="U28" s="989"/>
      <c r="V28" s="989"/>
    </row>
    <row r="29" spans="1:22" ht="20.25" customHeight="1" x14ac:dyDescent="0.25">
      <c r="B29" s="994" t="s">
        <v>592</v>
      </c>
      <c r="C29" s="994" t="s">
        <v>593</v>
      </c>
      <c r="D29" s="1269"/>
      <c r="E29" s="1270"/>
      <c r="F29" s="1271"/>
      <c r="G29" s="1272"/>
      <c r="H29" s="1004"/>
      <c r="I29" s="1269"/>
      <c r="J29" s="1270"/>
      <c r="K29" s="1267"/>
      <c r="L29" s="1268"/>
      <c r="N29" s="1276" t="s">
        <v>592</v>
      </c>
      <c r="O29" s="1276"/>
      <c r="P29" s="1277">
        <v>5000</v>
      </c>
      <c r="Q29" s="1277"/>
      <c r="U29" s="140"/>
      <c r="V29" s="140"/>
    </row>
    <row r="30" spans="1:22" ht="19.5" customHeight="1" x14ac:dyDescent="0.25">
      <c r="B30" s="994" t="s">
        <v>593</v>
      </c>
      <c r="C30" s="994" t="s">
        <v>588</v>
      </c>
      <c r="D30" s="1269"/>
      <c r="E30" s="1270"/>
      <c r="F30" s="1271"/>
      <c r="G30" s="1272"/>
      <c r="H30" s="1004"/>
      <c r="I30" s="1269"/>
      <c r="J30" s="1270"/>
      <c r="K30" s="1267"/>
      <c r="L30" s="1268"/>
      <c r="N30" s="1276" t="s">
        <v>593</v>
      </c>
      <c r="O30" s="1276"/>
      <c r="P30" s="1277">
        <v>2000</v>
      </c>
      <c r="Q30" s="1277"/>
    </row>
    <row r="31" spans="1:22" ht="20.25" customHeight="1" x14ac:dyDescent="0.25">
      <c r="B31" s="994" t="s">
        <v>588</v>
      </c>
      <c r="C31" s="994" t="s">
        <v>586</v>
      </c>
      <c r="D31" s="1269"/>
      <c r="E31" s="1270"/>
      <c r="F31" s="1271"/>
      <c r="G31" s="1272"/>
      <c r="H31" s="1004"/>
      <c r="I31" s="1269"/>
      <c r="J31" s="1270"/>
      <c r="K31" s="1267"/>
      <c r="L31" s="1268"/>
      <c r="N31" s="1276" t="s">
        <v>588</v>
      </c>
      <c r="O31" s="1276"/>
      <c r="P31" s="1277">
        <v>1000</v>
      </c>
      <c r="Q31" s="1277"/>
      <c r="V31" s="1275"/>
    </row>
    <row r="32" spans="1:22" ht="20.25" customHeight="1" x14ac:dyDescent="0.25">
      <c r="B32" s="999" t="s">
        <v>538</v>
      </c>
      <c r="C32" s="997"/>
      <c r="D32" s="1269"/>
      <c r="E32" s="1270"/>
      <c r="F32" s="1271"/>
      <c r="G32" s="1272"/>
      <c r="H32" s="1005"/>
      <c r="I32" s="1005"/>
      <c r="J32" s="1005"/>
      <c r="K32" s="140"/>
      <c r="N32" s="1276" t="s">
        <v>586</v>
      </c>
      <c r="O32" s="1276"/>
      <c r="P32" s="1277">
        <v>1000</v>
      </c>
      <c r="Q32" s="1277"/>
      <c r="V32" s="1275"/>
    </row>
    <row r="33" spans="1:25" ht="15.75" customHeight="1" x14ac:dyDescent="0.25">
      <c r="B33" s="985" t="s">
        <v>569</v>
      </c>
      <c r="E33" s="970"/>
      <c r="F33" s="970"/>
      <c r="G33" s="962"/>
      <c r="H33" s="969"/>
      <c r="I33" s="970"/>
      <c r="J33" s="970"/>
      <c r="K33" s="971"/>
      <c r="L33" s="971"/>
      <c r="M33" s="971"/>
      <c r="N33" s="962"/>
      <c r="O33" s="972"/>
      <c r="P33" s="972"/>
      <c r="Q33" s="972"/>
      <c r="R33" s="972"/>
      <c r="S33" s="972"/>
      <c r="V33" s="987"/>
    </row>
    <row r="34" spans="1:25" ht="6.75" customHeight="1" x14ac:dyDescent="0.25">
      <c r="A34" s="962"/>
      <c r="B34" s="972"/>
      <c r="C34" s="972"/>
      <c r="D34" s="972"/>
      <c r="E34" s="972"/>
      <c r="F34" s="972"/>
      <c r="G34" s="962"/>
      <c r="H34" s="952"/>
      <c r="I34" s="952"/>
      <c r="J34" s="953"/>
      <c r="K34" s="972"/>
      <c r="L34" s="972"/>
      <c r="M34" s="972"/>
      <c r="N34" s="972"/>
      <c r="O34" s="972"/>
      <c r="P34" s="972"/>
      <c r="Q34" s="972"/>
      <c r="R34" s="972"/>
      <c r="S34" s="972"/>
      <c r="V34" s="987"/>
    </row>
    <row r="35" spans="1:25" ht="12.75" customHeight="1" x14ac:dyDescent="0.25">
      <c r="A35" s="962"/>
      <c r="B35" s="1294" t="s">
        <v>560</v>
      </c>
      <c r="C35" s="1295"/>
      <c r="D35" s="1295"/>
      <c r="E35" s="1295"/>
      <c r="F35" s="1295"/>
      <c r="G35" s="1295"/>
      <c r="H35" s="1295"/>
      <c r="I35" s="1295"/>
      <c r="J35" s="1295"/>
      <c r="K35" s="1295"/>
      <c r="L35" s="1295"/>
      <c r="M35" s="1295"/>
      <c r="N35" s="1295"/>
      <c r="O35" s="1295"/>
      <c r="P35" s="1295"/>
      <c r="Q35" s="1295"/>
      <c r="R35" s="1296"/>
      <c r="S35" s="972"/>
      <c r="V35" s="987"/>
    </row>
    <row r="36" spans="1:25" ht="12.75" customHeight="1" x14ac:dyDescent="0.25">
      <c r="A36" s="962"/>
      <c r="B36" s="991"/>
      <c r="C36" s="992"/>
      <c r="D36" s="156"/>
      <c r="E36" s="992"/>
      <c r="F36" s="156"/>
      <c r="G36" s="992"/>
      <c r="H36" s="156"/>
      <c r="I36" s="992"/>
      <c r="J36" s="156"/>
      <c r="K36" s="1291" t="s">
        <v>567</v>
      </c>
      <c r="L36" s="1292"/>
      <c r="M36" s="1292"/>
      <c r="N36" s="1292"/>
      <c r="O36" s="1292"/>
      <c r="P36" s="1292"/>
      <c r="Q36" s="1292"/>
      <c r="R36" s="1293"/>
      <c r="S36" s="972"/>
      <c r="U36" s="989"/>
      <c r="V36" s="996"/>
    </row>
    <row r="37" spans="1:25" ht="51" customHeight="1" x14ac:dyDescent="0.25">
      <c r="B37" s="1273" t="s">
        <v>563</v>
      </c>
      <c r="C37" s="1233" t="s">
        <v>574</v>
      </c>
      <c r="D37" s="1233"/>
      <c r="E37" s="1233"/>
      <c r="F37" s="1233"/>
      <c r="G37" s="1233" t="s">
        <v>575</v>
      </c>
      <c r="H37" s="1233"/>
      <c r="I37" s="1233"/>
      <c r="J37" s="1233"/>
      <c r="K37" s="1233" t="s">
        <v>598</v>
      </c>
      <c r="L37" s="1233"/>
      <c r="M37" s="1233"/>
      <c r="N37" s="1233"/>
      <c r="O37" s="1233" t="s">
        <v>576</v>
      </c>
      <c r="P37" s="1233"/>
      <c r="Q37" s="1233"/>
      <c r="R37" s="1233"/>
      <c r="U37" s="346"/>
    </row>
    <row r="38" spans="1:25" ht="24.9" customHeight="1" x14ac:dyDescent="0.25">
      <c r="B38" s="1274"/>
      <c r="C38" s="1300" t="s">
        <v>568</v>
      </c>
      <c r="D38" s="1300"/>
      <c r="E38" s="1301" t="s">
        <v>561</v>
      </c>
      <c r="F38" s="1302"/>
      <c r="G38" s="1300" t="s">
        <v>568</v>
      </c>
      <c r="H38" s="1300"/>
      <c r="I38" s="1300" t="s">
        <v>561</v>
      </c>
      <c r="J38" s="1300"/>
      <c r="K38" s="1300" t="s">
        <v>568</v>
      </c>
      <c r="L38" s="1300"/>
      <c r="M38" s="1300" t="s">
        <v>561</v>
      </c>
      <c r="N38" s="1300"/>
      <c r="O38" s="1300" t="s">
        <v>568</v>
      </c>
      <c r="P38" s="1300"/>
      <c r="Q38" s="1300" t="s">
        <v>561</v>
      </c>
      <c r="R38" s="1300"/>
      <c r="V38" s="343"/>
      <c r="W38" s="343"/>
      <c r="X38" s="995"/>
      <c r="Y38" s="995"/>
    </row>
    <row r="39" spans="1:25" ht="21.75" customHeight="1" x14ac:dyDescent="0.25">
      <c r="B39" s="994" t="s">
        <v>590</v>
      </c>
      <c r="C39" s="1304"/>
      <c r="D39" s="1304"/>
      <c r="E39" s="1305"/>
      <c r="F39" s="1305"/>
      <c r="G39" s="1303"/>
      <c r="H39" s="1303"/>
      <c r="I39" s="1305"/>
      <c r="J39" s="1305"/>
      <c r="K39" s="1298"/>
      <c r="L39" s="1298"/>
      <c r="M39" s="1299"/>
      <c r="N39" s="1299"/>
      <c r="O39" s="1299"/>
      <c r="P39" s="1299"/>
      <c r="Q39" s="1299"/>
      <c r="R39" s="1299"/>
      <c r="V39" s="987"/>
      <c r="W39" s="987"/>
      <c r="X39" s="343"/>
      <c r="Y39" s="343"/>
    </row>
    <row r="40" spans="1:25" ht="21.75" customHeight="1" x14ac:dyDescent="0.25">
      <c r="B40" s="994" t="s">
        <v>591</v>
      </c>
      <c r="C40" s="1304"/>
      <c r="D40" s="1304"/>
      <c r="E40" s="1305"/>
      <c r="F40" s="1305"/>
      <c r="G40" s="1303"/>
      <c r="H40" s="1303"/>
      <c r="I40" s="1305"/>
      <c r="J40" s="1305"/>
      <c r="K40" s="1298"/>
      <c r="L40" s="1298"/>
      <c r="M40" s="1299"/>
      <c r="N40" s="1299"/>
      <c r="O40" s="1299"/>
      <c r="P40" s="1299"/>
      <c r="Q40" s="1299"/>
      <c r="R40" s="1299"/>
      <c r="V40" s="987"/>
      <c r="W40" s="987"/>
      <c r="X40" s="343"/>
      <c r="Y40" s="343"/>
    </row>
    <row r="41" spans="1:25" ht="21" customHeight="1" x14ac:dyDescent="0.25">
      <c r="B41" s="994" t="s">
        <v>592</v>
      </c>
      <c r="C41" s="1304"/>
      <c r="D41" s="1304"/>
      <c r="E41" s="1305"/>
      <c r="F41" s="1305"/>
      <c r="G41" s="1303"/>
      <c r="H41" s="1303"/>
      <c r="I41" s="1305"/>
      <c r="J41" s="1305"/>
      <c r="K41" s="1298"/>
      <c r="L41" s="1298"/>
      <c r="M41" s="1299"/>
      <c r="N41" s="1299"/>
      <c r="O41" s="1299"/>
      <c r="P41" s="1299"/>
      <c r="Q41" s="1299"/>
      <c r="R41" s="1299"/>
      <c r="V41" s="987"/>
      <c r="W41" s="987"/>
      <c r="X41" s="987"/>
      <c r="Y41" s="987"/>
    </row>
    <row r="42" spans="1:25" ht="22.5" customHeight="1" x14ac:dyDescent="0.25">
      <c r="B42" s="994" t="s">
        <v>593</v>
      </c>
      <c r="C42" s="1304"/>
      <c r="D42" s="1304"/>
      <c r="E42" s="1305"/>
      <c r="F42" s="1305"/>
      <c r="G42" s="1303"/>
      <c r="H42" s="1303"/>
      <c r="I42" s="1305"/>
      <c r="J42" s="1305"/>
      <c r="K42" s="1298"/>
      <c r="L42" s="1298"/>
      <c r="M42" s="1299"/>
      <c r="N42" s="1299"/>
      <c r="O42" s="1299"/>
      <c r="P42" s="1299"/>
      <c r="Q42" s="1299"/>
      <c r="R42" s="1299"/>
      <c r="V42" s="987"/>
      <c r="W42" s="987"/>
      <c r="X42" s="987"/>
      <c r="Y42" s="987"/>
    </row>
    <row r="43" spans="1:25" ht="21.75" customHeight="1" x14ac:dyDescent="0.25">
      <c r="B43" s="994" t="s">
        <v>588</v>
      </c>
      <c r="C43" s="1304"/>
      <c r="D43" s="1304"/>
      <c r="E43" s="1305"/>
      <c r="F43" s="1305"/>
      <c r="G43" s="1303"/>
      <c r="H43" s="1303"/>
      <c r="I43" s="1305"/>
      <c r="J43" s="1305"/>
      <c r="K43" s="1298"/>
      <c r="L43" s="1298"/>
      <c r="M43" s="1299"/>
      <c r="N43" s="1299"/>
      <c r="O43" s="1299"/>
      <c r="P43" s="1299"/>
      <c r="Q43" s="1299"/>
      <c r="R43" s="1299"/>
      <c r="V43" s="987"/>
      <c r="W43" s="987"/>
      <c r="X43" s="987"/>
      <c r="Y43" s="987"/>
    </row>
    <row r="44" spans="1:25" ht="20.25" customHeight="1" x14ac:dyDescent="0.25">
      <c r="B44" s="994" t="s">
        <v>586</v>
      </c>
      <c r="C44" s="1304"/>
      <c r="D44" s="1304"/>
      <c r="E44" s="1305"/>
      <c r="F44" s="1305"/>
      <c r="G44" s="1303"/>
      <c r="H44" s="1303"/>
      <c r="I44" s="1305"/>
      <c r="J44" s="1305"/>
      <c r="K44" s="1298"/>
      <c r="L44" s="1298"/>
      <c r="M44" s="1299"/>
      <c r="N44" s="1299"/>
      <c r="O44" s="1299"/>
      <c r="P44" s="1299"/>
      <c r="Q44" s="1299"/>
      <c r="R44" s="1299"/>
      <c r="V44" s="140"/>
      <c r="W44" s="993"/>
      <c r="X44" s="987"/>
      <c r="Y44" s="987"/>
    </row>
    <row r="45" spans="1:25" ht="17.25" customHeight="1" x14ac:dyDescent="0.25">
      <c r="B45" s="1000" t="s">
        <v>570</v>
      </c>
      <c r="C45" s="140"/>
      <c r="D45" s="140"/>
      <c r="E45" s="140"/>
      <c r="F45" s="153"/>
      <c r="G45" s="140"/>
      <c r="H45" s="140"/>
      <c r="I45" s="140"/>
      <c r="J45" s="153"/>
      <c r="V45" s="140"/>
      <c r="W45" s="140"/>
      <c r="X45" s="987"/>
      <c r="Y45" s="987"/>
    </row>
    <row r="46" spans="1:25" ht="9" customHeight="1" x14ac:dyDescent="0.25">
      <c r="B46" s="1000"/>
      <c r="C46" s="140"/>
      <c r="D46" s="140"/>
      <c r="E46" s="140"/>
      <c r="F46" s="153"/>
      <c r="G46" s="140"/>
      <c r="H46" s="140"/>
      <c r="I46" s="140"/>
      <c r="J46" s="153"/>
      <c r="V46" s="140"/>
      <c r="W46" s="140"/>
      <c r="X46" s="987"/>
      <c r="Y46" s="987"/>
    </row>
    <row r="47" spans="1:25" ht="23.25" customHeight="1" x14ac:dyDescent="0.25">
      <c r="B47" s="1306" t="s">
        <v>595</v>
      </c>
      <c r="C47" s="1306"/>
      <c r="D47" s="1313" t="s">
        <v>579</v>
      </c>
      <c r="E47" s="1313"/>
      <c r="F47" s="1313"/>
      <c r="G47" s="1306"/>
      <c r="H47" s="1306"/>
      <c r="I47" s="1306"/>
      <c r="J47" s="1306"/>
      <c r="K47" s="1316" t="s">
        <v>594</v>
      </c>
      <c r="L47" s="1317"/>
      <c r="M47" s="1314"/>
      <c r="N47" s="1314"/>
      <c r="O47" s="1314"/>
      <c r="P47" s="1314"/>
      <c r="V47" s="140"/>
      <c r="W47" s="140"/>
      <c r="X47" s="987"/>
      <c r="Y47" s="987"/>
    </row>
    <row r="48" spans="1:25" ht="24" customHeight="1" x14ac:dyDescent="0.25">
      <c r="B48" s="1306"/>
      <c r="C48" s="1306"/>
      <c r="D48" s="1315" t="s">
        <v>578</v>
      </c>
      <c r="E48" s="1315"/>
      <c r="F48" s="1315"/>
      <c r="G48" s="1306"/>
      <c r="H48" s="1306"/>
      <c r="I48" s="1306"/>
      <c r="J48" s="1306"/>
      <c r="K48" s="1316"/>
      <c r="L48" s="1317"/>
      <c r="M48" s="1314"/>
      <c r="N48" s="1314"/>
      <c r="O48" s="1314"/>
      <c r="P48" s="1314"/>
      <c r="V48" s="140"/>
      <c r="W48" s="140"/>
      <c r="X48" s="987"/>
      <c r="Y48" s="987"/>
    </row>
    <row r="49" spans="1:25" ht="20.100000000000001" customHeight="1" x14ac:dyDescent="0.25">
      <c r="B49" s="1008" t="s">
        <v>577</v>
      </c>
      <c r="C49" s="1003"/>
      <c r="D49" s="1003"/>
      <c r="E49" s="1001"/>
      <c r="F49" s="1002"/>
      <c r="G49" s="1001"/>
      <c r="H49" s="1001"/>
      <c r="I49" s="1001"/>
      <c r="J49" s="1002"/>
      <c r="K49" s="1001"/>
      <c r="L49" s="1001"/>
      <c r="M49" s="1001"/>
      <c r="N49" s="1001"/>
      <c r="O49" s="1001"/>
      <c r="P49" s="1001"/>
      <c r="Q49" s="1001"/>
      <c r="R49" s="1001"/>
      <c r="V49" s="140"/>
      <c r="W49" s="140"/>
      <c r="X49" s="993"/>
      <c r="Y49" s="993"/>
    </row>
    <row r="50" spans="1:25" ht="15.75" customHeight="1" x14ac:dyDescent="0.25">
      <c r="A50" s="911"/>
      <c r="B50" s="911"/>
      <c r="C50" s="911"/>
      <c r="D50" s="911"/>
      <c r="E50" s="911"/>
      <c r="F50" s="911"/>
      <c r="G50" s="911"/>
      <c r="H50" s="911"/>
      <c r="I50" s="911"/>
      <c r="J50" s="911"/>
      <c r="K50" s="911"/>
      <c r="L50" s="911"/>
      <c r="M50" s="911"/>
    </row>
    <row r="51" spans="1:25" ht="15.75" customHeight="1" x14ac:dyDescent="0.25">
      <c r="A51" s="911"/>
      <c r="B51" s="911"/>
      <c r="C51" s="911"/>
      <c r="D51" s="911"/>
      <c r="E51" s="911"/>
      <c r="F51" s="911"/>
      <c r="G51" s="911"/>
      <c r="H51" s="911"/>
      <c r="I51" s="911"/>
      <c r="J51" s="911"/>
      <c r="K51" s="911"/>
      <c r="L51" s="911"/>
      <c r="M51" s="911"/>
    </row>
    <row r="52" spans="1:25" ht="15.75" customHeight="1" x14ac:dyDescent="0.25"/>
    <row r="53" spans="1:25" ht="15.75" customHeight="1" x14ac:dyDescent="0.25">
      <c r="A53" s="910" t="s">
        <v>527</v>
      </c>
    </row>
    <row r="54" spans="1:25" ht="15.75" customHeight="1" x14ac:dyDescent="0.25">
      <c r="A54" s="910" t="s">
        <v>599</v>
      </c>
    </row>
    <row r="55" spans="1:25" ht="15.75" customHeight="1" x14ac:dyDescent="0.25"/>
    <row r="56" spans="1:25" ht="30.6" customHeight="1" x14ac:dyDescent="0.25">
      <c r="A56" s="1240" t="s">
        <v>597</v>
      </c>
      <c r="B56" s="1240"/>
      <c r="C56" s="1240"/>
      <c r="D56" s="1240"/>
      <c r="E56" s="1240"/>
      <c r="F56" s="1240"/>
      <c r="G56" s="1240"/>
      <c r="H56" s="1240"/>
      <c r="I56" s="1240"/>
      <c r="J56" s="1240"/>
      <c r="K56" s="1240"/>
      <c r="L56" s="1240"/>
      <c r="M56" s="1240"/>
      <c r="N56" s="1240"/>
      <c r="O56" s="1240"/>
      <c r="P56" s="1240"/>
      <c r="Q56" s="1240"/>
      <c r="R56" s="1240"/>
      <c r="S56" s="1240"/>
    </row>
  </sheetData>
  <protectedRanges>
    <protectedRange sqref="C21" name="Rango3_3_1_1_1_1_1_1_1_1_2"/>
  </protectedRanges>
  <dataConsolidate/>
  <mergeCells count="143">
    <mergeCell ref="D11:F11"/>
    <mergeCell ref="J11:L11"/>
    <mergeCell ref="M11:O11"/>
    <mergeCell ref="D10:F10"/>
    <mergeCell ref="G10:I10"/>
    <mergeCell ref="J10:L10"/>
    <mergeCell ref="M10:O10"/>
    <mergeCell ref="P32:Q32"/>
    <mergeCell ref="D47:F47"/>
    <mergeCell ref="G47:J47"/>
    <mergeCell ref="M47:P47"/>
    <mergeCell ref="D48:F48"/>
    <mergeCell ref="G48:J48"/>
    <mergeCell ref="M48:P48"/>
    <mergeCell ref="K47:L47"/>
    <mergeCell ref="K48:L48"/>
    <mergeCell ref="O42:P42"/>
    <mergeCell ref="B47:C48"/>
    <mergeCell ref="Q21:R21"/>
    <mergeCell ref="Q22:R22"/>
    <mergeCell ref="B23:C24"/>
    <mergeCell ref="D23:E25"/>
    <mergeCell ref="F23:G25"/>
    <mergeCell ref="H23:H25"/>
    <mergeCell ref="I23:J25"/>
    <mergeCell ref="K23:L25"/>
    <mergeCell ref="Q23:R23"/>
    <mergeCell ref="P25:Q25"/>
    <mergeCell ref="P27:Q27"/>
    <mergeCell ref="N26:O26"/>
    <mergeCell ref="P26:Q26"/>
    <mergeCell ref="P30:Q30"/>
    <mergeCell ref="N27:O27"/>
    <mergeCell ref="N28:O28"/>
    <mergeCell ref="N29:O29"/>
    <mergeCell ref="N30:O30"/>
    <mergeCell ref="P28:Q28"/>
    <mergeCell ref="O43:P43"/>
    <mergeCell ref="O44:P44"/>
    <mergeCell ref="Q39:R39"/>
    <mergeCell ref="Q40:R40"/>
    <mergeCell ref="Q41:R41"/>
    <mergeCell ref="Q42:R42"/>
    <mergeCell ref="Q43:R43"/>
    <mergeCell ref="Q44:R44"/>
    <mergeCell ref="O40:P40"/>
    <mergeCell ref="K42:L42"/>
    <mergeCell ref="K43:L43"/>
    <mergeCell ref="K44:L44"/>
    <mergeCell ref="M39:N39"/>
    <mergeCell ref="M40:N40"/>
    <mergeCell ref="M41:N41"/>
    <mergeCell ref="M42:N42"/>
    <mergeCell ref="M43:N43"/>
    <mergeCell ref="M44:N44"/>
    <mergeCell ref="K40:L40"/>
    <mergeCell ref="G44:H44"/>
    <mergeCell ref="I39:J39"/>
    <mergeCell ref="I40:J40"/>
    <mergeCell ref="I41:J41"/>
    <mergeCell ref="I42:J42"/>
    <mergeCell ref="I43:J43"/>
    <mergeCell ref="I44:J44"/>
    <mergeCell ref="G39:H39"/>
    <mergeCell ref="G40:H40"/>
    <mergeCell ref="G41:H41"/>
    <mergeCell ref="C44:D44"/>
    <mergeCell ref="E39:F39"/>
    <mergeCell ref="E40:F40"/>
    <mergeCell ref="E41:F41"/>
    <mergeCell ref="E42:F42"/>
    <mergeCell ref="E43:F43"/>
    <mergeCell ref="E44:F44"/>
    <mergeCell ref="C42:D42"/>
    <mergeCell ref="G42:H42"/>
    <mergeCell ref="C43:D43"/>
    <mergeCell ref="G43:H43"/>
    <mergeCell ref="M38:N38"/>
    <mergeCell ref="O38:P38"/>
    <mergeCell ref="Q38:R38"/>
    <mergeCell ref="C39:D39"/>
    <mergeCell ref="C40:D40"/>
    <mergeCell ref="C41:D41"/>
    <mergeCell ref="K39:L39"/>
    <mergeCell ref="K41:L41"/>
    <mergeCell ref="O39:P39"/>
    <mergeCell ref="G37:J37"/>
    <mergeCell ref="C38:D38"/>
    <mergeCell ref="E38:F38"/>
    <mergeCell ref="G38:H38"/>
    <mergeCell ref="I38:J38"/>
    <mergeCell ref="K38:L38"/>
    <mergeCell ref="O41:P41"/>
    <mergeCell ref="K37:N37"/>
    <mergeCell ref="O37:R37"/>
    <mergeCell ref="B21:C22"/>
    <mergeCell ref="D21:H21"/>
    <mergeCell ref="D22:H22"/>
    <mergeCell ref="I21:L22"/>
    <mergeCell ref="K36:R36"/>
    <mergeCell ref="B35:R35"/>
    <mergeCell ref="C37:F37"/>
    <mergeCell ref="N25:O25"/>
    <mergeCell ref="F28:G28"/>
    <mergeCell ref="V31:V32"/>
    <mergeCell ref="D30:E30"/>
    <mergeCell ref="D31:E31"/>
    <mergeCell ref="D32:E32"/>
    <mergeCell ref="F30:G30"/>
    <mergeCell ref="F26:G26"/>
    <mergeCell ref="N31:O31"/>
    <mergeCell ref="N32:O32"/>
    <mergeCell ref="P29:Q29"/>
    <mergeCell ref="P31:Q31"/>
    <mergeCell ref="A56:S56"/>
    <mergeCell ref="A1:S5"/>
    <mergeCell ref="A7:S7"/>
    <mergeCell ref="A8:S8"/>
    <mergeCell ref="A14:S14"/>
    <mergeCell ref="A15:S15"/>
    <mergeCell ref="D26:E26"/>
    <mergeCell ref="K31:L31"/>
    <mergeCell ref="D27:E27"/>
    <mergeCell ref="D28:E28"/>
    <mergeCell ref="F29:G29"/>
    <mergeCell ref="B37:B38"/>
    <mergeCell ref="I28:J28"/>
    <mergeCell ref="I29:J29"/>
    <mergeCell ref="I30:J30"/>
    <mergeCell ref="I31:J31"/>
    <mergeCell ref="F31:G31"/>
    <mergeCell ref="F32:G32"/>
    <mergeCell ref="D29:E29"/>
    <mergeCell ref="E17:G17"/>
    <mergeCell ref="K26:L26"/>
    <mergeCell ref="K27:L27"/>
    <mergeCell ref="K28:L28"/>
    <mergeCell ref="K29:L29"/>
    <mergeCell ref="K30:L30"/>
    <mergeCell ref="I17:K17"/>
    <mergeCell ref="I26:J26"/>
    <mergeCell ref="I27:J27"/>
    <mergeCell ref="F27:G27"/>
  </mergeCells>
  <phoneticPr fontId="2" type="noConversion"/>
  <printOptions horizontalCentered="1" verticalCentered="1"/>
  <pageMargins left="0" right="0.39370078740157483" top="0.78740157480314965" bottom="0" header="0" footer="0"/>
  <pageSetup paperSize="9" scale="76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60B8-7C42-4582-B9E4-371330BECBC3}">
  <sheetPr codeName="Hoja13"/>
  <dimension ref="A1:P56"/>
  <sheetViews>
    <sheetView view="pageBreakPreview" zoomScaleNormal="100" zoomScaleSheetLayoutView="100" workbookViewId="0">
      <selection activeCell="J13" sqref="J13"/>
    </sheetView>
  </sheetViews>
  <sheetFormatPr baseColWidth="10" defaultColWidth="11.44140625" defaultRowHeight="13.2" x14ac:dyDescent="0.25"/>
  <cols>
    <col min="1" max="1" width="14.88671875" style="139" customWidth="1"/>
    <col min="2" max="2" width="2.109375" style="139" customWidth="1"/>
    <col min="3" max="6" width="11.88671875" style="139" customWidth="1"/>
    <col min="7" max="7" width="7.33203125" style="139" customWidth="1"/>
    <col min="8" max="8" width="8.109375" style="139" customWidth="1"/>
    <col min="9" max="9" width="2.5546875" style="139" customWidth="1"/>
    <col min="10" max="10" width="12.5546875" style="139" customWidth="1"/>
    <col min="11" max="16384" width="11.44140625" style="139"/>
  </cols>
  <sheetData>
    <row r="1" spans="1:10" ht="15.75" customHeight="1" thickTop="1" x14ac:dyDescent="0.25">
      <c r="A1" s="912"/>
      <c r="B1" s="913"/>
      <c r="C1" s="913"/>
      <c r="D1" s="914"/>
      <c r="E1" s="914"/>
      <c r="F1" s="914"/>
      <c r="G1" s="914"/>
      <c r="H1" s="914"/>
      <c r="I1" s="916"/>
      <c r="J1" s="930"/>
    </row>
    <row r="2" spans="1:10" ht="15.75" customHeight="1" x14ac:dyDescent="0.25">
      <c r="A2" s="915"/>
      <c r="B2" s="889"/>
      <c r="C2" s="889"/>
      <c r="D2" s="931"/>
      <c r="E2" s="931"/>
      <c r="F2" s="931"/>
      <c r="G2" s="931"/>
      <c r="H2" s="931"/>
      <c r="I2" s="932"/>
      <c r="J2" s="933"/>
    </row>
    <row r="3" spans="1:10" ht="15.75" customHeight="1" x14ac:dyDescent="0.25">
      <c r="A3" s="915"/>
      <c r="B3" s="889"/>
      <c r="C3" s="889"/>
      <c r="D3" s="931"/>
      <c r="E3" s="931"/>
      <c r="F3" s="931"/>
      <c r="G3" s="931"/>
      <c r="H3" s="931"/>
      <c r="I3" s="932"/>
      <c r="J3" s="933"/>
    </row>
    <row r="4" spans="1:10" ht="15.75" customHeight="1" x14ac:dyDescent="0.25">
      <c r="A4" s="915"/>
      <c r="B4" s="889"/>
      <c r="C4" s="889"/>
      <c r="D4" s="931"/>
      <c r="E4" s="931"/>
      <c r="F4" s="931"/>
      <c r="G4" s="931"/>
      <c r="H4" s="931"/>
      <c r="I4" s="932"/>
      <c r="J4" s="933"/>
    </row>
    <row r="5" spans="1:10" ht="15.75" customHeight="1" thickBot="1" x14ac:dyDescent="0.3">
      <c r="A5" s="917"/>
      <c r="B5" s="918"/>
      <c r="C5" s="918"/>
      <c r="D5" s="918"/>
      <c r="E5" s="918"/>
      <c r="F5" s="918"/>
      <c r="G5" s="918"/>
      <c r="H5" s="918"/>
      <c r="I5" s="918"/>
      <c r="J5" s="934"/>
    </row>
    <row r="6" spans="1:10" ht="15.75" customHeight="1" thickTop="1" x14ac:dyDescent="0.25">
      <c r="A6" s="919"/>
      <c r="B6" s="919"/>
      <c r="C6" s="919"/>
      <c r="D6" s="919"/>
      <c r="E6" s="919"/>
      <c r="F6" s="919"/>
      <c r="G6" s="919"/>
      <c r="H6" s="919"/>
      <c r="I6" s="919"/>
      <c r="J6" s="919"/>
    </row>
    <row r="7" spans="1:10" ht="15.75" customHeight="1" x14ac:dyDescent="0.25">
      <c r="A7" s="919"/>
      <c r="B7" s="919"/>
      <c r="C7" s="919"/>
      <c r="D7" s="919"/>
      <c r="E7" s="919"/>
      <c r="F7" s="919"/>
      <c r="G7" s="919"/>
      <c r="H7" s="919"/>
      <c r="I7" s="919"/>
      <c r="J7" s="919"/>
    </row>
    <row r="8" spans="1:10" ht="15.75" customHeight="1" x14ac:dyDescent="0.25">
      <c r="A8" s="1342" t="s">
        <v>506</v>
      </c>
      <c r="B8" s="1342"/>
      <c r="C8" s="1342"/>
      <c r="D8" s="1342"/>
      <c r="E8" s="1342"/>
      <c r="F8" s="1342"/>
      <c r="G8" s="1342"/>
      <c r="H8" s="1342"/>
      <c r="I8" s="1342"/>
      <c r="J8" s="1342"/>
    </row>
    <row r="9" spans="1:10" ht="15.75" customHeight="1" x14ac:dyDescent="0.25">
      <c r="A9" s="1343">
        <f>J13</f>
        <v>2</v>
      </c>
      <c r="B9" s="1343"/>
      <c r="C9" s="1343"/>
      <c r="D9" s="1343"/>
      <c r="E9" s="1343"/>
      <c r="F9" s="1343"/>
      <c r="G9" s="1343"/>
      <c r="H9" s="1343"/>
      <c r="I9" s="1343"/>
      <c r="J9" s="1343"/>
    </row>
    <row r="10" spans="1:10" ht="15.75" customHeight="1" x14ac:dyDescent="0.25">
      <c r="A10" s="920"/>
      <c r="B10" s="920"/>
      <c r="C10" s="920"/>
      <c r="D10" s="920"/>
      <c r="E10" s="920"/>
      <c r="F10" s="920"/>
      <c r="G10" s="920"/>
      <c r="H10" s="920"/>
      <c r="I10" s="920"/>
      <c r="J10" s="920"/>
    </row>
    <row r="11" spans="1:10" ht="15.75" customHeight="1" x14ac:dyDescent="0.25">
      <c r="A11" s="921" t="s">
        <v>507</v>
      </c>
      <c r="B11" s="922" t="s">
        <v>0</v>
      </c>
      <c r="C11" s="923" t="s">
        <v>508</v>
      </c>
      <c r="D11" s="924"/>
      <c r="E11" s="924"/>
      <c r="F11" s="924"/>
      <c r="G11" s="924"/>
      <c r="H11" s="925" t="s">
        <v>509</v>
      </c>
      <c r="I11" s="926" t="s">
        <v>0</v>
      </c>
      <c r="J11" s="923" t="s">
        <v>533</v>
      </c>
    </row>
    <row r="12" spans="1:10" ht="15.75" customHeight="1" x14ac:dyDescent="0.25">
      <c r="A12" s="921" t="s">
        <v>510</v>
      </c>
      <c r="B12" s="922" t="s">
        <v>0</v>
      </c>
      <c r="C12" s="923" t="s">
        <v>511</v>
      </c>
      <c r="D12" s="924"/>
      <c r="E12" s="924"/>
      <c r="F12" s="924"/>
      <c r="G12" s="924"/>
      <c r="H12" s="927" t="s">
        <v>512</v>
      </c>
      <c r="I12" s="922" t="s">
        <v>0</v>
      </c>
      <c r="J12" s="928">
        <v>222</v>
      </c>
    </row>
    <row r="13" spans="1:10" ht="15.75" customHeight="1" x14ac:dyDescent="0.25">
      <c r="A13" s="921" t="s">
        <v>513</v>
      </c>
      <c r="B13" s="922" t="s">
        <v>0</v>
      </c>
      <c r="C13" s="923" t="s">
        <v>514</v>
      </c>
      <c r="D13" s="924"/>
      <c r="E13" s="924"/>
      <c r="F13" s="924"/>
      <c r="G13" s="924"/>
      <c r="H13" s="927" t="s">
        <v>515</v>
      </c>
      <c r="I13" s="922" t="s">
        <v>0</v>
      </c>
      <c r="J13" s="937">
        <v>2</v>
      </c>
    </row>
    <row r="14" spans="1:10" ht="15.75" customHeight="1" x14ac:dyDescent="0.25">
      <c r="A14" s="921"/>
      <c r="B14" s="922"/>
      <c r="C14" s="929"/>
      <c r="D14" s="929"/>
      <c r="E14" s="929"/>
      <c r="F14" s="929"/>
      <c r="G14" s="929"/>
      <c r="H14" s="929"/>
      <c r="I14" s="927"/>
      <c r="J14" s="922"/>
    </row>
    <row r="15" spans="1:10" ht="30.6" customHeight="1" x14ac:dyDescent="0.25">
      <c r="A15" s="1344" t="s">
        <v>532</v>
      </c>
      <c r="B15" s="1345"/>
      <c r="C15" s="1345"/>
      <c r="D15" s="1345"/>
      <c r="E15" s="1345"/>
      <c r="F15" s="1345"/>
      <c r="G15" s="1345"/>
      <c r="H15" s="1345"/>
      <c r="I15" s="1345"/>
      <c r="J15" s="1346"/>
    </row>
    <row r="16" spans="1:10" ht="15.75" customHeight="1" x14ac:dyDescent="0.25">
      <c r="A16" s="1347" t="s">
        <v>530</v>
      </c>
      <c r="B16" s="1348"/>
      <c r="C16" s="1348"/>
      <c r="D16" s="1348"/>
      <c r="E16" s="1348"/>
      <c r="F16" s="1348"/>
      <c r="G16" s="1348"/>
      <c r="H16" s="1348"/>
      <c r="I16" s="1348"/>
      <c r="J16" s="1349"/>
    </row>
    <row r="17" spans="1:10" ht="9.6" customHeight="1" x14ac:dyDescent="0.25">
      <c r="A17" s="890"/>
      <c r="B17" s="891"/>
      <c r="C17" s="892"/>
      <c r="D17" s="892"/>
      <c r="E17" s="892"/>
      <c r="F17" s="892"/>
      <c r="G17" s="892"/>
      <c r="H17" s="892"/>
      <c r="I17" s="893"/>
      <c r="J17" s="894"/>
    </row>
    <row r="18" spans="1:10" ht="15.75" customHeight="1" x14ac:dyDescent="0.25">
      <c r="A18" s="895" t="s">
        <v>393</v>
      </c>
      <c r="B18" s="896"/>
      <c r="C18" s="896"/>
      <c r="D18" s="896"/>
      <c r="E18" s="896"/>
      <c r="F18" s="896"/>
      <c r="G18" s="896"/>
      <c r="H18" s="896"/>
      <c r="I18" s="896"/>
      <c r="J18" s="897"/>
    </row>
    <row r="19" spans="1:10" ht="15.75" customHeight="1" x14ac:dyDescent="0.25">
      <c r="A19" s="898" t="s">
        <v>516</v>
      </c>
      <c r="B19" s="899" t="s">
        <v>0</v>
      </c>
      <c r="C19" s="900" t="s">
        <v>517</v>
      </c>
      <c r="D19" s="899"/>
      <c r="E19" s="901"/>
      <c r="F19" s="900"/>
      <c r="G19" s="900"/>
      <c r="H19" s="901"/>
      <c r="I19" s="902" t="s">
        <v>518</v>
      </c>
      <c r="J19" s="903" t="s">
        <v>519</v>
      </c>
    </row>
    <row r="20" spans="1:10" ht="15.75" customHeight="1" x14ac:dyDescent="0.25">
      <c r="A20" s="898" t="s">
        <v>520</v>
      </c>
      <c r="B20" s="899" t="s">
        <v>0</v>
      </c>
      <c r="C20" s="900" t="s">
        <v>521</v>
      </c>
      <c r="D20" s="899"/>
      <c r="E20" s="901"/>
      <c r="F20" s="900"/>
      <c r="G20" s="900"/>
      <c r="H20" s="901"/>
      <c r="I20" s="902" t="s">
        <v>522</v>
      </c>
      <c r="J20" s="904">
        <v>44075</v>
      </c>
    </row>
    <row r="21" spans="1:10" ht="15.75" customHeight="1" x14ac:dyDescent="0.25">
      <c r="A21" s="898" t="s">
        <v>523</v>
      </c>
      <c r="B21" s="899" t="s">
        <v>0</v>
      </c>
      <c r="C21" s="900" t="s">
        <v>524</v>
      </c>
      <c r="D21" s="899"/>
      <c r="E21" s="901"/>
      <c r="F21" s="900"/>
      <c r="G21" s="900"/>
      <c r="H21" s="901"/>
      <c r="I21" s="902" t="s">
        <v>525</v>
      </c>
      <c r="J21" s="904">
        <v>44083</v>
      </c>
    </row>
    <row r="22" spans="1:10" ht="9.6" customHeight="1" x14ac:dyDescent="0.25">
      <c r="A22" s="905"/>
      <c r="B22" s="906"/>
      <c r="C22" s="906"/>
      <c r="D22" s="906"/>
      <c r="E22" s="906"/>
      <c r="F22" s="906"/>
      <c r="G22" s="906"/>
      <c r="H22" s="906"/>
      <c r="I22" s="906"/>
      <c r="J22" s="907"/>
    </row>
    <row r="23" spans="1:10" x14ac:dyDescent="0.25">
      <c r="A23" s="939"/>
      <c r="B23" s="940"/>
      <c r="C23" s="940"/>
      <c r="D23" s="941"/>
      <c r="E23" s="941"/>
      <c r="F23" s="941"/>
      <c r="G23" s="941"/>
      <c r="H23" s="941"/>
      <c r="I23" s="155"/>
      <c r="J23" s="942"/>
    </row>
    <row r="24" spans="1:10" ht="17.399999999999999" customHeight="1" x14ac:dyDescent="0.25">
      <c r="A24" s="943" t="s">
        <v>227</v>
      </c>
      <c r="B24" s="944"/>
      <c r="C24" s="945"/>
      <c r="D24" s="946"/>
      <c r="E24" s="946"/>
      <c r="F24" s="946"/>
      <c r="G24" s="947"/>
      <c r="H24" s="946"/>
      <c r="I24" s="156"/>
      <c r="J24" s="148"/>
    </row>
    <row r="25" spans="1:10" ht="17.399999999999999" customHeight="1" x14ac:dyDescent="0.25">
      <c r="A25" s="141" t="s">
        <v>211</v>
      </c>
      <c r="B25" s="871"/>
      <c r="C25" s="142"/>
      <c r="D25" s="143" t="s">
        <v>78</v>
      </c>
      <c r="E25" s="876" t="s">
        <v>495</v>
      </c>
      <c r="F25" s="876" t="s">
        <v>496</v>
      </c>
      <c r="G25" s="1340" t="s">
        <v>498</v>
      </c>
      <c r="H25" s="1341"/>
      <c r="I25" s="1340" t="s">
        <v>499</v>
      </c>
      <c r="J25" s="1341"/>
    </row>
    <row r="26" spans="1:10" ht="17.399999999999999" customHeight="1" x14ac:dyDescent="0.25">
      <c r="A26" s="1267" t="s">
        <v>213</v>
      </c>
      <c r="B26" s="1268"/>
      <c r="C26" s="145" t="s">
        <v>214</v>
      </c>
      <c r="D26" s="146" t="s">
        <v>215</v>
      </c>
      <c r="E26" s="877" t="s">
        <v>215</v>
      </c>
      <c r="F26" s="877" t="s">
        <v>215</v>
      </c>
      <c r="G26" s="1338" t="s">
        <v>497</v>
      </c>
      <c r="H26" s="1339"/>
      <c r="I26" s="1338" t="s">
        <v>497</v>
      </c>
      <c r="J26" s="1339"/>
    </row>
    <row r="27" spans="1:10" ht="17.399999999999999" customHeight="1" x14ac:dyDescent="0.25">
      <c r="A27" s="1352" t="s">
        <v>9</v>
      </c>
      <c r="B27" s="1353"/>
      <c r="C27" s="149" t="s">
        <v>10</v>
      </c>
      <c r="D27" s="150">
        <f>+'Chatas y Alarga.'!C27</f>
        <v>6252</v>
      </c>
      <c r="E27" s="149">
        <v>102</v>
      </c>
      <c r="F27" s="150">
        <v>6239</v>
      </c>
      <c r="G27" s="1328">
        <f>E31/D31*100</f>
        <v>4.4560357675111772</v>
      </c>
      <c r="H27" s="1329"/>
      <c r="I27" s="1320">
        <f>F31/D31*100</f>
        <v>165.69299552906108</v>
      </c>
      <c r="J27" s="1321"/>
    </row>
    <row r="28" spans="1:10" ht="17.399999999999999" customHeight="1" x14ac:dyDescent="0.25">
      <c r="A28" s="1354" t="s">
        <v>10</v>
      </c>
      <c r="B28" s="1355"/>
      <c r="C28" s="149" t="s">
        <v>11</v>
      </c>
      <c r="D28" s="150">
        <f>+'Chatas y Alarga.'!C28</f>
        <v>2568</v>
      </c>
      <c r="E28" s="149">
        <v>164</v>
      </c>
      <c r="F28" s="150">
        <v>6051</v>
      </c>
      <c r="G28" s="1330"/>
      <c r="H28" s="1331"/>
      <c r="I28" s="1322"/>
      <c r="J28" s="1323"/>
    </row>
    <row r="29" spans="1:10" ht="17.399999999999999" customHeight="1" x14ac:dyDescent="0.25">
      <c r="A29" s="1354" t="s">
        <v>11</v>
      </c>
      <c r="B29" s="1355"/>
      <c r="C29" s="149" t="s">
        <v>12</v>
      </c>
      <c r="D29" s="150">
        <f>+'Chatas y Alarga.'!C29</f>
        <v>3125</v>
      </c>
      <c r="E29" s="149">
        <v>158</v>
      </c>
      <c r="F29" s="150">
        <v>3836</v>
      </c>
      <c r="G29" s="1330"/>
      <c r="H29" s="1331"/>
      <c r="I29" s="1322"/>
      <c r="J29" s="1323"/>
    </row>
    <row r="30" spans="1:10" ht="17.399999999999999" customHeight="1" x14ac:dyDescent="0.25">
      <c r="A30" s="1350" t="s">
        <v>12</v>
      </c>
      <c r="B30" s="1351"/>
      <c r="C30" s="151" t="s">
        <v>13</v>
      </c>
      <c r="D30" s="171">
        <f>+'Chatas y Alarga.'!C30</f>
        <v>1475</v>
      </c>
      <c r="E30" s="151">
        <v>174</v>
      </c>
      <c r="F30" s="171">
        <v>6110</v>
      </c>
      <c r="G30" s="1332"/>
      <c r="H30" s="1333"/>
      <c r="I30" s="1324"/>
      <c r="J30" s="1325"/>
    </row>
    <row r="31" spans="1:10" ht="17.399999999999999" customHeight="1" x14ac:dyDescent="0.25">
      <c r="A31" s="1334" t="s">
        <v>216</v>
      </c>
      <c r="B31" s="1335"/>
      <c r="C31" s="147"/>
      <c r="D31" s="152">
        <f>SUM(D27:D30)</f>
        <v>13420</v>
      </c>
      <c r="E31" s="146">
        <f>SUM(E27:E30)</f>
        <v>598</v>
      </c>
      <c r="F31" s="864">
        <f>SUM(F27:F30)</f>
        <v>22236</v>
      </c>
      <c r="G31" s="1326"/>
      <c r="H31" s="1327"/>
      <c r="I31" s="1326"/>
      <c r="J31" s="1327"/>
    </row>
    <row r="32" spans="1:10" ht="17.399999999999999" customHeight="1" x14ac:dyDescent="0.25">
      <c r="A32" s="155"/>
      <c r="B32" s="155"/>
      <c r="C32" s="155"/>
      <c r="D32" s="155"/>
      <c r="E32" s="155"/>
      <c r="F32" s="140"/>
      <c r="G32" s="140"/>
      <c r="H32" s="140"/>
    </row>
    <row r="33" spans="1:16" ht="17.399999999999999" customHeight="1" x14ac:dyDescent="0.25">
      <c r="A33" s="140"/>
      <c r="B33" s="140"/>
      <c r="C33" s="1360" t="s">
        <v>500</v>
      </c>
      <c r="D33" s="1361"/>
      <c r="E33" s="1362"/>
      <c r="F33" s="140"/>
      <c r="N33" s="1318" t="s">
        <v>501</v>
      </c>
      <c r="O33" s="1318"/>
      <c r="P33" s="1318"/>
    </row>
    <row r="34" spans="1:16" ht="17.399999999999999" customHeight="1" x14ac:dyDescent="0.25">
      <c r="A34" s="140"/>
      <c r="B34" s="140"/>
      <c r="C34" s="1356" t="s">
        <v>504</v>
      </c>
      <c r="D34" s="1357"/>
      <c r="E34" s="878">
        <f>+G27/100+I27/100</f>
        <v>1.7014903129657224</v>
      </c>
      <c r="F34" s="140"/>
      <c r="N34" s="1319" t="s">
        <v>502</v>
      </c>
      <c r="O34" s="1319"/>
      <c r="P34" s="1319"/>
    </row>
    <row r="35" spans="1:16" ht="17.399999999999999" customHeight="1" x14ac:dyDescent="0.25">
      <c r="A35" s="140"/>
      <c r="B35" s="140"/>
      <c r="C35" s="1358" t="s">
        <v>505</v>
      </c>
      <c r="D35" s="1359"/>
      <c r="E35" s="879">
        <f>I27/100</f>
        <v>1.6569299552906107</v>
      </c>
      <c r="F35" s="153"/>
      <c r="N35" s="1319" t="s">
        <v>503</v>
      </c>
      <c r="O35" s="1319"/>
      <c r="P35" s="1319"/>
    </row>
    <row r="36" spans="1:16" x14ac:dyDescent="0.25">
      <c r="A36" s="140"/>
      <c r="B36" s="140"/>
      <c r="C36" s="140"/>
      <c r="D36" s="140"/>
      <c r="E36" s="140"/>
      <c r="F36" s="153"/>
      <c r="G36" s="140"/>
      <c r="H36" s="140"/>
    </row>
    <row r="37" spans="1:16" x14ac:dyDescent="0.25">
      <c r="A37" s="938"/>
      <c r="B37" s="938"/>
      <c r="C37" s="938"/>
      <c r="D37" s="1337"/>
      <c r="E37" s="140"/>
      <c r="F37" s="140"/>
      <c r="G37" s="140"/>
      <c r="H37" s="140"/>
    </row>
    <row r="38" spans="1:16" x14ac:dyDescent="0.25">
      <c r="A38" s="909" t="s">
        <v>526</v>
      </c>
      <c r="B38" s="938"/>
      <c r="C38" s="938"/>
      <c r="D38" s="1337"/>
      <c r="E38" s="140"/>
      <c r="F38" s="140"/>
      <c r="G38" s="140"/>
      <c r="H38" s="140"/>
    </row>
    <row r="39" spans="1:16" x14ac:dyDescent="0.25">
      <c r="A39" s="140"/>
      <c r="B39" s="140"/>
      <c r="C39" s="140"/>
      <c r="D39" s="140"/>
      <c r="E39" s="153"/>
      <c r="H39" s="157"/>
    </row>
    <row r="40" spans="1:16" x14ac:dyDescent="0.25">
      <c r="A40" s="140"/>
      <c r="B40" s="140"/>
      <c r="C40" s="140"/>
      <c r="D40" s="140"/>
      <c r="E40" s="140"/>
    </row>
    <row r="41" spans="1:16" x14ac:dyDescent="0.25">
      <c r="A41" s="140"/>
      <c r="B41" s="140"/>
      <c r="C41" s="140"/>
      <c r="D41" s="140"/>
      <c r="E41" s="140"/>
    </row>
    <row r="42" spans="1:16" x14ac:dyDescent="0.25">
      <c r="A42" s="140"/>
      <c r="B42" s="140"/>
      <c r="C42" s="140"/>
      <c r="D42" s="140"/>
      <c r="E42" s="140"/>
    </row>
    <row r="43" spans="1:16" x14ac:dyDescent="0.25">
      <c r="A43" s="140"/>
      <c r="B43" s="140"/>
      <c r="C43" s="140"/>
      <c r="D43" s="140"/>
      <c r="E43" s="140"/>
    </row>
    <row r="44" spans="1:16" x14ac:dyDescent="0.25">
      <c r="A44" s="140"/>
      <c r="B44" s="140"/>
      <c r="C44" s="140"/>
      <c r="D44" s="140"/>
      <c r="E44" s="140"/>
    </row>
    <row r="45" spans="1:16" x14ac:dyDescent="0.25">
      <c r="A45" s="140"/>
      <c r="B45" s="140"/>
      <c r="C45" s="140"/>
      <c r="D45" s="140"/>
      <c r="E45" s="140"/>
    </row>
    <row r="46" spans="1:16" x14ac:dyDescent="0.25">
      <c r="A46" s="140"/>
      <c r="B46" s="140"/>
      <c r="C46" s="140"/>
      <c r="D46" s="140"/>
      <c r="E46" s="140"/>
    </row>
    <row r="47" spans="1:16" x14ac:dyDescent="0.25">
      <c r="A47" s="140"/>
      <c r="B47" s="140"/>
      <c r="C47" s="140"/>
      <c r="D47" s="140"/>
      <c r="E47" s="140"/>
    </row>
    <row r="48" spans="1:16" x14ac:dyDescent="0.25">
      <c r="A48" s="140"/>
      <c r="B48" s="140"/>
      <c r="C48" s="140"/>
      <c r="D48" s="140"/>
      <c r="E48" s="140"/>
    </row>
    <row r="49" spans="1:10" x14ac:dyDescent="0.25">
      <c r="A49" s="140"/>
      <c r="B49" s="140"/>
      <c r="C49" s="140"/>
      <c r="D49" s="140"/>
      <c r="E49" s="140"/>
    </row>
    <row r="50" spans="1:10" x14ac:dyDescent="0.25">
      <c r="A50" s="140"/>
      <c r="B50" s="140"/>
      <c r="C50" s="140"/>
      <c r="D50" s="140"/>
      <c r="E50" s="140"/>
    </row>
    <row r="51" spans="1:10" x14ac:dyDescent="0.25">
      <c r="A51" s="140"/>
      <c r="B51" s="140"/>
      <c r="C51" s="140"/>
      <c r="D51" s="140"/>
      <c r="E51" s="140"/>
    </row>
    <row r="52" spans="1:10" x14ac:dyDescent="0.25">
      <c r="A52" s="910" t="s">
        <v>527</v>
      </c>
      <c r="B52" s="908"/>
      <c r="C52" s="908"/>
      <c r="D52" s="140"/>
      <c r="E52" s="140"/>
    </row>
    <row r="53" spans="1:10" x14ac:dyDescent="0.25">
      <c r="A53" s="910" t="s">
        <v>528</v>
      </c>
      <c r="B53" s="908"/>
      <c r="C53" s="908"/>
      <c r="D53" s="140"/>
      <c r="E53" s="140"/>
    </row>
    <row r="54" spans="1:10" x14ac:dyDescent="0.25">
      <c r="E54" s="1336"/>
      <c r="F54" s="1336"/>
      <c r="G54" s="140"/>
      <c r="H54" s="140"/>
    </row>
    <row r="56" spans="1:10" ht="30.75" customHeight="1" x14ac:dyDescent="0.25">
      <c r="A56" s="1240" t="s">
        <v>529</v>
      </c>
      <c r="B56" s="1240"/>
      <c r="C56" s="1240"/>
      <c r="D56" s="1240"/>
      <c r="E56" s="1240"/>
      <c r="F56" s="1240"/>
      <c r="G56" s="1240"/>
      <c r="H56" s="1240"/>
      <c r="I56" s="1240"/>
      <c r="J56" s="1240"/>
    </row>
  </sheetData>
  <protectedRanges>
    <protectedRange sqref="C14 C17" name="Rango3_3_1_1_1_1_1_1_1_1_1"/>
    <protectedRange sqref="C12:C13" name="Rango3_3_1_1_1_1_1_1_1_1_1_1"/>
    <protectedRange sqref="C11" name="Rango3_3_1_1_1_1_1_2_1_1"/>
  </protectedRanges>
  <mergeCells count="27">
    <mergeCell ref="A26:B26"/>
    <mergeCell ref="A27:B27"/>
    <mergeCell ref="A28:B28"/>
    <mergeCell ref="A29:B29"/>
    <mergeCell ref="C34:D34"/>
    <mergeCell ref="C35:D35"/>
    <mergeCell ref="C33:E33"/>
    <mergeCell ref="G26:H26"/>
    <mergeCell ref="G25:H25"/>
    <mergeCell ref="G31:H31"/>
    <mergeCell ref="I25:J25"/>
    <mergeCell ref="I26:J26"/>
    <mergeCell ref="A8:J8"/>
    <mergeCell ref="A9:J9"/>
    <mergeCell ref="A15:J15"/>
    <mergeCell ref="A16:J16"/>
    <mergeCell ref="A30:B30"/>
    <mergeCell ref="N33:P33"/>
    <mergeCell ref="N34:P34"/>
    <mergeCell ref="N35:P35"/>
    <mergeCell ref="A56:J56"/>
    <mergeCell ref="I27:J30"/>
    <mergeCell ref="I31:J31"/>
    <mergeCell ref="G27:H30"/>
    <mergeCell ref="A31:B31"/>
    <mergeCell ref="E54:F54"/>
    <mergeCell ref="D37:D38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scale="9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6EC8-9A81-4B34-A487-E1E1808E293A}">
  <sheetPr codeName="Hoja15"/>
  <dimension ref="A1:I45"/>
  <sheetViews>
    <sheetView zoomScaleNormal="100" workbookViewId="0"/>
  </sheetViews>
  <sheetFormatPr baseColWidth="10" defaultColWidth="11.44140625" defaultRowHeight="13.2" x14ac:dyDescent="0.25"/>
  <cols>
    <col min="1" max="1" width="3" style="158" customWidth="1"/>
    <col min="2" max="6" width="11.44140625" style="158"/>
    <col min="7" max="7" width="11.5546875" style="158" bestFit="1" customWidth="1"/>
    <col min="8" max="16384" width="11.44140625" style="158"/>
  </cols>
  <sheetData>
    <row r="1" spans="1:8" ht="10.5" customHeight="1" thickTop="1" x14ac:dyDescent="0.25">
      <c r="A1" s="172" t="s">
        <v>249</v>
      </c>
      <c r="B1" s="233"/>
      <c r="C1" s="233"/>
      <c r="D1" s="233"/>
      <c r="E1" s="233"/>
      <c r="F1" s="233"/>
      <c r="G1" s="233"/>
      <c r="H1" s="234"/>
    </row>
    <row r="2" spans="1:8" ht="10.5" customHeight="1" x14ac:dyDescent="0.25">
      <c r="A2" s="173" t="s">
        <v>250</v>
      </c>
      <c r="B2" s="235"/>
      <c r="C2" s="235"/>
      <c r="D2" s="235"/>
      <c r="E2" s="235"/>
      <c r="F2" s="235"/>
      <c r="G2" s="235"/>
      <c r="H2" s="236"/>
    </row>
    <row r="3" spans="1:8" ht="10.5" customHeight="1" x14ac:dyDescent="0.25">
      <c r="A3" s="174" t="s">
        <v>245</v>
      </c>
      <c r="B3" s="159"/>
      <c r="C3" s="159"/>
      <c r="D3" s="159"/>
      <c r="E3" s="159"/>
      <c r="F3" s="159"/>
      <c r="G3" s="159"/>
      <c r="H3" s="237"/>
    </row>
    <row r="4" spans="1:8" ht="10.5" customHeight="1" x14ac:dyDescent="0.25">
      <c r="A4" s="174" t="s">
        <v>246</v>
      </c>
      <c r="B4" s="140"/>
      <c r="C4" s="140"/>
      <c r="D4" s="140"/>
      <c r="E4" s="140"/>
      <c r="F4" s="140"/>
      <c r="G4" s="140"/>
      <c r="H4" s="239"/>
    </row>
    <row r="5" spans="1:8" ht="10.5" customHeight="1" x14ac:dyDescent="0.25">
      <c r="A5" s="174" t="s">
        <v>247</v>
      </c>
      <c r="B5" s="140"/>
      <c r="C5" s="140"/>
      <c r="D5" s="140"/>
      <c r="E5" s="140"/>
      <c r="F5" s="140"/>
      <c r="G5" s="140"/>
      <c r="H5" s="239"/>
    </row>
    <row r="6" spans="1:8" ht="10.5" customHeight="1" x14ac:dyDescent="0.25">
      <c r="A6" s="174" t="s">
        <v>248</v>
      </c>
      <c r="B6" s="140"/>
      <c r="C6" s="140"/>
      <c r="D6" s="140"/>
      <c r="E6" s="140"/>
      <c r="F6" s="140"/>
      <c r="G6" s="140"/>
      <c r="H6" s="239"/>
    </row>
    <row r="7" spans="1:8" ht="3.75" customHeight="1" thickBot="1" x14ac:dyDescent="0.3">
      <c r="A7" s="229"/>
      <c r="B7" s="240"/>
      <c r="C7" s="240"/>
      <c r="D7" s="240"/>
      <c r="E7" s="240"/>
      <c r="F7" s="240"/>
      <c r="G7" s="240"/>
      <c r="H7" s="241"/>
    </row>
    <row r="8" spans="1:8" ht="12.75" customHeight="1" thickTop="1" x14ac:dyDescent="0.25">
      <c r="A8" s="238"/>
      <c r="B8" s="140"/>
      <c r="C8" s="140"/>
      <c r="D8" s="140"/>
      <c r="E8" s="140"/>
      <c r="F8" s="140"/>
      <c r="G8" s="140"/>
      <c r="H8" s="140"/>
    </row>
    <row r="9" spans="1:8" x14ac:dyDescent="0.25">
      <c r="A9" s="138"/>
      <c r="B9" s="139"/>
      <c r="C9" s="139"/>
      <c r="D9" s="139"/>
      <c r="E9" s="139"/>
      <c r="F9" s="139"/>
      <c r="G9" s="139"/>
      <c r="H9" s="139"/>
    </row>
    <row r="10" spans="1:8" x14ac:dyDescent="0.25">
      <c r="A10" s="138"/>
      <c r="B10" s="139"/>
      <c r="C10" s="139"/>
      <c r="D10" s="139"/>
      <c r="E10" s="139"/>
      <c r="F10" s="139"/>
      <c r="G10" s="139"/>
      <c r="H10" s="139"/>
    </row>
    <row r="11" spans="1:8" x14ac:dyDescent="0.25">
      <c r="A11" s="1229" t="s">
        <v>219</v>
      </c>
      <c r="B11" s="1229"/>
      <c r="C11" s="1229"/>
      <c r="D11" s="1229"/>
      <c r="E11" s="1229"/>
      <c r="F11" s="1229"/>
      <c r="G11" s="1229"/>
      <c r="H11" s="1229"/>
    </row>
    <row r="12" spans="1:8" x14ac:dyDescent="0.25">
      <c r="A12" s="1372" t="s">
        <v>220</v>
      </c>
      <c r="B12" s="1372"/>
      <c r="C12" s="1372"/>
      <c r="D12" s="1372"/>
      <c r="E12" s="1372"/>
      <c r="F12" s="1372"/>
      <c r="G12" s="1372"/>
      <c r="H12" s="1372"/>
    </row>
    <row r="13" spans="1:8" x14ac:dyDescent="0.25">
      <c r="A13" s="1372" t="s">
        <v>221</v>
      </c>
      <c r="B13" s="1372"/>
      <c r="C13" s="1372"/>
      <c r="D13" s="1372"/>
      <c r="E13" s="1372"/>
      <c r="F13" s="1372"/>
      <c r="G13" s="1372"/>
      <c r="H13" s="1372"/>
    </row>
    <row r="16" spans="1:8" x14ac:dyDescent="0.25">
      <c r="A16" s="158" t="e">
        <f>+Datos!#REF!</f>
        <v>#REF!</v>
      </c>
      <c r="C16" s="163" t="e">
        <f>+Datos!#REF!</f>
        <v>#REF!</v>
      </c>
      <c r="D16" s="163"/>
    </row>
    <row r="17" spans="1:8" x14ac:dyDescent="0.25">
      <c r="A17" s="158" t="e">
        <f>+Datos!#REF!</f>
        <v>#REF!</v>
      </c>
      <c r="C17" s="163" t="e">
        <f>+Datos!#REF!</f>
        <v>#REF!</v>
      </c>
      <c r="D17" s="164"/>
    </row>
    <row r="18" spans="1:8" x14ac:dyDescent="0.25">
      <c r="A18" s="158" t="e">
        <f>+Datos!#REF!</f>
        <v>#REF!</v>
      </c>
      <c r="C18" s="168" t="e">
        <f>+Datos!#REF!</f>
        <v>#REF!</v>
      </c>
      <c r="D18" s="164"/>
      <c r="F18" s="158">
        <f>+Datos!H9</f>
        <v>0</v>
      </c>
      <c r="G18" s="170">
        <f>+Datos!K9</f>
        <v>0</v>
      </c>
      <c r="H18" s="163"/>
    </row>
    <row r="19" spans="1:8" x14ac:dyDescent="0.25">
      <c r="C19" s="169"/>
    </row>
    <row r="20" spans="1:8" x14ac:dyDescent="0.25">
      <c r="A20" s="158" t="str">
        <f>+Datos!A8</f>
        <v>Solicitado   :</v>
      </c>
      <c r="C20" s="163"/>
    </row>
    <row r="21" spans="1:8" x14ac:dyDescent="0.25">
      <c r="A21" s="158" t="str">
        <f>+Datos!A9</f>
        <v>Proyecto    :</v>
      </c>
      <c r="C21" s="163" t="str">
        <f>+Datos!D9</f>
        <v>Tunel de Puruchuco</v>
      </c>
      <c r="D21" s="163"/>
    </row>
    <row r="22" spans="1:8" x14ac:dyDescent="0.25">
      <c r="A22" s="158" t="str">
        <f>+Datos!A10</f>
        <v>Ubicación   :</v>
      </c>
      <c r="C22" s="163" t="str">
        <f>+Datos!D10</f>
        <v>Av. Javier Prado S/N Alt. Huaca de Puruchuco</v>
      </c>
      <c r="D22" s="164"/>
    </row>
    <row r="23" spans="1:8" x14ac:dyDescent="0.25">
      <c r="A23" s="158" t="str">
        <f>+Datos!A11</f>
        <v>Cantera      :</v>
      </c>
      <c r="C23" s="163" t="str">
        <f>+Datos!D11</f>
        <v>Cantera Dorita</v>
      </c>
      <c r="D23" s="164"/>
    </row>
    <row r="26" spans="1:8" x14ac:dyDescent="0.25">
      <c r="A26" s="1373" t="s">
        <v>222</v>
      </c>
      <c r="B26" s="1373"/>
      <c r="C26" s="1373"/>
      <c r="D26" s="1373"/>
      <c r="E26" s="1373"/>
      <c r="F26" s="1373"/>
      <c r="G26" s="1373"/>
      <c r="H26" s="1373"/>
    </row>
    <row r="29" spans="1:8" x14ac:dyDescent="0.25">
      <c r="A29" s="1374" t="s">
        <v>78</v>
      </c>
      <c r="B29" s="1363" t="s">
        <v>223</v>
      </c>
      <c r="C29" s="1364"/>
      <c r="D29" s="1364"/>
      <c r="E29" s="1364"/>
      <c r="F29" s="1365"/>
      <c r="G29" s="1367">
        <v>1582.4</v>
      </c>
      <c r="H29" s="1369" t="s">
        <v>224</v>
      </c>
    </row>
    <row r="30" spans="1:8" x14ac:dyDescent="0.25">
      <c r="A30" s="1375"/>
      <c r="B30" s="1334"/>
      <c r="C30" s="1366"/>
      <c r="D30" s="1366"/>
      <c r="E30" s="1366"/>
      <c r="F30" s="1335"/>
      <c r="G30" s="1368"/>
      <c r="H30" s="1370"/>
    </row>
    <row r="31" spans="1:8" x14ac:dyDescent="0.25">
      <c r="A31" s="165" t="s">
        <v>79</v>
      </c>
      <c r="B31" s="1363" t="s">
        <v>225</v>
      </c>
      <c r="C31" s="1364"/>
      <c r="D31" s="1364"/>
      <c r="E31" s="1364"/>
      <c r="F31" s="1365"/>
      <c r="G31" s="1367"/>
      <c r="H31" s="1369" t="s">
        <v>224</v>
      </c>
    </row>
    <row r="32" spans="1:8" x14ac:dyDescent="0.25">
      <c r="A32" s="147"/>
      <c r="B32" s="1334"/>
      <c r="C32" s="1366"/>
      <c r="D32" s="1366"/>
      <c r="E32" s="1366"/>
      <c r="F32" s="1335"/>
      <c r="G32" s="1368"/>
      <c r="H32" s="1370"/>
    </row>
    <row r="33" spans="4:9" x14ac:dyDescent="0.25">
      <c r="G33" s="162"/>
    </row>
    <row r="37" spans="4:9" x14ac:dyDescent="0.25">
      <c r="D37" s="166" t="s">
        <v>226</v>
      </c>
      <c r="F37" s="167">
        <f>+((G29-G31)/G29*100)/100</f>
        <v>1</v>
      </c>
    </row>
    <row r="45" spans="4:9" x14ac:dyDescent="0.25">
      <c r="D45" s="1371"/>
      <c r="E45" s="1371"/>
      <c r="F45" s="1371"/>
      <c r="G45" s="1371"/>
      <c r="H45" s="1371"/>
      <c r="I45" s="139"/>
    </row>
  </sheetData>
  <mergeCells count="13">
    <mergeCell ref="D45:F45"/>
    <mergeCell ref="G45:H45"/>
    <mergeCell ref="A11:H11"/>
    <mergeCell ref="A12:H12"/>
    <mergeCell ref="A13:H13"/>
    <mergeCell ref="A26:H26"/>
    <mergeCell ref="A29:A30"/>
    <mergeCell ref="B29:F30"/>
    <mergeCell ref="G29:G30"/>
    <mergeCell ref="H29:H30"/>
    <mergeCell ref="B31:F32"/>
    <mergeCell ref="G31:G32"/>
    <mergeCell ref="H31:H32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21</vt:i4>
      </vt:variant>
    </vt:vector>
  </HeadingPairs>
  <TitlesOfParts>
    <vt:vector size="38" baseType="lpstr">
      <vt:lpstr>Gran-LLyLP</vt:lpstr>
      <vt:lpstr>Proctor</vt:lpstr>
      <vt:lpstr>Datos</vt:lpstr>
      <vt:lpstr>Grafico CBR</vt:lpstr>
      <vt:lpstr>Apoyo</vt:lpstr>
      <vt:lpstr>E_A</vt:lpstr>
      <vt:lpstr>ABRASION</vt:lpstr>
      <vt:lpstr>G_E</vt:lpstr>
      <vt:lpstr>Sucs</vt:lpstr>
      <vt:lpstr>Aashto</vt:lpstr>
      <vt:lpstr>Apoyo 2</vt:lpstr>
      <vt:lpstr>Sedimentación</vt:lpstr>
      <vt:lpstr>H.N</vt:lpstr>
      <vt:lpstr>Chatas y Alarga.</vt:lpstr>
      <vt:lpstr>PLANAS Y ALARGADAS</vt:lpstr>
      <vt:lpstr>Caras Fracturadas</vt:lpstr>
      <vt:lpstr>% que pasa # 200</vt:lpstr>
      <vt:lpstr>'% que pasa # 200'!Área_de_impresión</vt:lpstr>
      <vt:lpstr>Aashto!Área_de_impresión</vt:lpstr>
      <vt:lpstr>ABRASION!Área_de_impresión</vt:lpstr>
      <vt:lpstr>'Caras Fracturadas'!Área_de_impresión</vt:lpstr>
      <vt:lpstr>'Chatas y Alarga.'!Área_de_impresión</vt:lpstr>
      <vt:lpstr>Datos!Área_de_impresión</vt:lpstr>
      <vt:lpstr>E_A!Área_de_impresión</vt:lpstr>
      <vt:lpstr>G_E!Área_de_impresión</vt:lpstr>
      <vt:lpstr>'Grafico CBR'!Área_de_impresión</vt:lpstr>
      <vt:lpstr>'Gran-LLyLP'!Área_de_impresión</vt:lpstr>
      <vt:lpstr>H.N!Área_de_impresión</vt:lpstr>
      <vt:lpstr>'PLANAS Y ALARGADAS'!Área_de_impresión</vt:lpstr>
      <vt:lpstr>Proctor!Área_de_impresión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Company>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kevin skibidi</cp:lastModifiedBy>
  <cp:lastPrinted>2025-08-04T20:08:01Z</cp:lastPrinted>
  <dcterms:created xsi:type="dcterms:W3CDTF">2001-07-17T22:05:44Z</dcterms:created>
  <dcterms:modified xsi:type="dcterms:W3CDTF">2026-03-04T14:02:18Z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-1321544066</vt:i4>
  </property>
  <property fmtid="{D5CDD505-2E9C-101B-9397-08002B2CF9AE}" pid="3" name="_EmailSubject">
    <vt:lpwstr>Modelo de Presentación de Ensayos de Laboratorio</vt:lpwstr>
  </property>
  <property fmtid="{D5CDD505-2E9C-101B-9397-08002B2CF9AE}" pid="4" name="_AuthorEmail">
    <vt:lpwstr>procha@odebrecht.com</vt:lpwstr>
  </property>
  <property fmtid="{D5CDD505-2E9C-101B-9397-08002B2CF9AE}" pid="5" name="_AuthorEmailDisplayName">
    <vt:lpwstr>Paolo Rocha</vt:lpwstr>
  </property>
  <property fmtid="{D5CDD505-2E9C-101B-9397-08002B2CF9AE}" pid="6" name="_ReviewingToolsShownOnce">
    <vt:lpwstr/>
  </property>
</Properties>
</file>