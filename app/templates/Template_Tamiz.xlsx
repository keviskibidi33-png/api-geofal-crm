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"/>
    </mc:Choice>
  </mc:AlternateContent>
  <xr:revisionPtr revIDLastSave="0" documentId="8_{8E422B42-8465-41DB-964E-0520AA139D73}" xr6:coauthVersionLast="47" xr6:coauthVersionMax="47" xr10:uidLastSave="{00000000-0000-0000-0000-000000000000}"/>
  <bookViews>
    <workbookView xWindow="-108" yWindow="-108" windowWidth="23256" windowHeight="12456" tabRatio="723" xr2:uid="{00000000-000D-0000-FFFF-FFFF00000000}"/>
  </bookViews>
  <sheets>
    <sheet name="GG" sheetId="91" r:id="rId1"/>
    <sheet name="Hoja1" sheetId="49" state="hidden" r:id="rId2"/>
  </sheets>
  <definedNames>
    <definedName name="_xlnm.Print_Area" localSheetId="0">GG!$A$1:$L$48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49" l="1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A5" i="49" l="1"/>
  <c r="B5" i="49" l="1"/>
  <c r="A7" i="49" s="1"/>
  <c r="C5" i="49" l="1"/>
  <c r="B7" i="49"/>
  <c r="C7" i="49" s="1"/>
</calcChain>
</file>

<file path=xl/sharedStrings.xml><?xml version="1.0" encoding="utf-8"?>
<sst xmlns="http://schemas.openxmlformats.org/spreadsheetml/2006/main" count="85" uniqueCount="73">
  <si>
    <t>FC</t>
  </si>
  <si>
    <t>F. MOLDEO</t>
  </si>
  <si>
    <t>DESCRIPCION</t>
  </si>
  <si>
    <t>DIA</t>
  </si>
  <si>
    <t>DIAMETRO</t>
  </si>
  <si>
    <t>AREA</t>
  </si>
  <si>
    <t>CARGA</t>
  </si>
  <si>
    <t>RESIS. CONCRETO</t>
  </si>
  <si>
    <t>% RESIS</t>
  </si>
  <si>
    <t>CODIGO</t>
  </si>
  <si>
    <t>CONCATENADOS</t>
  </si>
  <si>
    <t>TIPO DE FALLA</t>
  </si>
  <si>
    <t>E</t>
  </si>
  <si>
    <t>F</t>
  </si>
  <si>
    <t>Columnas C-9;5-3/G.H</t>
  </si>
  <si>
    <t>LABORATORIO DE ENSAYO DE MATERIALES</t>
  </si>
  <si>
    <t>Página 1 de 1</t>
  </si>
  <si>
    <t>WEB: www.geofal.com.pe   E-MAIL: laboratorio@geofal.com.pe / geofal.sac@gmail.com                                                                                                                         Av. Marañon 763, Los Olivos-Lima / Teléfono  01 522-1851</t>
  </si>
  <si>
    <t>Nº</t>
  </si>
  <si>
    <t>DESCRIPCIÓN</t>
  </si>
  <si>
    <t>Observaciones:</t>
  </si>
  <si>
    <t>FORMATO N° F-LEM-P-AG-23.01</t>
  </si>
  <si>
    <t>Equipo utilizado</t>
  </si>
  <si>
    <t>Código</t>
  </si>
  <si>
    <t>Balanza 0.1 g</t>
  </si>
  <si>
    <t>Horno 110ºC</t>
  </si>
  <si>
    <t>Tamiz No. 200</t>
  </si>
  <si>
    <t>Prohibido reproducir sin  autorización</t>
  </si>
  <si>
    <t>DATOS</t>
  </si>
  <si>
    <t>Masa del recipiente</t>
  </si>
  <si>
    <t>Masa del recipiente+ muestra seca</t>
  </si>
  <si>
    <t>Masa del recipiente+ muestra seca constante</t>
  </si>
  <si>
    <t>Masa seca original de la muestra</t>
  </si>
  <si>
    <t>masa del recipiente +  muestra seca despues del lavado</t>
  </si>
  <si>
    <t>masa del recipiente +  muestra seca despues del lavado, constante</t>
  </si>
  <si>
    <t>Masa seca de la muestra después del lavado</t>
  </si>
  <si>
    <r>
      <t xml:space="preserve">Porcentaje de material mas fino que un tamiz 75 </t>
    </r>
    <r>
      <rPr>
        <sz val="9"/>
        <rFont val="Calibri"/>
        <family val="2"/>
      </rPr>
      <t>µ</t>
    </r>
    <r>
      <rPr>
        <sz val="9"/>
        <rFont val="Arial"/>
        <family val="2"/>
      </rPr>
      <t>m (N° 200) por lavado</t>
    </r>
  </si>
  <si>
    <t>g</t>
  </si>
  <si>
    <t>%</t>
  </si>
  <si>
    <t xml:space="preserve">Procedimiento A: lavado con agua </t>
  </si>
  <si>
    <t>Procedimiento B: lavado con agente humectante</t>
  </si>
  <si>
    <t>Marca con "X"</t>
  </si>
  <si>
    <t>Peso mínimo
(g)</t>
  </si>
  <si>
    <t>Tamaño máximo nominal</t>
  </si>
  <si>
    <t>Perdida adicional de la masa seca &lt;1%</t>
  </si>
  <si>
    <t>UND.</t>
  </si>
  <si>
    <t>A</t>
  </si>
  <si>
    <t>B</t>
  </si>
  <si>
    <t>C</t>
  </si>
  <si>
    <t>D</t>
  </si>
  <si>
    <t>G</t>
  </si>
  <si>
    <t>H</t>
  </si>
  <si>
    <t>(C - A)</t>
  </si>
  <si>
    <t>(F - A)</t>
  </si>
  <si>
    <t>(D-G)/D*100</t>
  </si>
  <si>
    <t>Standard Test Method for Materials Finer than 75-μm (No. 200) Sieve in Mineral Aggregates by Washing</t>
  </si>
  <si>
    <t>No. 4 o menos</t>
  </si>
  <si>
    <t>Tamaño máximo nominal muestra (visual) (in):</t>
  </si>
  <si>
    <t>Más grande No. 4 hasta 3/8 in</t>
  </si>
  <si>
    <t>Más grande 3/8 in hasta 3/4 in</t>
  </si>
  <si>
    <t>Más grande 3/4 in</t>
  </si>
  <si>
    <t>Tamiz No. 16</t>
  </si>
  <si>
    <t xml:space="preserve"> ASTM C117-23</t>
  </si>
  <si>
    <t>Versión: 04 (01-02-2024)</t>
  </si>
  <si>
    <t>Fuente: Elaboración propia en base a la Norma ASTM C117-23.</t>
  </si>
  <si>
    <t>EQP-0046</t>
  </si>
  <si>
    <t>EQP-0049</t>
  </si>
  <si>
    <t>INS-0199</t>
  </si>
  <si>
    <t>INS-0171</t>
  </si>
  <si>
    <t>MUESTRA</t>
  </si>
  <si>
    <t>N° OT</t>
  </si>
  <si>
    <t>FECHA DE ENSAYO</t>
  </si>
  <si>
    <t>REALIZADO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</si>
</sst>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\ &quot;/ CO-06&quot;"/>
    <numFmt numFmtId="166" formatCode="&quot;FORMATO F-LEM-P-SU-11.01&quot;"/>
  </numFmts>
  <fonts count="22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b/>
      <sz val="8"/>
      <name val="Arial"/>
      <family val="2"/>
    </font>
    <font>
      <sz val="11"/>
      <name val="Arial"/>
      <family val="2"/>
    </font>
    <font>
      <b/>
      <u/>
      <sz val="11"/>
      <name val="Arial"/>
      <family val="2"/>
    </font>
    <font>
      <sz val="8"/>
      <color rgb="FF0000FF"/>
      <name val="Arial"/>
      <family val="2"/>
    </font>
    <font>
      <b/>
      <u/>
      <sz val="10"/>
      <name val="Arial"/>
      <family val="2"/>
    </font>
    <font>
      <b/>
      <sz val="11"/>
      <name val="Arial"/>
      <family val="2"/>
    </font>
    <font>
      <b/>
      <sz val="9"/>
      <name val="Arial"/>
      <family val="2"/>
    </font>
    <font>
      <sz val="9"/>
      <name val="Calibri"/>
      <family val="2"/>
    </font>
    <font>
      <u/>
      <sz val="9"/>
      <name val="Arial"/>
      <family val="2"/>
    </font>
    <font>
      <sz val="8"/>
      <name val="Arial"/>
      <family val="2"/>
    </font>
    <font>
      <sz val="9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1" fillId="0" borderId="0"/>
  </cellStyleXfs>
  <cellXfs count="127">
    <xf numFmtId="0" fontId="0" fillId="0" borderId="0" xfId="0"/>
    <xf numFmtId="0" fontId="0" fillId="0" borderId="1" xfId="0" applyBorder="1"/>
    <xf numFmtId="2" fontId="4" fillId="3" borderId="1" xfId="0" applyNumberFormat="1" applyFont="1" applyFill="1" applyBorder="1" applyAlignment="1">
      <alignment vertical="center" wrapText="1"/>
    </xf>
    <xf numFmtId="10" fontId="5" fillId="3" borderId="1" xfId="0" applyNumberFormat="1" applyFon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0" fontId="6" fillId="0" borderId="1" xfId="0" applyFont="1" applyBorder="1" applyAlignment="1">
      <alignment horizontal="center"/>
    </xf>
    <xf numFmtId="0" fontId="9" fillId="0" borderId="1" xfId="0" applyFont="1" applyBorder="1"/>
    <xf numFmtId="16" fontId="9" fillId="0" borderId="1" xfId="0" applyNumberFormat="1" applyFont="1" applyBorder="1"/>
    <xf numFmtId="2" fontId="9" fillId="0" borderId="1" xfId="0" applyNumberFormat="1" applyFont="1" applyBorder="1"/>
    <xf numFmtId="2" fontId="10" fillId="3" borderId="1" xfId="0" applyNumberFormat="1" applyFont="1" applyFill="1" applyBorder="1" applyAlignment="1">
      <alignment vertical="center" wrapText="1"/>
    </xf>
    <xf numFmtId="165" fontId="6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2" fillId="3" borderId="0" xfId="0" applyFont="1" applyFill="1" applyAlignment="1">
      <alignment vertical="center"/>
    </xf>
    <xf numFmtId="0" fontId="7" fillId="3" borderId="0" xfId="0" applyFont="1" applyFill="1" applyAlignment="1">
      <alignment vertical="center"/>
    </xf>
    <xf numFmtId="0" fontId="2" fillId="3" borderId="3" xfId="0" applyFont="1" applyFill="1" applyBorder="1" applyAlignment="1">
      <alignment vertical="center"/>
    </xf>
    <xf numFmtId="0" fontId="2" fillId="3" borderId="4" xfId="0" applyFont="1" applyFill="1" applyBorder="1" applyAlignment="1">
      <alignment vertical="center"/>
    </xf>
    <xf numFmtId="0" fontId="7" fillId="3" borderId="4" xfId="0" applyFont="1" applyFill="1" applyBorder="1" applyAlignment="1">
      <alignment vertical="center"/>
    </xf>
    <xf numFmtId="0" fontId="2" fillId="3" borderId="6" xfId="0" applyFont="1" applyFill="1" applyBorder="1" applyAlignment="1">
      <alignment vertical="center"/>
    </xf>
    <xf numFmtId="0" fontId="11" fillId="2" borderId="0" xfId="3" applyFont="1" applyFill="1" applyAlignment="1">
      <alignment vertical="center"/>
    </xf>
    <xf numFmtId="0" fontId="11" fillId="2" borderId="0" xfId="3" applyFont="1" applyFill="1" applyAlignment="1">
      <alignment horizontal="center" vertical="center"/>
    </xf>
    <xf numFmtId="0" fontId="2" fillId="0" borderId="0" xfId="0" applyFont="1" applyAlignment="1" applyProtection="1">
      <alignment vertical="center"/>
      <protection hidden="1"/>
    </xf>
    <xf numFmtId="0" fontId="6" fillId="2" borderId="0" xfId="0" applyFont="1" applyFill="1" applyAlignment="1">
      <alignment horizontal="left" vertical="center" wrapText="1"/>
    </xf>
    <xf numFmtId="0" fontId="6" fillId="3" borderId="0" xfId="0" applyFont="1" applyFill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4" fillId="3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6" fillId="0" borderId="0" xfId="0" applyFont="1" applyAlignment="1" applyProtection="1">
      <alignment horizontal="left" vertical="center"/>
      <protection hidden="1"/>
    </xf>
    <xf numFmtId="0" fontId="16" fillId="2" borderId="8" xfId="0" applyFont="1" applyFill="1" applyBorder="1" applyAlignment="1">
      <alignment vertical="center"/>
    </xf>
    <xf numFmtId="0" fontId="16" fillId="2" borderId="2" xfId="0" applyFont="1" applyFill="1" applyBorder="1" applyAlignment="1">
      <alignment vertical="center"/>
    </xf>
    <xf numFmtId="0" fontId="16" fillId="2" borderId="9" xfId="0" applyFont="1" applyFill="1" applyBorder="1" applyAlignment="1">
      <alignment vertical="center"/>
    </xf>
    <xf numFmtId="0" fontId="16" fillId="2" borderId="0" xfId="0" applyFont="1" applyFill="1" applyAlignment="1">
      <alignment vertical="center"/>
    </xf>
    <xf numFmtId="0" fontId="1" fillId="0" borderId="0" xfId="0" applyFont="1" applyAlignment="1" applyProtection="1">
      <alignment vertical="center"/>
      <protection hidden="1"/>
    </xf>
    <xf numFmtId="0" fontId="12" fillId="0" borderId="15" xfId="0" applyFont="1" applyBorder="1" applyAlignment="1" applyProtection="1">
      <alignment vertical="center"/>
      <protection hidden="1"/>
    </xf>
    <xf numFmtId="0" fontId="12" fillId="0" borderId="14" xfId="0" applyFont="1" applyBorder="1" applyAlignment="1" applyProtection="1">
      <alignment vertical="center"/>
      <protection hidden="1"/>
    </xf>
    <xf numFmtId="166" fontId="13" fillId="0" borderId="0" xfId="0" applyNumberFormat="1" applyFont="1" applyAlignment="1" applyProtection="1">
      <alignment horizontal="center" vertical="center"/>
      <protection hidden="1"/>
    </xf>
    <xf numFmtId="0" fontId="12" fillId="0" borderId="12" xfId="0" applyFont="1" applyBorder="1" applyAlignment="1" applyProtection="1">
      <alignment vertical="center"/>
      <protection hidden="1"/>
    </xf>
    <xf numFmtId="0" fontId="12" fillId="0" borderId="11" xfId="0" applyFont="1" applyBorder="1" applyAlignment="1" applyProtection="1">
      <alignment vertical="center"/>
      <protection hidden="1"/>
    </xf>
    <xf numFmtId="0" fontId="12" fillId="0" borderId="13" xfId="0" applyFont="1" applyBorder="1" applyAlignment="1" applyProtection="1">
      <alignment vertical="center"/>
      <protection hidden="1"/>
    </xf>
    <xf numFmtId="0" fontId="12" fillId="0" borderId="16" xfId="0" applyFont="1" applyBorder="1" applyAlignment="1" applyProtection="1">
      <alignment vertical="center"/>
      <protection hidden="1"/>
    </xf>
    <xf numFmtId="0" fontId="12" fillId="0" borderId="10" xfId="0" applyFont="1" applyBorder="1" applyAlignment="1" applyProtection="1">
      <alignment vertical="center"/>
      <protection hidden="1"/>
    </xf>
    <xf numFmtId="0" fontId="6" fillId="2" borderId="10" xfId="0" applyFont="1" applyFill="1" applyBorder="1" applyAlignment="1" applyProtection="1">
      <alignment horizontal="center" vertical="center"/>
      <protection hidden="1"/>
    </xf>
    <xf numFmtId="0" fontId="8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6" fillId="2" borderId="0" xfId="0" applyFont="1" applyFill="1" applyAlignment="1" applyProtection="1">
      <alignment horizontal="center" vertical="center"/>
      <protection hidden="1"/>
    </xf>
    <xf numFmtId="2" fontId="6" fillId="0" borderId="1" xfId="0" applyNumberFormat="1" applyFont="1" applyBorder="1" applyAlignment="1">
      <alignment horizontal="center" vertical="center"/>
    </xf>
    <xf numFmtId="0" fontId="8" fillId="0" borderId="18" xfId="0" applyFont="1" applyBorder="1" applyAlignment="1">
      <alignment vertical="center"/>
    </xf>
    <xf numFmtId="0" fontId="8" fillId="0" borderId="20" xfId="0" applyFont="1" applyBorder="1" applyAlignment="1">
      <alignment vertical="center"/>
    </xf>
    <xf numFmtId="0" fontId="19" fillId="0" borderId="18" xfId="0" applyFont="1" applyBorder="1" applyAlignment="1">
      <alignment vertical="center"/>
    </xf>
    <xf numFmtId="0" fontId="8" fillId="0" borderId="20" xfId="0" applyFont="1" applyBorder="1" applyAlignment="1">
      <alignment horizontal="center" vertical="center"/>
    </xf>
    <xf numFmtId="0" fontId="11" fillId="0" borderId="20" xfId="0" applyFont="1" applyBorder="1" applyAlignment="1">
      <alignment horizontal="left" vertical="center"/>
    </xf>
    <xf numFmtId="0" fontId="8" fillId="0" borderId="20" xfId="0" quotePrefix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12" fillId="0" borderId="1" xfId="0" applyFont="1" applyBorder="1" applyAlignment="1" applyProtection="1">
      <alignment vertical="center"/>
      <protection hidden="1"/>
    </xf>
    <xf numFmtId="0" fontId="2" fillId="0" borderId="1" xfId="0" applyFont="1" applyBorder="1" applyAlignment="1">
      <alignment vertical="center"/>
    </xf>
    <xf numFmtId="0" fontId="19" fillId="0" borderId="20" xfId="0" applyFont="1" applyBorder="1" applyAlignment="1">
      <alignment vertical="center"/>
    </xf>
    <xf numFmtId="0" fontId="8" fillId="0" borderId="18" xfId="0" applyFont="1" applyBorder="1" applyAlignment="1" applyProtection="1">
      <alignment vertical="center"/>
      <protection hidden="1"/>
    </xf>
    <xf numFmtId="0" fontId="12" fillId="0" borderId="20" xfId="0" applyFont="1" applyBorder="1" applyAlignment="1" applyProtection="1">
      <alignment vertical="center"/>
      <protection hidden="1"/>
    </xf>
    <xf numFmtId="0" fontId="12" fillId="0" borderId="19" xfId="0" applyFont="1" applyBorder="1" applyAlignment="1" applyProtection="1">
      <alignment vertical="center"/>
      <protection hidden="1"/>
    </xf>
    <xf numFmtId="0" fontId="2" fillId="0" borderId="20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10" xfId="0" applyFont="1" applyBorder="1" applyAlignment="1" applyProtection="1">
      <alignment vertical="center"/>
      <protection hidden="1"/>
    </xf>
    <xf numFmtId="0" fontId="6" fillId="3" borderId="10" xfId="0" applyFont="1" applyFill="1" applyBorder="1" applyAlignment="1" applyProtection="1">
      <alignment horizontal="left" vertical="center"/>
      <protection hidden="1"/>
    </xf>
    <xf numFmtId="0" fontId="15" fillId="0" borderId="15" xfId="0" applyFont="1" applyBorder="1" applyAlignment="1">
      <alignment horizontal="center" vertical="center"/>
    </xf>
    <xf numFmtId="0" fontId="1" fillId="0" borderId="15" xfId="0" applyFont="1" applyBorder="1" applyAlignment="1">
      <alignment vertical="center"/>
    </xf>
    <xf numFmtId="0" fontId="11" fillId="0" borderId="15" xfId="0" applyFont="1" applyBorder="1" applyAlignment="1">
      <alignment horizontal="center" vertical="center"/>
    </xf>
    <xf numFmtId="164" fontId="6" fillId="3" borderId="15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2" fillId="0" borderId="22" xfId="0" applyFont="1" applyBorder="1" applyAlignment="1" applyProtection="1">
      <alignment vertical="center"/>
      <protection hidden="1"/>
    </xf>
    <xf numFmtId="0" fontId="7" fillId="3" borderId="5" xfId="0" applyFont="1" applyFill="1" applyBorder="1" applyAlignment="1">
      <alignment vertical="center"/>
    </xf>
    <xf numFmtId="0" fontId="7" fillId="3" borderId="7" xfId="0" applyFont="1" applyFill="1" applyBorder="1" applyAlignment="1">
      <alignment vertical="center"/>
    </xf>
    <xf numFmtId="0" fontId="2" fillId="0" borderId="0" xfId="0" applyFont="1" applyAlignment="1" applyProtection="1">
      <alignment horizontal="left" vertical="center"/>
      <protection hidden="1"/>
    </xf>
    <xf numFmtId="0" fontId="8" fillId="0" borderId="11" xfId="0" applyFont="1" applyBorder="1" applyAlignment="1">
      <alignment vertical="center"/>
    </xf>
    <xf numFmtId="0" fontId="11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center" vertical="center"/>
    </xf>
    <xf numFmtId="0" fontId="8" fillId="0" borderId="0" xfId="0" applyFont="1" applyAlignment="1" applyProtection="1">
      <alignment vertical="center"/>
      <protection hidden="1"/>
    </xf>
    <xf numFmtId="0" fontId="6" fillId="2" borderId="0" xfId="0" applyFont="1" applyFill="1" applyAlignment="1">
      <alignment horizontal="center" vertical="center"/>
    </xf>
    <xf numFmtId="0" fontId="6" fillId="3" borderId="10" xfId="0" applyFont="1" applyFill="1" applyBorder="1" applyAlignment="1" applyProtection="1">
      <alignment vertical="center"/>
      <protection locked="0"/>
    </xf>
    <xf numFmtId="0" fontId="17" fillId="0" borderId="13" xfId="0" applyFont="1" applyBorder="1" applyAlignment="1">
      <alignment horizontal="center" vertical="center" wrapText="1"/>
    </xf>
    <xf numFmtId="0" fontId="17" fillId="0" borderId="21" xfId="0" applyFont="1" applyBorder="1" applyAlignment="1">
      <alignment horizontal="center" vertical="center" wrapText="1"/>
    </xf>
    <xf numFmtId="12" fontId="8" fillId="0" borderId="20" xfId="0" applyNumberFormat="1" applyFont="1" applyBorder="1" applyAlignment="1">
      <alignment horizontal="center" vertical="center"/>
    </xf>
    <xf numFmtId="12" fontId="8" fillId="0" borderId="19" xfId="0" applyNumberFormat="1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12" fontId="8" fillId="0" borderId="0" xfId="0" applyNumberFormat="1" applyFont="1" applyAlignment="1">
      <alignment horizontal="center" vertical="center"/>
    </xf>
    <xf numFmtId="12" fontId="8" fillId="0" borderId="15" xfId="0" applyNumberFormat="1" applyFont="1" applyBorder="1" applyAlignment="1">
      <alignment horizontal="center" vertical="center"/>
    </xf>
    <xf numFmtId="0" fontId="6" fillId="0" borderId="0" xfId="0" applyFont="1" applyAlignment="1" applyProtection="1">
      <alignment vertical="center"/>
      <protection hidden="1"/>
    </xf>
    <xf numFmtId="0" fontId="1" fillId="0" borderId="0" xfId="1" applyFont="1" applyBorder="1" applyAlignment="1" applyProtection="1">
      <alignment horizontal="center" vertical="center" wrapText="1"/>
    </xf>
    <xf numFmtId="0" fontId="16" fillId="0" borderId="16" xfId="0" applyFont="1" applyBorder="1" applyAlignment="1" applyProtection="1">
      <alignment horizontal="center" vertical="center"/>
      <protection hidden="1"/>
    </xf>
    <xf numFmtId="0" fontId="16" fillId="0" borderId="10" xfId="0" applyFont="1" applyBorder="1" applyAlignment="1" applyProtection="1">
      <alignment horizontal="center" vertical="center"/>
      <protection hidden="1"/>
    </xf>
    <xf numFmtId="0" fontId="16" fillId="0" borderId="17" xfId="0" applyFont="1" applyBorder="1" applyAlignment="1" applyProtection="1">
      <alignment horizontal="center" vertical="center"/>
      <protection hidden="1"/>
    </xf>
    <xf numFmtId="0" fontId="11" fillId="2" borderId="0" xfId="3" applyFont="1" applyFill="1" applyAlignment="1">
      <alignment horizontal="center" vertical="center"/>
    </xf>
    <xf numFmtId="0" fontId="11" fillId="0" borderId="18" xfId="0" applyFont="1" applyBorder="1" applyAlignment="1">
      <alignment horizontal="left" vertical="center"/>
    </xf>
    <xf numFmtId="0" fontId="11" fillId="0" borderId="20" xfId="0" applyFont="1" applyBorder="1" applyAlignment="1">
      <alignment horizontal="left" vertical="center"/>
    </xf>
    <xf numFmtId="0" fontId="17" fillId="0" borderId="18" xfId="0" applyFont="1" applyBorder="1" applyAlignment="1" applyProtection="1">
      <alignment horizontal="center" vertical="center"/>
      <protection hidden="1"/>
    </xf>
    <xf numFmtId="0" fontId="17" fillId="0" borderId="20" xfId="0" applyFont="1" applyBorder="1" applyAlignment="1" applyProtection="1">
      <alignment horizontal="center" vertical="center"/>
      <protection hidden="1"/>
    </xf>
    <xf numFmtId="0" fontId="6" fillId="3" borderId="18" xfId="0" applyFont="1" applyFill="1" applyBorder="1" applyAlignment="1" applyProtection="1">
      <alignment horizontal="center" vertical="center"/>
      <protection hidden="1"/>
    </xf>
    <xf numFmtId="0" fontId="6" fillId="3" borderId="20" xfId="0" applyFont="1" applyFill="1" applyBorder="1" applyAlignment="1" applyProtection="1">
      <alignment horizontal="center" vertical="center"/>
      <protection hidden="1"/>
    </xf>
    <xf numFmtId="0" fontId="6" fillId="3" borderId="10" xfId="0" applyFont="1" applyFill="1" applyBorder="1" applyAlignment="1" applyProtection="1">
      <alignment horizontal="center" vertical="center"/>
      <protection hidden="1"/>
    </xf>
    <xf numFmtId="0" fontId="8" fillId="0" borderId="18" xfId="0" applyFont="1" applyBorder="1" applyAlignment="1" applyProtection="1">
      <alignment horizontal="left" vertical="center" wrapText="1"/>
      <protection locked="0"/>
    </xf>
    <xf numFmtId="0" fontId="8" fillId="0" borderId="20" xfId="0" applyFont="1" applyBorder="1" applyAlignment="1" applyProtection="1">
      <alignment horizontal="left" vertical="center" wrapText="1"/>
      <protection locked="0"/>
    </xf>
    <xf numFmtId="0" fontId="8" fillId="0" borderId="19" xfId="0" applyFont="1" applyBorder="1" applyAlignment="1" applyProtection="1">
      <alignment horizontal="left" vertical="center" wrapText="1"/>
      <protection locked="0"/>
    </xf>
    <xf numFmtId="0" fontId="6" fillId="3" borderId="18" xfId="0" applyFont="1" applyFill="1" applyBorder="1" applyAlignment="1" applyProtection="1">
      <alignment horizontal="center" vertical="center"/>
      <protection locked="0"/>
    </xf>
    <xf numFmtId="0" fontId="6" fillId="3" borderId="19" xfId="0" applyFont="1" applyFill="1" applyBorder="1" applyAlignment="1" applyProtection="1">
      <alignment horizontal="center" vertical="center"/>
      <protection locked="0"/>
    </xf>
    <xf numFmtId="0" fontId="13" fillId="2" borderId="0" xfId="0" applyFont="1" applyFill="1" applyAlignment="1">
      <alignment horizontal="center" vertical="center"/>
    </xf>
    <xf numFmtId="166" fontId="13" fillId="0" borderId="0" xfId="0" applyNumberFormat="1" applyFont="1" applyAlignment="1" applyProtection="1">
      <alignment horizontal="center" vertical="center"/>
      <protection hidden="1"/>
    </xf>
    <xf numFmtId="0" fontId="16" fillId="0" borderId="12" xfId="0" applyFont="1" applyBorder="1" applyAlignment="1" applyProtection="1">
      <alignment horizontal="center" vertical="center" wrapText="1"/>
      <protection hidden="1"/>
    </xf>
    <xf numFmtId="0" fontId="16" fillId="0" borderId="11" xfId="0" applyFont="1" applyBorder="1" applyAlignment="1" applyProtection="1">
      <alignment horizontal="center" vertical="center" wrapText="1"/>
      <protection hidden="1"/>
    </xf>
    <xf numFmtId="0" fontId="16" fillId="0" borderId="13" xfId="0" applyFont="1" applyBorder="1" applyAlignment="1" applyProtection="1">
      <alignment horizontal="center" vertical="center" wrapText="1"/>
      <protection hidden="1"/>
    </xf>
    <xf numFmtId="0" fontId="17" fillId="0" borderId="19" xfId="0" applyFont="1" applyBorder="1" applyAlignment="1" applyProtection="1">
      <alignment horizontal="center" vertical="center"/>
      <protection hidden="1"/>
    </xf>
    <xf numFmtId="0" fontId="17" fillId="0" borderId="18" xfId="0" applyFont="1" applyBorder="1" applyAlignment="1">
      <alignment horizontal="center" vertical="center" wrapText="1"/>
    </xf>
    <xf numFmtId="0" fontId="17" fillId="0" borderId="20" xfId="0" applyFont="1" applyBorder="1" applyAlignment="1">
      <alignment horizontal="center" vertical="center" wrapText="1"/>
    </xf>
    <xf numFmtId="0" fontId="19" fillId="0" borderId="18" xfId="0" applyFont="1" applyBorder="1" applyAlignment="1" applyProtection="1">
      <alignment horizontal="center" vertical="center"/>
      <protection hidden="1"/>
    </xf>
    <xf numFmtId="0" fontId="19" fillId="0" borderId="20" xfId="0" applyFont="1" applyBorder="1" applyAlignment="1" applyProtection="1">
      <alignment horizontal="center" vertical="center"/>
      <protection hidden="1"/>
    </xf>
    <xf numFmtId="0" fontId="19" fillId="0" borderId="19" xfId="0" applyFont="1" applyBorder="1" applyAlignment="1" applyProtection="1">
      <alignment horizontal="center" vertical="center"/>
      <protection hidden="1"/>
    </xf>
    <xf numFmtId="0" fontId="6" fillId="0" borderId="20" xfId="0" applyFont="1" applyBorder="1" applyAlignment="1">
      <alignment horizontal="left" vertical="top" wrapText="1"/>
    </xf>
    <xf numFmtId="0" fontId="6" fillId="0" borderId="19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center"/>
    </xf>
    <xf numFmtId="0" fontId="21" fillId="0" borderId="18" xfId="0" applyFont="1" applyBorder="1" applyAlignment="1">
      <alignment horizontal="center" vertical="center"/>
    </xf>
    <xf numFmtId="0" fontId="21" fillId="0" borderId="19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17" fillId="2" borderId="18" xfId="3" applyFont="1" applyFill="1" applyBorder="1" applyAlignment="1">
      <alignment horizontal="center" vertical="center"/>
    </xf>
    <xf numFmtId="0" fontId="17" fillId="2" borderId="19" xfId="3" applyFont="1" applyFill="1" applyBorder="1" applyAlignment="1">
      <alignment horizontal="center" vertical="center"/>
    </xf>
    <xf numFmtId="0" fontId="17" fillId="2" borderId="1" xfId="3" applyFont="1" applyFill="1" applyBorder="1" applyAlignment="1">
      <alignment horizontal="center" vertical="center"/>
    </xf>
  </cellXfs>
  <cellStyles count="5">
    <cellStyle name="Hipervínculo" xfId="1" builtinId="8"/>
    <cellStyle name="Normal" xfId="0" builtinId="0"/>
    <cellStyle name="Normal 2" xfId="4" xr:uid="{00000000-0005-0000-0000-000002000000}"/>
    <cellStyle name="Normal 4" xfId="2" xr:uid="{00000000-0005-0000-0000-000003000000}"/>
    <cellStyle name="Normal_ENSAYOS" xfId="3" xr:uid="{00000000-0005-0000-0000-000004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24554</xdr:colOff>
      <xdr:row>46</xdr:row>
      <xdr:rowOff>143086</xdr:rowOff>
    </xdr:from>
    <xdr:to>
      <xdr:col>12</xdr:col>
      <xdr:colOff>0</xdr:colOff>
      <xdr:row>46</xdr:row>
      <xdr:rowOff>143086</xdr:rowOff>
    </xdr:to>
    <xdr:cxnSp macro="">
      <xdr:nvCxnSpPr>
        <xdr:cNvPr id="317807" name="2 Conector recto">
          <a:extLst>
            <a:ext uri="{FF2B5EF4-FFF2-40B4-BE49-F238E27FC236}">
              <a16:creationId xmlns:a16="http://schemas.microsoft.com/office/drawing/2014/main" id="{00000000-0008-0000-0000-00006FD90400}"/>
            </a:ext>
          </a:extLst>
        </xdr:cNvPr>
        <xdr:cNvCxnSpPr>
          <a:cxnSpLocks noChangeShapeType="1"/>
        </xdr:cNvCxnSpPr>
      </xdr:nvCxnSpPr>
      <xdr:spPr bwMode="auto">
        <a:xfrm flipV="1">
          <a:off x="24554" y="10207836"/>
          <a:ext cx="7680113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3</xdr:col>
      <xdr:colOff>647700</xdr:colOff>
      <xdr:row>41</xdr:row>
      <xdr:rowOff>150496</xdr:rowOff>
    </xdr:from>
    <xdr:to>
      <xdr:col>6</xdr:col>
      <xdr:colOff>285750</xdr:colOff>
      <xdr:row>43</xdr:row>
      <xdr:rowOff>257176</xdr:rowOff>
    </xdr:to>
    <xdr:sp macro="" textlink="">
      <xdr:nvSpPr>
        <xdr:cNvPr id="34" name="15 CuadroTexto">
          <a:extLst>
            <a:ext uri="{FF2B5EF4-FFF2-40B4-BE49-F238E27FC236}">
              <a16:creationId xmlns:a16="http://schemas.microsoft.com/office/drawing/2014/main" id="{AF60E2FF-F559-475F-9532-3EB8C8C7CE9B}"/>
            </a:ext>
          </a:extLst>
        </xdr:cNvPr>
        <xdr:cNvSpPr txBox="1"/>
      </xdr:nvSpPr>
      <xdr:spPr>
        <a:xfrm>
          <a:off x="1743075" y="10742296"/>
          <a:ext cx="2219325" cy="77343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</a:t>
          </a:r>
        </a:p>
      </xdr:txBody>
    </xdr:sp>
    <xdr:clientData/>
  </xdr:twoCellAnchor>
  <xdr:twoCellAnchor>
    <xdr:from>
      <xdr:col>7</xdr:col>
      <xdr:colOff>1904</xdr:colOff>
      <xdr:row>41</xdr:row>
      <xdr:rowOff>114300</xdr:rowOff>
    </xdr:from>
    <xdr:to>
      <xdr:col>10</xdr:col>
      <xdr:colOff>59054</xdr:colOff>
      <xdr:row>43</xdr:row>
      <xdr:rowOff>238125</xdr:rowOff>
    </xdr:to>
    <xdr:sp macro="" textlink="">
      <xdr:nvSpPr>
        <xdr:cNvPr id="35" name="15 CuadroTexto">
          <a:extLst>
            <a:ext uri="{FF2B5EF4-FFF2-40B4-BE49-F238E27FC236}">
              <a16:creationId xmlns:a16="http://schemas.microsoft.com/office/drawing/2014/main" id="{D40EC935-8F64-49C2-97EA-D483B029A6F6}"/>
            </a:ext>
          </a:extLst>
        </xdr:cNvPr>
        <xdr:cNvSpPr txBox="1"/>
      </xdr:nvSpPr>
      <xdr:spPr>
        <a:xfrm>
          <a:off x="4431029" y="10706100"/>
          <a:ext cx="2200275" cy="79057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</a:t>
          </a:r>
        </a:p>
      </xdr:txBody>
    </xdr:sp>
    <xdr:clientData/>
  </xdr:twoCellAnchor>
  <xdr:twoCellAnchor editAs="oneCell">
    <xdr:from>
      <xdr:col>5</xdr:col>
      <xdr:colOff>447674</xdr:colOff>
      <xdr:row>0</xdr:row>
      <xdr:rowOff>47624</xdr:rowOff>
    </xdr:from>
    <xdr:to>
      <xdr:col>7</xdr:col>
      <xdr:colOff>285881</xdr:colOff>
      <xdr:row>4</xdr:row>
      <xdr:rowOff>152399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5FA78BEA-2660-4AFF-999F-A1EBB805C7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86099" y="47624"/>
          <a:ext cx="1495557" cy="904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1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>
    <pageSetUpPr fitToPage="1"/>
  </sheetPr>
  <dimension ref="A1:N50"/>
  <sheetViews>
    <sheetView showGridLines="0" tabSelected="1" view="pageBreakPreview" topLeftCell="A3" zoomScaleNormal="100" zoomScaleSheetLayoutView="100" workbookViewId="0">
      <selection activeCell="J9" sqref="J9"/>
    </sheetView>
  </sheetViews>
  <sheetFormatPr baseColWidth="10" defaultColWidth="10.33203125" defaultRowHeight="13.8" x14ac:dyDescent="0.25"/>
  <cols>
    <col min="1" max="1" width="2.6640625" style="24" customWidth="1"/>
    <col min="2" max="2" width="3.5546875" style="24" customWidth="1"/>
    <col min="3" max="3" width="8.109375" style="24" customWidth="1"/>
    <col min="4" max="4" width="10.44140625" style="24" customWidth="1"/>
    <col min="5" max="5" width="14.6640625" style="24" customWidth="1"/>
    <col min="6" max="6" width="13.5546875" style="24" customWidth="1"/>
    <col min="7" max="7" width="11.33203125" style="24" customWidth="1"/>
    <col min="8" max="8" width="11.109375" style="24" customWidth="1"/>
    <col min="9" max="9" width="5.5546875" style="24" customWidth="1"/>
    <col min="10" max="10" width="15.44140625" style="24" customWidth="1"/>
    <col min="11" max="11" width="1.6640625" style="24" customWidth="1"/>
    <col min="12" max="12" width="12.33203125" style="24" customWidth="1"/>
    <col min="13" max="13" width="6.44140625" style="24" customWidth="1"/>
    <col min="14" max="14" width="8" style="24" customWidth="1"/>
    <col min="15" max="16" width="10.6640625" style="24" customWidth="1"/>
    <col min="17" max="16384" width="10.33203125" style="24"/>
  </cols>
  <sheetData>
    <row r="1" spans="1:14" ht="15.75" customHeight="1" thickTop="1" x14ac:dyDescent="0.25">
      <c r="A1" s="15"/>
      <c r="B1" s="16"/>
      <c r="C1" s="16"/>
      <c r="D1" s="16"/>
      <c r="E1" s="16"/>
      <c r="F1" s="16"/>
      <c r="G1" s="17"/>
      <c r="H1" s="17"/>
      <c r="I1" s="17"/>
      <c r="J1" s="17"/>
      <c r="K1" s="17"/>
      <c r="L1" s="73"/>
    </row>
    <row r="2" spans="1:14" ht="15.75" customHeight="1" x14ac:dyDescent="0.25">
      <c r="A2" s="18"/>
      <c r="B2" s="13"/>
      <c r="C2" s="13"/>
      <c r="D2" s="13"/>
      <c r="E2" s="13"/>
      <c r="F2" s="13"/>
      <c r="G2" s="14"/>
      <c r="H2" s="14"/>
      <c r="I2" s="14"/>
      <c r="J2" s="14"/>
      <c r="K2" s="14"/>
      <c r="L2" s="74"/>
    </row>
    <row r="3" spans="1:14" ht="15.75" customHeight="1" x14ac:dyDescent="0.25">
      <c r="A3" s="18"/>
      <c r="B3" s="13"/>
      <c r="C3" s="13"/>
      <c r="D3" s="13"/>
      <c r="E3" s="13"/>
      <c r="F3" s="13"/>
      <c r="G3" s="14"/>
      <c r="H3" s="14"/>
      <c r="I3" s="14"/>
      <c r="J3" s="14"/>
      <c r="K3" s="14"/>
      <c r="L3" s="74"/>
    </row>
    <row r="4" spans="1:14" ht="15.75" customHeight="1" x14ac:dyDescent="0.25">
      <c r="A4" s="18"/>
      <c r="B4" s="13"/>
      <c r="C4" s="13"/>
      <c r="D4" s="13"/>
      <c r="E4" s="13"/>
      <c r="F4" s="13"/>
      <c r="G4" s="14"/>
      <c r="H4" s="14"/>
      <c r="I4" s="14"/>
      <c r="J4" s="14"/>
      <c r="K4" s="14"/>
      <c r="L4" s="74"/>
    </row>
    <row r="5" spans="1:14" ht="15.75" customHeight="1" thickBot="1" x14ac:dyDescent="0.3">
      <c r="A5" s="31"/>
      <c r="B5" s="32"/>
      <c r="C5" s="32"/>
      <c r="D5" s="32"/>
      <c r="E5" s="32"/>
      <c r="F5" s="32"/>
      <c r="G5" s="32"/>
      <c r="H5" s="32"/>
      <c r="I5" s="32"/>
      <c r="J5" s="32"/>
      <c r="K5" s="32"/>
      <c r="L5" s="33"/>
    </row>
    <row r="6" spans="1:14" ht="15.9" customHeight="1" thickTop="1" x14ac:dyDescent="0.25">
      <c r="A6" s="34"/>
      <c r="B6" s="34"/>
      <c r="C6" s="34"/>
      <c r="D6" s="34"/>
      <c r="E6" s="34"/>
      <c r="F6" s="34"/>
      <c r="G6" s="34"/>
      <c r="H6" s="34"/>
      <c r="I6" s="34"/>
      <c r="J6" s="34"/>
      <c r="K6" s="34"/>
      <c r="L6" s="34"/>
    </row>
    <row r="7" spans="1:14" ht="15.9" customHeight="1" x14ac:dyDescent="0.25">
      <c r="A7" s="107" t="s">
        <v>15</v>
      </c>
      <c r="B7" s="107"/>
      <c r="C7" s="107"/>
      <c r="D7" s="107"/>
      <c r="E7" s="107"/>
      <c r="F7" s="107"/>
      <c r="G7" s="107"/>
      <c r="H7" s="107"/>
      <c r="I7" s="107"/>
      <c r="J7" s="107"/>
      <c r="K7" s="107"/>
      <c r="L7" s="107"/>
    </row>
    <row r="8" spans="1:14" ht="15.9" customHeight="1" x14ac:dyDescent="0.25">
      <c r="A8" s="108" t="s">
        <v>21</v>
      </c>
      <c r="B8" s="108"/>
      <c r="C8" s="108"/>
      <c r="D8" s="108"/>
      <c r="E8" s="108"/>
      <c r="F8" s="108"/>
      <c r="G8" s="108"/>
      <c r="H8" s="108"/>
      <c r="I8" s="108"/>
      <c r="J8" s="108"/>
      <c r="K8" s="108"/>
      <c r="L8" s="108"/>
      <c r="N8"/>
    </row>
    <row r="9" spans="1:14" ht="15.9" customHeight="1" x14ac:dyDescent="0.25">
      <c r="A9" s="38"/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</row>
    <row r="10" spans="1:14" ht="15.9" customHeight="1" x14ac:dyDescent="0.25">
      <c r="A10" s="38"/>
      <c r="B10" s="38"/>
      <c r="C10" s="121" t="s">
        <v>69</v>
      </c>
      <c r="D10" s="122"/>
      <c r="E10" s="121" t="s">
        <v>70</v>
      </c>
      <c r="F10" s="122"/>
      <c r="G10" s="123" t="s">
        <v>71</v>
      </c>
      <c r="H10" s="123"/>
      <c r="I10" s="123" t="s">
        <v>72</v>
      </c>
      <c r="J10" s="123"/>
      <c r="K10" s="123"/>
      <c r="L10" s="38"/>
    </row>
    <row r="11" spans="1:14" ht="24.75" customHeight="1" x14ac:dyDescent="0.25">
      <c r="A11" s="38"/>
      <c r="B11" s="38"/>
      <c r="C11" s="124"/>
      <c r="D11" s="125"/>
      <c r="E11" s="124"/>
      <c r="F11" s="125"/>
      <c r="G11" s="126"/>
      <c r="H11" s="126"/>
      <c r="I11" s="126"/>
      <c r="J11" s="126"/>
      <c r="K11" s="126"/>
      <c r="L11" s="38"/>
    </row>
    <row r="12" spans="1:14" ht="15.9" customHeight="1" x14ac:dyDescent="0.25">
      <c r="A12" s="26"/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</row>
    <row r="13" spans="1:14" ht="6" customHeight="1" x14ac:dyDescent="0.25">
      <c r="A13" s="19"/>
      <c r="B13" s="20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35"/>
      <c r="N13" s="35"/>
    </row>
    <row r="14" spans="1:14" ht="18.75" customHeight="1" x14ac:dyDescent="0.25">
      <c r="A14" s="109" t="s">
        <v>55</v>
      </c>
      <c r="B14" s="110"/>
      <c r="C14" s="110"/>
      <c r="D14" s="110"/>
      <c r="E14" s="110"/>
      <c r="F14" s="110"/>
      <c r="G14" s="110"/>
      <c r="H14" s="110"/>
      <c r="I14" s="110"/>
      <c r="J14" s="110"/>
      <c r="K14" s="110"/>
      <c r="L14" s="111"/>
      <c r="M14" s="35"/>
      <c r="N14" s="35"/>
    </row>
    <row r="15" spans="1:14" ht="18" customHeight="1" x14ac:dyDescent="0.25">
      <c r="A15" s="91" t="s">
        <v>62</v>
      </c>
      <c r="B15" s="92"/>
      <c r="C15" s="92"/>
      <c r="D15" s="92"/>
      <c r="E15" s="92"/>
      <c r="F15" s="92"/>
      <c r="G15" s="92"/>
      <c r="H15" s="92"/>
      <c r="I15" s="92"/>
      <c r="J15" s="92"/>
      <c r="K15" s="92"/>
      <c r="L15" s="93"/>
      <c r="M15" s="35"/>
      <c r="N15" s="35"/>
    </row>
    <row r="16" spans="1:14" x14ac:dyDescent="0.25">
      <c r="A16" s="39"/>
      <c r="B16" s="40"/>
      <c r="C16" s="40"/>
      <c r="D16" s="40"/>
      <c r="E16" s="40"/>
      <c r="F16" s="40"/>
      <c r="G16" s="40"/>
      <c r="H16" s="40"/>
      <c r="I16" s="40"/>
      <c r="J16" s="40"/>
      <c r="K16" s="40"/>
      <c r="L16" s="41"/>
      <c r="M16" s="35"/>
      <c r="N16" s="35"/>
    </row>
    <row r="17" spans="1:14" ht="21.75" customHeight="1" x14ac:dyDescent="0.25">
      <c r="A17" s="37"/>
      <c r="C17" s="115" t="s">
        <v>41</v>
      </c>
      <c r="D17" s="116"/>
      <c r="E17" s="116"/>
      <c r="F17" s="117"/>
      <c r="L17" s="36"/>
      <c r="M17" s="35"/>
      <c r="N17" s="35"/>
    </row>
    <row r="18" spans="1:14" ht="24" customHeight="1" x14ac:dyDescent="0.25">
      <c r="A18" s="37"/>
      <c r="C18" s="57"/>
      <c r="D18" s="60" t="s">
        <v>39</v>
      </c>
      <c r="E18" s="61"/>
      <c r="F18" s="62"/>
      <c r="H18" s="102" t="s">
        <v>57</v>
      </c>
      <c r="I18" s="103"/>
      <c r="J18" s="103"/>
      <c r="K18" s="104"/>
      <c r="L18" s="57"/>
      <c r="M18" s="35"/>
      <c r="N18" s="35"/>
    </row>
    <row r="19" spans="1:14" ht="23.25" customHeight="1" x14ac:dyDescent="0.25">
      <c r="A19" s="37"/>
      <c r="B19" s="56"/>
      <c r="C19" s="58"/>
      <c r="D19" s="60" t="s">
        <v>40</v>
      </c>
      <c r="E19" s="63"/>
      <c r="F19" s="64"/>
      <c r="I19" s="28"/>
      <c r="J19" s="46"/>
      <c r="K19" s="46"/>
      <c r="L19" s="67"/>
      <c r="M19" s="35"/>
      <c r="N19" s="35"/>
    </row>
    <row r="20" spans="1:14" x14ac:dyDescent="0.25">
      <c r="A20" s="37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68"/>
      <c r="M20" s="35"/>
      <c r="N20" s="35"/>
    </row>
    <row r="21" spans="1:14" ht="20.25" customHeight="1" x14ac:dyDescent="0.25">
      <c r="A21" s="37"/>
      <c r="B21" s="47" t="s">
        <v>18</v>
      </c>
      <c r="C21" s="95" t="s">
        <v>19</v>
      </c>
      <c r="D21" s="96"/>
      <c r="E21" s="96"/>
      <c r="F21" s="96"/>
      <c r="G21" s="96"/>
      <c r="H21" s="54"/>
      <c r="I21" s="47" t="s">
        <v>45</v>
      </c>
      <c r="J21" s="47" t="s">
        <v>28</v>
      </c>
      <c r="K21" s="77"/>
      <c r="L21" s="69"/>
      <c r="M21" s="35"/>
      <c r="N21" s="35"/>
    </row>
    <row r="22" spans="1:14" ht="27" customHeight="1" x14ac:dyDescent="0.25">
      <c r="A22" s="37"/>
      <c r="B22" s="27" t="s">
        <v>46</v>
      </c>
      <c r="C22" s="50" t="s">
        <v>29</v>
      </c>
      <c r="D22" s="51"/>
      <c r="E22" s="51"/>
      <c r="F22" s="51"/>
      <c r="G22" s="53"/>
      <c r="H22" s="53"/>
      <c r="I22" s="45" t="s">
        <v>37</v>
      </c>
      <c r="J22" s="49"/>
      <c r="K22" s="78"/>
      <c r="L22" s="69"/>
      <c r="M22" s="35"/>
      <c r="N22" s="35"/>
    </row>
    <row r="23" spans="1:14" ht="27" customHeight="1" x14ac:dyDescent="0.25">
      <c r="A23" s="37"/>
      <c r="B23" s="27" t="s">
        <v>47</v>
      </c>
      <c r="C23" s="50" t="s">
        <v>30</v>
      </c>
      <c r="D23" s="51"/>
      <c r="E23" s="51"/>
      <c r="F23" s="51"/>
      <c r="G23" s="53"/>
      <c r="H23" s="53"/>
      <c r="I23" s="45" t="s">
        <v>37</v>
      </c>
      <c r="J23" s="49"/>
      <c r="K23" s="78"/>
      <c r="L23" s="69"/>
      <c r="M23" s="35"/>
      <c r="N23" s="35"/>
    </row>
    <row r="24" spans="1:14" ht="27" customHeight="1" x14ac:dyDescent="0.25">
      <c r="A24" s="37"/>
      <c r="B24" s="27" t="s">
        <v>48</v>
      </c>
      <c r="C24" s="50" t="s">
        <v>31</v>
      </c>
      <c r="D24" s="51"/>
      <c r="E24" s="51"/>
      <c r="F24" s="51"/>
      <c r="G24" s="53"/>
      <c r="H24" s="53"/>
      <c r="I24" s="45" t="s">
        <v>37</v>
      </c>
      <c r="J24" s="49"/>
      <c r="K24" s="78"/>
      <c r="L24" s="69"/>
      <c r="M24" s="35"/>
      <c r="N24" s="35"/>
    </row>
    <row r="25" spans="1:14" ht="27" customHeight="1" x14ac:dyDescent="0.25">
      <c r="A25" s="37"/>
      <c r="B25" s="27" t="s">
        <v>49</v>
      </c>
      <c r="C25" s="52" t="s">
        <v>32</v>
      </c>
      <c r="D25" s="59"/>
      <c r="E25" s="51"/>
      <c r="F25" s="51"/>
      <c r="G25" s="53"/>
      <c r="H25" s="55" t="s">
        <v>52</v>
      </c>
      <c r="I25" s="45" t="s">
        <v>37</v>
      </c>
      <c r="J25" s="49"/>
      <c r="K25" s="78"/>
      <c r="L25" s="69"/>
      <c r="M25" s="35"/>
      <c r="N25" s="35"/>
    </row>
    <row r="26" spans="1:14" ht="27" customHeight="1" x14ac:dyDescent="0.25">
      <c r="A26" s="37"/>
      <c r="B26" s="27" t="s">
        <v>12</v>
      </c>
      <c r="C26" s="50" t="s">
        <v>33</v>
      </c>
      <c r="D26" s="51"/>
      <c r="E26" s="51"/>
      <c r="F26" s="51"/>
      <c r="G26" s="53"/>
      <c r="H26" s="53"/>
      <c r="I26" s="45" t="s">
        <v>37</v>
      </c>
      <c r="J26" s="49"/>
      <c r="K26" s="78"/>
      <c r="L26" s="69"/>
      <c r="M26" s="35"/>
      <c r="N26" s="35"/>
    </row>
    <row r="27" spans="1:14" ht="27" customHeight="1" x14ac:dyDescent="0.25">
      <c r="A27" s="37"/>
      <c r="B27" s="27" t="s">
        <v>13</v>
      </c>
      <c r="C27" s="50" t="s">
        <v>34</v>
      </c>
      <c r="D27" s="51"/>
      <c r="E27" s="51"/>
      <c r="F27" s="51"/>
      <c r="G27" s="53"/>
      <c r="H27" s="53"/>
      <c r="I27" s="45" t="s">
        <v>37</v>
      </c>
      <c r="J27" s="49"/>
      <c r="K27" s="78"/>
      <c r="L27" s="69"/>
      <c r="M27" s="35"/>
      <c r="N27" s="35"/>
    </row>
    <row r="28" spans="1:14" ht="27" customHeight="1" x14ac:dyDescent="0.25">
      <c r="A28" s="37"/>
      <c r="B28" s="27" t="s">
        <v>50</v>
      </c>
      <c r="C28" s="52" t="s">
        <v>35</v>
      </c>
      <c r="D28" s="59"/>
      <c r="E28" s="51"/>
      <c r="F28" s="51"/>
      <c r="G28" s="53"/>
      <c r="H28" s="55" t="s">
        <v>53</v>
      </c>
      <c r="I28" s="45" t="s">
        <v>37</v>
      </c>
      <c r="J28" s="49"/>
      <c r="K28" s="78"/>
      <c r="L28" s="69"/>
      <c r="M28" s="35"/>
      <c r="N28" s="35"/>
    </row>
    <row r="29" spans="1:14" ht="27" customHeight="1" x14ac:dyDescent="0.25">
      <c r="A29" s="37"/>
      <c r="B29" s="27" t="s">
        <v>51</v>
      </c>
      <c r="C29" s="50" t="s">
        <v>36</v>
      </c>
      <c r="D29" s="51"/>
      <c r="E29" s="51"/>
      <c r="F29" s="51"/>
      <c r="G29" s="53"/>
      <c r="H29" s="53" t="s">
        <v>54</v>
      </c>
      <c r="I29" s="45" t="s">
        <v>38</v>
      </c>
      <c r="J29" s="49"/>
      <c r="K29" s="78"/>
      <c r="L29" s="69"/>
      <c r="M29" s="35"/>
      <c r="N29" s="35"/>
    </row>
    <row r="30" spans="1:14" ht="13.5" customHeight="1" x14ac:dyDescent="0.25">
      <c r="A30" s="37"/>
      <c r="C30" s="76" t="s">
        <v>44</v>
      </c>
      <c r="D30" s="48"/>
      <c r="E30" s="48"/>
      <c r="F30" s="48"/>
      <c r="G30" s="48"/>
      <c r="H30" s="48"/>
      <c r="I30" s="48"/>
      <c r="J30" s="25"/>
      <c r="K30" s="25"/>
      <c r="L30" s="70"/>
      <c r="M30" s="35"/>
      <c r="N30" s="35"/>
    </row>
    <row r="31" spans="1:14" ht="10.5" customHeight="1" x14ac:dyDescent="0.25">
      <c r="A31" s="37"/>
      <c r="B31" s="48"/>
      <c r="C31" s="48"/>
      <c r="D31" s="48"/>
      <c r="E31" s="48"/>
      <c r="F31" s="48"/>
      <c r="G31" s="48"/>
      <c r="H31" s="44"/>
      <c r="I31" s="48"/>
      <c r="J31" s="25"/>
      <c r="K31" s="25"/>
      <c r="L31" s="70"/>
      <c r="M31" s="35"/>
      <c r="N31" s="35"/>
    </row>
    <row r="32" spans="1:14" ht="24" customHeight="1" x14ac:dyDescent="0.25">
      <c r="A32" s="37"/>
      <c r="B32" s="97" t="s">
        <v>22</v>
      </c>
      <c r="C32" s="98"/>
      <c r="D32" s="98"/>
      <c r="E32" s="97" t="s">
        <v>23</v>
      </c>
      <c r="F32" s="112"/>
      <c r="G32" s="72"/>
      <c r="H32" s="113" t="s">
        <v>43</v>
      </c>
      <c r="I32" s="114"/>
      <c r="J32" s="114"/>
      <c r="K32" s="82"/>
      <c r="L32" s="83" t="s">
        <v>42</v>
      </c>
      <c r="M32" s="35"/>
      <c r="N32" s="35"/>
    </row>
    <row r="33" spans="1:14" ht="23.25" customHeight="1" x14ac:dyDescent="0.25">
      <c r="A33" s="37"/>
      <c r="B33" s="99" t="s">
        <v>24</v>
      </c>
      <c r="C33" s="100"/>
      <c r="D33" s="100"/>
      <c r="E33" s="105" t="s">
        <v>65</v>
      </c>
      <c r="F33" s="106"/>
      <c r="G33" s="72"/>
      <c r="H33" s="50" t="s">
        <v>56</v>
      </c>
      <c r="I33" s="53"/>
      <c r="J33" s="84"/>
      <c r="K33" s="85"/>
      <c r="L33" s="45">
        <v>300</v>
      </c>
      <c r="M33" s="35"/>
      <c r="N33" s="35"/>
    </row>
    <row r="34" spans="1:14" ht="23.25" customHeight="1" x14ac:dyDescent="0.25">
      <c r="A34" s="37"/>
      <c r="B34" s="99" t="s">
        <v>25</v>
      </c>
      <c r="C34" s="100"/>
      <c r="D34" s="100"/>
      <c r="E34" s="105" t="s">
        <v>66</v>
      </c>
      <c r="F34" s="106"/>
      <c r="G34" s="72"/>
      <c r="H34" s="50" t="s">
        <v>58</v>
      </c>
      <c r="I34" s="53"/>
      <c r="J34" s="53"/>
      <c r="K34" s="86"/>
      <c r="L34" s="45">
        <v>1000</v>
      </c>
      <c r="M34" s="35"/>
      <c r="N34" s="35"/>
    </row>
    <row r="35" spans="1:14" ht="23.25" customHeight="1" x14ac:dyDescent="0.25">
      <c r="A35" s="37"/>
      <c r="B35" s="99" t="s">
        <v>26</v>
      </c>
      <c r="C35" s="100"/>
      <c r="D35" s="100"/>
      <c r="E35" s="105" t="s">
        <v>67</v>
      </c>
      <c r="F35" s="106"/>
      <c r="G35" s="72"/>
      <c r="H35" s="50" t="s">
        <v>59</v>
      </c>
      <c r="I35" s="71"/>
      <c r="J35" s="87"/>
      <c r="K35" s="88"/>
      <c r="L35" s="45">
        <v>2500</v>
      </c>
      <c r="M35" s="35"/>
      <c r="N35" s="35"/>
    </row>
    <row r="36" spans="1:14" ht="23.25" customHeight="1" x14ac:dyDescent="0.25">
      <c r="A36" s="37"/>
      <c r="B36" s="99" t="s">
        <v>61</v>
      </c>
      <c r="C36" s="100"/>
      <c r="D36" s="100"/>
      <c r="E36" s="105" t="s">
        <v>68</v>
      </c>
      <c r="F36" s="106"/>
      <c r="G36" s="72"/>
      <c r="H36" s="50" t="s">
        <v>60</v>
      </c>
      <c r="I36" s="53"/>
      <c r="J36" s="84"/>
      <c r="K36" s="85"/>
      <c r="L36" s="45">
        <v>5000</v>
      </c>
      <c r="M36" s="35"/>
      <c r="N36" s="35"/>
    </row>
    <row r="37" spans="1:14" ht="23.25" customHeight="1" x14ac:dyDescent="0.25">
      <c r="A37" s="42"/>
      <c r="B37" s="101"/>
      <c r="C37" s="101"/>
      <c r="D37" s="101"/>
      <c r="E37" s="81"/>
      <c r="F37" s="81"/>
      <c r="G37" s="43"/>
      <c r="H37" s="118" t="s">
        <v>64</v>
      </c>
      <c r="I37" s="118"/>
      <c r="J37" s="118"/>
      <c r="K37" s="118"/>
      <c r="L37" s="119"/>
      <c r="M37" s="35"/>
      <c r="N37" s="35"/>
    </row>
    <row r="38" spans="1:14" ht="13.95" customHeight="1" x14ac:dyDescent="0.25">
      <c r="C38" s="80"/>
      <c r="D38" s="80"/>
      <c r="E38" s="80"/>
      <c r="F38" s="80"/>
      <c r="G38" s="80"/>
      <c r="M38" s="35"/>
      <c r="N38" s="35"/>
    </row>
    <row r="39" spans="1:14" ht="19.5" customHeight="1" x14ac:dyDescent="0.25">
      <c r="A39" s="75" t="s">
        <v>20</v>
      </c>
      <c r="B39" s="21"/>
      <c r="C39" s="21"/>
      <c r="D39" s="65"/>
      <c r="E39" s="65"/>
      <c r="F39" s="65"/>
      <c r="G39" s="65"/>
      <c r="H39" s="65"/>
      <c r="I39" s="65"/>
      <c r="J39" s="65"/>
      <c r="K39" s="65"/>
      <c r="L39" s="65"/>
      <c r="M39" s="35"/>
      <c r="N39" s="35"/>
    </row>
    <row r="40" spans="1:14" ht="24.75" customHeight="1" x14ac:dyDescent="0.25">
      <c r="A40" s="66"/>
      <c r="B40" s="65"/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35"/>
      <c r="N40" s="35"/>
    </row>
    <row r="41" spans="1:14" ht="26.25" customHeight="1" x14ac:dyDescent="0.25">
      <c r="A41" s="30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35"/>
      <c r="N41" s="35"/>
    </row>
    <row r="42" spans="1:14" ht="26.25" customHeight="1" x14ac:dyDescent="0.25">
      <c r="A42" s="30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35"/>
      <c r="N42" s="35"/>
    </row>
    <row r="43" spans="1:14" ht="26.25" customHeight="1" x14ac:dyDescent="0.25">
      <c r="A43" s="30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35"/>
      <c r="N43" s="35"/>
    </row>
    <row r="44" spans="1:14" ht="26.25" customHeight="1" x14ac:dyDescent="0.25">
      <c r="B44" s="94"/>
      <c r="C44" s="94"/>
      <c r="D44" s="94"/>
      <c r="E44" s="94"/>
      <c r="F44" s="94"/>
      <c r="G44" s="94"/>
      <c r="H44" s="20"/>
      <c r="I44" s="20"/>
      <c r="J44" s="94"/>
      <c r="K44" s="94"/>
      <c r="L44" s="94"/>
      <c r="M44" s="35"/>
      <c r="N44" s="35"/>
    </row>
    <row r="45" spans="1:14" ht="19.5" customHeight="1" x14ac:dyDescent="0.25">
      <c r="A45" s="23" t="s">
        <v>16</v>
      </c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35"/>
      <c r="N45" s="35"/>
    </row>
    <row r="46" spans="1:14" ht="19.5" customHeight="1" x14ac:dyDescent="0.25">
      <c r="A46" s="89" t="s">
        <v>63</v>
      </c>
      <c r="B46" s="21"/>
      <c r="C46" s="21"/>
      <c r="E46" s="79"/>
      <c r="F46" s="79"/>
      <c r="G46" s="71" t="s">
        <v>27</v>
      </c>
      <c r="H46" s="79"/>
      <c r="I46" s="79"/>
      <c r="J46" s="79"/>
      <c r="K46" s="79"/>
      <c r="L46" s="79"/>
      <c r="M46" s="35"/>
      <c r="N46" s="35"/>
    </row>
    <row r="47" spans="1:14" ht="9.75" customHeight="1" x14ac:dyDescent="0.25"/>
    <row r="48" spans="1:14" ht="30.75" customHeight="1" x14ac:dyDescent="0.25">
      <c r="A48" s="90" t="s">
        <v>17</v>
      </c>
      <c r="B48" s="90"/>
      <c r="C48" s="90"/>
      <c r="D48" s="90"/>
      <c r="E48" s="90"/>
      <c r="F48" s="90"/>
      <c r="G48" s="90"/>
      <c r="H48" s="90"/>
      <c r="I48" s="90"/>
      <c r="J48" s="90"/>
      <c r="K48" s="90"/>
      <c r="L48" s="90"/>
    </row>
    <row r="49" ht="15.9" customHeight="1" x14ac:dyDescent="0.25"/>
    <row r="50" ht="15.9" customHeight="1" x14ac:dyDescent="0.25"/>
  </sheetData>
  <protectedRanges>
    <protectedRange sqref="C13:F13" name="Rango3_3_1_1_1_1_1_1_1_1"/>
    <protectedRange sqref="C44:F44" name="Rango3_3_1_1_1_1_1_2_1"/>
  </protectedRanges>
  <mergeCells count="31">
    <mergeCell ref="C10:D10"/>
    <mergeCell ref="E10:F10"/>
    <mergeCell ref="G10:H10"/>
    <mergeCell ref="I10:K10"/>
    <mergeCell ref="C11:D11"/>
    <mergeCell ref="E11:F11"/>
    <mergeCell ref="G11:H11"/>
    <mergeCell ref="I11:K11"/>
    <mergeCell ref="A7:L7"/>
    <mergeCell ref="A8:L8"/>
    <mergeCell ref="A14:L14"/>
    <mergeCell ref="J44:L44"/>
    <mergeCell ref="E32:F32"/>
    <mergeCell ref="H32:J32"/>
    <mergeCell ref="C17:F17"/>
    <mergeCell ref="H37:L37"/>
    <mergeCell ref="A48:L48"/>
    <mergeCell ref="A15:L15"/>
    <mergeCell ref="B44:G44"/>
    <mergeCell ref="C21:G21"/>
    <mergeCell ref="B32:D32"/>
    <mergeCell ref="B33:D33"/>
    <mergeCell ref="B34:D34"/>
    <mergeCell ref="B35:D35"/>
    <mergeCell ref="B37:D37"/>
    <mergeCell ref="H18:K18"/>
    <mergeCell ref="B36:D36"/>
    <mergeCell ref="E33:F33"/>
    <mergeCell ref="E34:F34"/>
    <mergeCell ref="E35:F35"/>
    <mergeCell ref="E36:F36"/>
  </mergeCells>
  <phoneticPr fontId="20" type="noConversion"/>
  <printOptions horizontalCentered="1" verticalCentered="1"/>
  <pageMargins left="0" right="0.39370078740157483" top="0.78740157480314965" bottom="0" header="0" footer="0"/>
  <pageSetup scale="78" orientation="portrait" horizontalDpi="360" verticalDpi="36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/>
  <dimension ref="A2:M9"/>
  <sheetViews>
    <sheetView workbookViewId="0">
      <selection activeCell="D26" sqref="D26"/>
    </sheetView>
  </sheetViews>
  <sheetFormatPr baseColWidth="10" defaultRowHeight="13.2" x14ac:dyDescent="0.25"/>
  <cols>
    <col min="1" max="2" width="10.44140625" customWidth="1"/>
    <col min="3" max="3" width="18.33203125" customWidth="1"/>
    <col min="4" max="4" width="20" customWidth="1"/>
    <col min="6" max="6" width="12.44140625" customWidth="1"/>
    <col min="11" max="11" width="17.6640625" customWidth="1"/>
    <col min="12" max="12" width="12.44140625" customWidth="1"/>
    <col min="13" max="13" width="15.44140625" customWidth="1"/>
  </cols>
  <sheetData>
    <row r="2" spans="1:13" ht="18.75" customHeight="1" x14ac:dyDescent="0.25">
      <c r="A2" s="120" t="s">
        <v>9</v>
      </c>
      <c r="B2" s="120"/>
      <c r="C2" s="5" t="s">
        <v>10</v>
      </c>
      <c r="D2" s="4" t="s">
        <v>2</v>
      </c>
      <c r="E2" s="4" t="s">
        <v>0</v>
      </c>
      <c r="F2" s="4" t="s">
        <v>1</v>
      </c>
      <c r="G2" s="4" t="s">
        <v>3</v>
      </c>
      <c r="H2" s="4" t="s">
        <v>4</v>
      </c>
      <c r="I2" s="4" t="s">
        <v>6</v>
      </c>
      <c r="J2" s="4" t="s">
        <v>5</v>
      </c>
      <c r="K2" s="4" t="s">
        <v>7</v>
      </c>
      <c r="L2" s="4" t="s">
        <v>8</v>
      </c>
      <c r="M2" s="4" t="s">
        <v>11</v>
      </c>
    </row>
    <row r="3" spans="1:13" ht="18.75" customHeight="1" x14ac:dyDescent="0.25">
      <c r="A3" s="7">
        <v>4400</v>
      </c>
      <c r="B3" s="1">
        <f>+A3+1</f>
        <v>4401</v>
      </c>
      <c r="C3" s="11" t="str">
        <f t="shared" ref="C3:C8" si="0">A3&amp;"-"&amp;B3</f>
        <v>4400-4401</v>
      </c>
      <c r="D3" s="7" t="s">
        <v>14</v>
      </c>
      <c r="E3" s="7">
        <v>350</v>
      </c>
      <c r="F3" s="8">
        <v>42347</v>
      </c>
      <c r="G3" s="1">
        <v>7</v>
      </c>
      <c r="H3" s="9">
        <v>15.05</v>
      </c>
      <c r="I3" s="7">
        <v>49900</v>
      </c>
      <c r="J3" s="2">
        <f t="shared" ref="J3:J8" si="1">H3*H3*PI()/4</f>
        <v>177.89464750493056</v>
      </c>
      <c r="K3" s="10">
        <f t="shared" ref="K3:K8" si="2">I3/J3</f>
        <v>280.50309944607505</v>
      </c>
      <c r="L3" s="3">
        <f t="shared" ref="L3:L8" si="3">+K3/E3</f>
        <v>0.80143742698878584</v>
      </c>
      <c r="M3" s="12" t="s">
        <v>12</v>
      </c>
    </row>
    <row r="4" spans="1:13" ht="18.75" customHeight="1" x14ac:dyDescent="0.25">
      <c r="A4" s="1"/>
      <c r="B4" s="1"/>
      <c r="C4" s="6" t="str">
        <f t="shared" si="0"/>
        <v>-</v>
      </c>
      <c r="D4" s="1"/>
      <c r="E4" s="7">
        <v>350</v>
      </c>
      <c r="F4" s="1"/>
      <c r="G4" s="1">
        <v>7</v>
      </c>
      <c r="H4" s="9">
        <v>15.06</v>
      </c>
      <c r="I4" s="7">
        <v>50310</v>
      </c>
      <c r="J4" s="2">
        <f t="shared" si="1"/>
        <v>178.1311308919295</v>
      </c>
      <c r="K4" s="10">
        <f t="shared" si="2"/>
        <v>282.43238421094742</v>
      </c>
      <c r="L4" s="3">
        <f t="shared" si="3"/>
        <v>0.80694966917413546</v>
      </c>
      <c r="M4" s="12" t="s">
        <v>13</v>
      </c>
    </row>
    <row r="5" spans="1:13" ht="18.75" customHeight="1" x14ac:dyDescent="0.25">
      <c r="A5" s="1">
        <f>+B3+1</f>
        <v>4402</v>
      </c>
      <c r="B5" s="1">
        <f>+A5+1</f>
        <v>4403</v>
      </c>
      <c r="C5" s="6" t="str">
        <f t="shared" si="0"/>
        <v>4402-4403</v>
      </c>
      <c r="D5" s="1"/>
      <c r="E5" s="7">
        <v>350</v>
      </c>
      <c r="F5" s="1"/>
      <c r="G5" s="1">
        <v>14</v>
      </c>
      <c r="H5" s="9">
        <v>15.04</v>
      </c>
      <c r="I5" s="7">
        <v>56450</v>
      </c>
      <c r="J5" s="2">
        <f t="shared" si="1"/>
        <v>177.65832119756422</v>
      </c>
      <c r="K5" s="10">
        <f t="shared" si="2"/>
        <v>317.74475644867209</v>
      </c>
      <c r="L5" s="3">
        <f t="shared" si="3"/>
        <v>0.9078421612819203</v>
      </c>
      <c r="M5" s="12" t="s">
        <v>13</v>
      </c>
    </row>
    <row r="6" spans="1:13" ht="18.75" customHeight="1" x14ac:dyDescent="0.25">
      <c r="A6" s="1"/>
      <c r="B6" s="1"/>
      <c r="C6" s="6" t="str">
        <f t="shared" si="0"/>
        <v>-</v>
      </c>
      <c r="D6" s="1"/>
      <c r="E6" s="7">
        <v>350</v>
      </c>
      <c r="F6" s="1"/>
      <c r="G6" s="1">
        <v>14</v>
      </c>
      <c r="H6" s="9">
        <v>15</v>
      </c>
      <c r="I6" s="7">
        <v>59630</v>
      </c>
      <c r="J6" s="2">
        <f t="shared" si="1"/>
        <v>176.71458676442586</v>
      </c>
      <c r="K6" s="10">
        <f t="shared" si="2"/>
        <v>337.43677356692336</v>
      </c>
      <c r="L6" s="3">
        <f t="shared" si="3"/>
        <v>0.96410506733406676</v>
      </c>
      <c r="M6" s="12" t="s">
        <v>13</v>
      </c>
    </row>
    <row r="7" spans="1:13" ht="18.75" customHeight="1" x14ac:dyDescent="0.25">
      <c r="A7" s="1">
        <f>+B5+1</f>
        <v>4404</v>
      </c>
      <c r="B7" s="1">
        <f>+A7+1</f>
        <v>4405</v>
      </c>
      <c r="C7" s="6" t="str">
        <f t="shared" si="0"/>
        <v>4404-4405</v>
      </c>
      <c r="D7" s="1"/>
      <c r="E7" s="7">
        <v>350</v>
      </c>
      <c r="F7" s="1"/>
      <c r="G7" s="1">
        <v>28</v>
      </c>
      <c r="H7" s="9">
        <v>15.11</v>
      </c>
      <c r="I7" s="7">
        <v>65310</v>
      </c>
      <c r="J7" s="2">
        <f t="shared" si="1"/>
        <v>179.31590402141455</v>
      </c>
      <c r="K7" s="10">
        <f t="shared" si="2"/>
        <v>364.21755424549764</v>
      </c>
      <c r="L7" s="3">
        <f t="shared" si="3"/>
        <v>1.0406215835585646</v>
      </c>
      <c r="M7" s="12" t="s">
        <v>13</v>
      </c>
    </row>
    <row r="8" spans="1:13" ht="18.75" customHeight="1" x14ac:dyDescent="0.25">
      <c r="A8" s="1"/>
      <c r="B8" s="1"/>
      <c r="C8" s="6" t="str">
        <f t="shared" si="0"/>
        <v>-</v>
      </c>
      <c r="D8" s="1"/>
      <c r="E8" s="7">
        <v>350</v>
      </c>
      <c r="F8" s="1"/>
      <c r="G8" s="1">
        <v>28</v>
      </c>
      <c r="H8" s="9">
        <v>15.05</v>
      </c>
      <c r="I8" s="7">
        <v>64730</v>
      </c>
      <c r="J8" s="2">
        <f t="shared" si="1"/>
        <v>177.89464750493056</v>
      </c>
      <c r="K8" s="10">
        <f t="shared" si="2"/>
        <v>363.86704663616104</v>
      </c>
      <c r="L8" s="3">
        <f t="shared" si="3"/>
        <v>1.0396201332461743</v>
      </c>
      <c r="M8" s="12" t="s">
        <v>12</v>
      </c>
    </row>
    <row r="9" spans="1:13" ht="15" customHeight="1" x14ac:dyDescent="0.25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GG</vt:lpstr>
      <vt:lpstr>Hoja1</vt:lpstr>
      <vt:lpstr>GG!Área_de_impresión</vt:lpstr>
    </vt:vector>
  </TitlesOfParts>
  <Company>Odebrecht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kevin skibidi</cp:lastModifiedBy>
  <cp:lastPrinted>2025-10-03T15:50:02Z</cp:lastPrinted>
  <dcterms:created xsi:type="dcterms:W3CDTF">1999-11-07T15:11:55Z</dcterms:created>
  <dcterms:modified xsi:type="dcterms:W3CDTF">2026-03-03T22:05:28Z</dcterms:modified>
</cp:coreProperties>
</file>