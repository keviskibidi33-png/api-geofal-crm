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"/>
    </mc:Choice>
  </mc:AlternateContent>
  <xr:revisionPtr revIDLastSave="0" documentId="13_ncr:1_{1FA44852-3B33-42AC-B0F6-51535C27C395}" xr6:coauthVersionLast="47" xr6:coauthVersionMax="47" xr10:uidLastSave="{00000000-0000-0000-0000-000000000000}"/>
  <bookViews>
    <workbookView xWindow="-108" yWindow="-108" windowWidth="23256" windowHeight="12456" tabRatio="723" xr2:uid="{00000000-000D-0000-FFFF-FFFF00000000}"/>
  </bookViews>
  <sheets>
    <sheet name="GE Fino" sheetId="91" r:id="rId1"/>
    <sheet name="Hoja1" sheetId="49" state="hidden" r:id="rId2"/>
  </sheets>
  <definedNames>
    <definedName name="_xlnm.Print_Area" localSheetId="0">'GE Fino'!$A$1:$I$57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9" l="1"/>
  <c r="C3" i="49" s="1"/>
  <c r="J3" i="49"/>
  <c r="K3" i="49" s="1"/>
  <c r="L3" i="49" s="1"/>
  <c r="C4" i="49"/>
  <c r="J4" i="49"/>
  <c r="K4" i="49" s="1"/>
  <c r="L4" i="49" s="1"/>
  <c r="J5" i="49"/>
  <c r="K5" i="49" s="1"/>
  <c r="L5" i="49" s="1"/>
  <c r="C6" i="49"/>
  <c r="J6" i="49"/>
  <c r="K6" i="49" s="1"/>
  <c r="L6" i="49" s="1"/>
  <c r="J7" i="49"/>
  <c r="K7" i="49" s="1"/>
  <c r="L7" i="49" s="1"/>
  <c r="C8" i="49"/>
  <c r="J8" i="49"/>
  <c r="K8" i="49" s="1"/>
  <c r="L8" i="49" s="1"/>
  <c r="A5" i="49" l="1"/>
  <c r="B5" i="49" l="1"/>
  <c r="A7" i="49" s="1"/>
  <c r="C5" i="49" l="1"/>
  <c r="B7" i="49"/>
  <c r="C7" i="49" s="1"/>
</calcChain>
</file>

<file path=xl/sharedStrings.xml><?xml version="1.0" encoding="utf-8"?>
<sst xmlns="http://schemas.openxmlformats.org/spreadsheetml/2006/main" count="91" uniqueCount="73">
  <si>
    <t>FC</t>
  </si>
  <si>
    <t>F. MOLDEO</t>
  </si>
  <si>
    <t>DESCRIPCION</t>
  </si>
  <si>
    <t>DIA</t>
  </si>
  <si>
    <t>DIAMETRO</t>
  </si>
  <si>
    <t>AREA</t>
  </si>
  <si>
    <t>CARGA</t>
  </si>
  <si>
    <t>RESIS. CONCRETO</t>
  </si>
  <si>
    <t>% RESIS</t>
  </si>
  <si>
    <t>CODIGO</t>
  </si>
  <si>
    <t>CONCATENADOS</t>
  </si>
  <si>
    <t>TIPO DE FALLA</t>
  </si>
  <si>
    <t>E</t>
  </si>
  <si>
    <t>F</t>
  </si>
  <si>
    <t>Columnas C-9;5-3/G.H</t>
  </si>
  <si>
    <t>LABORATORIO DE ENSAYO DE MATERIALES</t>
  </si>
  <si>
    <t>Página 1 de 1</t>
  </si>
  <si>
    <t>g</t>
  </si>
  <si>
    <t>%</t>
  </si>
  <si>
    <t>WEB: www.geofal.com.pe   E-MAIL: laboratorio@geofal.com.pe / geofal.sac@gmail.com                                                                                                                         Av. Marañon 763, Los Olivos-Lima / Teléfono 01 522-1851</t>
  </si>
  <si>
    <t>FORMATO N° F-LEM-P-AG-18.01</t>
  </si>
  <si>
    <t>Equipo utilizado</t>
  </si>
  <si>
    <t>Código</t>
  </si>
  <si>
    <t>Balanza 0.1 g</t>
  </si>
  <si>
    <t>Horno 110ºC</t>
  </si>
  <si>
    <t>Prohibido reproducir sin  autorización</t>
  </si>
  <si>
    <t>A</t>
  </si>
  <si>
    <t>B</t>
  </si>
  <si>
    <t>C</t>
  </si>
  <si>
    <t>Masa de muestra saturada de superficie seca y densidad relativa</t>
  </si>
  <si>
    <t>Masa del picnómetro lleno de agua, hasta la marca de calibración,</t>
  </si>
  <si>
    <t>Masa del picnómetro lleno de muestra y agua, hasta la marca de calibración</t>
  </si>
  <si>
    <t>Condiciones del ensayo</t>
  </si>
  <si>
    <t>-</t>
  </si>
  <si>
    <t>Descripción</t>
  </si>
  <si>
    <t>Und.</t>
  </si>
  <si>
    <t>Standard Test Method for Relative Density (Specific Gravity) and Absorption of Fine Aggregate</t>
  </si>
  <si>
    <t>Ensayo</t>
  </si>
  <si>
    <t>Especimen de prueba</t>
  </si>
  <si>
    <t>Masa humeda</t>
  </si>
  <si>
    <t>Masa seca</t>
  </si>
  <si>
    <t>Masa seca constante</t>
  </si>
  <si>
    <t>Masa del recipiente</t>
  </si>
  <si>
    <t>Recipiente</t>
  </si>
  <si>
    <r>
      <t>Temp. del pignometro y contenido</t>
    </r>
    <r>
      <rPr>
        <b/>
        <sz val="9"/>
        <color theme="1"/>
        <rFont val="Arial"/>
        <family val="2"/>
      </rPr>
      <t xml:space="preserve"> (**)</t>
    </r>
  </si>
  <si>
    <r>
      <t>Observaciones:</t>
    </r>
    <r>
      <rPr>
        <sz val="9"/>
        <rFont val="Arial"/>
        <family val="2"/>
      </rPr>
      <t xml:space="preserve">  …................................................................................................................................................................................................................</t>
    </r>
  </si>
  <si>
    <t>La muestra se secó en horno a masa constante a 110 ± 5°C, antes de saturar. (Si o No)</t>
  </si>
  <si>
    <r>
      <rPr>
        <b/>
        <i/>
        <sz val="9"/>
        <color theme="1"/>
        <rFont val="Arial"/>
        <family val="2"/>
      </rPr>
      <t>(*)</t>
    </r>
    <r>
      <rPr>
        <i/>
        <sz val="9"/>
        <color theme="1"/>
        <rFont val="Arial"/>
        <family val="2"/>
      </rPr>
      <t xml:space="preserve">deje reposar 24hr </t>
    </r>
    <r>
      <rPr>
        <i/>
        <sz val="9"/>
        <color theme="1"/>
        <rFont val="Calibri"/>
        <family val="2"/>
      </rPr>
      <t>±</t>
    </r>
    <r>
      <rPr>
        <i/>
        <sz val="9"/>
        <color theme="1"/>
        <rFont val="Arial"/>
        <family val="2"/>
      </rPr>
      <t xml:space="preserve"> 4hr, cuando se trabaja con agregados livianos 72hr ± 4hr revolviendo 1 minuto cada 24hr</t>
    </r>
  </si>
  <si>
    <r>
      <rPr>
        <b/>
        <i/>
        <sz val="9"/>
        <color theme="1"/>
        <rFont val="Arial"/>
        <family val="2"/>
      </rPr>
      <t>(**)</t>
    </r>
    <r>
      <rPr>
        <i/>
        <sz val="9"/>
        <color theme="1"/>
        <rFont val="Arial"/>
        <family val="2"/>
      </rPr>
      <t xml:space="preserve"> 23.0 °C ± 2.0 </t>
    </r>
    <r>
      <rPr>
        <sz val="9"/>
        <color theme="1"/>
        <rFont val="Calibri"/>
        <family val="2"/>
      </rPr>
      <t>°</t>
    </r>
    <r>
      <rPr>
        <i/>
        <sz val="9"/>
        <color theme="1"/>
        <rFont val="Arial"/>
        <family val="2"/>
      </rPr>
      <t>C</t>
    </r>
  </si>
  <si>
    <t>Masa del recipiente más muestra secada al horno</t>
  </si>
  <si>
    <t>Masa del recipiente más muestra secada al horno constante</t>
  </si>
  <si>
    <r>
      <t xml:space="preserve">Temp. Durante la calibración </t>
    </r>
    <r>
      <rPr>
        <b/>
        <sz val="9"/>
        <color theme="1"/>
        <rFont val="Arial"/>
        <family val="2"/>
      </rPr>
      <t>(**)</t>
    </r>
  </si>
  <si>
    <t>S</t>
  </si>
  <si>
    <t>d</t>
  </si>
  <si>
    <t>e</t>
  </si>
  <si>
    <t>f</t>
  </si>
  <si>
    <t>Masa de la muestra secada al horno = a - d</t>
  </si>
  <si>
    <t>Densidad relativa (gravedad especifica) (OD) = A / (B + S - C)</t>
  </si>
  <si>
    <t>Densidad relativa (gravedad especifica) (SSD) = S / (B + S - C)</t>
  </si>
  <si>
    <t>Densidad relativa aparente (gravedad especifica) = A / (B + A - C)</t>
  </si>
  <si>
    <r>
      <t xml:space="preserve">Absorción (%) = 100 </t>
    </r>
    <r>
      <rPr>
        <sz val="9"/>
        <rFont val="Calibri"/>
        <family val="2"/>
      </rPr>
      <t>[</t>
    </r>
    <r>
      <rPr>
        <sz val="9"/>
        <rFont val="Arial"/>
        <family val="2"/>
      </rPr>
      <t>(S - A) / A</t>
    </r>
    <r>
      <rPr>
        <sz val="9"/>
        <rFont val="Calibri"/>
        <family val="2"/>
      </rPr>
      <t>]</t>
    </r>
  </si>
  <si>
    <r>
      <t xml:space="preserve">Fecha / hora de inmersión </t>
    </r>
    <r>
      <rPr>
        <b/>
        <sz val="9"/>
        <color theme="1"/>
        <rFont val="Arial"/>
        <family val="2"/>
      </rPr>
      <t>(*)</t>
    </r>
  </si>
  <si>
    <r>
      <t xml:space="preserve">Fecha / hora de salida inmersión </t>
    </r>
    <r>
      <rPr>
        <b/>
        <sz val="9"/>
        <color theme="1"/>
        <rFont val="Arial"/>
        <family val="2"/>
      </rPr>
      <t>(*)</t>
    </r>
  </si>
  <si>
    <t>Picnómetro</t>
  </si>
  <si>
    <t>Molde (tronco cónico) y pisón</t>
  </si>
  <si>
    <t>Termómetro</t>
  </si>
  <si>
    <t>Equipo Gravedad Especifica</t>
  </si>
  <si>
    <r>
      <t>ASTM C128-</t>
    </r>
    <r>
      <rPr>
        <b/>
        <u/>
        <sz val="10"/>
        <rFont val="Arial"/>
        <family val="2"/>
      </rPr>
      <t>25</t>
    </r>
  </si>
  <si>
    <t>Versión: 07 (2026-01-20)</t>
  </si>
  <si>
    <t>FECHA DE ENSAYO</t>
  </si>
  <si>
    <t>REALIZADO</t>
  </si>
  <si>
    <t>N° OT</t>
  </si>
  <si>
    <t>MUESTRA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</si>
</sst>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\ &quot;/ CO-06&quot;"/>
    <numFmt numFmtId="165" formatCode="&quot;FORMATO F-LEM-P-SU-11.01&quot;"/>
  </numFmts>
  <fonts count="28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8"/>
      <name val="Arial"/>
      <family val="2"/>
    </font>
    <font>
      <b/>
      <sz val="12"/>
      <name val="Arial"/>
      <family val="2"/>
    </font>
    <font>
      <sz val="9"/>
      <name val="Arial"/>
      <family val="2"/>
    </font>
    <font>
      <sz val="10"/>
      <color rgb="FF0070C0"/>
      <name val="Arial"/>
      <family val="2"/>
    </font>
    <font>
      <b/>
      <sz val="10"/>
      <color rgb="FF0070C0"/>
      <name val="Times New Roman"/>
      <family val="1"/>
    </font>
    <font>
      <b/>
      <sz val="8"/>
      <name val="Arial"/>
      <family val="2"/>
    </font>
    <font>
      <sz val="9"/>
      <color theme="1"/>
      <name val="Arial"/>
      <family val="2"/>
    </font>
    <font>
      <b/>
      <u/>
      <sz val="11"/>
      <name val="Arial"/>
      <family val="2"/>
    </font>
    <font>
      <b/>
      <sz val="9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u/>
      <sz val="9"/>
      <name val="Arial"/>
      <family val="2"/>
    </font>
    <font>
      <b/>
      <sz val="9"/>
      <color theme="1"/>
      <name val="Arial"/>
      <family val="2"/>
    </font>
    <font>
      <sz val="8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i/>
      <sz val="9"/>
      <color theme="1"/>
      <name val="Calibri"/>
      <family val="2"/>
    </font>
    <font>
      <sz val="9"/>
      <color theme="1"/>
      <name val="Calibri"/>
      <family val="2"/>
    </font>
    <font>
      <sz val="9"/>
      <name val="Calibri"/>
      <family val="2"/>
    </font>
    <font>
      <b/>
      <u/>
      <sz val="10"/>
      <name val="Arial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1" fillId="0" borderId="0"/>
  </cellStyleXfs>
  <cellXfs count="104">
    <xf numFmtId="0" fontId="0" fillId="0" borderId="0" xfId="0"/>
    <xf numFmtId="0" fontId="0" fillId="0" borderId="1" xfId="0" applyBorder="1"/>
    <xf numFmtId="2" fontId="4" fillId="2" borderId="1" xfId="0" applyNumberFormat="1" applyFont="1" applyFill="1" applyBorder="1" applyAlignment="1">
      <alignment vertical="center" wrapText="1"/>
    </xf>
    <xf numFmtId="10" fontId="5" fillId="2" borderId="1" xfId="0" applyNumberFormat="1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6" fillId="0" borderId="1" xfId="0" applyFont="1" applyBorder="1" applyAlignment="1">
      <alignment horizontal="center"/>
    </xf>
    <xf numFmtId="0" fontId="9" fillId="0" borderId="1" xfId="0" applyFont="1" applyBorder="1"/>
    <xf numFmtId="16" fontId="9" fillId="0" borderId="1" xfId="0" applyNumberFormat="1" applyFont="1" applyBorder="1"/>
    <xf numFmtId="2" fontId="9" fillId="0" borderId="1" xfId="0" applyNumberFormat="1" applyFont="1" applyBorder="1"/>
    <xf numFmtId="2" fontId="10" fillId="2" borderId="1" xfId="0" applyNumberFormat="1" applyFont="1" applyFill="1" applyBorder="1" applyAlignment="1">
      <alignment vertical="center" wrapText="1"/>
    </xf>
    <xf numFmtId="164" fontId="6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2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2" fillId="2" borderId="3" xfId="0" applyFont="1" applyFill="1" applyBorder="1" applyAlignment="1">
      <alignment vertical="center"/>
    </xf>
    <xf numFmtId="0" fontId="2" fillId="2" borderId="4" xfId="0" applyFont="1" applyFill="1" applyBorder="1" applyAlignment="1">
      <alignment vertical="center"/>
    </xf>
    <xf numFmtId="0" fontId="7" fillId="2" borderId="4" xfId="0" applyFont="1" applyFill="1" applyBorder="1" applyAlignment="1">
      <alignment vertical="center"/>
    </xf>
    <xf numFmtId="0" fontId="2" fillId="2" borderId="6" xfId="0" applyFont="1" applyFill="1" applyBorder="1" applyAlignment="1">
      <alignment vertical="center"/>
    </xf>
    <xf numFmtId="0" fontId="6" fillId="2" borderId="0" xfId="0" applyFont="1" applyFill="1" applyAlignment="1" applyProtection="1">
      <alignment vertical="center"/>
      <protection hidden="1"/>
    </xf>
    <xf numFmtId="0" fontId="6" fillId="2" borderId="0" xfId="0" applyFont="1" applyFill="1" applyAlignment="1" applyProtection="1">
      <alignment horizontal="left" vertical="center"/>
      <protection hidden="1"/>
    </xf>
    <xf numFmtId="0" fontId="6" fillId="2" borderId="1" xfId="0" applyFont="1" applyFill="1" applyBorder="1" applyAlignment="1" applyProtection="1">
      <alignment horizontal="center" vertical="center"/>
      <protection hidden="1"/>
    </xf>
    <xf numFmtId="0" fontId="7" fillId="2" borderId="5" xfId="0" applyFont="1" applyFill="1" applyBorder="1" applyAlignment="1">
      <alignment vertical="center"/>
    </xf>
    <xf numFmtId="0" fontId="7" fillId="2" borderId="7" xfId="0" applyFont="1" applyFill="1" applyBorder="1" applyAlignment="1">
      <alignment vertical="center"/>
    </xf>
    <xf numFmtId="0" fontId="6" fillId="2" borderId="0" xfId="0" applyFont="1" applyFill="1" applyAlignment="1" applyProtection="1">
      <alignment horizontal="center" vertical="center"/>
      <protection hidden="1"/>
    </xf>
    <xf numFmtId="0" fontId="16" fillId="2" borderId="0" xfId="0" applyFont="1" applyFill="1" applyAlignment="1" applyProtection="1">
      <alignment vertical="center"/>
      <protection hidden="1"/>
    </xf>
    <xf numFmtId="0" fontId="17" fillId="2" borderId="8" xfId="0" applyFont="1" applyFill="1" applyBorder="1" applyAlignment="1">
      <alignment vertical="center"/>
    </xf>
    <xf numFmtId="0" fontId="17" fillId="2" borderId="2" xfId="0" applyFont="1" applyFill="1" applyBorder="1" applyAlignment="1">
      <alignment vertical="center"/>
    </xf>
    <xf numFmtId="0" fontId="17" fillId="2" borderId="9" xfId="0" applyFont="1" applyFill="1" applyBorder="1" applyAlignment="1">
      <alignment vertical="center"/>
    </xf>
    <xf numFmtId="0" fontId="17" fillId="2" borderId="0" xfId="0" applyFont="1" applyFill="1" applyAlignment="1">
      <alignment vertical="center"/>
    </xf>
    <xf numFmtId="0" fontId="13" fillId="2" borderId="0" xfId="0" applyFont="1" applyFill="1" applyAlignment="1">
      <alignment horizontal="center" vertical="center"/>
    </xf>
    <xf numFmtId="0" fontId="11" fillId="2" borderId="0" xfId="3" applyFont="1" applyFill="1" applyAlignment="1">
      <alignment vertical="center"/>
    </xf>
    <xf numFmtId="0" fontId="1" fillId="2" borderId="0" xfId="0" applyFont="1" applyFill="1" applyAlignment="1" applyProtection="1">
      <alignment vertical="center"/>
      <protection hidden="1"/>
    </xf>
    <xf numFmtId="0" fontId="6" fillId="2" borderId="0" xfId="0" applyFont="1" applyFill="1" applyAlignment="1">
      <alignment horizontal="left" vertical="center" wrapText="1"/>
    </xf>
    <xf numFmtId="0" fontId="12" fillId="2" borderId="14" xfId="0" applyFont="1" applyFill="1" applyBorder="1" applyAlignment="1">
      <alignment vertical="center"/>
    </xf>
    <xf numFmtId="0" fontId="12" fillId="2" borderId="15" xfId="0" applyFont="1" applyFill="1" applyBorder="1" applyAlignment="1">
      <alignment vertical="center"/>
    </xf>
    <xf numFmtId="0" fontId="8" fillId="2" borderId="18" xfId="0" applyFont="1" applyFill="1" applyBorder="1" applyAlignment="1" applyProtection="1">
      <alignment vertical="center"/>
      <protection locked="0"/>
    </xf>
    <xf numFmtId="0" fontId="12" fillId="2" borderId="19" xfId="0" applyFont="1" applyFill="1" applyBorder="1" applyAlignment="1">
      <alignment vertical="center"/>
    </xf>
    <xf numFmtId="0" fontId="15" fillId="2" borderId="0" xfId="0" applyFont="1" applyFill="1" applyAlignment="1" applyProtection="1">
      <alignment vertical="center"/>
      <protection hidden="1"/>
    </xf>
    <xf numFmtId="0" fontId="12" fillId="2" borderId="16" xfId="0" applyFont="1" applyFill="1" applyBorder="1" applyAlignment="1">
      <alignment vertical="center"/>
    </xf>
    <xf numFmtId="0" fontId="12" fillId="2" borderId="17" xfId="0" applyFont="1" applyFill="1" applyBorder="1" applyAlignment="1">
      <alignment vertical="center"/>
    </xf>
    <xf numFmtId="0" fontId="2" fillId="2" borderId="11" xfId="0" applyFont="1" applyFill="1" applyBorder="1" applyAlignment="1" applyProtection="1">
      <alignment vertical="center"/>
      <protection hidden="1"/>
    </xf>
    <xf numFmtId="0" fontId="16" fillId="2" borderId="11" xfId="0" applyFont="1" applyFill="1" applyBorder="1" applyAlignment="1" applyProtection="1">
      <alignment vertical="center"/>
      <protection hidden="1"/>
    </xf>
    <xf numFmtId="0" fontId="18" fillId="2" borderId="0" xfId="0" applyFont="1" applyFill="1" applyAlignment="1">
      <alignment vertical="center"/>
    </xf>
    <xf numFmtId="0" fontId="2" fillId="2" borderId="0" xfId="0" applyFont="1" applyFill="1" applyAlignment="1" applyProtection="1">
      <alignment vertical="center"/>
      <protection hidden="1"/>
    </xf>
    <xf numFmtId="0" fontId="16" fillId="2" borderId="10" xfId="0" applyFont="1" applyFill="1" applyBorder="1" applyAlignment="1" applyProtection="1">
      <alignment vertical="center"/>
      <protection hidden="1"/>
    </xf>
    <xf numFmtId="0" fontId="8" fillId="2" borderId="0" xfId="0" applyFont="1" applyFill="1" applyAlignment="1" applyProtection="1">
      <alignment horizontal="left" vertical="center" indent="2"/>
      <protection locked="0"/>
    </xf>
    <xf numFmtId="0" fontId="8" fillId="2" borderId="0" xfId="0" applyFont="1" applyFill="1" applyAlignment="1" applyProtection="1">
      <alignment vertical="center"/>
      <protection locked="0"/>
    </xf>
    <xf numFmtId="0" fontId="16" fillId="2" borderId="1" xfId="0" applyFont="1" applyFill="1" applyBorder="1" applyAlignment="1" applyProtection="1">
      <alignment vertical="center"/>
      <protection hidden="1"/>
    </xf>
    <xf numFmtId="0" fontId="14" fillId="2" borderId="1" xfId="0" applyFont="1" applyFill="1" applyBorder="1" applyAlignment="1" applyProtection="1">
      <alignment horizontal="center" vertical="center"/>
      <protection hidden="1"/>
    </xf>
    <xf numFmtId="0" fontId="14" fillId="2" borderId="0" xfId="0" applyFont="1" applyFill="1" applyAlignment="1" applyProtection="1">
      <alignment horizontal="left" vertical="center"/>
      <protection hidden="1"/>
    </xf>
    <xf numFmtId="0" fontId="11" fillId="2" borderId="0" xfId="3" applyFont="1" applyFill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8" fillId="2" borderId="19" xfId="0" applyFont="1" applyFill="1" applyBorder="1" applyAlignment="1" applyProtection="1">
      <alignment vertical="center"/>
      <protection locked="0"/>
    </xf>
    <xf numFmtId="0" fontId="8" fillId="2" borderId="1" xfId="0" applyFont="1" applyFill="1" applyBorder="1" applyAlignment="1" applyProtection="1">
      <alignment horizontal="center" vertical="center"/>
      <protection locked="0"/>
    </xf>
    <xf numFmtId="0" fontId="8" fillId="2" borderId="18" xfId="0" applyFont="1" applyFill="1" applyBorder="1" applyAlignment="1" applyProtection="1">
      <alignment vertical="center"/>
      <protection hidden="1"/>
    </xf>
    <xf numFmtId="0" fontId="12" fillId="2" borderId="1" xfId="0" applyFont="1" applyFill="1" applyBorder="1" applyAlignment="1">
      <alignment vertical="center"/>
    </xf>
    <xf numFmtId="0" fontId="12" fillId="2" borderId="20" xfId="0" applyFont="1" applyFill="1" applyBorder="1" applyAlignment="1">
      <alignment vertical="center"/>
    </xf>
    <xf numFmtId="0" fontId="12" fillId="2" borderId="21" xfId="0" applyFont="1" applyFill="1" applyBorder="1" applyAlignment="1">
      <alignment vertical="center"/>
    </xf>
    <xf numFmtId="0" fontId="8" fillId="2" borderId="19" xfId="0" applyFont="1" applyFill="1" applyBorder="1" applyAlignment="1" applyProtection="1">
      <alignment horizontal="center" vertical="center"/>
      <protection locked="0"/>
    </xf>
    <xf numFmtId="0" fontId="8" fillId="2" borderId="19" xfId="0" applyFont="1" applyFill="1" applyBorder="1" applyAlignment="1" applyProtection="1">
      <alignment vertical="center"/>
      <protection hidden="1"/>
    </xf>
    <xf numFmtId="0" fontId="8" fillId="2" borderId="20" xfId="0" applyFont="1" applyFill="1" applyBorder="1" applyAlignment="1" applyProtection="1">
      <alignment vertical="center"/>
      <protection hidden="1"/>
    </xf>
    <xf numFmtId="0" fontId="8" fillId="2" borderId="1" xfId="0" applyFont="1" applyFill="1" applyBorder="1" applyAlignment="1" applyProtection="1">
      <alignment horizontal="center" vertical="center"/>
      <protection hidden="1"/>
    </xf>
    <xf numFmtId="0" fontId="14" fillId="2" borderId="12" xfId="0" applyFont="1" applyFill="1" applyBorder="1" applyAlignment="1" applyProtection="1">
      <alignment horizontal="center" vertical="center" wrapText="1"/>
      <protection hidden="1"/>
    </xf>
    <xf numFmtId="0" fontId="18" fillId="2" borderId="11" xfId="0" applyFont="1" applyFill="1" applyBorder="1" applyAlignment="1" applyProtection="1">
      <alignment horizontal="left" vertical="center"/>
      <protection hidden="1"/>
    </xf>
    <xf numFmtId="0" fontId="14" fillId="2" borderId="11" xfId="0" applyFont="1" applyFill="1" applyBorder="1" applyAlignment="1" applyProtection="1">
      <alignment horizontal="center" vertical="center" wrapText="1"/>
      <protection hidden="1"/>
    </xf>
    <xf numFmtId="0" fontId="14" fillId="2" borderId="13" xfId="0" applyFont="1" applyFill="1" applyBorder="1" applyAlignment="1" applyProtection="1">
      <alignment horizontal="center" vertical="center" wrapText="1"/>
      <protection hidden="1"/>
    </xf>
    <xf numFmtId="0" fontId="14" fillId="2" borderId="14" xfId="0" applyFont="1" applyFill="1" applyBorder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1" xfId="0" applyFont="1" applyFill="1" applyBorder="1" applyAlignment="1" applyProtection="1">
      <alignment horizontal="center" vertical="center" wrapText="1"/>
      <protection hidden="1"/>
    </xf>
    <xf numFmtId="0" fontId="14" fillId="2" borderId="15" xfId="0" applyFont="1" applyFill="1" applyBorder="1" applyAlignment="1" applyProtection="1">
      <alignment horizontal="center" vertical="center" wrapText="1"/>
      <protection hidden="1"/>
    </xf>
    <xf numFmtId="0" fontId="21" fillId="2" borderId="0" xfId="0" applyFont="1" applyFill="1" applyAlignment="1">
      <alignment vertical="center"/>
    </xf>
    <xf numFmtId="0" fontId="8" fillId="2" borderId="15" xfId="0" applyFont="1" applyFill="1" applyBorder="1" applyAlignment="1" applyProtection="1">
      <alignment vertical="center"/>
      <protection hidden="1"/>
    </xf>
    <xf numFmtId="0" fontId="8" fillId="2" borderId="19" xfId="0" applyFont="1" applyFill="1" applyBorder="1" applyAlignment="1" applyProtection="1">
      <alignment horizontal="center" vertical="center"/>
      <protection hidden="1"/>
    </xf>
    <xf numFmtId="0" fontId="19" fillId="2" borderId="1" xfId="0" applyFont="1" applyFill="1" applyBorder="1" applyAlignment="1">
      <alignment horizontal="center" vertical="center"/>
    </xf>
    <xf numFmtId="0" fontId="14" fillId="2" borderId="18" xfId="0" applyFont="1" applyFill="1" applyBorder="1" applyAlignment="1" applyProtection="1">
      <alignment horizontal="center" vertical="center" wrapText="1"/>
      <protection hidden="1"/>
    </xf>
    <xf numFmtId="0" fontId="14" fillId="2" borderId="20" xfId="0" applyFont="1" applyFill="1" applyBorder="1" applyAlignment="1" applyProtection="1">
      <alignment horizontal="center" vertical="center" wrapText="1"/>
      <protection hidden="1"/>
    </xf>
    <xf numFmtId="0" fontId="6" fillId="2" borderId="18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0" fontId="14" fillId="2" borderId="18" xfId="0" applyFont="1" applyFill="1" applyBorder="1" applyAlignment="1" applyProtection="1">
      <alignment horizontal="center" vertical="center" wrapText="1"/>
      <protection hidden="1"/>
    </xf>
    <xf numFmtId="0" fontId="14" fillId="2" borderId="20" xfId="0" applyFont="1" applyFill="1" applyBorder="1" applyAlignment="1" applyProtection="1">
      <alignment horizontal="center" vertical="center" wrapText="1"/>
      <protection hidden="1"/>
    </xf>
    <xf numFmtId="0" fontId="6" fillId="2" borderId="18" xfId="0" applyFont="1" applyFill="1" applyBorder="1" applyAlignment="1" applyProtection="1">
      <alignment horizontal="center" vertical="center"/>
      <protection locked="0"/>
    </xf>
    <xf numFmtId="0" fontId="6" fillId="2" borderId="20" xfId="0" applyFont="1" applyFill="1" applyBorder="1" applyAlignment="1" applyProtection="1">
      <alignment horizontal="center" vertical="center"/>
      <protection locked="0"/>
    </xf>
    <xf numFmtId="0" fontId="8" fillId="2" borderId="0" xfId="1" applyFont="1" applyFill="1" applyBorder="1" applyAlignment="1" applyProtection="1">
      <alignment horizontal="center" vertical="center" wrapText="1"/>
    </xf>
    <xf numFmtId="0" fontId="2" fillId="2" borderId="16" xfId="0" applyFont="1" applyFill="1" applyBorder="1" applyAlignment="1" applyProtection="1">
      <alignment horizontal="center" vertical="center" wrapText="1"/>
      <protection hidden="1"/>
    </xf>
    <xf numFmtId="0" fontId="2" fillId="2" borderId="10" xfId="0" applyFont="1" applyFill="1" applyBorder="1" applyAlignment="1" applyProtection="1">
      <alignment horizontal="center" vertical="center" wrapText="1"/>
      <protection hidden="1"/>
    </xf>
    <xf numFmtId="0" fontId="2" fillId="2" borderId="17" xfId="0" applyFont="1" applyFill="1" applyBorder="1" applyAlignment="1" applyProtection="1">
      <alignment horizontal="center" vertical="center" wrapText="1"/>
      <protection hidden="1"/>
    </xf>
    <xf numFmtId="0" fontId="1" fillId="2" borderId="0" xfId="0" applyFont="1" applyFill="1" applyAlignment="1" applyProtection="1">
      <alignment horizontal="center" vertical="center"/>
      <protection hidden="1"/>
    </xf>
    <xf numFmtId="0" fontId="13" fillId="2" borderId="0" xfId="0" applyFont="1" applyFill="1" applyAlignment="1">
      <alignment horizontal="center" vertical="center"/>
    </xf>
    <xf numFmtId="165" fontId="13" fillId="2" borderId="0" xfId="0" applyNumberFormat="1" applyFont="1" applyFill="1" applyAlignment="1" applyProtection="1">
      <alignment horizontal="center" vertical="center"/>
      <protection hidden="1"/>
    </xf>
    <xf numFmtId="0" fontId="2" fillId="2" borderId="12" xfId="0" applyFont="1" applyFill="1" applyBorder="1" applyAlignment="1" applyProtection="1">
      <alignment horizontal="center" vertical="center" wrapText="1"/>
      <protection hidden="1"/>
    </xf>
    <xf numFmtId="0" fontId="2" fillId="2" borderId="11" xfId="0" applyFont="1" applyFill="1" applyBorder="1" applyAlignment="1" applyProtection="1">
      <alignment horizontal="center" vertical="center" wrapText="1"/>
      <protection hidden="1"/>
    </xf>
    <xf numFmtId="0" fontId="2" fillId="2" borderId="13" xfId="0" applyFont="1" applyFill="1" applyBorder="1" applyAlignment="1" applyProtection="1">
      <alignment horizontal="center" vertical="center" wrapText="1"/>
      <protection hidden="1"/>
    </xf>
    <xf numFmtId="0" fontId="11" fillId="2" borderId="0" xfId="3" applyFont="1" applyFill="1" applyAlignment="1">
      <alignment horizontal="center" vertical="center"/>
    </xf>
    <xf numFmtId="0" fontId="14" fillId="2" borderId="18" xfId="0" applyFont="1" applyFill="1" applyBorder="1" applyAlignment="1" applyProtection="1">
      <alignment horizontal="center" vertical="center"/>
      <protection hidden="1"/>
    </xf>
    <xf numFmtId="0" fontId="14" fillId="2" borderId="20" xfId="0" applyFont="1" applyFill="1" applyBorder="1" applyAlignment="1" applyProtection="1">
      <alignment horizontal="center" vertical="center"/>
      <protection hidden="1"/>
    </xf>
    <xf numFmtId="0" fontId="19" fillId="2" borderId="1" xfId="0" applyFont="1" applyFill="1" applyBorder="1" applyAlignment="1">
      <alignment horizontal="center" vertical="center"/>
    </xf>
    <xf numFmtId="0" fontId="19" fillId="2" borderId="18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7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/>
    </xf>
    <xf numFmtId="0" fontId="11" fillId="2" borderId="1" xfId="3" applyFont="1" applyFill="1" applyBorder="1" applyAlignment="1">
      <alignment vertical="center"/>
    </xf>
    <xf numFmtId="0" fontId="11" fillId="2" borderId="18" xfId="3" applyFont="1" applyFill="1" applyBorder="1" applyAlignment="1">
      <alignment horizontal="center" vertical="center"/>
    </xf>
    <xf numFmtId="0" fontId="11" fillId="2" borderId="20" xfId="3" applyFont="1" applyFill="1" applyBorder="1" applyAlignment="1">
      <alignment horizontal="center" vertical="center"/>
    </xf>
  </cellXfs>
  <cellStyles count="5">
    <cellStyle name="Hipervínculo" xfId="1" builtinId="8"/>
    <cellStyle name="Normal" xfId="0" builtinId="0"/>
    <cellStyle name="Normal 2" xfId="4" xr:uid="{00000000-0005-0000-0000-000002000000}"/>
    <cellStyle name="Normal 4" xfId="2" xr:uid="{00000000-0005-0000-0000-000003000000}"/>
    <cellStyle name="Normal_ENSAYOS" xfId="3" xr:uid="{00000000-0005-0000-0000-000004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</xdr:colOff>
      <xdr:row>55</xdr:row>
      <xdr:rowOff>169545</xdr:rowOff>
    </xdr:from>
    <xdr:to>
      <xdr:col>9</xdr:col>
      <xdr:colOff>0</xdr:colOff>
      <xdr:row>55</xdr:row>
      <xdr:rowOff>169545</xdr:rowOff>
    </xdr:to>
    <xdr:cxnSp macro="">
      <xdr:nvCxnSpPr>
        <xdr:cNvPr id="317807" name="2 Conector recto">
          <a:extLst>
            <a:ext uri="{FF2B5EF4-FFF2-40B4-BE49-F238E27FC236}">
              <a16:creationId xmlns:a16="http://schemas.microsoft.com/office/drawing/2014/main" id="{00000000-0008-0000-0000-00006FD90400}"/>
            </a:ext>
          </a:extLst>
        </xdr:cNvPr>
        <xdr:cNvCxnSpPr>
          <a:cxnSpLocks noChangeShapeType="1"/>
        </xdr:cNvCxnSpPr>
      </xdr:nvCxnSpPr>
      <xdr:spPr bwMode="auto">
        <a:xfrm flipV="1">
          <a:off x="17145" y="11170920"/>
          <a:ext cx="650748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oneCellAnchor>
    <xdr:from>
      <xdr:col>10</xdr:col>
      <xdr:colOff>0</xdr:colOff>
      <xdr:row>6</xdr:row>
      <xdr:rowOff>7620</xdr:rowOff>
    </xdr:from>
    <xdr:ext cx="184731" cy="264560"/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0698480" y="119634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PE" sz="1100"/>
        </a:p>
      </xdr:txBody>
    </xdr:sp>
    <xdr:clientData/>
  </xdr:oneCellAnchor>
  <xdr:twoCellAnchor>
    <xdr:from>
      <xdr:col>3</xdr:col>
      <xdr:colOff>104774</xdr:colOff>
      <xdr:row>50</xdr:row>
      <xdr:rowOff>17146</xdr:rowOff>
    </xdr:from>
    <xdr:to>
      <xdr:col>4</xdr:col>
      <xdr:colOff>1034099</xdr:colOff>
      <xdr:row>53</xdr:row>
      <xdr:rowOff>174196</xdr:rowOff>
    </xdr:to>
    <xdr:sp macro="" textlink="">
      <xdr:nvSpPr>
        <xdr:cNvPr id="33" name="15 CuadroTexto">
          <a:extLst>
            <a:ext uri="{FF2B5EF4-FFF2-40B4-BE49-F238E27FC236}">
              <a16:creationId xmlns:a16="http://schemas.microsoft.com/office/drawing/2014/main" id="{4B0725F7-EBAE-462E-9681-82467EC7B631}"/>
            </a:ext>
          </a:extLst>
        </xdr:cNvPr>
        <xdr:cNvSpPr txBox="1"/>
      </xdr:nvSpPr>
      <xdr:spPr>
        <a:xfrm>
          <a:off x="1438274" y="11151871"/>
          <a:ext cx="2520000" cy="9000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>
    <xdr:from>
      <xdr:col>4</xdr:col>
      <xdr:colOff>1154429</xdr:colOff>
      <xdr:row>50</xdr:row>
      <xdr:rowOff>9524</xdr:rowOff>
    </xdr:from>
    <xdr:to>
      <xdr:col>8</xdr:col>
      <xdr:colOff>293054</xdr:colOff>
      <xdr:row>53</xdr:row>
      <xdr:rowOff>166574</xdr:rowOff>
    </xdr:to>
    <xdr:sp macro="" textlink="">
      <xdr:nvSpPr>
        <xdr:cNvPr id="34" name="15 CuadroTexto">
          <a:extLst>
            <a:ext uri="{FF2B5EF4-FFF2-40B4-BE49-F238E27FC236}">
              <a16:creationId xmlns:a16="http://schemas.microsoft.com/office/drawing/2014/main" id="{6563AAE2-3CE5-4FEB-972F-5980E35EB40B}"/>
            </a:ext>
          </a:extLst>
        </xdr:cNvPr>
        <xdr:cNvSpPr txBox="1"/>
      </xdr:nvSpPr>
      <xdr:spPr>
        <a:xfrm>
          <a:off x="4078604" y="11144249"/>
          <a:ext cx="2520000" cy="90000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</a:t>
          </a:r>
        </a:p>
      </xdr:txBody>
    </xdr:sp>
    <xdr:clientData/>
  </xdr:twoCellAnchor>
  <xdr:twoCellAnchor>
    <xdr:from>
      <xdr:col>3</xdr:col>
      <xdr:colOff>1504950</xdr:colOff>
      <xdr:row>0</xdr:row>
      <xdr:rowOff>142875</xdr:rowOff>
    </xdr:from>
    <xdr:to>
      <xdr:col>4</xdr:col>
      <xdr:colOff>1099625</xdr:colOff>
      <xdr:row>4</xdr:row>
      <xdr:rowOff>66675</xdr:rowOff>
    </xdr:to>
    <xdr:pic>
      <xdr:nvPicPr>
        <xdr:cNvPr id="2" name="Imagen 7">
          <a:extLst>
            <a:ext uri="{FF2B5EF4-FFF2-40B4-BE49-F238E27FC236}">
              <a16:creationId xmlns:a16="http://schemas.microsoft.com/office/drawing/2014/main" id="{71006F20-AED6-9F68-147E-24FCE5B4C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86075" y="142875"/>
          <a:ext cx="1213925" cy="723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99060</xdr:colOff>
      <xdr:row>10</xdr:row>
      <xdr:rowOff>121920</xdr:rowOff>
    </xdr:from>
    <xdr:to>
      <xdr:col>8</xdr:col>
      <xdr:colOff>259080</xdr:colOff>
      <xdr:row>22</xdr:row>
      <xdr:rowOff>7620</xdr:rowOff>
    </xdr:to>
    <xdr:pic>
      <xdr:nvPicPr>
        <xdr:cNvPr id="252341" name="24 Imagen">
          <a:extLst>
            <a:ext uri="{FF2B5EF4-FFF2-40B4-BE49-F238E27FC236}">
              <a16:creationId xmlns:a16="http://schemas.microsoft.com/office/drawing/2014/main" id="{00000000-0008-0000-0100-0000B5D903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31620" y="2301240"/>
          <a:ext cx="6019800" cy="18973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J59"/>
  <sheetViews>
    <sheetView showGridLines="0" tabSelected="1" view="pageBreakPreview" topLeftCell="A4" zoomScale="130" zoomScaleNormal="100" zoomScaleSheetLayoutView="130" workbookViewId="0">
      <selection activeCell="F10" sqref="F10:G10"/>
    </sheetView>
  </sheetViews>
  <sheetFormatPr baseColWidth="10" defaultColWidth="10.33203125" defaultRowHeight="13.8" x14ac:dyDescent="0.25"/>
  <cols>
    <col min="1" max="1" width="2.5546875" style="25" customWidth="1"/>
    <col min="2" max="2" width="5" style="25" customWidth="1"/>
    <col min="3" max="3" width="13.109375" style="25" customWidth="1"/>
    <col min="4" max="5" width="24.33203125" style="25" customWidth="1"/>
    <col min="6" max="6" width="6.33203125" style="25" customWidth="1"/>
    <col min="7" max="8" width="13.6640625" style="25" customWidth="1"/>
    <col min="9" max="9" width="10.109375" style="25" customWidth="1"/>
    <col min="10" max="10" width="6.44140625" style="25" customWidth="1"/>
    <col min="11" max="16384" width="10.33203125" style="25"/>
  </cols>
  <sheetData>
    <row r="1" spans="1:10" ht="15.75" customHeight="1" thickTop="1" x14ac:dyDescent="0.25">
      <c r="A1" s="15"/>
      <c r="B1" s="16"/>
      <c r="C1" s="16"/>
      <c r="D1" s="17"/>
      <c r="E1" s="17"/>
      <c r="F1" s="17"/>
      <c r="G1" s="17"/>
      <c r="H1" s="17"/>
      <c r="I1" s="22"/>
    </row>
    <row r="2" spans="1:10" ht="15.75" customHeight="1" x14ac:dyDescent="0.25">
      <c r="A2" s="18"/>
      <c r="B2" s="13"/>
      <c r="C2" s="13"/>
      <c r="D2" s="14"/>
      <c r="E2" s="14"/>
      <c r="F2" s="14"/>
      <c r="G2" s="14"/>
      <c r="H2" s="14"/>
      <c r="I2" s="23"/>
    </row>
    <row r="3" spans="1:10" ht="15.75" customHeight="1" x14ac:dyDescent="0.25">
      <c r="A3" s="18"/>
      <c r="B3" s="13"/>
      <c r="C3" s="13"/>
      <c r="D3" s="14"/>
      <c r="E3" s="14"/>
      <c r="F3" s="14"/>
      <c r="G3" s="14"/>
      <c r="H3" s="14"/>
      <c r="I3" s="23"/>
    </row>
    <row r="4" spans="1:10" ht="15.75" customHeight="1" x14ac:dyDescent="0.25">
      <c r="A4" s="18"/>
      <c r="B4" s="13"/>
      <c r="C4" s="13"/>
      <c r="D4" s="14"/>
      <c r="E4" s="14"/>
      <c r="F4" s="14"/>
      <c r="G4" s="14"/>
      <c r="H4" s="14"/>
      <c r="I4" s="23"/>
    </row>
    <row r="5" spans="1:10" ht="15.75" customHeight="1" thickBot="1" x14ac:dyDescent="0.3">
      <c r="A5" s="26"/>
      <c r="B5" s="27"/>
      <c r="C5" s="27"/>
      <c r="D5" s="27"/>
      <c r="E5" s="27"/>
      <c r="F5" s="27"/>
      <c r="G5" s="27"/>
      <c r="H5" s="27"/>
      <c r="I5" s="28"/>
    </row>
    <row r="6" spans="1:10" ht="15.75" customHeight="1" thickTop="1" x14ac:dyDescent="0.25">
      <c r="A6" s="29"/>
      <c r="B6" s="29"/>
      <c r="C6" s="29"/>
      <c r="D6" s="29"/>
      <c r="E6" s="29"/>
      <c r="F6" s="29"/>
      <c r="G6" s="29"/>
      <c r="H6" s="29"/>
      <c r="I6" s="29"/>
    </row>
    <row r="7" spans="1:10" ht="15.9" customHeight="1" x14ac:dyDescent="0.25">
      <c r="A7" s="88" t="s">
        <v>15</v>
      </c>
      <c r="B7" s="88"/>
      <c r="C7" s="88"/>
      <c r="D7" s="88"/>
      <c r="E7" s="88"/>
      <c r="F7" s="88"/>
      <c r="G7" s="88"/>
      <c r="H7" s="88"/>
      <c r="I7" s="88"/>
    </row>
    <row r="8" spans="1:10" ht="15.9" customHeight="1" x14ac:dyDescent="0.25">
      <c r="A8" s="89" t="s">
        <v>20</v>
      </c>
      <c r="B8" s="89"/>
      <c r="C8" s="89"/>
      <c r="D8" s="89"/>
      <c r="E8" s="89"/>
      <c r="F8" s="89"/>
      <c r="G8" s="89"/>
      <c r="H8" s="89"/>
      <c r="I8" s="89"/>
    </row>
    <row r="9" spans="1:10" ht="15.9" customHeight="1" x14ac:dyDescent="0.25">
      <c r="A9" s="30"/>
      <c r="B9" s="30"/>
      <c r="C9" s="30"/>
      <c r="D9" s="30"/>
      <c r="E9" s="30"/>
      <c r="F9" s="30"/>
      <c r="G9" s="30"/>
      <c r="H9" s="30"/>
      <c r="I9" s="30"/>
    </row>
    <row r="10" spans="1:10" ht="15.9" customHeight="1" x14ac:dyDescent="0.2">
      <c r="C10" s="99" t="s">
        <v>72</v>
      </c>
      <c r="D10" s="99" t="s">
        <v>71</v>
      </c>
      <c r="E10" s="99" t="s">
        <v>69</v>
      </c>
      <c r="F10" s="100" t="s">
        <v>70</v>
      </c>
      <c r="G10" s="100"/>
      <c r="H10" s="31"/>
      <c r="I10" s="31"/>
      <c r="J10" s="32"/>
    </row>
    <row r="11" spans="1:10" ht="15.9" customHeight="1" x14ac:dyDescent="0.25">
      <c r="A11" s="31"/>
      <c r="B11" s="31"/>
      <c r="C11" s="101"/>
      <c r="D11" s="101"/>
      <c r="E11" s="101"/>
      <c r="F11" s="102"/>
      <c r="G11" s="103"/>
      <c r="H11" s="31"/>
      <c r="I11" s="31"/>
      <c r="J11" s="32"/>
    </row>
    <row r="12" spans="1:10" ht="27" customHeight="1" x14ac:dyDescent="0.25">
      <c r="A12" s="31"/>
      <c r="B12" s="31"/>
      <c r="C12" s="33"/>
      <c r="D12" s="33"/>
      <c r="E12" s="33"/>
      <c r="F12" s="33"/>
      <c r="G12" s="33"/>
      <c r="H12" s="33"/>
      <c r="I12" s="33"/>
      <c r="J12" s="32"/>
    </row>
    <row r="13" spans="1:10" ht="20.100000000000001" customHeight="1" x14ac:dyDescent="0.25">
      <c r="A13" s="90" t="s">
        <v>36</v>
      </c>
      <c r="B13" s="91"/>
      <c r="C13" s="91"/>
      <c r="D13" s="91"/>
      <c r="E13" s="91"/>
      <c r="F13" s="91"/>
      <c r="G13" s="91"/>
      <c r="H13" s="91"/>
      <c r="I13" s="92"/>
      <c r="J13" s="32"/>
    </row>
    <row r="14" spans="1:10" ht="20.100000000000001" customHeight="1" x14ac:dyDescent="0.25">
      <c r="A14" s="84" t="s">
        <v>67</v>
      </c>
      <c r="B14" s="85"/>
      <c r="C14" s="85"/>
      <c r="D14" s="85"/>
      <c r="E14" s="85"/>
      <c r="F14" s="85"/>
      <c r="G14" s="85"/>
      <c r="H14" s="85"/>
      <c r="I14" s="86"/>
      <c r="J14" s="32"/>
    </row>
    <row r="15" spans="1:10" ht="20.100000000000001" customHeight="1" x14ac:dyDescent="0.25">
      <c r="A15" s="63"/>
      <c r="B15" s="64" t="s">
        <v>38</v>
      </c>
      <c r="C15" s="65"/>
      <c r="D15" s="65"/>
      <c r="E15" s="65"/>
      <c r="F15" s="65"/>
      <c r="G15" s="65"/>
      <c r="H15" s="65"/>
      <c r="I15" s="66"/>
      <c r="J15" s="32"/>
    </row>
    <row r="16" spans="1:10" ht="20.100000000000001" customHeight="1" x14ac:dyDescent="0.25">
      <c r="A16" s="67"/>
      <c r="B16" s="52" t="s">
        <v>39</v>
      </c>
      <c r="C16" s="68"/>
      <c r="D16" s="69"/>
      <c r="E16" s="52" t="s">
        <v>61</v>
      </c>
      <c r="F16" s="68"/>
      <c r="G16" s="79"/>
      <c r="H16" s="80"/>
      <c r="I16" s="70"/>
      <c r="J16" s="32"/>
    </row>
    <row r="17" spans="1:10" ht="20.100000000000001" customHeight="1" x14ac:dyDescent="0.25">
      <c r="A17" s="67"/>
      <c r="B17" s="52" t="s">
        <v>40</v>
      </c>
      <c r="C17" s="68"/>
      <c r="D17" s="69"/>
      <c r="E17" s="52" t="s">
        <v>62</v>
      </c>
      <c r="G17" s="79"/>
      <c r="H17" s="80"/>
      <c r="I17" s="70"/>
      <c r="J17" s="32"/>
    </row>
    <row r="18" spans="1:10" ht="20.100000000000001" customHeight="1" x14ac:dyDescent="0.25">
      <c r="A18" s="34"/>
      <c r="B18" s="52" t="s">
        <v>41</v>
      </c>
      <c r="C18" s="52"/>
      <c r="D18" s="56"/>
      <c r="E18" s="52" t="s">
        <v>44</v>
      </c>
      <c r="F18" s="68"/>
      <c r="G18" s="79"/>
      <c r="H18" s="80"/>
      <c r="I18" s="35"/>
      <c r="J18" s="32"/>
    </row>
    <row r="19" spans="1:10" ht="20.100000000000001" customHeight="1" x14ac:dyDescent="0.25">
      <c r="A19" s="34"/>
      <c r="B19" s="52"/>
      <c r="C19" s="52"/>
      <c r="D19" s="52"/>
      <c r="E19" s="52" t="s">
        <v>51</v>
      </c>
      <c r="F19" s="52"/>
      <c r="G19" s="75"/>
      <c r="H19" s="76"/>
      <c r="I19" s="35"/>
      <c r="J19" s="32"/>
    </row>
    <row r="20" spans="1:10" ht="20.100000000000001" customHeight="1" x14ac:dyDescent="0.25">
      <c r="A20" s="34"/>
      <c r="B20" s="71" t="s">
        <v>47</v>
      </c>
      <c r="C20" s="52"/>
      <c r="D20" s="52"/>
      <c r="E20" s="52"/>
      <c r="F20" s="52"/>
      <c r="G20" s="52"/>
      <c r="H20" s="52"/>
      <c r="I20" s="35"/>
      <c r="J20" s="32"/>
    </row>
    <row r="21" spans="1:10" ht="20.100000000000001" customHeight="1" x14ac:dyDescent="0.25">
      <c r="A21" s="34"/>
      <c r="B21" s="71" t="s">
        <v>48</v>
      </c>
      <c r="C21" s="52"/>
      <c r="D21" s="52"/>
      <c r="E21" s="52"/>
      <c r="F21" s="52"/>
      <c r="G21" s="52"/>
      <c r="H21" s="52"/>
      <c r="I21" s="35"/>
      <c r="J21" s="32"/>
    </row>
    <row r="22" spans="1:10" ht="20.100000000000001" customHeight="1" x14ac:dyDescent="0.25">
      <c r="A22" s="34"/>
      <c r="B22" s="96" t="s">
        <v>34</v>
      </c>
      <c r="C22" s="96"/>
      <c r="D22" s="96"/>
      <c r="E22" s="97"/>
      <c r="F22" s="74" t="s">
        <v>35</v>
      </c>
      <c r="G22" s="96" t="s">
        <v>37</v>
      </c>
      <c r="H22" s="96"/>
      <c r="I22" s="35"/>
      <c r="J22" s="32"/>
    </row>
    <row r="23" spans="1:10" ht="20.100000000000001" customHeight="1" x14ac:dyDescent="0.25">
      <c r="A23" s="34"/>
      <c r="B23" s="54" t="s">
        <v>52</v>
      </c>
      <c r="C23" s="36" t="s">
        <v>29</v>
      </c>
      <c r="D23" s="60"/>
      <c r="E23" s="61"/>
      <c r="F23" s="62" t="s">
        <v>17</v>
      </c>
      <c r="G23" s="55"/>
      <c r="H23" s="61"/>
      <c r="I23" s="35"/>
      <c r="J23" s="32"/>
    </row>
    <row r="24" spans="1:10" ht="20.100000000000001" customHeight="1" x14ac:dyDescent="0.25">
      <c r="A24" s="34"/>
      <c r="B24" s="54" t="s">
        <v>28</v>
      </c>
      <c r="C24" s="55" t="s">
        <v>31</v>
      </c>
      <c r="D24" s="60"/>
      <c r="E24" s="61"/>
      <c r="F24" s="62" t="s">
        <v>17</v>
      </c>
      <c r="G24" s="55"/>
      <c r="H24" s="61"/>
      <c r="I24" s="72"/>
      <c r="J24" s="32"/>
    </row>
    <row r="25" spans="1:10" ht="20.100000000000001" customHeight="1" x14ac:dyDescent="0.25">
      <c r="A25" s="34"/>
      <c r="B25" s="54" t="s">
        <v>27</v>
      </c>
      <c r="C25" s="36" t="s">
        <v>30</v>
      </c>
      <c r="D25" s="60"/>
      <c r="E25" s="61"/>
      <c r="F25" s="62" t="s">
        <v>17</v>
      </c>
      <c r="G25" s="55"/>
      <c r="H25" s="61"/>
      <c r="I25" s="72"/>
      <c r="J25" s="32"/>
    </row>
    <row r="26" spans="1:10" ht="20.100000000000001" customHeight="1" x14ac:dyDescent="0.25">
      <c r="A26" s="34"/>
      <c r="B26" s="54" t="s">
        <v>53</v>
      </c>
      <c r="C26" s="36" t="s">
        <v>43</v>
      </c>
      <c r="D26" s="60"/>
      <c r="E26" s="61"/>
      <c r="F26" s="62" t="s">
        <v>17</v>
      </c>
      <c r="G26" s="55"/>
      <c r="H26" s="61"/>
      <c r="I26" s="72"/>
      <c r="J26" s="32"/>
    </row>
    <row r="27" spans="1:10" ht="20.100000000000001" customHeight="1" x14ac:dyDescent="0.25">
      <c r="A27" s="34"/>
      <c r="B27" s="54" t="s">
        <v>54</v>
      </c>
      <c r="C27" s="36" t="s">
        <v>42</v>
      </c>
      <c r="D27" s="60"/>
      <c r="E27" s="61"/>
      <c r="F27" s="62" t="s">
        <v>17</v>
      </c>
      <c r="G27" s="55"/>
      <c r="H27" s="61"/>
      <c r="I27" s="72"/>
      <c r="J27" s="38"/>
    </row>
    <row r="28" spans="1:10" ht="20.100000000000001" customHeight="1" x14ac:dyDescent="0.25">
      <c r="A28" s="34"/>
      <c r="B28" s="54" t="s">
        <v>55</v>
      </c>
      <c r="C28" s="36" t="s">
        <v>49</v>
      </c>
      <c r="D28" s="60"/>
      <c r="E28" s="61"/>
      <c r="F28" s="62" t="s">
        <v>17</v>
      </c>
      <c r="G28" s="55"/>
      <c r="H28" s="61"/>
      <c r="I28" s="72"/>
      <c r="J28" s="32"/>
    </row>
    <row r="29" spans="1:10" ht="20.100000000000001" customHeight="1" x14ac:dyDescent="0.25">
      <c r="A29" s="34"/>
      <c r="B29" s="54" t="s">
        <v>17</v>
      </c>
      <c r="C29" s="36" t="s">
        <v>50</v>
      </c>
      <c r="D29" s="60"/>
      <c r="E29" s="61"/>
      <c r="F29" s="62" t="s">
        <v>17</v>
      </c>
      <c r="G29" s="55"/>
      <c r="H29" s="61"/>
      <c r="I29" s="72"/>
      <c r="J29" s="32"/>
    </row>
    <row r="30" spans="1:10" ht="20.100000000000001" customHeight="1" x14ac:dyDescent="0.25">
      <c r="A30" s="34"/>
      <c r="B30" s="54" t="s">
        <v>26</v>
      </c>
      <c r="C30" s="36" t="s">
        <v>56</v>
      </c>
      <c r="D30" s="60"/>
      <c r="E30" s="61"/>
      <c r="F30" s="62" t="s">
        <v>17</v>
      </c>
      <c r="G30" s="55"/>
      <c r="H30" s="61"/>
      <c r="I30" s="72"/>
      <c r="J30" s="32"/>
    </row>
    <row r="31" spans="1:10" ht="20.100000000000001" customHeight="1" x14ac:dyDescent="0.25">
      <c r="A31" s="34"/>
      <c r="B31" s="54" t="s">
        <v>33</v>
      </c>
      <c r="C31" s="36" t="s">
        <v>57</v>
      </c>
      <c r="D31" s="60"/>
      <c r="E31" s="61"/>
      <c r="F31" s="62" t="s">
        <v>33</v>
      </c>
      <c r="G31" s="55"/>
      <c r="H31" s="61"/>
      <c r="I31" s="72"/>
      <c r="J31" s="32"/>
    </row>
    <row r="32" spans="1:10" ht="20.100000000000001" customHeight="1" x14ac:dyDescent="0.25">
      <c r="A32" s="34"/>
      <c r="B32" s="54" t="s">
        <v>33</v>
      </c>
      <c r="C32" s="36" t="s">
        <v>58</v>
      </c>
      <c r="D32" s="60"/>
      <c r="E32" s="61"/>
      <c r="F32" s="62" t="s">
        <v>33</v>
      </c>
      <c r="G32" s="55"/>
      <c r="H32" s="61"/>
      <c r="I32" s="72"/>
      <c r="J32" s="32"/>
    </row>
    <row r="33" spans="1:10" ht="20.100000000000001" customHeight="1" x14ac:dyDescent="0.25">
      <c r="A33" s="34"/>
      <c r="B33" s="54" t="s">
        <v>33</v>
      </c>
      <c r="C33" s="36" t="s">
        <v>59</v>
      </c>
      <c r="D33" s="60"/>
      <c r="E33" s="61"/>
      <c r="F33" s="62" t="s">
        <v>33</v>
      </c>
      <c r="G33" s="55"/>
      <c r="H33" s="61"/>
      <c r="I33" s="72"/>
      <c r="J33" s="32"/>
    </row>
    <row r="34" spans="1:10" ht="20.100000000000001" customHeight="1" x14ac:dyDescent="0.25">
      <c r="A34" s="58"/>
      <c r="B34" s="54" t="s">
        <v>33</v>
      </c>
      <c r="C34" s="36" t="s">
        <v>60</v>
      </c>
      <c r="D34" s="37"/>
      <c r="E34" s="57"/>
      <c r="F34" s="62" t="s">
        <v>18</v>
      </c>
      <c r="G34" s="55"/>
      <c r="H34" s="61"/>
      <c r="I34" s="58"/>
      <c r="J34" s="32"/>
    </row>
    <row r="35" spans="1:10" ht="6.9" customHeight="1" x14ac:dyDescent="0.25">
      <c r="A35" s="39"/>
      <c r="B35" s="59"/>
      <c r="C35" s="53"/>
      <c r="D35" s="37"/>
      <c r="E35" s="37"/>
      <c r="F35" s="73"/>
      <c r="G35" s="60"/>
      <c r="H35" s="60"/>
      <c r="I35" s="40"/>
      <c r="J35" s="32"/>
    </row>
    <row r="36" spans="1:10" ht="6.9" customHeight="1" x14ac:dyDescent="0.25">
      <c r="A36" s="41"/>
      <c r="B36" s="41"/>
      <c r="C36" s="42"/>
      <c r="D36" s="42"/>
      <c r="E36" s="42"/>
      <c r="F36" s="42"/>
      <c r="G36" s="42"/>
      <c r="H36" s="42"/>
      <c r="I36" s="42"/>
      <c r="J36" s="32"/>
    </row>
    <row r="37" spans="1:10" ht="20.100000000000001" customHeight="1" x14ac:dyDescent="0.25">
      <c r="A37" s="43" t="s">
        <v>32</v>
      </c>
      <c r="B37" s="44"/>
      <c r="G37" s="45"/>
      <c r="J37" s="32"/>
    </row>
    <row r="38" spans="1:10" ht="20.100000000000001" customHeight="1" x14ac:dyDescent="0.25">
      <c r="A38" s="46" t="s">
        <v>46</v>
      </c>
      <c r="B38" s="47"/>
      <c r="G38" s="48"/>
      <c r="J38" s="32"/>
    </row>
    <row r="39" spans="1:10" ht="20.100000000000001" customHeight="1" x14ac:dyDescent="0.25">
      <c r="A39" s="44"/>
      <c r="B39" s="44"/>
      <c r="J39" s="32"/>
    </row>
    <row r="40" spans="1:10" ht="20.100000000000001" customHeight="1" x14ac:dyDescent="0.25">
      <c r="D40" s="49" t="s">
        <v>21</v>
      </c>
      <c r="E40" s="94" t="s">
        <v>22</v>
      </c>
      <c r="F40" s="95"/>
      <c r="J40" s="32"/>
    </row>
    <row r="41" spans="1:10" ht="20.100000000000001" customHeight="1" x14ac:dyDescent="0.25">
      <c r="D41" s="21" t="s">
        <v>23</v>
      </c>
      <c r="E41" s="81"/>
      <c r="F41" s="82"/>
      <c r="J41" s="32"/>
    </row>
    <row r="42" spans="1:10" ht="20.100000000000001" customHeight="1" x14ac:dyDescent="0.25">
      <c r="D42" s="21" t="s">
        <v>24</v>
      </c>
      <c r="E42" s="81"/>
      <c r="F42" s="82"/>
      <c r="J42" s="32"/>
    </row>
    <row r="43" spans="1:10" ht="20.100000000000001" customHeight="1" x14ac:dyDescent="0.25">
      <c r="D43" s="21" t="s">
        <v>65</v>
      </c>
      <c r="E43" s="77"/>
      <c r="F43" s="78"/>
      <c r="J43" s="32"/>
    </row>
    <row r="44" spans="1:10" ht="20.100000000000001" customHeight="1" x14ac:dyDescent="0.25">
      <c r="D44" s="21" t="s">
        <v>63</v>
      </c>
      <c r="E44" s="81"/>
      <c r="F44" s="82"/>
      <c r="J44" s="32"/>
    </row>
    <row r="45" spans="1:10" ht="20.100000000000001" customHeight="1" x14ac:dyDescent="0.25">
      <c r="D45" s="21" t="s">
        <v>64</v>
      </c>
      <c r="E45" s="81"/>
      <c r="F45" s="82"/>
      <c r="J45" s="32"/>
    </row>
    <row r="46" spans="1:10" ht="20.100000000000001" customHeight="1" x14ac:dyDescent="0.25">
      <c r="D46" s="21" t="s">
        <v>66</v>
      </c>
      <c r="E46" s="81"/>
      <c r="F46" s="82"/>
      <c r="J46" s="32"/>
    </row>
    <row r="47" spans="1:10" ht="20.100000000000001" customHeight="1" x14ac:dyDescent="0.25">
      <c r="A47" s="20"/>
      <c r="B47" s="20"/>
      <c r="C47" s="44"/>
      <c r="D47" s="44"/>
      <c r="E47" s="44"/>
      <c r="F47" s="44"/>
      <c r="J47" s="32"/>
    </row>
    <row r="48" spans="1:10" ht="20.100000000000001" customHeight="1" x14ac:dyDescent="0.25">
      <c r="A48" s="50" t="s">
        <v>45</v>
      </c>
      <c r="B48" s="20"/>
      <c r="C48" s="44"/>
      <c r="D48" s="44"/>
      <c r="E48" s="44"/>
      <c r="F48" s="44"/>
      <c r="G48" s="20"/>
      <c r="H48" s="20"/>
      <c r="I48" s="24"/>
      <c r="J48" s="32"/>
    </row>
    <row r="49" spans="1:10" ht="20.100000000000001" customHeight="1" x14ac:dyDescent="0.25">
      <c r="A49" s="20"/>
      <c r="B49" s="20"/>
      <c r="C49" s="44"/>
      <c r="D49" s="44"/>
      <c r="E49" s="44"/>
      <c r="F49" s="44"/>
      <c r="G49" s="44"/>
      <c r="H49" s="44"/>
      <c r="I49" s="44"/>
      <c r="J49" s="32"/>
    </row>
    <row r="50" spans="1:10" ht="20.100000000000001" customHeight="1" x14ac:dyDescent="0.25">
      <c r="A50" s="20"/>
      <c r="B50" s="20"/>
      <c r="J50" s="32"/>
    </row>
    <row r="51" spans="1:10" ht="20.100000000000001" customHeight="1" x14ac:dyDescent="0.25">
      <c r="A51" s="20"/>
      <c r="B51" s="20"/>
      <c r="J51" s="32"/>
    </row>
    <row r="52" spans="1:10" ht="20.100000000000001" customHeight="1" x14ac:dyDescent="0.25">
      <c r="A52" s="20"/>
      <c r="B52" s="20"/>
      <c r="C52" s="44"/>
      <c r="D52" s="44"/>
      <c r="E52" s="44"/>
      <c r="F52" s="44"/>
      <c r="G52" s="44"/>
      <c r="H52" s="44"/>
      <c r="I52" s="44"/>
      <c r="J52" s="32"/>
    </row>
    <row r="53" spans="1:10" ht="20.100000000000001" customHeight="1" x14ac:dyDescent="0.25">
      <c r="C53" s="93"/>
      <c r="D53" s="93"/>
      <c r="E53" s="93"/>
      <c r="F53" s="93"/>
      <c r="G53" s="93"/>
      <c r="H53" s="51"/>
      <c r="I53" s="51"/>
      <c r="J53" s="32"/>
    </row>
    <row r="54" spans="1:10" ht="20.100000000000001" customHeight="1" x14ac:dyDescent="0.25">
      <c r="A54" s="19" t="s">
        <v>16</v>
      </c>
      <c r="B54" s="19"/>
      <c r="C54" s="44"/>
      <c r="D54" s="44"/>
      <c r="E54" s="44"/>
      <c r="F54" s="44"/>
      <c r="G54" s="44"/>
      <c r="H54" s="44"/>
      <c r="I54" s="44"/>
      <c r="J54" s="32"/>
    </row>
    <row r="55" spans="1:10" ht="20.100000000000001" customHeight="1" x14ac:dyDescent="0.25">
      <c r="A55" s="19" t="s">
        <v>68</v>
      </c>
      <c r="B55" s="19"/>
      <c r="C55" s="44"/>
      <c r="D55" s="87" t="s">
        <v>25</v>
      </c>
      <c r="E55" s="87"/>
      <c r="F55" s="87"/>
      <c r="G55" s="87"/>
      <c r="H55" s="87"/>
      <c r="I55" s="87"/>
      <c r="J55" s="32"/>
    </row>
    <row r="56" spans="1:10" ht="15.9" customHeight="1" x14ac:dyDescent="0.25"/>
    <row r="57" spans="1:10" ht="30.75" customHeight="1" x14ac:dyDescent="0.25">
      <c r="A57" s="83" t="s">
        <v>19</v>
      </c>
      <c r="B57" s="83"/>
      <c r="C57" s="83"/>
      <c r="D57" s="83"/>
      <c r="E57" s="83"/>
      <c r="F57" s="83"/>
      <c r="G57" s="83"/>
      <c r="H57" s="83"/>
      <c r="I57" s="83"/>
    </row>
    <row r="58" spans="1:10" ht="15.9" customHeight="1" x14ac:dyDescent="0.25"/>
    <row r="59" spans="1:10" ht="15.9" customHeight="1" x14ac:dyDescent="0.25"/>
  </sheetData>
  <sheetProtection selectLockedCells="1" selectUnlockedCells="1"/>
  <protectedRanges>
    <protectedRange sqref="C12" name="Rango3_3_1_1_1_1_1_1_1_1"/>
    <protectedRange sqref="C10:C11 C53" name="Rango3_3_1_1_1_1_1_2_1"/>
  </protectedRanges>
  <mergeCells count="21">
    <mergeCell ref="A7:I7"/>
    <mergeCell ref="A8:I8"/>
    <mergeCell ref="A13:I13"/>
    <mergeCell ref="C53:D53"/>
    <mergeCell ref="E53:G53"/>
    <mergeCell ref="E40:F40"/>
    <mergeCell ref="E41:F41"/>
    <mergeCell ref="E42:F42"/>
    <mergeCell ref="E44:F44"/>
    <mergeCell ref="E45:F45"/>
    <mergeCell ref="B22:E22"/>
    <mergeCell ref="G22:H22"/>
    <mergeCell ref="G16:H16"/>
    <mergeCell ref="F10:G10"/>
    <mergeCell ref="F11:G11"/>
    <mergeCell ref="G18:H18"/>
    <mergeCell ref="G17:H17"/>
    <mergeCell ref="E46:F46"/>
    <mergeCell ref="A57:I57"/>
    <mergeCell ref="A14:I14"/>
    <mergeCell ref="D55:I55"/>
  </mergeCells>
  <phoneticPr fontId="20" type="noConversion"/>
  <printOptions horizontalCentered="1" verticalCentered="1"/>
  <pageMargins left="0" right="0.39370078740157483" top="0.78740157480314965" bottom="0" header="0" footer="0"/>
  <pageSetup paperSize="9" scale="70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"/>
  <dimension ref="A2:M9"/>
  <sheetViews>
    <sheetView workbookViewId="0">
      <selection activeCell="D26" sqref="D26"/>
    </sheetView>
  </sheetViews>
  <sheetFormatPr baseColWidth="10" defaultRowHeight="13.2" x14ac:dyDescent="0.25"/>
  <cols>
    <col min="1" max="2" width="10.44140625" customWidth="1"/>
    <col min="3" max="3" width="18.33203125" customWidth="1"/>
    <col min="4" max="4" width="20" customWidth="1"/>
    <col min="6" max="6" width="12.44140625" customWidth="1"/>
    <col min="11" max="11" width="17.6640625" customWidth="1"/>
    <col min="12" max="12" width="12.44140625" customWidth="1"/>
    <col min="13" max="13" width="15.44140625" customWidth="1"/>
  </cols>
  <sheetData>
    <row r="2" spans="1:13" ht="18.75" customHeight="1" x14ac:dyDescent="0.25">
      <c r="A2" s="98" t="s">
        <v>9</v>
      </c>
      <c r="B2" s="98"/>
      <c r="C2" s="5" t="s">
        <v>10</v>
      </c>
      <c r="D2" s="4" t="s">
        <v>2</v>
      </c>
      <c r="E2" s="4" t="s">
        <v>0</v>
      </c>
      <c r="F2" s="4" t="s">
        <v>1</v>
      </c>
      <c r="G2" s="4" t="s">
        <v>3</v>
      </c>
      <c r="H2" s="4" t="s">
        <v>4</v>
      </c>
      <c r="I2" s="4" t="s">
        <v>6</v>
      </c>
      <c r="J2" s="4" t="s">
        <v>5</v>
      </c>
      <c r="K2" s="4" t="s">
        <v>7</v>
      </c>
      <c r="L2" s="4" t="s">
        <v>8</v>
      </c>
      <c r="M2" s="4" t="s">
        <v>11</v>
      </c>
    </row>
    <row r="3" spans="1:13" ht="18.75" customHeight="1" x14ac:dyDescent="0.25">
      <c r="A3" s="7">
        <v>4400</v>
      </c>
      <c r="B3" s="1">
        <f>+A3+1</f>
        <v>4401</v>
      </c>
      <c r="C3" s="11" t="str">
        <f t="shared" ref="C3:C8" si="0">A3&amp;"-"&amp;B3</f>
        <v>4400-4401</v>
      </c>
      <c r="D3" s="7" t="s">
        <v>14</v>
      </c>
      <c r="E3" s="7">
        <v>350</v>
      </c>
      <c r="F3" s="8">
        <v>42347</v>
      </c>
      <c r="G3" s="1">
        <v>7</v>
      </c>
      <c r="H3" s="9">
        <v>15.05</v>
      </c>
      <c r="I3" s="7">
        <v>49900</v>
      </c>
      <c r="J3" s="2">
        <f t="shared" ref="J3:J8" si="1">H3*H3*PI()/4</f>
        <v>177.89464750493056</v>
      </c>
      <c r="K3" s="10">
        <f t="shared" ref="K3:K8" si="2">I3/J3</f>
        <v>280.50309944607505</v>
      </c>
      <c r="L3" s="3">
        <f t="shared" ref="L3:L8" si="3">+K3/E3</f>
        <v>0.80143742698878584</v>
      </c>
      <c r="M3" s="12" t="s">
        <v>12</v>
      </c>
    </row>
    <row r="4" spans="1:13" ht="18.75" customHeight="1" x14ac:dyDescent="0.25">
      <c r="A4" s="1"/>
      <c r="B4" s="1"/>
      <c r="C4" s="6" t="str">
        <f t="shared" si="0"/>
        <v>-</v>
      </c>
      <c r="D4" s="1"/>
      <c r="E4" s="7">
        <v>350</v>
      </c>
      <c r="F4" s="1"/>
      <c r="G4" s="1">
        <v>7</v>
      </c>
      <c r="H4" s="9">
        <v>15.06</v>
      </c>
      <c r="I4" s="7">
        <v>50310</v>
      </c>
      <c r="J4" s="2">
        <f t="shared" si="1"/>
        <v>178.1311308919295</v>
      </c>
      <c r="K4" s="10">
        <f t="shared" si="2"/>
        <v>282.43238421094742</v>
      </c>
      <c r="L4" s="3">
        <f t="shared" si="3"/>
        <v>0.80694966917413546</v>
      </c>
      <c r="M4" s="12" t="s">
        <v>13</v>
      </c>
    </row>
    <row r="5" spans="1:13" ht="18.75" customHeight="1" x14ac:dyDescent="0.25">
      <c r="A5" s="1">
        <f>+B3+1</f>
        <v>4402</v>
      </c>
      <c r="B5" s="1">
        <f>+A5+1</f>
        <v>4403</v>
      </c>
      <c r="C5" s="6" t="str">
        <f t="shared" si="0"/>
        <v>4402-4403</v>
      </c>
      <c r="D5" s="1"/>
      <c r="E5" s="7">
        <v>350</v>
      </c>
      <c r="F5" s="1"/>
      <c r="G5" s="1">
        <v>14</v>
      </c>
      <c r="H5" s="9">
        <v>15.04</v>
      </c>
      <c r="I5" s="7">
        <v>56450</v>
      </c>
      <c r="J5" s="2">
        <f t="shared" si="1"/>
        <v>177.65832119756422</v>
      </c>
      <c r="K5" s="10">
        <f t="shared" si="2"/>
        <v>317.74475644867209</v>
      </c>
      <c r="L5" s="3">
        <f t="shared" si="3"/>
        <v>0.9078421612819203</v>
      </c>
      <c r="M5" s="12" t="s">
        <v>13</v>
      </c>
    </row>
    <row r="6" spans="1:13" ht="18.75" customHeight="1" x14ac:dyDescent="0.25">
      <c r="A6" s="1"/>
      <c r="B6" s="1"/>
      <c r="C6" s="6" t="str">
        <f t="shared" si="0"/>
        <v>-</v>
      </c>
      <c r="D6" s="1"/>
      <c r="E6" s="7">
        <v>350</v>
      </c>
      <c r="F6" s="1"/>
      <c r="G6" s="1">
        <v>14</v>
      </c>
      <c r="H6" s="9">
        <v>15</v>
      </c>
      <c r="I6" s="7">
        <v>59630</v>
      </c>
      <c r="J6" s="2">
        <f t="shared" si="1"/>
        <v>176.71458676442586</v>
      </c>
      <c r="K6" s="10">
        <f t="shared" si="2"/>
        <v>337.43677356692336</v>
      </c>
      <c r="L6" s="3">
        <f t="shared" si="3"/>
        <v>0.96410506733406676</v>
      </c>
      <c r="M6" s="12" t="s">
        <v>13</v>
      </c>
    </row>
    <row r="7" spans="1:13" ht="18.75" customHeight="1" x14ac:dyDescent="0.25">
      <c r="A7" s="1">
        <f>+B5+1</f>
        <v>4404</v>
      </c>
      <c r="B7" s="1">
        <f>+A7+1</f>
        <v>4405</v>
      </c>
      <c r="C7" s="6" t="str">
        <f t="shared" si="0"/>
        <v>4404-4405</v>
      </c>
      <c r="D7" s="1"/>
      <c r="E7" s="7">
        <v>350</v>
      </c>
      <c r="F7" s="1"/>
      <c r="G7" s="1">
        <v>28</v>
      </c>
      <c r="H7" s="9">
        <v>15.11</v>
      </c>
      <c r="I7" s="7">
        <v>65310</v>
      </c>
      <c r="J7" s="2">
        <f t="shared" si="1"/>
        <v>179.31590402141455</v>
      </c>
      <c r="K7" s="10">
        <f t="shared" si="2"/>
        <v>364.21755424549764</v>
      </c>
      <c r="L7" s="3">
        <f t="shared" si="3"/>
        <v>1.0406215835585646</v>
      </c>
      <c r="M7" s="12" t="s">
        <v>13</v>
      </c>
    </row>
    <row r="8" spans="1:13" ht="18.75" customHeight="1" x14ac:dyDescent="0.25">
      <c r="A8" s="1"/>
      <c r="B8" s="1"/>
      <c r="C8" s="6" t="str">
        <f t="shared" si="0"/>
        <v>-</v>
      </c>
      <c r="D8" s="1"/>
      <c r="E8" s="7">
        <v>350</v>
      </c>
      <c r="F8" s="1"/>
      <c r="G8" s="1">
        <v>28</v>
      </c>
      <c r="H8" s="9">
        <v>15.05</v>
      </c>
      <c r="I8" s="7">
        <v>64730</v>
      </c>
      <c r="J8" s="2">
        <f t="shared" si="1"/>
        <v>177.89464750493056</v>
      </c>
      <c r="K8" s="10">
        <f t="shared" si="2"/>
        <v>363.86704663616104</v>
      </c>
      <c r="L8" s="3">
        <f t="shared" si="3"/>
        <v>1.0396201332461743</v>
      </c>
      <c r="M8" s="12" t="s">
        <v>12</v>
      </c>
    </row>
    <row r="9" spans="1:13" ht="15" customHeight="1" x14ac:dyDescent="0.25"/>
  </sheetData>
  <mergeCells count="1">
    <mergeCell ref="A2:B2"/>
  </mergeCells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GE Fino</vt:lpstr>
      <vt:lpstr>Hoja1</vt:lpstr>
      <vt:lpstr>'GE Fino'!Área_de_impresión</vt:lpstr>
    </vt:vector>
  </TitlesOfParts>
  <Company>Odebrecht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DENSIDAD IN SITU</dc:title>
  <dc:subject>Densidad In Situ - Método del Cono de Arena</dc:subject>
  <dc:creator>Jaime Pacahuala A.</dc:creator>
  <cp:keywords>Calidad</cp:keywords>
  <cp:lastModifiedBy>kevin skibidi</cp:lastModifiedBy>
  <cp:lastPrinted>2025-11-13T15:43:20Z</cp:lastPrinted>
  <dcterms:created xsi:type="dcterms:W3CDTF">1999-11-07T15:11:55Z</dcterms:created>
  <dcterms:modified xsi:type="dcterms:W3CDTF">2026-03-02T14:02:46Z</dcterms:modified>
</cp:coreProperties>
</file>