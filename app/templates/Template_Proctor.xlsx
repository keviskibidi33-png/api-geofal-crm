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D5B8D959-2B5B-40D6-A8A8-211AA6506958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Proctor" sheetId="95" r:id="rId1"/>
    <sheet name="A.Granul" sheetId="91" state="hidden" r:id="rId2"/>
    <sheet name="LL-LP" sheetId="94" state="hidden" r:id="rId3"/>
    <sheet name="GR-Esp" sheetId="96" state="hidden" r:id="rId4"/>
    <sheet name="Sucs " sheetId="93" state="hidden" r:id="rId5"/>
    <sheet name="Aashto" sheetId="92" state="hidden" r:id="rId6"/>
    <sheet name="Hoja1" sheetId="49" state="hidden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0">#REF!</definedName>
    <definedName name="_L1" localSheetId="4">#REF!</definedName>
    <definedName name="_L1">#REF!</definedName>
    <definedName name="_Ll1">[2]Sucs!$L$3</definedName>
    <definedName name="_W1" localSheetId="0">#REF!</definedName>
    <definedName name="_W1" localSheetId="4">#REF!</definedName>
    <definedName name="_W1">#REF!</definedName>
    <definedName name="Abra">[3]Sucs!$C$3</definedName>
    <definedName name="_xlnm.Print_Area" localSheetId="1">A.Granul!$A$1:$K$64</definedName>
    <definedName name="_xlnm.Print_Area" localSheetId="5">Aashto!$A$1:$O$47</definedName>
    <definedName name="_xlnm.Print_Area" localSheetId="3">'GR-Esp'!$A$1:$J$54</definedName>
    <definedName name="_xlnm.Print_Area" localSheetId="2">'LL-LP'!$A$1:$K$50</definedName>
    <definedName name="_xlnm.Print_Area" localSheetId="0">Proctor!$A$1:$I$56</definedName>
    <definedName name="CC" localSheetId="0">#REF!</definedName>
    <definedName name="CC" localSheetId="4">'Sucs '!$L$6</definedName>
    <definedName name="CC">#REF!</definedName>
    <definedName name="CCf">'[2]Sucs(Fino)'!$L$6</definedName>
    <definedName name="CCVB">[4]Sucs!$L$3</definedName>
    <definedName name="CM">[5]BGA!$H$9</definedName>
    <definedName name="CU" localSheetId="0">#REF!</definedName>
    <definedName name="CU" localSheetId="4">'Sucs '!$L$5</definedName>
    <definedName name="CU">#REF!</definedName>
    <definedName name="CUf">'[2]Sucs(Fino)'!$L$5</definedName>
    <definedName name="hh" localSheetId="0">#REF!</definedName>
    <definedName name="hh">#REF!</definedName>
    <definedName name="IP" localSheetId="0">#REF!</definedName>
    <definedName name="IP" localSheetId="4">'Sucs '!$L$4</definedName>
    <definedName name="IP">#REF!</definedName>
    <definedName name="IPf">'[2]Sucs(Fino)'!$L$4</definedName>
    <definedName name="L" localSheetId="0">#REF!</definedName>
    <definedName name="L" localSheetId="4">#REF!</definedName>
    <definedName name="L">#REF!</definedName>
    <definedName name="LIf">'[2]Sucs(Fino)'!$L$3</definedName>
    <definedName name="Ll" localSheetId="0">#REF!</definedName>
    <definedName name="Ll" localSheetId="4">'Sucs '!$L$3</definedName>
    <definedName name="Ll">#REF!</definedName>
    <definedName name="MORA">[5]BGA!$H$13</definedName>
    <definedName name="N_10" localSheetId="0">#REF!</definedName>
    <definedName name="N_10" localSheetId="4">'Sucs '!$C$5</definedName>
    <definedName name="N_10">#REF!</definedName>
    <definedName name="N_101">[2]Sucs!$C$5</definedName>
    <definedName name="N_10f">'[2]Sucs(Fino)'!$C$5</definedName>
    <definedName name="N_200" localSheetId="0">#REF!</definedName>
    <definedName name="N_200" localSheetId="4">'Sucs '!$C$3</definedName>
    <definedName name="N_200">#REF!</definedName>
    <definedName name="N_2001">[2]Sucs!$C$3</definedName>
    <definedName name="N_200f">'[2]Sucs(Fino)'!$C$3</definedName>
    <definedName name="N_40" localSheetId="0">#REF!</definedName>
    <definedName name="N_40" localSheetId="4">'Sucs '!$C$4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0">#REF!</definedName>
    <definedName name="TABLA">#REF!</definedName>
    <definedName name="tipodegranulometria">'[6]G-LL '!$X$2:$X$3</definedName>
    <definedName name="tipodemateria">'[6]G-LL '!$X$5:$X$6</definedName>
    <definedName name="W" localSheetId="0">#REF!</definedName>
    <definedName name="W" localSheetId="4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91" l="1"/>
  <c r="R30" i="96" l="1"/>
  <c r="R29" i="96"/>
  <c r="R28" i="96"/>
  <c r="R27" i="96"/>
  <c r="F27" i="96"/>
  <c r="F26" i="96"/>
  <c r="F25" i="96"/>
  <c r="A9" i="96"/>
  <c r="F30" i="96" l="1"/>
  <c r="G30" i="96" s="1"/>
  <c r="F33" i="96"/>
  <c r="F32" i="96"/>
  <c r="G32" i="96" s="1"/>
  <c r="F31" i="96"/>
  <c r="G31" i="96" l="1"/>
  <c r="G33" i="96"/>
  <c r="L2" i="93" l="1"/>
  <c r="F37" i="91"/>
  <c r="F35" i="91"/>
  <c r="S32" i="94"/>
  <c r="H32" i="94" s="1"/>
  <c r="R32" i="94"/>
  <c r="Q32" i="94"/>
  <c r="P32" i="94"/>
  <c r="O32" i="94"/>
  <c r="G32" i="94"/>
  <c r="F32" i="94"/>
  <c r="E32" i="94"/>
  <c r="D32" i="94"/>
  <c r="S31" i="94"/>
  <c r="R31" i="94"/>
  <c r="Q31" i="94"/>
  <c r="P31" i="94"/>
  <c r="O31" i="94"/>
  <c r="H31" i="94"/>
  <c r="G31" i="94"/>
  <c r="F31" i="94"/>
  <c r="D31" i="94"/>
  <c r="H30" i="94"/>
  <c r="G30" i="94"/>
  <c r="F30" i="94"/>
  <c r="E30" i="94"/>
  <c r="D30" i="94"/>
  <c r="H29" i="94"/>
  <c r="G29" i="94"/>
  <c r="F29" i="94"/>
  <c r="E29" i="94"/>
  <c r="D29" i="94"/>
  <c r="H28" i="94"/>
  <c r="G28" i="94"/>
  <c r="F28" i="94"/>
  <c r="E28" i="94"/>
  <c r="D28" i="94"/>
  <c r="F27" i="94"/>
  <c r="N38" i="94" s="1"/>
  <c r="E27" i="94"/>
  <c r="N37" i="94" s="1"/>
  <c r="D27" i="94"/>
  <c r="N36" i="94" s="1"/>
  <c r="H26" i="94"/>
  <c r="G26" i="94"/>
  <c r="F26" i="94"/>
  <c r="E26" i="94"/>
  <c r="D26" i="94"/>
  <c r="H25" i="94"/>
  <c r="G25" i="94"/>
  <c r="F25" i="94"/>
  <c r="E25" i="94"/>
  <c r="D25" i="94"/>
  <c r="A9" i="94"/>
  <c r="Q33" i="94" l="1"/>
  <c r="F33" i="94" s="1"/>
  <c r="Q40" i="94" s="1"/>
  <c r="R33" i="94"/>
  <c r="O33" i="94"/>
  <c r="D33" i="94" s="1"/>
  <c r="P40" i="94" s="1"/>
  <c r="P33" i="94"/>
  <c r="E33" i="94" s="1"/>
  <c r="O37" i="94" s="1"/>
  <c r="G33" i="94"/>
  <c r="S33" i="94"/>
  <c r="H33" i="94" s="1"/>
  <c r="E31" i="94"/>
  <c r="O36" i="94" l="1"/>
  <c r="O38" i="94"/>
  <c r="O42" i="94"/>
  <c r="H38" i="94" s="1"/>
  <c r="P41" i="94"/>
  <c r="O40" i="94" s="1"/>
  <c r="O41" i="94" l="1"/>
  <c r="H35" i="94"/>
  <c r="C5" i="93" s="1"/>
  <c r="L3" i="93" s="1"/>
  <c r="H41" i="94" l="1"/>
  <c r="C20" i="92"/>
  <c r="C21" i="92" l="1"/>
  <c r="C6" i="93"/>
  <c r="L4" i="93" s="1"/>
  <c r="D36" i="92" l="1"/>
  <c r="D35" i="92"/>
  <c r="L24" i="93" l="1"/>
  <c r="P24" i="93" s="1"/>
  <c r="Q13" i="91" l="1"/>
  <c r="X10" i="91" s="1"/>
  <c r="Y10" i="91"/>
  <c r="P6" i="91"/>
  <c r="Z32" i="91" l="1"/>
  <c r="Z31" i="91"/>
  <c r="T13" i="91"/>
  <c r="P7" i="91" s="1"/>
  <c r="P8" i="91" s="1"/>
  <c r="Q12" i="91" l="1"/>
  <c r="Q18" i="91" s="1"/>
  <c r="A8" i="91"/>
  <c r="Q27" i="91" l="1"/>
  <c r="Q20" i="91"/>
  <c r="X12" i="91"/>
  <c r="Q26" i="91"/>
  <c r="Q23" i="91"/>
  <c r="Q19" i="91"/>
  <c r="Q24" i="91"/>
  <c r="Q21" i="91"/>
  <c r="Q22" i="91"/>
  <c r="Q25" i="91"/>
  <c r="R18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I28" i="91" l="1"/>
  <c r="I29" i="91"/>
  <c r="S18" i="91"/>
  <c r="R19" i="91"/>
  <c r="A5" i="49"/>
  <c r="S19" i="91" l="1"/>
  <c r="R20" i="91"/>
  <c r="D25" i="91"/>
  <c r="B5" i="49"/>
  <c r="A7" i="49" s="1"/>
  <c r="C5" i="49" l="1"/>
  <c r="S20" i="91"/>
  <c r="R21" i="91"/>
  <c r="P39" i="91"/>
  <c r="O39" i="91"/>
  <c r="N39" i="91"/>
  <c r="B7" i="49"/>
  <c r="C7" i="49" s="1"/>
  <c r="S21" i="91" l="1"/>
  <c r="R22" i="91"/>
  <c r="D26" i="91"/>
  <c r="N40" i="91"/>
  <c r="P40" i="91"/>
  <c r="O40" i="91"/>
  <c r="S22" i="91" l="1"/>
  <c r="R23" i="91"/>
  <c r="D27" i="91"/>
  <c r="P41" i="91"/>
  <c r="O41" i="91"/>
  <c r="N41" i="91"/>
  <c r="S23" i="91" l="1"/>
  <c r="R24" i="91"/>
  <c r="D28" i="91"/>
  <c r="O42" i="91"/>
  <c r="N42" i="91"/>
  <c r="P42" i="91"/>
  <c r="S24" i="91" l="1"/>
  <c r="R25" i="91"/>
  <c r="D29" i="91"/>
  <c r="N43" i="91"/>
  <c r="P43" i="91"/>
  <c r="O43" i="91"/>
  <c r="S25" i="91" l="1"/>
  <c r="R26" i="91"/>
  <c r="N44" i="91"/>
  <c r="P44" i="91"/>
  <c r="O44" i="91"/>
  <c r="S26" i="91" l="1"/>
  <c r="N46" i="91" s="1"/>
  <c r="R27" i="91"/>
  <c r="D30" i="91"/>
  <c r="P45" i="91"/>
  <c r="N45" i="91"/>
  <c r="O45" i="91"/>
  <c r="G28" i="91" l="1"/>
  <c r="S27" i="91"/>
  <c r="C4" i="93" s="1"/>
  <c r="O46" i="91"/>
  <c r="P46" i="91"/>
  <c r="Q33" i="91" l="1"/>
  <c r="Q32" i="91"/>
  <c r="Q31" i="91"/>
  <c r="Q28" i="91"/>
  <c r="Q29" i="91"/>
  <c r="Q30" i="91"/>
  <c r="Q35" i="91"/>
  <c r="Q34" i="91"/>
  <c r="O47" i="91"/>
  <c r="N47" i="91"/>
  <c r="P47" i="91"/>
  <c r="D31" i="91"/>
  <c r="R28" i="91" l="1"/>
  <c r="I30" i="91"/>
  <c r="I31" i="91"/>
  <c r="I32" i="91"/>
  <c r="S28" i="91" l="1"/>
  <c r="R29" i="91"/>
  <c r="S29" i="91" l="1"/>
  <c r="R30" i="91"/>
  <c r="D32" i="91"/>
  <c r="N48" i="91"/>
  <c r="O48" i="91"/>
  <c r="P48" i="91"/>
  <c r="N49" i="91" l="1"/>
  <c r="C11" i="92"/>
  <c r="P49" i="91"/>
  <c r="O49" i="91"/>
  <c r="S30" i="91"/>
  <c r="N50" i="91" s="1"/>
  <c r="R31" i="91"/>
  <c r="O50" i="91" l="1"/>
  <c r="P50" i="91"/>
  <c r="S31" i="91"/>
  <c r="O51" i="91" s="1"/>
  <c r="R32" i="91"/>
  <c r="D33" i="91"/>
  <c r="P51" i="91" l="1"/>
  <c r="N51" i="91"/>
  <c r="S32" i="91"/>
  <c r="P52" i="91" s="1"/>
  <c r="R33" i="91"/>
  <c r="D34" i="91"/>
  <c r="N52" i="91" l="1"/>
  <c r="O52" i="91"/>
  <c r="C12" i="92"/>
  <c r="S33" i="91"/>
  <c r="P53" i="91" s="1"/>
  <c r="R34" i="91"/>
  <c r="D35" i="91"/>
  <c r="N53" i="91" l="1"/>
  <c r="O53" i="91"/>
  <c r="S34" i="91"/>
  <c r="N54" i="91" s="1"/>
  <c r="R35" i="91"/>
  <c r="S35" i="91" s="1"/>
  <c r="D36" i="91"/>
  <c r="C3" i="93" l="1"/>
  <c r="C13" i="92"/>
  <c r="O54" i="91"/>
  <c r="P54" i="91"/>
  <c r="G33" i="91"/>
  <c r="G30" i="91" s="1"/>
  <c r="D38" i="91"/>
  <c r="D37" i="91"/>
  <c r="O55" i="91"/>
  <c r="N55" i="91"/>
  <c r="P55" i="91"/>
  <c r="D34" i="92" l="1"/>
  <c r="D33" i="92"/>
  <c r="L18" i="93"/>
  <c r="P18" i="93" s="1"/>
  <c r="L11" i="93"/>
  <c r="L16" i="93"/>
  <c r="P16" i="93" s="1"/>
  <c r="L20" i="93"/>
  <c r="P20" i="93" s="1"/>
  <c r="L12" i="93"/>
  <c r="P12" i="93" s="1"/>
  <c r="L21" i="93"/>
  <c r="P21" i="93" s="1"/>
  <c r="L19" i="93"/>
  <c r="P19" i="93" s="1"/>
  <c r="L23" i="93"/>
  <c r="P23" i="93" s="1"/>
  <c r="M15" i="93"/>
  <c r="M11" i="93"/>
  <c r="L17" i="93"/>
  <c r="P17" i="93" s="1"/>
  <c r="L15" i="93"/>
  <c r="L22" i="93"/>
  <c r="P22" i="93" s="1"/>
  <c r="C38" i="92" l="1"/>
  <c r="D38" i="92" s="1"/>
  <c r="F38" i="92" s="1"/>
  <c r="P15" i="93"/>
  <c r="P11" i="93"/>
  <c r="C23" i="92" l="1"/>
  <c r="J29" i="92"/>
  <c r="N29" i="92"/>
  <c r="K29" i="92"/>
  <c r="O29" i="92"/>
  <c r="L29" i="92"/>
  <c r="F29" i="92"/>
  <c r="G29" i="92"/>
  <c r="D29" i="92"/>
  <c r="I29" i="92"/>
  <c r="E29" i="92"/>
  <c r="H29" i="92"/>
  <c r="M29" i="92"/>
  <c r="J30" i="92" l="1"/>
  <c r="G30" i="92"/>
  <c r="F30" i="92"/>
  <c r="I30" i="92"/>
  <c r="D30" i="92"/>
  <c r="H30" i="92"/>
  <c r="E30" i="92"/>
  <c r="N30" i="92"/>
  <c r="M30" i="92"/>
  <c r="L30" i="92"/>
  <c r="K30" i="92"/>
  <c r="O30" i="92"/>
  <c r="D31" i="92" l="1"/>
  <c r="J26" i="92" s="1"/>
  <c r="H37" i="91" s="1"/>
  <c r="P36" i="91"/>
  <c r="Q36" i="91" s="1"/>
  <c r="H35" i="91"/>
  <c r="X11" i="91" l="1"/>
  <c r="X13" i="91" s="1"/>
  <c r="Q14" i="91" s="1"/>
  <c r="R36" i="91"/>
  <c r="S36" i="91" s="1"/>
  <c r="O56" i="91" s="1"/>
  <c r="O59" i="91" s="1"/>
  <c r="I33" i="91"/>
  <c r="S37" i="91"/>
  <c r="P56" i="91" l="1"/>
  <c r="P59" i="91" s="1"/>
  <c r="P61" i="91" s="1"/>
  <c r="E4" i="93" s="1"/>
  <c r="L6" i="93" s="1"/>
  <c r="N56" i="91"/>
  <c r="N59" i="91" s="1"/>
  <c r="P60" i="91" l="1"/>
  <c r="E3" i="93" s="1"/>
  <c r="L5" i="93" s="1"/>
  <c r="O10" i="93" s="1"/>
  <c r="O14" i="93"/>
  <c r="L9" i="93"/>
  <c r="L13" i="93"/>
  <c r="N14" i="93"/>
  <c r="M9" i="93"/>
  <c r="M13" i="93"/>
  <c r="L10" i="93"/>
  <c r="M14" i="93"/>
  <c r="N9" i="93"/>
  <c r="N13" i="93"/>
  <c r="O13" i="93"/>
  <c r="M10" i="93"/>
  <c r="O9" i="93"/>
  <c r="L14" i="93"/>
  <c r="N10" i="93"/>
  <c r="P14" i="93" l="1"/>
  <c r="P13" i="93"/>
  <c r="P9" i="93"/>
  <c r="P10" i="93"/>
  <c r="Q9" i="93" l="1"/>
  <c r="G4" i="93" s="1"/>
</calcChain>
</file>

<file path=xl/sharedStrings.xml><?xml version="1.0" encoding="utf-8"?>
<sst xmlns="http://schemas.openxmlformats.org/spreadsheetml/2006/main" count="511" uniqueCount="339">
  <si>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</si>
  <si>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</si>
  <si>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</si>
  <si>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</si>
  <si>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</si>
  <si>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</si>
  <si>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</si>
  <si>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</si>
  <si>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</si>
  <si>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</si>
  <si>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</si>
  <si>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</si>
  <si>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</si>
  <si>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</si>
  <si>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</si>
  <si>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</si>
  <si>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SOLICITANTE</t>
  </si>
  <si>
    <t>PROYECTO</t>
  </si>
  <si>
    <t>UBICACIÓN</t>
  </si>
  <si>
    <t>CONJUNTO RESIDENCIAL SAN BORJA HOMETOWN</t>
  </si>
  <si>
    <t>La muestra fue proporcionada e identificada por el solicitante.</t>
  </si>
  <si>
    <t>N° OT</t>
  </si>
  <si>
    <t>N° CERT.</t>
  </si>
  <si>
    <t>LABORATORIO DE ENSAYO DE MATERIALES</t>
  </si>
  <si>
    <t>Nota :</t>
  </si>
  <si>
    <t>Página 1 de 1</t>
  </si>
  <si>
    <t>Versión : 01 (02-12-2019)</t>
  </si>
  <si>
    <t>150-20</t>
  </si>
  <si>
    <t>CANTERA / SONDAJE</t>
  </si>
  <si>
    <t>TIPO DE MUESTRA</t>
  </si>
  <si>
    <t>DATOS DE LA MUESTRA</t>
  </si>
  <si>
    <t>COD. MUESTRA</t>
  </si>
  <si>
    <t>N° MUESTRA</t>
  </si>
  <si>
    <t>FECHA RECEP.</t>
  </si>
  <si>
    <t>FECHA ENSAYO</t>
  </si>
  <si>
    <t>CANTERA TRAPICHE</t>
  </si>
  <si>
    <t>M-1</t>
  </si>
  <si>
    <t>AFIRMADO</t>
  </si>
  <si>
    <t xml:space="preserve">                 CÓDIGO</t>
  </si>
  <si>
    <t>METRO</t>
  </si>
  <si>
    <t xml:space="preserve">CA. DURERO CDRA. 4 S/N, ALT. LA CDRA 13 DE LA AV. SAN </t>
  </si>
  <si>
    <t>WEB: www.geofal.com.pe   E-MAIL: laboratorio@geofal.com.pe / geofal.sac@gmail.com                                                                                                                         Av. Marañon 763, Los Olivos-Lima / Teléfono 01 685-2191 / 01 522-1851</t>
  </si>
  <si>
    <t>NORMA  NTP 339.128</t>
  </si>
  <si>
    <t>METODO DE ENSAYO PARA EL ANALISIS GRANULOMETRICO POR TAMIZADO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</si>
  <si>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</si>
  <si>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</si>
  <si>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</si>
  <si>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</si>
  <si>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</si>
  <si>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</si>
  <si>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</si>
  <si>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</si>
  <si>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</si>
  <si>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</si>
  <si>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</si>
  <si>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</si>
  <si>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pulg</t>
  </si>
  <si>
    <t>% que Pasa</t>
  </si>
  <si>
    <t>% GRAVA</t>
  </si>
  <si>
    <t>Gruesa</t>
  </si>
  <si>
    <t>Fina</t>
  </si>
  <si>
    <t>% ARENA</t>
  </si>
  <si>
    <t>Media</t>
  </si>
  <si>
    <t>% FINO</t>
  </si>
  <si>
    <t>Distribucion granulometrica</t>
  </si>
  <si>
    <t>Inorganico</t>
  </si>
  <si>
    <t>Organico</t>
  </si>
  <si>
    <t>Turba</t>
  </si>
  <si>
    <t>humeda de la fraccion</t>
  </si>
  <si>
    <t>SH</t>
  </si>
  <si>
    <t>SS</t>
  </si>
  <si>
    <t>% W</t>
  </si>
  <si>
    <t>Grava</t>
  </si>
  <si>
    <t>Arena</t>
  </si>
  <si>
    <t>total</t>
  </si>
  <si>
    <t>Granulometría (ASTM D-422)</t>
  </si>
  <si>
    <t>Datos de ensayo</t>
  </si>
  <si>
    <t>Peso Total                  :</t>
  </si>
  <si>
    <t>PesoFraccion Fino</t>
  </si>
  <si>
    <t>Peso muestra lavada   :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</si>
  <si>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</si>
  <si>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</si>
  <si>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</si>
  <si>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</si>
  <si>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</si>
  <si>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</si>
  <si>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</si>
  <si>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</si>
  <si>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</si>
  <si>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D60</t>
  </si>
  <si>
    <t>D30</t>
  </si>
  <si>
    <t>D10</t>
  </si>
  <si>
    <t>RESULTADOS</t>
  </si>
  <si>
    <t>Fraccionada</t>
  </si>
  <si>
    <t>Global</t>
  </si>
  <si>
    <t>Metodo</t>
  </si>
  <si>
    <t>Cu</t>
  </si>
  <si>
    <t>Cc</t>
  </si>
  <si>
    <t>Tamaño maximo de las particulas</t>
  </si>
  <si>
    <t>Especificaciones</t>
  </si>
  <si>
    <t>CLASIFICACION
GENERAL</t>
  </si>
  <si>
    <t>MATERIALES GRANULARES (35% O MENOS DEL TOTAL PASA
EL TAMIZ NO 200)</t>
  </si>
  <si>
    <t>MATERIALES LIMO-ARCILLOSOS (MAS DEL
35% DEL TOTAL PASA EL TAMIZ No 200)</t>
  </si>
  <si>
    <t>CLASIFICACION
DE GRUPO</t>
  </si>
  <si>
    <t>A-1</t>
  </si>
  <si>
    <t>A-3</t>
  </si>
  <si>
    <t>A-2</t>
  </si>
  <si>
    <t>A-4</t>
  </si>
  <si>
    <t>A-5</t>
  </si>
  <si>
    <t>A-6</t>
  </si>
  <si>
    <t>A-7</t>
  </si>
  <si>
    <t>A-1-a</t>
  </si>
  <si>
    <t>A-1-b</t>
  </si>
  <si>
    <t>A-2-4</t>
  </si>
  <si>
    <t>A-2-5</t>
  </si>
  <si>
    <t>A-2-6</t>
  </si>
  <si>
    <t>A-2-7</t>
  </si>
  <si>
    <t>A-7-5</t>
  </si>
  <si>
    <t>A-7-6</t>
  </si>
  <si>
    <t>Porcentaje de material</t>
  </si>
  <si>
    <t>que pasa el  tamiz</t>
  </si>
  <si>
    <t>No 10</t>
  </si>
  <si>
    <t>50 max</t>
  </si>
  <si>
    <t>No 40</t>
  </si>
  <si>
    <t>30 max</t>
  </si>
  <si>
    <t>51 min</t>
  </si>
  <si>
    <t>No 200</t>
  </si>
  <si>
    <t>15 max</t>
  </si>
  <si>
    <t>25 max</t>
  </si>
  <si>
    <t>10 max</t>
  </si>
  <si>
    <t>35 max</t>
  </si>
  <si>
    <t>36 min</t>
  </si>
  <si>
    <t>Caracteristicas de la</t>
  </si>
  <si>
    <t>fraccion que pasa el</t>
  </si>
  <si>
    <t>tamiz No 40</t>
  </si>
  <si>
    <t>Limite líquido</t>
  </si>
  <si>
    <t>40 max</t>
  </si>
  <si>
    <t>41 min</t>
  </si>
  <si>
    <t>Indice plástico</t>
  </si>
  <si>
    <t>6 max</t>
  </si>
  <si>
    <t>N.P.</t>
  </si>
  <si>
    <t>11 min</t>
  </si>
  <si>
    <t>11`min</t>
  </si>
  <si>
    <t xml:space="preserve"> </t>
  </si>
  <si>
    <t>Indice de Grupo</t>
  </si>
  <si>
    <t>4 max</t>
  </si>
  <si>
    <t>8 max</t>
  </si>
  <si>
    <t>12 max</t>
  </si>
  <si>
    <t>16 max</t>
  </si>
  <si>
    <t>20 max</t>
  </si>
  <si>
    <t>CLASIFICACION   AASHTO   :</t>
  </si>
  <si>
    <t>A</t>
  </si>
  <si>
    <t>B</t>
  </si>
  <si>
    <t>C</t>
  </si>
  <si>
    <t>D</t>
  </si>
  <si>
    <t>esa</t>
  </si>
  <si>
    <t>SISTEMA UNIFICADO DE CLASIFICACION</t>
  </si>
  <si>
    <t>N 200=</t>
  </si>
  <si>
    <t>Cu =</t>
  </si>
  <si>
    <t>L.L.</t>
  </si>
  <si>
    <t>N 4=</t>
  </si>
  <si>
    <t>Cc =</t>
  </si>
  <si>
    <t>CLASIFICACION SUCS</t>
  </si>
  <si>
    <t>I.P.</t>
  </si>
  <si>
    <t>L.L.=</t>
  </si>
  <si>
    <t>CU</t>
  </si>
  <si>
    <t>I.P.=</t>
  </si>
  <si>
    <t>CC</t>
  </si>
  <si>
    <t>DIVISIONES MAYORES</t>
  </si>
  <si>
    <t>SIMBOLO
DE GRUPO</t>
  </si>
  <si>
    <t>NOMBRES TIPICOS</t>
  </si>
  <si>
    <t>CRITERIOS DE CLASIFICACION
PARA SUELOS GRANULARES</t>
  </si>
  <si>
    <t>CLASIF</t>
  </si>
  <si>
    <t>SIMBOLOS
 DOBLES</t>
  </si>
  <si>
    <t>SIMBOLOS 
TRIPLES</t>
  </si>
  <si>
    <t>CLASIFICACION</t>
  </si>
  <si>
    <t>SIMBOLO</t>
  </si>
  <si>
    <t>Suelos de grano grueso
(mas  del 50 % del material es mayor en tamaño que el tamiz No 200</t>
  </si>
  <si>
    <t>Gravas
(mas de la mitad de la fracción
gruesa es mayor que el tamiz No 4)</t>
  </si>
  <si>
    <t>Gravas Limpias
(poco o
ningun fino)</t>
  </si>
  <si>
    <t>GW</t>
  </si>
  <si>
    <t>Gravas bien gradadas, mezclas gravosas, poco o ningun fino</t>
  </si>
  <si>
    <t>Cu &gt; 4
1 &lt; Cc &lt; 3</t>
  </si>
  <si>
    <t>GP</t>
  </si>
  <si>
    <t>Gravas pobremente gradadas,`mezclas grava-arena, pocos o ningun fino</t>
  </si>
  <si>
    <t>No cumple todos los requisitos
de gradadcion para GW</t>
  </si>
  <si>
    <t>Gravas con finos
(cantidad apre-
ciable de finos)</t>
  </si>
  <si>
    <t>GM</t>
  </si>
  <si>
    <t>Gravas limosas, mezcla grava- arena-limo</t>
  </si>
  <si>
    <t>Límites de Atteberg por debajo de la linea A o Ip &lt; 4</t>
  </si>
  <si>
    <t>A los materiales sobre la linea A con 4 &lt; Ip &lt; 7 se considera de frontera y se les asigna doble símbolo</t>
  </si>
  <si>
    <t>GC</t>
  </si>
  <si>
    <t>Gravas arcillosas, mezcla gravo-areno-
arcillosas</t>
  </si>
  <si>
    <t>Límites de Atteberg por encima de la línea A ó Ip &gt; 7</t>
  </si>
  <si>
    <t>Arenas
(mas de la mitad de la fracción
gruesa es menor que el tamiz No 4)</t>
  </si>
  <si>
    <t>Arenas Limpias
(poco o
ningun fino)</t>
  </si>
  <si>
    <t>SW</t>
  </si>
  <si>
    <t>Arenas bien gradadas, arenas gravosas, 
pocos o ningun fino</t>
  </si>
  <si>
    <t>Cu &gt; 6
1 &lt; Cc &lt; 3</t>
  </si>
  <si>
    <t>SP</t>
  </si>
  <si>
    <t>Arenas pobremente gradadas, arenas
gravosas, pocos o ningun fino</t>
  </si>
  <si>
    <t>No cumple todos los requisitos
de gradadcion para SW</t>
  </si>
  <si>
    <t>Arenas con finos
(cantidad apre-
ciable de finos)</t>
  </si>
  <si>
    <t>SM</t>
  </si>
  <si>
    <t>Arenas limosas mezcla de arena-limo</t>
  </si>
  <si>
    <t>Límites de Atteberg
por debajo de la 
linea A ó Ip &lt; 4</t>
  </si>
  <si>
    <t>Si el material está
en la zona sombreada
 con 4 &lt; Ip &lt; 7 se
considera de 
frontera y se les
asigna doble
símbolo</t>
  </si>
  <si>
    <t>SC</t>
  </si>
  <si>
    <t>Arenas arcillosas, mezclas arena-arcilla</t>
  </si>
  <si>
    <t>Límites de Atteberg
por encima de la 
linea A ó Ip &gt; 7</t>
  </si>
  <si>
    <t>Suelos de grano fino
(mas  del 50 % del material pasa el tamiz No 200</t>
  </si>
  <si>
    <t>limos y arcillas
(Límite líquido wl&lt;50</t>
  </si>
  <si>
    <t>ML</t>
  </si>
  <si>
    <t>Limos inorgánicos y arena muy finas, polvo
de roca, arenas finas limosas o arcillosas,
o limos arcillosos con poca plasticidad</t>
  </si>
  <si>
    <t>1, Determinar el porcentaje de arenas y
     gravas de la curva granulometrica.
2, Dependiendo del porcentaje de fino
    (fracción menor que el tamiz No 200 los
     suelos gruesos se clasifican como sigue:
    Menos del 5%  - GW, GP, SW, SP 
    Mas del 12 %  -   GM, GC, SM, SC
    De 5 a 12 %  -  casos frontera que 
    requieren doble símbolo</t>
  </si>
  <si>
    <t>CL</t>
  </si>
  <si>
    <t>Arcillas inorganicas de plasticidad baja a
media, arcillas gravosas, arcillas arenosas,
arcillas limosas, arcillas magras.</t>
  </si>
  <si>
    <t>OL</t>
  </si>
  <si>
    <t>Limos organicos, arcillas limosas orgánicas
de baja plasticidad</t>
  </si>
  <si>
    <t>limos y arcillas
(Límite líquido wl&gt;50</t>
  </si>
  <si>
    <t>MH</t>
  </si>
  <si>
    <t>Limos inorganicos, suelos limosos o arenosos
finos micaceos o diatomaceos, suelos
elasticos.</t>
  </si>
  <si>
    <t>CH</t>
  </si>
  <si>
    <t>Arcillas inorganicas de alta plasticidad,
arcillas grasas.</t>
  </si>
  <si>
    <t>OH</t>
  </si>
  <si>
    <t>Arcillas organicas de plasticidad media a alta,
limos orgánicos</t>
  </si>
  <si>
    <t>Suelos
Altamen-
te orgá-
nicos</t>
  </si>
  <si>
    <t>Pt</t>
  </si>
  <si>
    <t>Turba o otros suelos altamente organicos</t>
  </si>
  <si>
    <t>METODO DE ENSAYO PARA DETERMINAR EL LIMITE LIQUIDO, LIMITE PLASTICO E INDICE DE PLASTICIDAD DE SUELOS</t>
  </si>
  <si>
    <t>SI</t>
  </si>
  <si>
    <t>NO</t>
  </si>
  <si>
    <t>LIMITE LIQUIDO</t>
  </si>
  <si>
    <t>LIMITE PLASTICO</t>
  </si>
  <si>
    <t>Ensayo</t>
  </si>
  <si>
    <t>Recipiente Nº</t>
  </si>
  <si>
    <t>Nº de Golpes</t>
  </si>
  <si>
    <t>R + Suelo Hum.</t>
  </si>
  <si>
    <t>R + Suelo Seco</t>
  </si>
  <si>
    <t>Peso Recip.</t>
  </si>
  <si>
    <t>Peso Agua</t>
  </si>
  <si>
    <t>Peso S. Seco</t>
  </si>
  <si>
    <t>% de Humedad</t>
  </si>
  <si>
    <t>LL</t>
  </si>
  <si>
    <t>Golp.</t>
  </si>
  <si>
    <t>% Humed</t>
  </si>
  <si>
    <t>LP</t>
  </si>
  <si>
    <t>IP</t>
  </si>
  <si>
    <t>Clasificacion</t>
  </si>
  <si>
    <t>No</t>
  </si>
  <si>
    <t>Si</t>
  </si>
  <si>
    <t>F-LEM-P-SU-10.02</t>
  </si>
  <si>
    <t>F-LEM-P-SU-11.02</t>
  </si>
  <si>
    <t>Prueba Nº</t>
  </si>
  <si>
    <t>Número de capas</t>
  </si>
  <si>
    <t>Número de golpes</t>
  </si>
  <si>
    <t>Tara Nº</t>
  </si>
  <si>
    <t>% Reten. Acumulado</t>
  </si>
  <si>
    <t>F-LEM-P-AG-04.02</t>
  </si>
  <si>
    <t>METODO DE ENSAYO PARA LA DENSIDAD, LA DENSIDAD RELATIVA (PESO ESPECIFICO) Y ABSORCION DEL AGREGADO GRUESO</t>
  </si>
  <si>
    <t>NORMA  NTP 400.021</t>
  </si>
  <si>
    <t>DATOS</t>
  </si>
  <si>
    <t>Peso Mat.Sat. Sup. Seca ( En Aire ) (gr)</t>
  </si>
  <si>
    <t>Peso Mat.Sat. Sup. Seca ( En Agua ) (gr)</t>
  </si>
  <si>
    <t>Peso material seco en estufa ( 105 ºC )(gr)</t>
  </si>
  <si>
    <t>Gravedad Esp. (OD) ( Base seca ) = C/(A-B)</t>
  </si>
  <si>
    <t>Gravedad Esp. (SSD) ( Base saturada) = A/(A-B)</t>
  </si>
  <si>
    <t>Gravedad Especifica</t>
  </si>
  <si>
    <t>Densidad</t>
  </si>
  <si>
    <t>Gravedad Esp. Aparente ( Base Seca ) = C/(C-B)</t>
  </si>
  <si>
    <t>Gravedad Esp. (OD) ( Base seca )</t>
  </si>
  <si>
    <t>G</t>
  </si>
  <si>
    <t>% de absorción = ((A-C)/C*100)</t>
  </si>
  <si>
    <t>Gravedad Esp. (SSD) ( Base saturada)</t>
  </si>
  <si>
    <t>Gravedad Esp. Aparente ( Base Seca )</t>
  </si>
  <si>
    <t>% de absorción</t>
  </si>
  <si>
    <t>Afirmado "A"</t>
  </si>
  <si>
    <t>NORMA  NTP 339.129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</si>
  <si>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</si>
  <si>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FORMATO N° F-LEM-P-SU-19.01</t>
  </si>
  <si>
    <t>% Retenido (1)/(2)*100</t>
  </si>
  <si>
    <t>Código</t>
  </si>
  <si>
    <t>Molde</t>
  </si>
  <si>
    <t>Pison</t>
  </si>
  <si>
    <t>Prohibido reproducir sin  autorización</t>
  </si>
  <si>
    <t>Observaciones:</t>
  </si>
  <si>
    <t>und</t>
  </si>
  <si>
    <t>--</t>
  </si>
  <si>
    <t>g</t>
  </si>
  <si>
    <r>
      <t>g/cm</t>
    </r>
    <r>
      <rPr>
        <vertAlign val="superscript"/>
        <sz val="8"/>
        <rFont val="Arial"/>
        <family val="2"/>
      </rPr>
      <t>3</t>
    </r>
  </si>
  <si>
    <r>
      <t>cm</t>
    </r>
    <r>
      <rPr>
        <vertAlign val="superscript"/>
        <sz val="8"/>
        <rFont val="Arial"/>
        <family val="2"/>
      </rPr>
      <t>3</t>
    </r>
  </si>
  <si>
    <t>%</t>
  </si>
  <si>
    <t>Standard Test Methods for Laboratory Compaction Characteristics of Soil Using
Modified Effort (56,000 ft-lbf/ft³ (2,700 kN-m/m³))</t>
  </si>
  <si>
    <t>19 mm (¾ in)</t>
  </si>
  <si>
    <t>9.5 mm (3/8 in)</t>
  </si>
  <si>
    <t>Método de ensayo</t>
  </si>
  <si>
    <t>Tamiz utilizado método</t>
  </si>
  <si>
    <t xml:space="preserve">Total </t>
  </si>
  <si>
    <t xml:space="preserve">Masa recipiente y suelo seco 2             </t>
  </si>
  <si>
    <t>Densidad húmeda (X= C/D)</t>
  </si>
  <si>
    <t>Volúmen de molde compactación (D)</t>
  </si>
  <si>
    <t>Masa suelo compactado (C=A-B)</t>
  </si>
  <si>
    <t>Masa del molde compactación (B)</t>
  </si>
  <si>
    <t>Masa de suelo húmedo y molde (A)</t>
  </si>
  <si>
    <t>Masa recipiente y suelo húmedo (E)</t>
  </si>
  <si>
    <t xml:space="preserve">Masa recipiente y suelo seco 1               </t>
  </si>
  <si>
    <t>Masa recipiente y suelo seco 3 (F)</t>
  </si>
  <si>
    <t>Masa de agua (Y= E-F)</t>
  </si>
  <si>
    <t>Masa de recipiente (G)</t>
  </si>
  <si>
    <t>Masa de suelo seco (Z=  F-G)</t>
  </si>
  <si>
    <t>Contenido de Humedad moldeo (W= Y/Z*100)</t>
  </si>
  <si>
    <t>Designaciòn de Tamices</t>
  </si>
  <si>
    <t>Masa retenida en el tamiz (g)</t>
  </si>
  <si>
    <t xml:space="preserve">Condiciones del ensayo </t>
  </si>
  <si>
    <t>Método de Preparación</t>
  </si>
  <si>
    <t>Tipo de Apisonador</t>
  </si>
  <si>
    <t>Tipo de muestra</t>
  </si>
  <si>
    <t>Condición de la muestra</t>
  </si>
  <si>
    <t>Forma de la particula</t>
  </si>
  <si>
    <t>Clasificación SUCS o Visual</t>
  </si>
  <si>
    <t xml:space="preserve">Balanza </t>
  </si>
  <si>
    <t>Densidad húmeda</t>
  </si>
  <si>
    <t>Contenido humedad - Densidad Seca</t>
  </si>
  <si>
    <t>Densidad Seca X=(1+(W/100))</t>
  </si>
  <si>
    <t>Descripción de la muestra:</t>
  </si>
  <si>
    <t>Equipo utilizado</t>
  </si>
  <si>
    <t xml:space="preserve">* W Perdida de masa seca constante (adicional), para metodo B es &lt; 0.1% </t>
  </si>
  <si>
    <t>ASTM D1557-12(2021)</t>
  </si>
  <si>
    <t>Tamaño máximo de la particula (in)</t>
  </si>
  <si>
    <t>Contenido de Humedad natural (%)</t>
  </si>
  <si>
    <t>Se excluyó algún material de la muestra de ensayo:</t>
  </si>
  <si>
    <t>4.75 mm (No. 4)</t>
  </si>
  <si>
    <t>Menor (No. 4)</t>
  </si>
  <si>
    <t>Balanza 1 g</t>
  </si>
  <si>
    <t>Horno 110 ºC</t>
  </si>
  <si>
    <t>Versión: 03 (02-05-2022)</t>
  </si>
  <si>
    <t>REALIZADO</t>
  </si>
  <si>
    <t>FECHA DE ENSAYO</t>
  </si>
  <si>
    <t>MUESTRA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</si>
</sst>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\ &quot;/ CO-06&quot;"/>
    <numFmt numFmtId="166" formatCode="#,##0.0"/>
    <numFmt numFmtId="167" formatCode="0.000"/>
    <numFmt numFmtId="168" formatCode="&quot;CERTIFICADO N°&quot;000&quot;-2020&quot;"/>
    <numFmt numFmtId="169" formatCode="\L\ \-\ 0000"/>
    <numFmt numFmtId="170" formatCode="dd\-mmm\-yyyy"/>
    <numFmt numFmtId="171" formatCode="dd/mm/yyyy;@"/>
    <numFmt numFmtId="172" formatCode="000"/>
    <numFmt numFmtId="173" formatCode="000&quot;-20 SU10&quot;"/>
    <numFmt numFmtId="174" formatCode="&quot;CERTIFICADO N°&quot;000&quot;-20 SU10&quot;"/>
    <numFmt numFmtId="175" formatCode="000&quot;-20 SU11&quot;"/>
    <numFmt numFmtId="176" formatCode="&quot;CERTIFICADO N°&quot;000&quot;-20 SU11&quot;"/>
    <numFmt numFmtId="177" formatCode="000&quot;-20 SU08&quot;"/>
    <numFmt numFmtId="178" formatCode="&quot;CERTIFICADO N°&quot;000&quot;-20 SU08&quot;"/>
    <numFmt numFmtId="179" formatCode="&quot;CERTIFICADO N°&quot;000&quot;-20 AG04&quot;"/>
    <numFmt numFmtId="180" formatCode="00\1\-\ &quot;20&quot;"/>
    <numFmt numFmtId="181" formatCode="00\1\-\ &quot;20 SU01&quot;"/>
    <numFmt numFmtId="182" formatCode="000&quot;-20 AG04&quot;"/>
    <numFmt numFmtId="183" formatCode="0\ &quot;kg/m3&quot;"/>
    <numFmt numFmtId="184" formatCode="0.00\ &quot;%&quot;"/>
  </numFmts>
  <fonts count="73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sz val="10"/>
      <color indexed="10"/>
      <name val="Times New Roman"/>
      <family val="1"/>
    </font>
    <font>
      <sz val="6"/>
      <name val="Times New Roman"/>
      <family val="1"/>
    </font>
    <font>
      <sz val="10"/>
      <color indexed="18"/>
      <name val="Arial"/>
      <family val="2"/>
    </font>
    <font>
      <b/>
      <sz val="8"/>
      <color indexed="9"/>
      <name val="Arial"/>
      <family val="2"/>
    </font>
    <font>
      <sz val="8"/>
      <color indexed="13"/>
      <name val="Arial"/>
      <family val="2"/>
    </font>
    <font>
      <sz val="8"/>
      <color indexed="11"/>
      <name val="Arial"/>
      <family val="2"/>
    </font>
    <font>
      <sz val="10"/>
      <color indexed="13"/>
      <name val="Arial"/>
      <family val="2"/>
    </font>
    <font>
      <sz val="10"/>
      <color indexed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b/>
      <i/>
      <sz val="12"/>
      <color indexed="9"/>
      <name val="Arial"/>
      <family val="2"/>
    </font>
    <font>
      <b/>
      <sz val="10"/>
      <color indexed="18"/>
      <name val="Arial"/>
      <family val="2"/>
    </font>
    <font>
      <b/>
      <sz val="14"/>
      <name val="Arial"/>
      <family val="2"/>
    </font>
    <font>
      <b/>
      <sz val="10"/>
      <color indexed="51"/>
      <name val="Arial"/>
      <family val="2"/>
    </font>
    <font>
      <b/>
      <sz val="10"/>
      <color indexed="8"/>
      <name val="Arial"/>
      <family val="2"/>
    </font>
    <font>
      <b/>
      <i/>
      <sz val="12"/>
      <color indexed="13"/>
      <name val="Arial"/>
      <family val="2"/>
    </font>
    <font>
      <b/>
      <sz val="12"/>
      <color indexed="8"/>
      <name val="Arial"/>
      <family val="2"/>
    </font>
    <font>
      <sz val="10"/>
      <color indexed="10"/>
      <name val="Arial"/>
      <family val="2"/>
    </font>
    <font>
      <b/>
      <sz val="10"/>
      <color indexed="12"/>
      <name val="Arial"/>
      <family val="2"/>
    </font>
    <font>
      <sz val="9"/>
      <color indexed="13"/>
      <name val="Arial"/>
      <family val="2"/>
    </font>
    <font>
      <b/>
      <sz val="10"/>
      <color indexed="43"/>
      <name val="Arial"/>
      <family val="2"/>
    </font>
    <font>
      <sz val="8"/>
      <color indexed="43"/>
      <name val="Arial"/>
      <family val="2"/>
    </font>
    <font>
      <sz val="8"/>
      <color indexed="51"/>
      <name val="Arial"/>
      <family val="2"/>
    </font>
    <font>
      <sz val="9"/>
      <color indexed="9"/>
      <name val="Arial"/>
      <family val="2"/>
    </font>
    <font>
      <b/>
      <sz val="10"/>
      <color indexed="47"/>
      <name val="Arial"/>
      <family val="2"/>
    </font>
    <font>
      <sz val="8"/>
      <color indexed="47"/>
      <name val="Arial"/>
      <family val="2"/>
    </font>
    <font>
      <sz val="10"/>
      <color indexed="47"/>
      <name val="Arial"/>
      <family val="2"/>
    </font>
    <font>
      <b/>
      <sz val="8"/>
      <color indexed="45"/>
      <name val="Arial"/>
      <family val="2"/>
    </font>
    <font>
      <sz val="8"/>
      <color indexed="45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color rgb="FF0000FF"/>
      <name val="Arial"/>
      <family val="2"/>
    </font>
    <font>
      <sz val="8"/>
      <color rgb="FF0000FF"/>
      <name val="Times New Roman"/>
      <family val="1"/>
    </font>
    <font>
      <sz val="11"/>
      <color theme="1"/>
      <name val="Times New Roman"/>
      <family val="1"/>
    </font>
    <font>
      <sz val="11"/>
      <color rgb="FF0000FF"/>
      <name val="Times New Roman"/>
      <family val="1"/>
    </font>
    <font>
      <sz val="10"/>
      <color rgb="FFFF0000"/>
      <name val="Times New Roman"/>
      <family val="1"/>
    </font>
    <font>
      <sz val="8"/>
      <color rgb="FF0000FF"/>
      <name val="Arial"/>
      <family val="2"/>
    </font>
    <font>
      <b/>
      <sz val="8"/>
      <color rgb="FF0000FF"/>
      <name val="Arial"/>
      <family val="2"/>
    </font>
    <font>
      <b/>
      <i/>
      <u/>
      <sz val="8"/>
      <name val="Arial"/>
      <family val="2"/>
    </font>
    <font>
      <sz val="8"/>
      <color indexed="9"/>
      <name val="Arial"/>
      <family val="2"/>
    </font>
    <font>
      <sz val="8"/>
      <color indexed="10"/>
      <name val="Arial"/>
      <family val="2"/>
    </font>
    <font>
      <b/>
      <sz val="8"/>
      <color indexed="10"/>
      <name val="Arial"/>
      <family val="2"/>
    </font>
    <font>
      <vertAlign val="superscript"/>
      <sz val="8"/>
      <name val="Arial"/>
      <family val="2"/>
    </font>
    <font>
      <b/>
      <sz val="9"/>
      <color rgb="FF0000FF"/>
      <name val="Arial"/>
      <family val="2"/>
    </font>
    <font>
      <sz val="9"/>
      <color rgb="FF0000FF"/>
      <name val="Times New Roman"/>
      <family val="1"/>
    </font>
    <font>
      <b/>
      <u/>
      <sz val="9"/>
      <name val="Arial"/>
      <family val="2"/>
    </font>
    <font>
      <sz val="9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39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00B0F0"/>
        <bgColor indexed="64"/>
      </patternFill>
    </fill>
  </fills>
  <borders count="1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 style="medium">
        <color indexed="64"/>
      </right>
      <top/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 style="medium">
        <color indexed="9"/>
      </top>
      <bottom/>
      <diagonal/>
    </border>
    <border>
      <left style="medium">
        <color indexed="9"/>
      </left>
      <right/>
      <top style="medium">
        <color indexed="9"/>
      </top>
      <bottom style="thin">
        <color indexed="9"/>
      </bottom>
      <diagonal/>
    </border>
    <border>
      <left/>
      <right style="medium">
        <color indexed="9"/>
      </right>
      <top style="medium">
        <color indexed="9"/>
      </top>
      <bottom style="thin">
        <color indexed="9"/>
      </bottom>
      <diagonal/>
    </border>
    <border>
      <left/>
      <right/>
      <top style="medium">
        <color indexed="9"/>
      </top>
      <bottom style="thin">
        <color indexed="9"/>
      </bottom>
      <diagonal/>
    </border>
    <border>
      <left style="medium">
        <color indexed="9"/>
      </left>
      <right/>
      <top style="medium">
        <color indexed="9"/>
      </top>
      <bottom/>
      <diagonal/>
    </border>
    <border>
      <left style="medium">
        <color indexed="9"/>
      </left>
      <right style="medium">
        <color indexed="9"/>
      </right>
      <top style="medium">
        <color indexed="9"/>
      </top>
      <bottom/>
      <diagonal/>
    </border>
    <border>
      <left/>
      <right style="medium">
        <color indexed="64"/>
      </right>
      <top style="medium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medium">
        <color indexed="9"/>
      </right>
      <top/>
      <bottom style="thin">
        <color indexed="9"/>
      </bottom>
      <diagonal/>
    </border>
    <border>
      <left style="medium">
        <color indexed="9"/>
      </left>
      <right/>
      <top/>
      <bottom style="thin">
        <color indexed="9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medium">
        <color indexed="9"/>
      </left>
      <right/>
      <top/>
      <bottom/>
      <diagonal/>
    </border>
    <border>
      <left style="thin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9"/>
      </left>
      <right style="medium">
        <color indexed="64"/>
      </right>
      <top/>
      <bottom/>
      <diagonal/>
    </border>
    <border>
      <left style="thin">
        <color indexed="9"/>
      </left>
      <right style="medium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medium">
        <color indexed="64"/>
      </right>
      <top/>
      <bottom style="thin">
        <color indexed="9"/>
      </bottom>
      <diagonal/>
    </border>
    <border>
      <left/>
      <right/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/>
      <top style="thin">
        <color indexed="9"/>
      </top>
      <bottom style="thick">
        <color indexed="64"/>
      </bottom>
      <diagonal/>
    </border>
    <border>
      <left/>
      <right style="medium">
        <color indexed="9"/>
      </right>
      <top style="thin">
        <color indexed="9"/>
      </top>
      <bottom style="thick">
        <color indexed="64"/>
      </bottom>
      <diagonal/>
    </border>
    <border>
      <left/>
      <right style="thin">
        <color indexed="9"/>
      </right>
      <top style="thin">
        <color indexed="9"/>
      </top>
      <bottom style="thick">
        <color indexed="64"/>
      </bottom>
      <diagonal/>
    </border>
    <border>
      <left style="medium">
        <color indexed="9"/>
      </left>
      <right style="medium">
        <color indexed="9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medium">
        <color indexed="64"/>
      </right>
      <top style="thin">
        <color indexed="9"/>
      </top>
      <bottom style="thick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9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 style="thin">
        <color indexed="9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/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9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9"/>
      </left>
      <right style="thin">
        <color indexed="64"/>
      </right>
      <top/>
      <bottom style="thin">
        <color indexed="9"/>
      </bottom>
      <diagonal/>
    </border>
    <border>
      <left/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64"/>
      </right>
      <top/>
      <bottom style="thin">
        <color indexed="9"/>
      </bottom>
      <diagonal/>
    </border>
    <border>
      <left style="thin">
        <color indexed="64"/>
      </left>
      <right style="thin">
        <color indexed="9"/>
      </right>
      <top/>
      <bottom style="thin">
        <color indexed="9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756">
    <xf numFmtId="0" fontId="0" fillId="0" borderId="0" xfId="0"/>
    <xf numFmtId="0" fontId="5" fillId="0" borderId="0" xfId="0" applyFont="1" applyProtection="1">
      <protection hidden="1"/>
    </xf>
    <xf numFmtId="0" fontId="0" fillId="0" borderId="1" xfId="0" applyBorder="1"/>
    <xf numFmtId="2" fontId="7" fillId="3" borderId="1" xfId="0" applyNumberFormat="1" applyFont="1" applyFill="1" applyBorder="1" applyAlignment="1">
      <alignment vertical="center" wrapText="1"/>
    </xf>
    <xf numFmtId="10" fontId="8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9" fillId="0" borderId="1" xfId="0" applyFont="1" applyBorder="1" applyAlignment="1">
      <alignment horizontal="center"/>
    </xf>
    <xf numFmtId="0" fontId="15" fillId="0" borderId="1" xfId="0" applyFont="1" applyBorder="1"/>
    <xf numFmtId="16" fontId="15" fillId="0" borderId="1" xfId="0" applyNumberFormat="1" applyFont="1" applyBorder="1"/>
    <xf numFmtId="2" fontId="15" fillId="0" borderId="1" xfId="0" applyNumberFormat="1" applyFont="1" applyBorder="1"/>
    <xf numFmtId="2" fontId="16" fillId="3" borderId="1" xfId="0" applyNumberFormat="1" applyFont="1" applyFill="1" applyBorder="1" applyAlignment="1">
      <alignment vertical="center" wrapText="1"/>
    </xf>
    <xf numFmtId="165" fontId="9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6" fillId="0" borderId="0" xfId="0" applyFont="1" applyAlignment="1" applyProtection="1">
      <alignment vertical="center"/>
      <protection hidden="1"/>
    </xf>
    <xf numFmtId="0" fontId="7" fillId="0" borderId="0" xfId="0" applyFont="1" applyProtection="1">
      <protection hidden="1"/>
    </xf>
    <xf numFmtId="0" fontId="17" fillId="0" borderId="0" xfId="0" applyFont="1" applyProtection="1">
      <protection hidden="1"/>
    </xf>
    <xf numFmtId="0" fontId="4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0" fontId="4" fillId="2" borderId="2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5" fillId="0" borderId="4" xfId="0" applyFont="1" applyBorder="1" applyProtection="1">
      <protection hidden="1"/>
    </xf>
    <xf numFmtId="0" fontId="5" fillId="0" borderId="5" xfId="0" applyFont="1" applyBorder="1" applyProtection="1">
      <protection hidden="1"/>
    </xf>
    <xf numFmtId="0" fontId="2" fillId="3" borderId="6" xfId="0" applyFont="1" applyFill="1" applyBorder="1" applyAlignment="1">
      <alignment vertical="center"/>
    </xf>
    <xf numFmtId="0" fontId="5" fillId="0" borderId="7" xfId="0" applyFont="1" applyBorder="1" applyProtection="1">
      <protection hidden="1"/>
    </xf>
    <xf numFmtId="0" fontId="4" fillId="2" borderId="8" xfId="0" applyFont="1" applyFill="1" applyBorder="1" applyAlignment="1">
      <alignment vertical="center"/>
    </xf>
    <xf numFmtId="0" fontId="4" fillId="2" borderId="9" xfId="0" applyFont="1" applyFill="1" applyBorder="1" applyAlignment="1">
      <alignment vertical="center"/>
    </xf>
    <xf numFmtId="0" fontId="12" fillId="2" borderId="0" xfId="0" applyFont="1" applyFill="1" applyAlignment="1">
      <alignment horizontal="center" vertical="center"/>
    </xf>
    <xf numFmtId="0" fontId="5" fillId="0" borderId="10" xfId="0" applyFont="1" applyBorder="1" applyProtection="1">
      <protection hidden="1"/>
    </xf>
    <xf numFmtId="0" fontId="6" fillId="0" borderId="0" xfId="0" applyFont="1" applyAlignment="1" applyProtection="1">
      <alignment horizontal="center" vertical="center"/>
      <protection hidden="1"/>
    </xf>
    <xf numFmtId="10" fontId="7" fillId="3" borderId="0" xfId="0" applyNumberFormat="1" applyFont="1" applyFill="1" applyAlignment="1">
      <alignment horizontal="center" vertical="center" wrapText="1"/>
    </xf>
    <xf numFmtId="0" fontId="19" fillId="2" borderId="0" xfId="3" applyFont="1" applyFill="1" applyAlignment="1">
      <alignment vertical="center"/>
    </xf>
    <xf numFmtId="0" fontId="19" fillId="2" borderId="0" xfId="3" applyFont="1" applyFill="1" applyAlignment="1">
      <alignment horizontal="center" vertical="center"/>
    </xf>
    <xf numFmtId="0" fontId="19" fillId="2" borderId="0" xfId="0" applyFont="1" applyFill="1" applyAlignment="1">
      <alignment horizontal="right" vertical="center"/>
    </xf>
    <xf numFmtId="0" fontId="1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19" fillId="2" borderId="0" xfId="3" applyFont="1" applyFill="1" applyAlignment="1">
      <alignment horizontal="right" vertical="center"/>
    </xf>
    <xf numFmtId="17" fontId="9" fillId="2" borderId="0" xfId="0" applyNumberFormat="1" applyFont="1" applyFill="1" applyAlignment="1">
      <alignment vertical="center"/>
    </xf>
    <xf numFmtId="0" fontId="20" fillId="0" borderId="0" xfId="0" applyFont="1" applyProtection="1">
      <protection hidden="1"/>
    </xf>
    <xf numFmtId="0" fontId="20" fillId="0" borderId="0" xfId="0" applyFont="1" applyAlignment="1" applyProtection="1">
      <alignment vertical="center"/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9" fillId="2" borderId="0" xfId="3" applyFont="1" applyFill="1" applyAlignment="1">
      <alignment horizontal="center" vertical="center"/>
    </xf>
    <xf numFmtId="0" fontId="9" fillId="2" borderId="0" xfId="3" applyFont="1" applyFill="1" applyAlignment="1">
      <alignment horizontal="right" vertical="center"/>
    </xf>
    <xf numFmtId="0" fontId="9" fillId="0" borderId="0" xfId="0" applyFont="1" applyAlignment="1" applyProtection="1">
      <alignment horizontal="left" vertical="center" indent="2"/>
      <protection hidden="1"/>
    </xf>
    <xf numFmtId="0" fontId="19" fillId="2" borderId="11" xfId="3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left" vertical="center" wrapText="1"/>
    </xf>
    <xf numFmtId="0" fontId="19" fillId="2" borderId="11" xfId="3" applyFont="1" applyFill="1" applyBorder="1" applyAlignment="1">
      <alignment horizontal="right" vertical="center"/>
    </xf>
    <xf numFmtId="0" fontId="7" fillId="2" borderId="0" xfId="0" applyFont="1" applyFill="1" applyAlignment="1">
      <alignment vertical="center"/>
    </xf>
    <xf numFmtId="0" fontId="9" fillId="4" borderId="0" xfId="0" applyFont="1" applyFill="1" applyAlignment="1" applyProtection="1">
      <alignment vertical="center"/>
      <protection hidden="1"/>
    </xf>
    <xf numFmtId="0" fontId="9" fillId="4" borderId="0" xfId="0" applyFont="1" applyFill="1" applyAlignment="1" applyProtection="1">
      <alignment horizontal="left" indent="1"/>
      <protection hidden="1"/>
    </xf>
    <xf numFmtId="0" fontId="9" fillId="2" borderId="0" xfId="0" applyFont="1" applyFill="1" applyAlignment="1">
      <alignment horizontal="left" vertical="center" wrapText="1"/>
    </xf>
    <xf numFmtId="0" fontId="19" fillId="2" borderId="12" xfId="3" applyFont="1" applyFill="1" applyBorder="1" applyAlignment="1">
      <alignment vertical="center"/>
    </xf>
    <xf numFmtId="17" fontId="9" fillId="2" borderId="13" xfId="0" applyNumberFormat="1" applyFont="1" applyFill="1" applyBorder="1" applyAlignment="1">
      <alignment vertical="center"/>
    </xf>
    <xf numFmtId="0" fontId="9" fillId="2" borderId="14" xfId="3" applyFont="1" applyFill="1" applyBorder="1" applyAlignment="1">
      <alignment vertical="center"/>
    </xf>
    <xf numFmtId="14" fontId="9" fillId="0" borderId="15" xfId="0" applyNumberFormat="1" applyFont="1" applyBorder="1" applyAlignment="1" applyProtection="1">
      <alignment horizontal="left" vertical="center"/>
      <protection hidden="1"/>
    </xf>
    <xf numFmtId="0" fontId="5" fillId="0" borderId="16" xfId="0" applyFont="1" applyBorder="1" applyProtection="1">
      <protection hidden="1"/>
    </xf>
    <xf numFmtId="0" fontId="5" fillId="0" borderId="17" xfId="0" applyFont="1" applyBorder="1" applyProtection="1">
      <protection hidden="1"/>
    </xf>
    <xf numFmtId="164" fontId="7" fillId="2" borderId="0" xfId="0" applyNumberFormat="1" applyFont="1" applyFill="1" applyAlignment="1">
      <alignment vertical="center"/>
    </xf>
    <xf numFmtId="1" fontId="7" fillId="2" borderId="0" xfId="0" applyNumberFormat="1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2" fontId="24" fillId="2" borderId="0" xfId="0" applyNumberFormat="1" applyFont="1" applyFill="1" applyAlignment="1">
      <alignment horizontal="center" vertical="center"/>
    </xf>
    <xf numFmtId="164" fontId="24" fillId="2" borderId="0" xfId="0" applyNumberFormat="1" applyFont="1" applyFill="1" applyAlignment="1">
      <alignment horizontal="center" vertical="center"/>
    </xf>
    <xf numFmtId="0" fontId="25" fillId="2" borderId="0" xfId="0" applyFont="1" applyFill="1" applyAlignment="1">
      <alignment vertical="center"/>
    </xf>
    <xf numFmtId="2" fontId="7" fillId="2" borderId="0" xfId="0" applyNumberFormat="1" applyFont="1" applyFill="1" applyAlignment="1">
      <alignment vertical="center"/>
    </xf>
    <xf numFmtId="2" fontId="10" fillId="2" borderId="0" xfId="0" applyNumberFormat="1" applyFont="1" applyFill="1" applyAlignment="1">
      <alignment vertical="center"/>
    </xf>
    <xf numFmtId="164" fontId="6" fillId="2" borderId="0" xfId="0" applyNumberFormat="1" applyFont="1" applyFill="1" applyAlignment="1">
      <alignment vertical="center"/>
    </xf>
    <xf numFmtId="1" fontId="7" fillId="3" borderId="0" xfId="0" applyNumberFormat="1" applyFont="1" applyFill="1" applyAlignment="1">
      <alignment horizontal="center" vertical="center" wrapText="1"/>
    </xf>
    <xf numFmtId="0" fontId="1" fillId="5" borderId="0" xfId="4" applyFill="1"/>
    <xf numFmtId="0" fontId="1" fillId="2" borderId="0" xfId="4" applyFill="1"/>
    <xf numFmtId="0" fontId="26" fillId="5" borderId="0" xfId="4" applyFont="1" applyFill="1"/>
    <xf numFmtId="0" fontId="26" fillId="2" borderId="0" xfId="4" applyFont="1" applyFill="1"/>
    <xf numFmtId="0" fontId="30" fillId="6" borderId="53" xfId="4" applyFont="1" applyFill="1" applyBorder="1" applyAlignment="1">
      <alignment horizontal="center" vertical="center"/>
    </xf>
    <xf numFmtId="0" fontId="30" fillId="6" borderId="54" xfId="4" applyFont="1" applyFill="1" applyBorder="1" applyAlignment="1">
      <alignment horizontal="center" vertical="center"/>
    </xf>
    <xf numFmtId="0" fontId="30" fillId="6" borderId="55" xfId="4" applyFont="1" applyFill="1" applyBorder="1" applyAlignment="1">
      <alignment horizontal="center" vertical="center"/>
    </xf>
    <xf numFmtId="0" fontId="30" fillId="6" borderId="51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57" xfId="4" applyFont="1" applyFill="1" applyBorder="1" applyAlignment="1">
      <alignment horizontal="center" vertical="center"/>
    </xf>
    <xf numFmtId="0" fontId="27" fillId="7" borderId="0" xfId="4" applyFont="1" applyFill="1" applyAlignment="1">
      <alignment vertical="center"/>
    </xf>
    <xf numFmtId="0" fontId="32" fillId="7" borderId="58" xfId="4" applyFont="1" applyFill="1" applyBorder="1" applyAlignment="1">
      <alignment horizontal="center" vertical="center"/>
    </xf>
    <xf numFmtId="0" fontId="30" fillId="7" borderId="59" xfId="4" applyFont="1" applyFill="1" applyBorder="1" applyAlignment="1">
      <alignment horizontal="center" vertical="center"/>
    </xf>
    <xf numFmtId="0" fontId="30" fillId="7" borderId="60" xfId="4" applyFont="1" applyFill="1" applyBorder="1" applyAlignment="1">
      <alignment horizontal="center" vertical="center"/>
    </xf>
    <xf numFmtId="0" fontId="30" fillId="7" borderId="0" xfId="4" applyFont="1" applyFill="1" applyAlignment="1">
      <alignment horizontal="center" vertical="center"/>
    </xf>
    <xf numFmtId="0" fontId="30" fillId="7" borderId="61" xfId="4" applyFont="1" applyFill="1" applyBorder="1" applyAlignment="1">
      <alignment horizontal="center" vertical="center"/>
    </xf>
    <xf numFmtId="0" fontId="30" fillId="7" borderId="58" xfId="4" applyFont="1" applyFill="1" applyBorder="1" applyAlignment="1">
      <alignment horizontal="center" vertical="center"/>
    </xf>
    <xf numFmtId="0" fontId="31" fillId="7" borderId="59" xfId="4" applyFont="1" applyFill="1" applyBorder="1" applyAlignment="1">
      <alignment horizontal="center" vertical="center"/>
    </xf>
    <xf numFmtId="0" fontId="31" fillId="7" borderId="62" xfId="4" applyFont="1" applyFill="1" applyBorder="1" applyAlignment="1">
      <alignment horizontal="center" vertical="center"/>
    </xf>
    <xf numFmtId="0" fontId="31" fillId="7" borderId="0" xfId="4" applyFont="1" applyFill="1" applyAlignment="1">
      <alignment horizontal="center" vertical="center"/>
    </xf>
    <xf numFmtId="0" fontId="31" fillId="7" borderId="63" xfId="4" applyFont="1" applyFill="1" applyBorder="1" applyAlignment="1">
      <alignment horizontal="center" vertical="center"/>
    </xf>
    <xf numFmtId="0" fontId="32" fillId="7" borderId="0" xfId="4" applyFont="1" applyFill="1" applyAlignment="1">
      <alignment horizontal="center" vertical="center"/>
    </xf>
    <xf numFmtId="0" fontId="32" fillId="7" borderId="0" xfId="4" applyFont="1" applyFill="1" applyAlignment="1">
      <alignment vertical="center"/>
    </xf>
    <xf numFmtId="0" fontId="33" fillId="7" borderId="0" xfId="4" applyFont="1" applyFill="1" applyAlignment="1">
      <alignment vertical="center"/>
    </xf>
    <xf numFmtId="164" fontId="32" fillId="7" borderId="58" xfId="4" applyNumberFormat="1" applyFont="1" applyFill="1" applyBorder="1" applyAlignment="1">
      <alignment horizontal="center" vertical="center"/>
    </xf>
    <xf numFmtId="0" fontId="32" fillId="7" borderId="51" xfId="4" applyFont="1" applyFill="1" applyBorder="1" applyAlignment="1">
      <alignment vertical="center"/>
    </xf>
    <xf numFmtId="0" fontId="32" fillId="7" borderId="64" xfId="4" applyFont="1" applyFill="1" applyBorder="1" applyAlignment="1">
      <alignment horizontal="center" vertical="center"/>
    </xf>
    <xf numFmtId="0" fontId="30" fillId="7" borderId="53" xfId="4" applyFont="1" applyFill="1" applyBorder="1" applyAlignment="1">
      <alignment horizontal="center" vertical="center"/>
    </xf>
    <xf numFmtId="0" fontId="30" fillId="7" borderId="64" xfId="4" applyFont="1" applyFill="1" applyBorder="1" applyAlignment="1">
      <alignment horizontal="center" vertical="center"/>
    </xf>
    <xf numFmtId="0" fontId="30" fillId="7" borderId="51" xfId="4" applyFont="1" applyFill="1" applyBorder="1" applyAlignment="1">
      <alignment horizontal="center" vertical="center"/>
    </xf>
    <xf numFmtId="0" fontId="30" fillId="7" borderId="65" xfId="4" applyFont="1" applyFill="1" applyBorder="1" applyAlignment="1">
      <alignment horizontal="center" vertical="center"/>
    </xf>
    <xf numFmtId="0" fontId="31" fillId="7" borderId="53" xfId="4" applyFont="1" applyFill="1" applyBorder="1" applyAlignment="1">
      <alignment horizontal="center" vertical="center"/>
    </xf>
    <xf numFmtId="0" fontId="31" fillId="7" borderId="56" xfId="4" applyFont="1" applyFill="1" applyBorder="1" applyAlignment="1">
      <alignment horizontal="center" vertical="center"/>
    </xf>
    <xf numFmtId="0" fontId="31" fillId="7" borderId="51" xfId="4" applyFont="1" applyFill="1" applyBorder="1" applyAlignment="1">
      <alignment horizontal="center" vertical="center"/>
    </xf>
    <xf numFmtId="0" fontId="31" fillId="7" borderId="66" xfId="4" applyFont="1" applyFill="1" applyBorder="1" applyAlignment="1">
      <alignment horizontal="center" vertical="center"/>
    </xf>
    <xf numFmtId="0" fontId="1" fillId="8" borderId="0" xfId="4" applyFill="1" applyAlignment="1">
      <alignment vertical="center"/>
    </xf>
    <xf numFmtId="0" fontId="1" fillId="8" borderId="58" xfId="4" applyFill="1" applyBorder="1" applyAlignment="1">
      <alignment horizontal="center" vertical="center"/>
    </xf>
    <xf numFmtId="0" fontId="30" fillId="8" borderId="59" xfId="4" applyFont="1" applyFill="1" applyBorder="1" applyAlignment="1">
      <alignment horizontal="center" vertical="center"/>
    </xf>
    <xf numFmtId="0" fontId="30" fillId="8" borderId="58" xfId="4" applyFont="1" applyFill="1" applyBorder="1" applyAlignment="1">
      <alignment horizontal="center" vertical="center"/>
    </xf>
    <xf numFmtId="0" fontId="30" fillId="8" borderId="0" xfId="4" applyFont="1" applyFill="1" applyAlignment="1">
      <alignment horizontal="center" vertical="center"/>
    </xf>
    <xf numFmtId="0" fontId="30" fillId="8" borderId="61" xfId="4" applyFont="1" applyFill="1" applyBorder="1" applyAlignment="1">
      <alignment horizontal="center" vertical="center"/>
    </xf>
    <xf numFmtId="0" fontId="31" fillId="8" borderId="59" xfId="4" applyFont="1" applyFill="1" applyBorder="1" applyAlignment="1">
      <alignment horizontal="center" vertical="center"/>
    </xf>
    <xf numFmtId="0" fontId="31" fillId="8" borderId="62" xfId="4" applyFont="1" applyFill="1" applyBorder="1" applyAlignment="1">
      <alignment horizontal="center" vertical="center"/>
    </xf>
    <xf numFmtId="0" fontId="31" fillId="8" borderId="0" xfId="4" applyFont="1" applyFill="1" applyAlignment="1">
      <alignment horizontal="center" vertical="center"/>
    </xf>
    <xf numFmtId="0" fontId="31" fillId="8" borderId="63" xfId="4" applyFont="1" applyFill="1" applyBorder="1" applyAlignment="1">
      <alignment horizontal="center" vertical="center"/>
    </xf>
    <xf numFmtId="0" fontId="32" fillId="8" borderId="0" xfId="4" applyFont="1" applyFill="1" applyAlignment="1">
      <alignment horizontal="center" vertical="center"/>
    </xf>
    <xf numFmtId="0" fontId="32" fillId="8" borderId="58" xfId="4" applyFont="1" applyFill="1" applyBorder="1" applyAlignment="1">
      <alignment horizontal="center" vertical="center"/>
    </xf>
    <xf numFmtId="0" fontId="32" fillId="8" borderId="0" xfId="4" applyFont="1" applyFill="1" applyAlignment="1">
      <alignment vertical="center"/>
    </xf>
    <xf numFmtId="0" fontId="33" fillId="8" borderId="0" xfId="4" applyFont="1" applyFill="1" applyAlignment="1">
      <alignment vertical="center"/>
    </xf>
    <xf numFmtId="0" fontId="32" fillId="8" borderId="51" xfId="4" applyFont="1" applyFill="1" applyBorder="1" applyAlignment="1">
      <alignment vertical="center"/>
    </xf>
    <xf numFmtId="0" fontId="32" fillId="8" borderId="64" xfId="4" applyFont="1" applyFill="1" applyBorder="1" applyAlignment="1">
      <alignment horizontal="center" vertical="center"/>
    </xf>
    <xf numFmtId="0" fontId="30" fillId="8" borderId="53" xfId="4" applyFont="1" applyFill="1" applyBorder="1" applyAlignment="1">
      <alignment horizontal="center" vertical="center"/>
    </xf>
    <xf numFmtId="0" fontId="30" fillId="8" borderId="64" xfId="4" applyFont="1" applyFill="1" applyBorder="1" applyAlignment="1">
      <alignment horizontal="center" vertical="center"/>
    </xf>
    <xf numFmtId="0" fontId="30" fillId="8" borderId="51" xfId="4" applyFont="1" applyFill="1" applyBorder="1" applyAlignment="1">
      <alignment horizontal="center" vertical="center"/>
    </xf>
    <xf numFmtId="0" fontId="30" fillId="8" borderId="65" xfId="4" applyFont="1" applyFill="1" applyBorder="1" applyAlignment="1">
      <alignment horizontal="center" vertical="center"/>
    </xf>
    <xf numFmtId="0" fontId="31" fillId="8" borderId="53" xfId="4" applyFont="1" applyFill="1" applyBorder="1" applyAlignment="1">
      <alignment horizontal="center" vertical="center"/>
    </xf>
    <xf numFmtId="0" fontId="31" fillId="8" borderId="56" xfId="4" applyFont="1" applyFill="1" applyBorder="1" applyAlignment="1">
      <alignment horizontal="center" vertical="center"/>
    </xf>
    <xf numFmtId="0" fontId="31" fillId="8" borderId="51" xfId="4" applyFont="1" applyFill="1" applyBorder="1" applyAlignment="1">
      <alignment horizontal="center" vertical="center"/>
    </xf>
    <xf numFmtId="0" fontId="31" fillId="8" borderId="66" xfId="4" applyFont="1" applyFill="1" applyBorder="1" applyAlignment="1">
      <alignment horizontal="center" vertical="center"/>
    </xf>
    <xf numFmtId="0" fontId="33" fillId="9" borderId="67" xfId="4" applyFont="1" applyFill="1" applyBorder="1" applyAlignment="1">
      <alignment vertical="center"/>
    </xf>
    <xf numFmtId="1" fontId="32" fillId="9" borderId="68" xfId="4" applyNumberFormat="1" applyFont="1" applyFill="1" applyBorder="1" applyAlignment="1">
      <alignment horizontal="center" vertical="center"/>
    </xf>
    <xf numFmtId="0" fontId="30" fillId="9" borderId="67" xfId="4" applyFont="1" applyFill="1" applyBorder="1" applyAlignment="1">
      <alignment horizontal="center" vertical="center"/>
    </xf>
    <xf numFmtId="0" fontId="31" fillId="9" borderId="69" xfId="4" applyFont="1" applyFill="1" applyBorder="1" applyAlignment="1">
      <alignment horizontal="center" vertical="center"/>
    </xf>
    <xf numFmtId="0" fontId="31" fillId="9" borderId="72" xfId="4" applyFont="1" applyFill="1" applyBorder="1" applyAlignment="1">
      <alignment horizontal="center" vertical="center"/>
    </xf>
    <xf numFmtId="0" fontId="31" fillId="9" borderId="67" xfId="4" applyFont="1" applyFill="1" applyBorder="1" applyAlignment="1">
      <alignment horizontal="center" vertical="center"/>
    </xf>
    <xf numFmtId="0" fontId="31" fillId="9" borderId="73" xfId="4" applyFont="1" applyFill="1" applyBorder="1" applyAlignment="1">
      <alignment horizontal="center" vertical="center"/>
    </xf>
    <xf numFmtId="0" fontId="34" fillId="5" borderId="0" xfId="4" applyFont="1" applyFill="1"/>
    <xf numFmtId="0" fontId="35" fillId="5" borderId="0" xfId="4" applyFont="1" applyFill="1"/>
    <xf numFmtId="0" fontId="1" fillId="0" borderId="0" xfId="4"/>
    <xf numFmtId="164" fontId="2" fillId="0" borderId="0" xfId="4" applyNumberFormat="1" applyFont="1"/>
    <xf numFmtId="0" fontId="1" fillId="0" borderId="0" xfId="4" applyAlignment="1">
      <alignment horizontal="left"/>
    </xf>
    <xf numFmtId="2" fontId="1" fillId="0" borderId="0" xfId="4" applyNumberFormat="1"/>
    <xf numFmtId="1" fontId="1" fillId="0" borderId="0" xfId="4" applyNumberFormat="1"/>
    <xf numFmtId="0" fontId="1" fillId="6" borderId="0" xfId="4" applyFill="1"/>
    <xf numFmtId="0" fontId="37" fillId="6" borderId="0" xfId="4" applyFont="1" applyFill="1" applyAlignment="1">
      <alignment horizontal="center"/>
    </xf>
    <xf numFmtId="0" fontId="38" fillId="0" borderId="0" xfId="4" applyFont="1" applyAlignment="1">
      <alignment horizontal="center"/>
    </xf>
    <xf numFmtId="0" fontId="37" fillId="6" borderId="0" xfId="4" applyFont="1" applyFill="1" applyAlignment="1">
      <alignment horizontal="right"/>
    </xf>
    <xf numFmtId="2" fontId="37" fillId="6" borderId="0" xfId="4" applyNumberFormat="1" applyFont="1" applyFill="1" applyAlignment="1">
      <alignment horizontal="left"/>
    </xf>
    <xf numFmtId="0" fontId="39" fillId="6" borderId="0" xfId="4" applyFont="1" applyFill="1"/>
    <xf numFmtId="0" fontId="40" fillId="10" borderId="0" xfId="4" applyFont="1" applyFill="1" applyAlignment="1">
      <alignment horizontal="center"/>
    </xf>
    <xf numFmtId="0" fontId="38" fillId="6" borderId="0" xfId="4" applyFont="1" applyFill="1" applyAlignment="1">
      <alignment horizontal="center"/>
    </xf>
    <xf numFmtId="0" fontId="2" fillId="0" borderId="0" xfId="4" applyFont="1" applyAlignment="1">
      <alignment horizontal="center"/>
    </xf>
    <xf numFmtId="0" fontId="27" fillId="6" borderId="74" xfId="4" applyFont="1" applyFill="1" applyBorder="1" applyAlignment="1">
      <alignment horizontal="center" vertical="center" wrapText="1"/>
    </xf>
    <xf numFmtId="0" fontId="27" fillId="6" borderId="74" xfId="4" applyFont="1" applyFill="1" applyBorder="1" applyAlignment="1">
      <alignment horizontal="center" vertical="center"/>
    </xf>
    <xf numFmtId="0" fontId="41" fillId="0" borderId="0" xfId="4" applyFont="1"/>
    <xf numFmtId="0" fontId="41" fillId="0" borderId="0" xfId="4" applyFont="1" applyAlignment="1">
      <alignment wrapText="1"/>
    </xf>
    <xf numFmtId="0" fontId="42" fillId="0" borderId="0" xfId="4" applyFont="1"/>
    <xf numFmtId="0" fontId="44" fillId="5" borderId="20" xfId="4" applyFont="1" applyFill="1" applyBorder="1" applyAlignment="1">
      <alignment horizontal="center" vertical="center"/>
    </xf>
    <xf numFmtId="0" fontId="45" fillId="5" borderId="20" xfId="4" applyFont="1" applyFill="1" applyBorder="1" applyAlignment="1">
      <alignment vertical="center" wrapText="1"/>
    </xf>
    <xf numFmtId="0" fontId="44" fillId="5" borderId="1" xfId="4" applyFont="1" applyFill="1" applyBorder="1" applyAlignment="1">
      <alignment horizontal="center" vertical="center"/>
    </xf>
    <xf numFmtId="0" fontId="45" fillId="5" borderId="1" xfId="4" applyFont="1" applyFill="1" applyBorder="1" applyAlignment="1">
      <alignment vertical="center" wrapText="1"/>
    </xf>
    <xf numFmtId="0" fontId="45" fillId="5" borderId="1" xfId="4" applyFont="1" applyFill="1" applyBorder="1" applyAlignment="1">
      <alignment vertical="center"/>
    </xf>
    <xf numFmtId="0" fontId="45" fillId="5" borderId="1" xfId="4" applyFont="1" applyFill="1" applyBorder="1" applyAlignment="1">
      <alignment horizontal="left" vertical="center" wrapText="1"/>
    </xf>
    <xf numFmtId="0" fontId="44" fillId="5" borderId="76" xfId="4" applyFont="1" applyFill="1" applyBorder="1" applyAlignment="1">
      <alignment horizontal="center" vertical="center"/>
    </xf>
    <xf numFmtId="0" fontId="37" fillId="11" borderId="1" xfId="4" applyFont="1" applyFill="1" applyBorder="1" applyAlignment="1">
      <alignment horizontal="center" vertical="center"/>
    </xf>
    <xf numFmtId="0" fontId="46" fillId="11" borderId="1" xfId="4" applyFont="1" applyFill="1" applyBorder="1" applyAlignment="1">
      <alignment vertical="center" wrapText="1"/>
    </xf>
    <xf numFmtId="0" fontId="46" fillId="11" borderId="1" xfId="4" applyFont="1" applyFill="1" applyBorder="1" applyAlignment="1">
      <alignment vertical="center"/>
    </xf>
    <xf numFmtId="0" fontId="46" fillId="11" borderId="1" xfId="4" applyFont="1" applyFill="1" applyBorder="1" applyAlignment="1">
      <alignment horizontal="left" vertical="center" wrapText="1"/>
    </xf>
    <xf numFmtId="0" fontId="37" fillId="11" borderId="76" xfId="4" applyFont="1" applyFill="1" applyBorder="1" applyAlignment="1">
      <alignment horizontal="center" vertical="center"/>
    </xf>
    <xf numFmtId="0" fontId="48" fillId="13" borderId="1" xfId="4" applyFont="1" applyFill="1" applyBorder="1" applyAlignment="1">
      <alignment horizontal="center" vertical="center"/>
    </xf>
    <xf numFmtId="0" fontId="49" fillId="13" borderId="1" xfId="4" applyFont="1" applyFill="1" applyBorder="1" applyAlignment="1">
      <alignment vertical="center" wrapText="1"/>
    </xf>
    <xf numFmtId="0" fontId="49" fillId="13" borderId="90" xfId="4" applyFont="1" applyFill="1" applyBorder="1" applyAlignment="1">
      <alignment vertical="center" wrapText="1"/>
    </xf>
    <xf numFmtId="0" fontId="50" fillId="6" borderId="0" xfId="4" applyFont="1" applyFill="1" applyAlignment="1">
      <alignment vertical="center"/>
    </xf>
    <xf numFmtId="0" fontId="37" fillId="14" borderId="1" xfId="4" applyFont="1" applyFill="1" applyBorder="1" applyAlignment="1">
      <alignment horizontal="center" vertical="center"/>
    </xf>
    <xf numFmtId="0" fontId="46" fillId="14" borderId="90" xfId="4" applyFont="1" applyFill="1" applyBorder="1" applyAlignment="1">
      <alignment vertical="center" wrapText="1"/>
    </xf>
    <xf numFmtId="0" fontId="37" fillId="14" borderId="20" xfId="4" applyFont="1" applyFill="1" applyBorder="1" applyAlignment="1">
      <alignment horizontal="center" vertical="center"/>
    </xf>
    <xf numFmtId="0" fontId="37" fillId="14" borderId="91" xfId="4" applyFont="1" applyFill="1" applyBorder="1" applyAlignment="1">
      <alignment horizontal="center" vertical="center"/>
    </xf>
    <xf numFmtId="0" fontId="46" fillId="14" borderId="80" xfId="4" applyFont="1" applyFill="1" applyBorder="1" applyAlignment="1">
      <alignment vertical="center"/>
    </xf>
    <xf numFmtId="0" fontId="47" fillId="12" borderId="88" xfId="4" applyFont="1" applyFill="1" applyBorder="1"/>
    <xf numFmtId="0" fontId="47" fillId="12" borderId="93" xfId="4" applyFont="1" applyFill="1" applyBorder="1"/>
    <xf numFmtId="0" fontId="51" fillId="14" borderId="94" xfId="4" applyFont="1" applyFill="1" applyBorder="1" applyAlignment="1">
      <alignment horizontal="center"/>
    </xf>
    <xf numFmtId="0" fontId="52" fillId="14" borderId="95" xfId="4" applyFont="1" applyFill="1" applyBorder="1"/>
    <xf numFmtId="0" fontId="30" fillId="6" borderId="0" xfId="4" applyFont="1" applyFill="1"/>
    <xf numFmtId="0" fontId="19" fillId="6" borderId="0" xfId="4" applyFont="1" applyFill="1" applyAlignment="1">
      <alignment horizontal="center"/>
    </xf>
    <xf numFmtId="0" fontId="9" fillId="6" borderId="0" xfId="4" applyFont="1" applyFill="1"/>
    <xf numFmtId="0" fontId="2" fillId="6" borderId="0" xfId="4" applyFont="1" applyFill="1" applyAlignment="1">
      <alignment horizontal="center"/>
    </xf>
    <xf numFmtId="0" fontId="9" fillId="0" borderId="0" xfId="4" applyFont="1"/>
    <xf numFmtId="0" fontId="2" fillId="3" borderId="3" xfId="4" applyFont="1" applyFill="1" applyBorder="1" applyAlignment="1">
      <alignment vertical="center"/>
    </xf>
    <xf numFmtId="0" fontId="2" fillId="3" borderId="4" xfId="4" applyFont="1" applyFill="1" applyBorder="1" applyAlignment="1">
      <alignment vertical="center"/>
    </xf>
    <xf numFmtId="0" fontId="13" fillId="3" borderId="4" xfId="4" applyFont="1" applyFill="1" applyBorder="1" applyAlignment="1">
      <alignment vertical="center"/>
    </xf>
    <xf numFmtId="0" fontId="5" fillId="0" borderId="4" xfId="4" applyFont="1" applyBorder="1" applyProtection="1">
      <protection hidden="1"/>
    </xf>
    <xf numFmtId="0" fontId="5" fillId="0" borderId="5" xfId="4" applyFont="1" applyBorder="1" applyProtection="1">
      <protection hidden="1"/>
    </xf>
    <xf numFmtId="0" fontId="5" fillId="0" borderId="0" xfId="4" applyFont="1" applyProtection="1">
      <protection hidden="1"/>
    </xf>
    <xf numFmtId="0" fontId="2" fillId="3" borderId="6" xfId="4" applyFont="1" applyFill="1" applyBorder="1" applyAlignment="1">
      <alignment vertical="center"/>
    </xf>
    <xf numFmtId="0" fontId="2" fillId="3" borderId="0" xfId="4" applyFont="1" applyFill="1" applyAlignment="1">
      <alignment vertical="center"/>
    </xf>
    <xf numFmtId="0" fontId="13" fillId="3" borderId="0" xfId="4" applyFont="1" applyFill="1" applyAlignment="1">
      <alignment vertical="center"/>
    </xf>
    <xf numFmtId="0" fontId="5" fillId="0" borderId="7" xfId="4" applyFont="1" applyBorder="1" applyProtection="1">
      <protection hidden="1"/>
    </xf>
    <xf numFmtId="1" fontId="5" fillId="0" borderId="0" xfId="4" applyNumberFormat="1" applyFont="1" applyProtection="1">
      <protection hidden="1"/>
    </xf>
    <xf numFmtId="0" fontId="4" fillId="2" borderId="8" xfId="4" applyFont="1" applyFill="1" applyBorder="1" applyAlignment="1">
      <alignment vertical="center"/>
    </xf>
    <xf numFmtId="0" fontId="4" fillId="2" borderId="2" xfId="4" applyFont="1" applyFill="1" applyBorder="1" applyAlignment="1">
      <alignment vertical="center"/>
    </xf>
    <xf numFmtId="0" fontId="4" fillId="2" borderId="9" xfId="4" applyFont="1" applyFill="1" applyBorder="1" applyAlignment="1">
      <alignment vertical="center"/>
    </xf>
    <xf numFmtId="0" fontId="4" fillId="2" borderId="0" xfId="4" applyFont="1" applyFill="1" applyAlignment="1">
      <alignment vertical="center"/>
    </xf>
    <xf numFmtId="168" fontId="5" fillId="0" borderId="0" xfId="4" applyNumberFormat="1" applyFont="1" applyProtection="1">
      <protection hidden="1"/>
    </xf>
    <xf numFmtId="0" fontId="12" fillId="2" borderId="0" xfId="4" applyFont="1" applyFill="1" applyAlignment="1">
      <alignment horizontal="center" vertical="center"/>
    </xf>
    <xf numFmtId="0" fontId="19" fillId="2" borderId="0" xfId="4" applyFont="1" applyFill="1" applyAlignment="1">
      <alignment horizontal="right" vertical="center"/>
    </xf>
    <xf numFmtId="0" fontId="19" fillId="2" borderId="0" xfId="4" applyFont="1" applyFill="1" applyAlignment="1">
      <alignment horizontal="center" vertical="center"/>
    </xf>
    <xf numFmtId="0" fontId="9" fillId="0" borderId="0" xfId="4" applyFont="1" applyAlignment="1">
      <alignment vertical="center"/>
    </xf>
    <xf numFmtId="0" fontId="7" fillId="0" borderId="0" xfId="4" applyFont="1" applyProtection="1">
      <protection hidden="1"/>
    </xf>
    <xf numFmtId="0" fontId="10" fillId="2" borderId="0" xfId="4" applyFont="1" applyFill="1" applyAlignment="1">
      <alignment vertical="center"/>
    </xf>
    <xf numFmtId="0" fontId="9" fillId="2" borderId="0" xfId="4" applyFont="1" applyFill="1" applyAlignment="1">
      <alignment vertical="center"/>
    </xf>
    <xf numFmtId="0" fontId="5" fillId="2" borderId="0" xfId="3" applyFont="1" applyFill="1"/>
    <xf numFmtId="0" fontId="5" fillId="0" borderId="0" xfId="4" applyFont="1" applyAlignment="1" applyProtection="1">
      <alignment horizontal="left"/>
      <protection hidden="1"/>
    </xf>
    <xf numFmtId="169" fontId="5" fillId="0" borderId="0" xfId="4" applyNumberFormat="1" applyFont="1" applyAlignment="1" applyProtection="1">
      <alignment horizontal="left" vertical="center"/>
      <protection hidden="1"/>
    </xf>
    <xf numFmtId="0" fontId="9" fillId="2" borderId="0" xfId="4" applyFont="1" applyFill="1" applyAlignment="1">
      <alignment horizontal="left" vertical="center" wrapText="1"/>
    </xf>
    <xf numFmtId="17" fontId="9" fillId="2" borderId="0" xfId="4" applyNumberFormat="1" applyFont="1" applyFill="1" applyAlignment="1">
      <alignment vertical="center"/>
    </xf>
    <xf numFmtId="170" fontId="5" fillId="0" borderId="0" xfId="4" applyNumberFormat="1" applyFont="1" applyAlignment="1" applyProtection="1">
      <alignment horizontal="left"/>
      <protection hidden="1"/>
    </xf>
    <xf numFmtId="0" fontId="19" fillId="2" borderId="84" xfId="3" applyFont="1" applyFill="1" applyBorder="1" applyAlignment="1">
      <alignment vertical="center"/>
    </xf>
    <xf numFmtId="0" fontId="9" fillId="2" borderId="11" xfId="4" applyFont="1" applyFill="1" applyBorder="1" applyAlignment="1">
      <alignment horizontal="left" vertical="center" wrapText="1"/>
    </xf>
    <xf numFmtId="17" fontId="9" fillId="2" borderId="85" xfId="4" applyNumberFormat="1" applyFont="1" applyFill="1" applyBorder="1" applyAlignment="1">
      <alignment vertical="center"/>
    </xf>
    <xf numFmtId="171" fontId="5" fillId="0" borderId="0" xfId="4" applyNumberFormat="1" applyFont="1" applyAlignment="1" applyProtection="1">
      <alignment horizontal="left"/>
      <protection hidden="1"/>
    </xf>
    <xf numFmtId="0" fontId="9" fillId="2" borderId="87" xfId="3" applyFont="1" applyFill="1" applyBorder="1" applyAlignment="1">
      <alignment vertical="center"/>
    </xf>
    <xf numFmtId="0" fontId="20" fillId="0" borderId="0" xfId="4" applyFont="1" applyProtection="1">
      <protection hidden="1"/>
    </xf>
    <xf numFmtId="0" fontId="20" fillId="0" borderId="0" xfId="4" applyFont="1" applyAlignment="1" applyProtection="1">
      <alignment vertical="center"/>
      <protection hidden="1"/>
    </xf>
    <xf numFmtId="0" fontId="20" fillId="0" borderId="15" xfId="4" applyFont="1" applyBorder="1" applyAlignment="1" applyProtection="1">
      <alignment vertical="center"/>
      <protection hidden="1"/>
    </xf>
    <xf numFmtId="14" fontId="9" fillId="0" borderId="15" xfId="4" applyNumberFormat="1" applyFont="1" applyBorder="1" applyAlignment="1" applyProtection="1">
      <alignment horizontal="left" vertical="center"/>
      <protection hidden="1"/>
    </xf>
    <xf numFmtId="0" fontId="14" fillId="2" borderId="1" xfId="4" applyFont="1" applyFill="1" applyBorder="1" applyAlignment="1">
      <alignment horizontal="center" vertical="center"/>
    </xf>
    <xf numFmtId="0" fontId="5" fillId="0" borderId="16" xfId="4" applyFont="1" applyBorder="1" applyProtection="1">
      <protection hidden="1"/>
    </xf>
    <xf numFmtId="0" fontId="5" fillId="0" borderId="10" xfId="4" applyFont="1" applyBorder="1" applyProtection="1">
      <protection hidden="1"/>
    </xf>
    <xf numFmtId="0" fontId="5" fillId="0" borderId="17" xfId="4" applyFont="1" applyBorder="1" applyProtection="1">
      <protection hidden="1"/>
    </xf>
    <xf numFmtId="0" fontId="11" fillId="0" borderId="84" xfId="4" applyFont="1" applyBorder="1" applyAlignment="1">
      <alignment horizontal="center" vertical="center" wrapText="1"/>
    </xf>
    <xf numFmtId="0" fontId="11" fillId="0" borderId="85" xfId="4" applyFont="1" applyBorder="1" applyAlignment="1">
      <alignment horizontal="center" vertical="center" wrapText="1"/>
    </xf>
    <xf numFmtId="0" fontId="6" fillId="0" borderId="0" xfId="4" applyFont="1" applyAlignment="1" applyProtection="1">
      <alignment horizontal="center" vertical="center"/>
      <protection hidden="1"/>
    </xf>
    <xf numFmtId="171" fontId="5" fillId="0" borderId="0" xfId="4" applyNumberFormat="1" applyFont="1" applyProtection="1">
      <protection hidden="1"/>
    </xf>
    <xf numFmtId="0" fontId="5" fillId="0" borderId="87" xfId="4" applyFont="1" applyBorder="1" applyProtection="1">
      <protection hidden="1"/>
    </xf>
    <xf numFmtId="3" fontId="8" fillId="3" borderId="15" xfId="4" applyNumberFormat="1" applyFont="1" applyFill="1" applyBorder="1" applyAlignment="1">
      <alignment horizontal="center" vertical="center" wrapText="1"/>
    </xf>
    <xf numFmtId="10" fontId="7" fillId="3" borderId="0" xfId="4" applyNumberFormat="1" applyFont="1" applyFill="1" applyAlignment="1">
      <alignment horizontal="center" vertical="center" wrapText="1"/>
    </xf>
    <xf numFmtId="172" fontId="54" fillId="15" borderId="1" xfId="4" quotePrefix="1" applyNumberFormat="1" applyFont="1" applyFill="1" applyBorder="1" applyAlignment="1">
      <alignment horizontal="center" vertical="center" wrapText="1"/>
    </xf>
    <xf numFmtId="0" fontId="55" fillId="2" borderId="1" xfId="4" applyFont="1" applyFill="1" applyBorder="1" applyAlignment="1">
      <alignment horizontal="center" vertical="center"/>
    </xf>
    <xf numFmtId="0" fontId="55" fillId="2" borderId="78" xfId="4" applyFont="1" applyFill="1" applyBorder="1" applyAlignment="1">
      <alignment horizontal="center" vertical="center"/>
    </xf>
    <xf numFmtId="0" fontId="55" fillId="2" borderId="97" xfId="4" applyFont="1" applyFill="1" applyBorder="1" applyAlignment="1">
      <alignment horizontal="center" vertical="center"/>
    </xf>
    <xf numFmtId="172" fontId="55" fillId="3" borderId="78" xfId="4" quotePrefix="1" applyNumberFormat="1" applyFont="1" applyFill="1" applyBorder="1" applyAlignment="1">
      <alignment vertical="center"/>
    </xf>
    <xf numFmtId="0" fontId="23" fillId="2" borderId="1" xfId="4" applyFont="1" applyFill="1" applyBorder="1" applyAlignment="1">
      <alignment horizontal="center" vertical="center"/>
    </xf>
    <xf numFmtId="172" fontId="14" fillId="3" borderId="78" xfId="4" quotePrefix="1" applyNumberFormat="1" applyFont="1" applyFill="1" applyBorder="1" applyAlignment="1">
      <alignment horizontal="left" vertical="center"/>
    </xf>
    <xf numFmtId="172" fontId="14" fillId="3" borderId="98" xfId="4" quotePrefix="1" applyNumberFormat="1" applyFont="1" applyFill="1" applyBorder="1" applyAlignment="1">
      <alignment horizontal="left" vertical="center"/>
    </xf>
    <xf numFmtId="0" fontId="56" fillId="2" borderId="1" xfId="4" applyFont="1" applyFill="1" applyBorder="1" applyAlignment="1">
      <alignment horizontal="center" vertical="center"/>
    </xf>
    <xf numFmtId="0" fontId="56" fillId="2" borderId="78" xfId="4" applyFont="1" applyFill="1" applyBorder="1" applyAlignment="1">
      <alignment horizontal="center" vertical="center"/>
    </xf>
    <xf numFmtId="0" fontId="56" fillId="2" borderId="97" xfId="4" applyFont="1" applyFill="1" applyBorder="1" applyAlignment="1">
      <alignment horizontal="center" vertical="center"/>
    </xf>
    <xf numFmtId="2" fontId="18" fillId="3" borderId="15" xfId="4" applyNumberFormat="1" applyFont="1" applyFill="1" applyBorder="1" applyAlignment="1">
      <alignment horizontal="center" vertical="center"/>
    </xf>
    <xf numFmtId="0" fontId="17" fillId="0" borderId="0" xfId="4" applyFont="1" applyProtection="1">
      <protection hidden="1"/>
    </xf>
    <xf numFmtId="0" fontId="57" fillId="2" borderId="1" xfId="4" applyFont="1" applyFill="1" applyBorder="1" applyAlignment="1">
      <alignment horizontal="center" vertical="center"/>
    </xf>
    <xf numFmtId="0" fontId="57" fillId="2" borderId="78" xfId="4" applyFont="1" applyFill="1" applyBorder="1" applyAlignment="1">
      <alignment horizontal="center" vertical="center"/>
    </xf>
    <xf numFmtId="0" fontId="58" fillId="2" borderId="1" xfId="4" applyFont="1" applyFill="1" applyBorder="1" applyAlignment="1">
      <alignment horizontal="center" vertical="center"/>
    </xf>
    <xf numFmtId="0" fontId="59" fillId="0" borderId="99" xfId="4" applyFont="1" applyBorder="1" applyProtection="1">
      <protection hidden="1"/>
    </xf>
    <xf numFmtId="0" fontId="59" fillId="0" borderId="98" xfId="4" applyFont="1" applyBorder="1" applyProtection="1">
      <protection hidden="1"/>
    </xf>
    <xf numFmtId="0" fontId="6" fillId="0" borderId="0" xfId="4" applyFont="1" applyAlignment="1" applyProtection="1">
      <alignment vertical="center"/>
      <protection hidden="1"/>
    </xf>
    <xf numFmtId="0" fontId="6" fillId="0" borderId="15" xfId="4" applyFont="1" applyBorder="1" applyAlignment="1" applyProtection="1">
      <alignment vertical="center"/>
      <protection hidden="1"/>
    </xf>
    <xf numFmtId="0" fontId="57" fillId="2" borderId="20" xfId="4" applyFont="1" applyFill="1" applyBorder="1" applyAlignment="1">
      <alignment horizontal="center" vertical="center"/>
    </xf>
    <xf numFmtId="0" fontId="60" fillId="0" borderId="78" xfId="4" applyFont="1" applyBorder="1" applyProtection="1">
      <protection hidden="1"/>
    </xf>
    <xf numFmtId="0" fontId="60" fillId="0" borderId="98" xfId="4" applyFont="1" applyBorder="1" applyProtection="1">
      <protection hidden="1"/>
    </xf>
    <xf numFmtId="2" fontId="57" fillId="2" borderId="1" xfId="4" applyNumberFormat="1" applyFont="1" applyFill="1" applyBorder="1" applyAlignment="1">
      <alignment horizontal="center" vertical="center"/>
    </xf>
    <xf numFmtId="2" fontId="57" fillId="2" borderId="78" xfId="4" applyNumberFormat="1" applyFont="1" applyFill="1" applyBorder="1" applyAlignment="1">
      <alignment horizontal="center" vertical="center"/>
    </xf>
    <xf numFmtId="2" fontId="58" fillId="2" borderId="1" xfId="4" applyNumberFormat="1" applyFont="1" applyFill="1" applyBorder="1" applyAlignment="1">
      <alignment horizontal="center" vertical="center"/>
    </xf>
    <xf numFmtId="2" fontId="14" fillId="2" borderId="1" xfId="4" applyNumberFormat="1" applyFont="1" applyFill="1" applyBorder="1" applyAlignment="1">
      <alignment horizontal="center" vertical="center"/>
    </xf>
    <xf numFmtId="2" fontId="14" fillId="2" borderId="78" xfId="4" applyNumberFormat="1" applyFont="1" applyFill="1" applyBorder="1" applyAlignment="1">
      <alignment horizontal="center" vertical="center"/>
    </xf>
    <xf numFmtId="2" fontId="10" fillId="2" borderId="1" xfId="4" applyNumberFormat="1" applyFont="1" applyFill="1" applyBorder="1" applyAlignment="1">
      <alignment horizontal="center" vertical="center"/>
    </xf>
    <xf numFmtId="2" fontId="56" fillId="2" borderId="1" xfId="4" applyNumberFormat="1" applyFont="1" applyFill="1" applyBorder="1" applyAlignment="1">
      <alignment horizontal="center" vertical="center"/>
    </xf>
    <xf numFmtId="2" fontId="56" fillId="2" borderId="78" xfId="4" applyNumberFormat="1" applyFont="1" applyFill="1" applyBorder="1" applyAlignment="1">
      <alignment horizontal="center" vertical="center"/>
    </xf>
    <xf numFmtId="2" fontId="56" fillId="2" borderId="97" xfId="4" applyNumberFormat="1" applyFont="1" applyFill="1" applyBorder="1" applyAlignment="1">
      <alignment horizontal="center" vertical="center"/>
    </xf>
    <xf numFmtId="0" fontId="6" fillId="0" borderId="87" xfId="4" applyFont="1" applyBorder="1" applyAlignment="1" applyProtection="1">
      <alignment vertical="center"/>
      <protection hidden="1"/>
    </xf>
    <xf numFmtId="0" fontId="7" fillId="2" borderId="0" xfId="4" applyFont="1" applyFill="1" applyAlignment="1">
      <alignment vertical="center"/>
    </xf>
    <xf numFmtId="172" fontId="54" fillId="3" borderId="1" xfId="4" quotePrefix="1" applyNumberFormat="1" applyFont="1" applyFill="1" applyBorder="1" applyAlignment="1">
      <alignment horizontal="center" vertical="center" wrapText="1"/>
    </xf>
    <xf numFmtId="164" fontId="11" fillId="2" borderId="1" xfId="4" applyNumberFormat="1" applyFont="1" applyFill="1" applyBorder="1" applyAlignment="1">
      <alignment horizontal="center" vertical="center"/>
    </xf>
    <xf numFmtId="2" fontId="11" fillId="2" borderId="0" xfId="4" applyNumberFormat="1" applyFont="1" applyFill="1" applyAlignment="1">
      <alignment vertical="center"/>
    </xf>
    <xf numFmtId="0" fontId="14" fillId="2" borderId="21" xfId="4" applyFont="1" applyFill="1" applyBorder="1" applyAlignment="1">
      <alignment horizontal="center" vertical="center"/>
    </xf>
    <xf numFmtId="0" fontId="14" fillId="2" borderId="0" xfId="4" applyFont="1" applyFill="1" applyAlignment="1">
      <alignment vertical="center"/>
    </xf>
    <xf numFmtId="0" fontId="55" fillId="2" borderId="0" xfId="4" applyFont="1" applyFill="1" applyAlignment="1">
      <alignment horizontal="center" vertical="center"/>
    </xf>
    <xf numFmtId="0" fontId="2" fillId="0" borderId="0" xfId="4" applyFont="1" applyProtection="1">
      <protection hidden="1"/>
    </xf>
    <xf numFmtId="0" fontId="2" fillId="0" borderId="0" xfId="4" applyFont="1" applyAlignment="1" applyProtection="1">
      <alignment vertical="center"/>
      <protection hidden="1"/>
    </xf>
    <xf numFmtId="0" fontId="14" fillId="2" borderId="22" xfId="4" applyFont="1" applyFill="1" applyBorder="1" applyAlignment="1">
      <alignment horizontal="center" vertical="center"/>
    </xf>
    <xf numFmtId="164" fontId="14" fillId="2" borderId="22" xfId="4" applyNumberFormat="1" applyFont="1" applyFill="1" applyBorder="1" applyAlignment="1">
      <alignment horizontal="center" vertical="center"/>
    </xf>
    <xf numFmtId="0" fontId="14" fillId="2" borderId="0" xfId="4" applyFont="1" applyFill="1" applyAlignment="1">
      <alignment horizontal="center" vertical="center"/>
    </xf>
    <xf numFmtId="0" fontId="1" fillId="0" borderId="0" xfId="4" applyAlignment="1" applyProtection="1">
      <alignment horizontal="left" indent="1"/>
      <protection hidden="1"/>
    </xf>
    <xf numFmtId="0" fontId="9" fillId="0" borderId="87" xfId="4" applyFont="1" applyBorder="1" applyAlignment="1" applyProtection="1">
      <alignment horizontal="left" indent="1"/>
      <protection hidden="1"/>
    </xf>
    <xf numFmtId="0" fontId="14" fillId="2" borderId="23" xfId="4" applyFont="1" applyFill="1" applyBorder="1" applyAlignment="1">
      <alignment horizontal="center" vertical="center"/>
    </xf>
    <xf numFmtId="164" fontId="14" fillId="2" borderId="23" xfId="4" applyNumberFormat="1" applyFont="1" applyFill="1" applyBorder="1" applyAlignment="1">
      <alignment horizontal="center" vertical="center"/>
    </xf>
    <xf numFmtId="2" fontId="14" fillId="2" borderId="0" xfId="4" applyNumberFormat="1" applyFont="1" applyFill="1" applyAlignment="1">
      <alignment horizontal="center" vertical="center"/>
    </xf>
    <xf numFmtId="0" fontId="61" fillId="2" borderId="0" xfId="4" applyFont="1" applyFill="1" applyAlignment="1">
      <alignment vertical="center"/>
    </xf>
    <xf numFmtId="0" fontId="9" fillId="0" borderId="87" xfId="4" applyFont="1" applyBorder="1" applyAlignment="1" applyProtection="1">
      <alignment horizontal="left" vertical="center" indent="2"/>
      <protection hidden="1"/>
    </xf>
    <xf numFmtId="167" fontId="14" fillId="2" borderId="1" xfId="4" applyNumberFormat="1" applyFont="1" applyFill="1" applyBorder="1" applyAlignment="1">
      <alignment vertical="center"/>
    </xf>
    <xf numFmtId="0" fontId="9" fillId="0" borderId="16" xfId="4" applyFont="1" applyBorder="1" applyAlignment="1" applyProtection="1">
      <alignment horizontal="left" vertical="center" indent="2"/>
      <protection hidden="1"/>
    </xf>
    <xf numFmtId="0" fontId="2" fillId="0" borderId="10" xfId="4" applyFont="1" applyBorder="1" applyAlignment="1" applyProtection="1">
      <alignment vertical="center"/>
      <protection hidden="1"/>
    </xf>
    <xf numFmtId="0" fontId="6" fillId="0" borderId="10" xfId="4" applyFont="1" applyBorder="1" applyAlignment="1" applyProtection="1">
      <alignment vertical="center"/>
      <protection hidden="1"/>
    </xf>
    <xf numFmtId="0" fontId="6" fillId="0" borderId="17" xfId="4" applyFont="1" applyBorder="1" applyAlignment="1" applyProtection="1">
      <alignment vertical="center"/>
      <protection hidden="1"/>
    </xf>
    <xf numFmtId="2" fontId="10" fillId="2" borderId="0" xfId="4" applyNumberFormat="1" applyFont="1" applyFill="1" applyAlignment="1">
      <alignment horizontal="center" vertical="center"/>
    </xf>
    <xf numFmtId="0" fontId="9" fillId="4" borderId="0" xfId="4" applyFont="1" applyFill="1" applyAlignment="1" applyProtection="1">
      <alignment horizontal="left" indent="1"/>
      <protection hidden="1"/>
    </xf>
    <xf numFmtId="0" fontId="9" fillId="0" borderId="0" xfId="4" applyFont="1" applyAlignment="1" applyProtection="1">
      <alignment horizontal="left" vertical="center" indent="2"/>
      <protection hidden="1"/>
    </xf>
    <xf numFmtId="0" fontId="9" fillId="4" borderId="0" xfId="4" applyFont="1" applyFill="1" applyAlignment="1" applyProtection="1">
      <alignment vertical="center"/>
      <protection hidden="1"/>
    </xf>
    <xf numFmtId="0" fontId="5" fillId="0" borderId="91" xfId="0" applyFont="1" applyBorder="1" applyProtection="1">
      <protection hidden="1"/>
    </xf>
    <xf numFmtId="0" fontId="7" fillId="2" borderId="20" xfId="0" applyFont="1" applyFill="1" applyBorder="1" applyAlignment="1">
      <alignment vertical="center"/>
    </xf>
    <xf numFmtId="0" fontId="7" fillId="2" borderId="91" xfId="0" applyFont="1" applyFill="1" applyBorder="1" applyAlignment="1">
      <alignment vertical="center"/>
    </xf>
    <xf numFmtId="0" fontId="7" fillId="2" borderId="76" xfId="0" applyFont="1" applyFill="1" applyBorder="1" applyAlignment="1">
      <alignment vertical="center"/>
    </xf>
    <xf numFmtId="0" fontId="9" fillId="0" borderId="15" xfId="0" applyFont="1" applyBorder="1" applyAlignment="1" applyProtection="1">
      <alignment vertical="center"/>
      <protection hidden="1"/>
    </xf>
    <xf numFmtId="0" fontId="55" fillId="0" borderId="12" xfId="0" applyFont="1" applyBorder="1" applyAlignment="1">
      <alignment horizontal="center" vertical="center" wrapText="1"/>
    </xf>
    <xf numFmtId="0" fontId="55" fillId="0" borderId="11" xfId="0" applyFont="1" applyBorder="1" applyAlignment="1">
      <alignment vertical="center" wrapText="1"/>
    </xf>
    <xf numFmtId="0" fontId="55" fillId="0" borderId="13" xfId="0" applyFont="1" applyBorder="1" applyAlignment="1">
      <alignment horizontal="center" vertical="center" wrapText="1"/>
    </xf>
    <xf numFmtId="3" fontId="14" fillId="3" borderId="0" xfId="0" applyNumberFormat="1" applyFont="1" applyFill="1" applyAlignment="1">
      <alignment vertical="center" wrapText="1"/>
    </xf>
    <xf numFmtId="3" fontId="14" fillId="3" borderId="15" xfId="0" applyNumberFormat="1" applyFont="1" applyFill="1" applyBorder="1" applyAlignment="1">
      <alignment horizontal="center" vertical="center" wrapText="1"/>
    </xf>
    <xf numFmtId="166" fontId="56" fillId="3" borderId="0" xfId="0" applyNumberFormat="1" applyFont="1" applyFill="1" applyAlignment="1">
      <alignment vertical="center" wrapText="1"/>
    </xf>
    <xf numFmtId="2" fontId="56" fillId="3" borderId="15" xfId="0" applyNumberFormat="1" applyFont="1" applyFill="1" applyBorder="1" applyAlignment="1">
      <alignment horizontal="center" vertical="center"/>
    </xf>
    <xf numFmtId="0" fontId="9" fillId="0" borderId="0" xfId="0" applyFont="1" applyProtection="1">
      <protection hidden="1"/>
    </xf>
    <xf numFmtId="0" fontId="14" fillId="0" borderId="11" xfId="0" applyFont="1" applyBorder="1" applyProtection="1">
      <protection hidden="1"/>
    </xf>
    <xf numFmtId="0" fontId="14" fillId="0" borderId="0" xfId="0" applyFont="1" applyProtection="1">
      <protection hidden="1"/>
    </xf>
    <xf numFmtId="0" fontId="55" fillId="2" borderId="1" xfId="0" applyFont="1" applyFill="1" applyBorder="1" applyAlignment="1">
      <alignment horizontal="center" vertical="center"/>
    </xf>
    <xf numFmtId="0" fontId="14" fillId="2" borderId="21" xfId="0" applyFont="1" applyFill="1" applyBorder="1" applyAlignment="1" applyProtection="1">
      <alignment horizontal="center" vertical="center"/>
      <protection hidden="1"/>
    </xf>
    <xf numFmtId="164" fontId="57" fillId="2" borderId="21" xfId="0" applyNumberFormat="1" applyFont="1" applyFill="1" applyBorder="1" applyAlignment="1">
      <alignment horizontal="center" vertical="center"/>
    </xf>
    <xf numFmtId="0" fontId="14" fillId="2" borderId="22" xfId="0" applyFont="1" applyFill="1" applyBorder="1" applyAlignment="1" applyProtection="1">
      <alignment horizontal="center" vertical="center"/>
      <protection hidden="1"/>
    </xf>
    <xf numFmtId="164" fontId="57" fillId="2" borderId="22" xfId="0" applyNumberFormat="1" applyFont="1" applyFill="1" applyBorder="1" applyAlignment="1">
      <alignment horizontal="center" vertical="center"/>
    </xf>
    <xf numFmtId="0" fontId="55" fillId="0" borderId="0" xfId="0" applyFont="1" applyAlignment="1" applyProtection="1">
      <alignment vertical="center"/>
      <protection hidden="1"/>
    </xf>
    <xf numFmtId="0" fontId="55" fillId="0" borderId="15" xfId="0" applyFont="1" applyBorder="1" applyAlignment="1" applyProtection="1">
      <alignment vertical="center"/>
      <protection hidden="1"/>
    </xf>
    <xf numFmtId="12" fontId="14" fillId="2" borderId="22" xfId="0" applyNumberFormat="1" applyFont="1" applyFill="1" applyBorder="1" applyAlignment="1" applyProtection="1">
      <alignment horizontal="center" vertical="center"/>
      <protection hidden="1"/>
    </xf>
    <xf numFmtId="0" fontId="14" fillId="2" borderId="24" xfId="0" applyFont="1" applyFill="1" applyBorder="1" applyAlignment="1">
      <alignment horizontal="left" vertical="center"/>
    </xf>
    <xf numFmtId="164" fontId="14" fillId="2" borderId="25" xfId="0" applyNumberFormat="1" applyFont="1" applyFill="1" applyBorder="1" applyAlignment="1">
      <alignment horizontal="center" vertical="center"/>
    </xf>
    <xf numFmtId="0" fontId="14" fillId="2" borderId="26" xfId="0" applyFont="1" applyFill="1" applyBorder="1" applyAlignment="1">
      <alignment horizontal="left" vertical="center"/>
    </xf>
    <xf numFmtId="164" fontId="14" fillId="2" borderId="27" xfId="0" applyNumberFormat="1" applyFont="1" applyFill="1" applyBorder="1" applyAlignment="1">
      <alignment horizontal="center" vertical="center"/>
    </xf>
    <xf numFmtId="164" fontId="14" fillId="2" borderId="28" xfId="0" applyNumberFormat="1" applyFont="1" applyFill="1" applyBorder="1" applyAlignment="1">
      <alignment horizontal="center" vertical="center"/>
    </xf>
    <xf numFmtId="0" fontId="14" fillId="2" borderId="28" xfId="0" applyFont="1" applyFill="1" applyBorder="1" applyAlignment="1">
      <alignment horizontal="left" vertical="center"/>
    </xf>
    <xf numFmtId="164" fontId="14" fillId="2" borderId="29" xfId="0" applyNumberFormat="1" applyFont="1" applyFill="1" applyBorder="1" applyAlignment="1">
      <alignment horizontal="center" vertical="center"/>
    </xf>
    <xf numFmtId="0" fontId="14" fillId="2" borderId="23" xfId="0" applyFont="1" applyFill="1" applyBorder="1" applyAlignment="1" applyProtection="1">
      <alignment horizontal="center" vertical="center"/>
      <protection hidden="1"/>
    </xf>
    <xf numFmtId="164" fontId="57" fillId="2" borderId="23" xfId="0" applyNumberFormat="1" applyFont="1" applyFill="1" applyBorder="1" applyAlignment="1">
      <alignment horizontal="center" vertical="center"/>
    </xf>
    <xf numFmtId="0" fontId="14" fillId="0" borderId="14" xfId="0" applyFont="1" applyBorder="1" applyAlignment="1" applyProtection="1">
      <alignment horizontal="left" vertical="center" indent="2"/>
      <protection hidden="1"/>
    </xf>
    <xf numFmtId="0" fontId="14" fillId="0" borderId="16" xfId="0" applyFont="1" applyBorder="1" applyAlignment="1" applyProtection="1">
      <alignment horizontal="left" vertical="center" indent="2"/>
      <protection hidden="1"/>
    </xf>
    <xf numFmtId="0" fontId="55" fillId="0" borderId="10" xfId="0" applyFont="1" applyBorder="1" applyAlignment="1" applyProtection="1">
      <alignment vertical="center"/>
      <protection hidden="1"/>
    </xf>
    <xf numFmtId="0" fontId="55" fillId="0" borderId="17" xfId="0" applyFont="1" applyBorder="1" applyAlignment="1" applyProtection="1">
      <alignment vertical="center"/>
      <protection hidden="1"/>
    </xf>
    <xf numFmtId="0" fontId="9" fillId="2" borderId="1" xfId="0" applyFont="1" applyFill="1" applyBorder="1" applyAlignment="1" applyProtection="1">
      <alignment horizontal="center" vertical="center"/>
      <protection hidden="1"/>
    </xf>
    <xf numFmtId="0" fontId="19" fillId="2" borderId="18" xfId="0" applyFont="1" applyFill="1" applyBorder="1" applyAlignment="1">
      <alignment horizontal="center" vertical="center"/>
    </xf>
    <xf numFmtId="0" fontId="19" fillId="2" borderId="19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63" fillId="4" borderId="1" xfId="0" applyFont="1" applyFill="1" applyBorder="1" applyAlignment="1">
      <alignment vertical="center"/>
    </xf>
    <xf numFmtId="0" fontId="9" fillId="2" borderId="14" xfId="0" applyFont="1" applyFill="1" applyBorder="1" applyAlignment="1">
      <alignment vertical="center"/>
    </xf>
    <xf numFmtId="0" fontId="63" fillId="4" borderId="0" xfId="0" applyFont="1" applyFill="1" applyAlignment="1">
      <alignment vertical="center"/>
    </xf>
    <xf numFmtId="1" fontId="9" fillId="2" borderId="15" xfId="0" applyNumberFormat="1" applyFont="1" applyFill="1" applyBorder="1" applyAlignment="1">
      <alignment vertical="center"/>
    </xf>
    <xf numFmtId="0" fontId="9" fillId="2" borderId="16" xfId="0" applyFont="1" applyFill="1" applyBorder="1" applyAlignment="1">
      <alignment vertical="center"/>
    </xf>
    <xf numFmtId="0" fontId="9" fillId="2" borderId="10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left" vertical="center"/>
    </xf>
    <xf numFmtId="0" fontId="19" fillId="2" borderId="11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vertical="center"/>
    </xf>
    <xf numFmtId="0" fontId="65" fillId="2" borderId="11" xfId="0" applyFont="1" applyFill="1" applyBorder="1" applyAlignment="1">
      <alignment vertical="center"/>
    </xf>
    <xf numFmtId="0" fontId="64" fillId="2" borderId="11" xfId="0" applyFont="1" applyFill="1" applyBorder="1" applyAlignment="1">
      <alignment horizontal="center" vertical="center"/>
    </xf>
    <xf numFmtId="0" fontId="64" fillId="2" borderId="13" xfId="0" applyFont="1" applyFill="1" applyBorder="1" applyAlignment="1">
      <alignment horizontal="center" vertical="center"/>
    </xf>
    <xf numFmtId="0" fontId="19" fillId="2" borderId="14" xfId="0" applyFont="1" applyFill="1" applyBorder="1" applyAlignment="1">
      <alignment vertical="center"/>
    </xf>
    <xf numFmtId="0" fontId="19" fillId="2" borderId="0" xfId="0" applyFont="1" applyFill="1" applyAlignment="1">
      <alignment vertical="center"/>
    </xf>
    <xf numFmtId="0" fontId="9" fillId="2" borderId="15" xfId="0" applyFont="1" applyFill="1" applyBorder="1" applyAlignment="1">
      <alignment vertical="center"/>
    </xf>
    <xf numFmtId="164" fontId="9" fillId="2" borderId="0" xfId="0" applyNumberFormat="1" applyFont="1" applyFill="1" applyAlignment="1">
      <alignment horizontal="left" vertical="center"/>
    </xf>
    <xf numFmtId="164" fontId="62" fillId="2" borderId="15" xfId="0" applyNumberFormat="1" applyFont="1" applyFill="1" applyBorder="1" applyAlignment="1">
      <alignment horizontal="center" vertical="center"/>
    </xf>
    <xf numFmtId="1" fontId="63" fillId="3" borderId="0" xfId="0" applyNumberFormat="1" applyFont="1" applyFill="1" applyAlignment="1">
      <alignment vertical="center"/>
    </xf>
    <xf numFmtId="2" fontId="66" fillId="2" borderId="15" xfId="0" applyNumberFormat="1" applyFont="1" applyFill="1" applyBorder="1" applyAlignment="1">
      <alignment vertical="center"/>
    </xf>
    <xf numFmtId="164" fontId="9" fillId="2" borderId="15" xfId="0" applyNumberFormat="1" applyFont="1" applyFill="1" applyBorder="1" applyAlignment="1">
      <alignment vertical="center"/>
    </xf>
    <xf numFmtId="164" fontId="9" fillId="2" borderId="0" xfId="0" applyNumberFormat="1" applyFont="1" applyFill="1" applyAlignment="1">
      <alignment vertical="center"/>
    </xf>
    <xf numFmtId="164" fontId="9" fillId="2" borderId="10" xfId="0" applyNumberFormat="1" applyFont="1" applyFill="1" applyBorder="1" applyAlignment="1">
      <alignment horizontal="left" vertical="center"/>
    </xf>
    <xf numFmtId="164" fontId="9" fillId="2" borderId="17" xfId="0" applyNumberFormat="1" applyFont="1" applyFill="1" applyBorder="1" applyAlignment="1">
      <alignment vertical="center"/>
    </xf>
    <xf numFmtId="0" fontId="9" fillId="2" borderId="17" xfId="0" applyFont="1" applyFill="1" applyBorder="1" applyAlignment="1">
      <alignment vertical="center"/>
    </xf>
    <xf numFmtId="0" fontId="19" fillId="2" borderId="31" xfId="0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center" vertical="center"/>
    </xf>
    <xf numFmtId="0" fontId="19" fillId="2" borderId="20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9" fillId="2" borderId="17" xfId="0" applyNumberFormat="1" applyFont="1" applyFill="1" applyBorder="1" applyAlignment="1">
      <alignment horizontal="center" vertical="center"/>
    </xf>
    <xf numFmtId="164" fontId="9" fillId="2" borderId="16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64" fontId="9" fillId="2" borderId="0" xfId="0" applyNumberFormat="1" applyFont="1" applyFill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/>
    </xf>
    <xf numFmtId="167" fontId="67" fillId="0" borderId="1" xfId="0" applyNumberFormat="1" applyFont="1" applyBorder="1" applyAlignment="1">
      <alignment horizontal="center" vertical="center"/>
    </xf>
    <xf numFmtId="1" fontId="19" fillId="2" borderId="12" xfId="0" applyNumberFormat="1" applyFont="1" applyFill="1" applyBorder="1" applyAlignment="1">
      <alignment horizontal="left" vertical="center"/>
    </xf>
    <xf numFmtId="0" fontId="9" fillId="2" borderId="13" xfId="0" applyFont="1" applyFill="1" applyBorder="1" applyAlignment="1">
      <alignment horizontal="left" vertical="center"/>
    </xf>
    <xf numFmtId="2" fontId="19" fillId="2" borderId="13" xfId="0" applyNumberFormat="1" applyFont="1" applyFill="1" applyBorder="1" applyAlignment="1">
      <alignment horizontal="center" vertical="center"/>
    </xf>
    <xf numFmtId="1" fontId="19" fillId="2" borderId="16" xfId="0" applyNumberFormat="1" applyFont="1" applyFill="1" applyBorder="1" applyAlignment="1">
      <alignment horizontal="left" vertical="center"/>
    </xf>
    <xf numFmtId="0" fontId="9" fillId="2" borderId="17" xfId="0" applyFont="1" applyFill="1" applyBorder="1" applyAlignment="1">
      <alignment horizontal="left" vertical="center"/>
    </xf>
    <xf numFmtId="2" fontId="19" fillId="2" borderId="17" xfId="0" applyNumberFormat="1" applyFont="1" applyFill="1" applyBorder="1" applyAlignment="1">
      <alignment horizontal="center" vertical="center"/>
    </xf>
    <xf numFmtId="0" fontId="14" fillId="2" borderId="36" xfId="0" applyFont="1" applyFill="1" applyBorder="1" applyAlignment="1">
      <alignment horizontal="left" vertical="center"/>
    </xf>
    <xf numFmtId="173" fontId="9" fillId="2" borderId="0" xfId="0" applyNumberFormat="1" applyFont="1" applyFill="1" applyAlignment="1">
      <alignment horizontal="left" vertical="center"/>
    </xf>
    <xf numFmtId="175" fontId="9" fillId="2" borderId="0" xfId="4" applyNumberFormat="1" applyFont="1" applyFill="1" applyAlignment="1">
      <alignment horizontal="left" vertical="center"/>
    </xf>
    <xf numFmtId="0" fontId="9" fillId="3" borderId="0" xfId="0" applyFont="1" applyFill="1" applyAlignment="1">
      <alignment vertical="center"/>
    </xf>
    <xf numFmtId="180" fontId="9" fillId="2" borderId="0" xfId="4" applyNumberFormat="1" applyFont="1" applyFill="1" applyAlignment="1">
      <alignment horizontal="left" vertical="center"/>
    </xf>
    <xf numFmtId="181" fontId="9" fillId="2" borderId="0" xfId="4" applyNumberFormat="1" applyFont="1" applyFill="1" applyAlignment="1">
      <alignment horizontal="left" vertical="center"/>
    </xf>
    <xf numFmtId="182" fontId="9" fillId="2" borderId="0" xfId="4" applyNumberFormat="1" applyFont="1" applyFill="1" applyAlignment="1">
      <alignment horizontal="left" vertical="center"/>
    </xf>
    <xf numFmtId="0" fontId="19" fillId="2" borderId="11" xfId="3" applyFont="1" applyFill="1" applyBorder="1" applyAlignment="1">
      <alignment vertical="center"/>
    </xf>
    <xf numFmtId="17" fontId="9" fillId="2" borderId="11" xfId="4" applyNumberFormat="1" applyFont="1" applyFill="1" applyBorder="1" applyAlignment="1">
      <alignment vertical="center"/>
    </xf>
    <xf numFmtId="0" fontId="9" fillId="2" borderId="0" xfId="3" applyFont="1" applyFill="1" applyAlignment="1">
      <alignment vertical="center"/>
    </xf>
    <xf numFmtId="14" fontId="9" fillId="0" borderId="0" xfId="4" applyNumberFormat="1" applyFont="1" applyAlignment="1" applyProtection="1">
      <alignment horizontal="left" vertical="center"/>
      <protection hidden="1"/>
    </xf>
    <xf numFmtId="0" fontId="5" fillId="0" borderId="106" xfId="4" applyFont="1" applyBorder="1" applyProtection="1">
      <protection hidden="1"/>
    </xf>
    <xf numFmtId="0" fontId="14" fillId="0" borderId="84" xfId="4" applyFont="1" applyBorder="1" applyProtection="1">
      <protection hidden="1"/>
    </xf>
    <xf numFmtId="0" fontId="14" fillId="0" borderId="11" xfId="4" applyFont="1" applyBorder="1" applyProtection="1">
      <protection hidden="1"/>
    </xf>
    <xf numFmtId="0" fontId="14" fillId="0" borderId="85" xfId="4" applyFont="1" applyBorder="1" applyProtection="1">
      <protection hidden="1"/>
    </xf>
    <xf numFmtId="0" fontId="14" fillId="0" borderId="0" xfId="4" applyFont="1" applyProtection="1">
      <protection hidden="1"/>
    </xf>
    <xf numFmtId="171" fontId="14" fillId="0" borderId="0" xfId="4" applyNumberFormat="1" applyFont="1" applyAlignment="1" applyProtection="1">
      <alignment horizontal="left"/>
      <protection hidden="1"/>
    </xf>
    <xf numFmtId="0" fontId="14" fillId="0" borderId="87" xfId="4" applyFont="1" applyBorder="1" applyProtection="1">
      <protection hidden="1"/>
    </xf>
    <xf numFmtId="0" fontId="14" fillId="0" borderId="15" xfId="4" applyFont="1" applyBorder="1" applyProtection="1">
      <protection hidden="1"/>
    </xf>
    <xf numFmtId="0" fontId="14" fillId="2" borderId="101" xfId="4" applyFont="1" applyFill="1" applyBorder="1" applyAlignment="1">
      <alignment horizontal="center"/>
    </xf>
    <xf numFmtId="0" fontId="14" fillId="2" borderId="107" xfId="4" applyFont="1" applyFill="1" applyBorder="1" applyAlignment="1">
      <alignment vertical="center"/>
    </xf>
    <xf numFmtId="0" fontId="14" fillId="2" borderId="114" xfId="4" applyFont="1" applyFill="1" applyBorder="1" applyAlignment="1">
      <alignment horizontal="center" vertical="center"/>
    </xf>
    <xf numFmtId="0" fontId="14" fillId="2" borderId="114" xfId="4" applyFont="1" applyFill="1" applyBorder="1" applyAlignment="1">
      <alignment vertical="center"/>
    </xf>
    <xf numFmtId="0" fontId="14" fillId="0" borderId="108" xfId="4" applyFont="1" applyBorder="1" applyProtection="1">
      <protection hidden="1"/>
    </xf>
    <xf numFmtId="0" fontId="69" fillId="3" borderId="101" xfId="4" applyFont="1" applyFill="1" applyBorder="1" applyAlignment="1" applyProtection="1">
      <alignment horizontal="center" vertical="center"/>
      <protection locked="0"/>
    </xf>
    <xf numFmtId="0" fontId="14" fillId="3" borderId="101" xfId="4" applyFont="1" applyFill="1" applyBorder="1" applyAlignment="1" applyProtection="1">
      <alignment horizontal="center" vertical="center"/>
      <protection locked="0"/>
    </xf>
    <xf numFmtId="0" fontId="14" fillId="0" borderId="0" xfId="4" applyFont="1" applyAlignment="1" applyProtection="1">
      <alignment vertical="center"/>
      <protection hidden="1"/>
    </xf>
    <xf numFmtId="0" fontId="55" fillId="0" borderId="0" xfId="4" applyFont="1" applyAlignment="1">
      <alignment vertical="center" wrapText="1"/>
    </xf>
    <xf numFmtId="3" fontId="14" fillId="3" borderId="0" xfId="4" applyNumberFormat="1" applyFont="1" applyFill="1" applyAlignment="1">
      <alignment vertical="center" wrapText="1"/>
    </xf>
    <xf numFmtId="3" fontId="14" fillId="3" borderId="15" xfId="4" applyNumberFormat="1" applyFont="1" applyFill="1" applyBorder="1" applyAlignment="1">
      <alignment horizontal="center" vertical="center" wrapText="1"/>
    </xf>
    <xf numFmtId="0" fontId="14" fillId="2" borderId="22" xfId="4" applyFont="1" applyFill="1" applyBorder="1" applyAlignment="1">
      <alignment horizontal="center"/>
    </xf>
    <xf numFmtId="0" fontId="14" fillId="2" borderId="102" xfId="4" applyFont="1" applyFill="1" applyBorder="1" applyAlignment="1">
      <alignment vertical="center"/>
    </xf>
    <xf numFmtId="0" fontId="14" fillId="2" borderId="103" xfId="4" applyFont="1" applyFill="1" applyBorder="1" applyAlignment="1">
      <alignment horizontal="center" vertical="center"/>
    </xf>
    <xf numFmtId="0" fontId="14" fillId="2" borderId="103" xfId="4" applyFont="1" applyFill="1" applyBorder="1" applyAlignment="1">
      <alignment vertical="center"/>
    </xf>
    <xf numFmtId="0" fontId="14" fillId="0" borderId="104" xfId="4" applyFont="1" applyBorder="1" applyProtection="1">
      <protection hidden="1"/>
    </xf>
    <xf numFmtId="164" fontId="69" fillId="3" borderId="22" xfId="4" applyNumberFormat="1" applyFont="1" applyFill="1" applyBorder="1" applyAlignment="1" applyProtection="1">
      <alignment horizontal="center" vertical="center"/>
      <protection locked="0"/>
    </xf>
    <xf numFmtId="164" fontId="14" fillId="3" borderId="22" xfId="4" applyNumberFormat="1" applyFont="1" applyFill="1" applyBorder="1" applyAlignment="1" applyProtection="1">
      <alignment horizontal="center" vertical="center"/>
      <protection locked="0"/>
    </xf>
    <xf numFmtId="166" fontId="56" fillId="3" borderId="0" xfId="4" applyNumberFormat="1" applyFont="1" applyFill="1" applyAlignment="1">
      <alignment vertical="center" wrapText="1"/>
    </xf>
    <xf numFmtId="0" fontId="56" fillId="0" borderId="0" xfId="4" applyFont="1" applyProtection="1">
      <protection hidden="1"/>
    </xf>
    <xf numFmtId="0" fontId="14" fillId="0" borderId="15" xfId="4" applyFont="1" applyBorder="1" applyAlignment="1" applyProtection="1">
      <alignment vertical="center"/>
      <protection hidden="1"/>
    </xf>
    <xf numFmtId="167" fontId="14" fillId="3" borderId="22" xfId="4" applyNumberFormat="1" applyFont="1" applyFill="1" applyBorder="1" applyAlignment="1" applyProtection="1">
      <alignment horizontal="center" vertical="center"/>
      <protection hidden="1"/>
    </xf>
    <xf numFmtId="0" fontId="55" fillId="0" borderId="105" xfId="4" applyFont="1" applyBorder="1" applyAlignment="1" applyProtection="1">
      <alignment horizontal="center" vertical="center"/>
      <protection hidden="1"/>
    </xf>
    <xf numFmtId="0" fontId="14" fillId="0" borderId="87" xfId="4" applyFont="1" applyBorder="1" applyAlignment="1" applyProtection="1">
      <alignment vertical="center"/>
      <protection hidden="1"/>
    </xf>
    <xf numFmtId="0" fontId="14" fillId="2" borderId="115" xfId="4" applyFont="1" applyFill="1" applyBorder="1" applyAlignment="1">
      <alignment vertical="center"/>
    </xf>
    <xf numFmtId="0" fontId="14" fillId="2" borderId="116" xfId="4" applyFont="1" applyFill="1" applyBorder="1" applyAlignment="1">
      <alignment horizontal="center" vertical="center"/>
    </xf>
    <xf numFmtId="0" fontId="14" fillId="2" borderId="116" xfId="4" applyFont="1" applyFill="1" applyBorder="1" applyAlignment="1">
      <alignment vertical="center"/>
    </xf>
    <xf numFmtId="167" fontId="14" fillId="3" borderId="117" xfId="4" applyNumberFormat="1" applyFont="1" applyFill="1" applyBorder="1" applyAlignment="1" applyProtection="1">
      <alignment horizontal="center" vertical="center"/>
      <protection hidden="1"/>
    </xf>
    <xf numFmtId="183" fontId="14" fillId="0" borderId="101" xfId="4" applyNumberFormat="1" applyFont="1" applyBorder="1" applyAlignment="1" applyProtection="1">
      <alignment horizontal="center" vertical="center"/>
      <protection hidden="1"/>
    </xf>
    <xf numFmtId="0" fontId="14" fillId="0" borderId="87" xfId="4" applyFont="1" applyBorder="1" applyAlignment="1" applyProtection="1">
      <alignment horizontal="right"/>
      <protection hidden="1"/>
    </xf>
    <xf numFmtId="0" fontId="55" fillId="0" borderId="0" xfId="4" applyFont="1" applyAlignment="1" applyProtection="1">
      <alignment vertical="center"/>
      <protection hidden="1"/>
    </xf>
    <xf numFmtId="0" fontId="14" fillId="2" borderId="23" xfId="4" applyFont="1" applyFill="1" applyBorder="1" applyAlignment="1">
      <alignment horizontal="center"/>
    </xf>
    <xf numFmtId="0" fontId="14" fillId="2" borderId="109" xfId="4" applyFont="1" applyFill="1" applyBorder="1" applyAlignment="1">
      <alignment vertical="center"/>
    </xf>
    <xf numFmtId="0" fontId="14" fillId="2" borderId="118" xfId="4" applyFont="1" applyFill="1" applyBorder="1" applyAlignment="1">
      <alignment horizontal="center" vertical="center"/>
    </xf>
    <xf numFmtId="0" fontId="14" fillId="2" borderId="118" xfId="4" applyFont="1" applyFill="1" applyBorder="1" applyAlignment="1">
      <alignment vertical="center"/>
    </xf>
    <xf numFmtId="0" fontId="14" fillId="0" borderId="110" xfId="4" applyFont="1" applyBorder="1" applyProtection="1">
      <protection hidden="1"/>
    </xf>
    <xf numFmtId="2" fontId="55" fillId="3" borderId="23" xfId="4" applyNumberFormat="1" applyFont="1" applyFill="1" applyBorder="1" applyAlignment="1" applyProtection="1">
      <alignment horizontal="center" vertical="center"/>
      <protection hidden="1"/>
    </xf>
    <xf numFmtId="183" fontId="55" fillId="0" borderId="101" xfId="4" applyNumberFormat="1" applyFont="1" applyBorder="1" applyAlignment="1" applyProtection="1">
      <alignment horizontal="center" vertical="center"/>
      <protection hidden="1"/>
    </xf>
    <xf numFmtId="184" fontId="55" fillId="0" borderId="23" xfId="4" applyNumberFormat="1" applyFont="1" applyBorder="1" applyAlignment="1" applyProtection="1">
      <alignment horizontal="center" vertical="center"/>
      <protection hidden="1"/>
    </xf>
    <xf numFmtId="0" fontId="55" fillId="0" borderId="87" xfId="4" applyFont="1" applyBorder="1" applyAlignment="1" applyProtection="1">
      <alignment horizontal="right" vertical="center"/>
      <protection hidden="1"/>
    </xf>
    <xf numFmtId="0" fontId="19" fillId="0" borderId="16" xfId="4" applyFont="1" applyBorder="1" applyAlignment="1" applyProtection="1">
      <alignment vertical="center"/>
      <protection hidden="1"/>
    </xf>
    <xf numFmtId="0" fontId="9" fillId="0" borderId="106" xfId="4" applyFont="1" applyBorder="1" applyProtection="1">
      <protection hidden="1"/>
    </xf>
    <xf numFmtId="0" fontId="19" fillId="0" borderId="106" xfId="4" applyFont="1" applyBorder="1" applyAlignment="1" applyProtection="1">
      <alignment vertical="center"/>
      <protection hidden="1"/>
    </xf>
    <xf numFmtId="0" fontId="19" fillId="0" borderId="113" xfId="4" applyFont="1" applyBorder="1" applyAlignment="1" applyProtection="1">
      <alignment vertical="center"/>
      <protection hidden="1"/>
    </xf>
    <xf numFmtId="0" fontId="9" fillId="0" borderId="0" xfId="4" applyFont="1" applyProtection="1">
      <protection hidden="1"/>
    </xf>
    <xf numFmtId="0" fontId="19" fillId="0" borderId="0" xfId="4" applyFont="1" applyAlignment="1" applyProtection="1">
      <alignment vertical="center"/>
      <protection hidden="1"/>
    </xf>
    <xf numFmtId="0" fontId="9" fillId="0" borderId="0" xfId="4" applyFont="1" applyAlignment="1" applyProtection="1">
      <alignment horizontal="left" indent="1"/>
      <protection hidden="1"/>
    </xf>
    <xf numFmtId="0" fontId="9" fillId="0" borderId="0" xfId="4" applyFont="1" applyAlignment="1" applyProtection="1">
      <alignment vertical="center"/>
      <protection hidden="1"/>
    </xf>
    <xf numFmtId="164" fontId="11" fillId="2" borderId="78" xfId="0" applyNumberFormat="1" applyFont="1" applyFill="1" applyBorder="1" applyAlignment="1">
      <alignment horizontal="center" vertical="center"/>
    </xf>
    <xf numFmtId="164" fontId="11" fillId="2" borderId="96" xfId="0" applyNumberFormat="1" applyFont="1" applyFill="1" applyBorder="1" applyAlignment="1">
      <alignment horizontal="center" vertical="center"/>
    </xf>
    <xf numFmtId="164" fontId="11" fillId="2" borderId="98" xfId="0" applyNumberFormat="1" applyFont="1" applyFill="1" applyBorder="1" applyAlignment="1">
      <alignment horizontal="center" vertical="center"/>
    </xf>
    <xf numFmtId="164" fontId="11" fillId="2" borderId="78" xfId="0" applyNumberFormat="1" applyFont="1" applyFill="1" applyBorder="1" applyAlignment="1">
      <alignment vertical="center"/>
    </xf>
    <xf numFmtId="164" fontId="11" fillId="2" borderId="96" xfId="0" applyNumberFormat="1" applyFont="1" applyFill="1" applyBorder="1" applyAlignment="1">
      <alignment vertical="center"/>
    </xf>
    <xf numFmtId="164" fontId="11" fillId="2" borderId="98" xfId="0" applyNumberFormat="1" applyFont="1" applyFill="1" applyBorder="1" applyAlignment="1">
      <alignment vertical="center"/>
    </xf>
    <xf numFmtId="1" fontId="11" fillId="2" borderId="96" xfId="0" quotePrefix="1" applyNumberFormat="1" applyFont="1" applyFill="1" applyBorder="1" applyAlignment="1">
      <alignment horizontal="center" vertical="center"/>
    </xf>
    <xf numFmtId="1" fontId="11" fillId="2" borderId="78" xfId="0" applyNumberFormat="1" applyFont="1" applyFill="1" applyBorder="1" applyAlignment="1">
      <alignment horizontal="center" vertical="center"/>
    </xf>
    <xf numFmtId="1" fontId="11" fillId="2" borderId="98" xfId="0" applyNumberFormat="1" applyFont="1" applyFill="1" applyBorder="1" applyAlignment="1">
      <alignment horizontal="center" vertical="center"/>
    </xf>
    <xf numFmtId="1" fontId="23" fillId="2" borderId="78" xfId="0" applyNumberFormat="1" applyFont="1" applyFill="1" applyBorder="1" applyAlignment="1">
      <alignment horizontal="center" vertical="center"/>
    </xf>
    <xf numFmtId="1" fontId="23" fillId="2" borderId="96" xfId="0" quotePrefix="1" applyNumberFormat="1" applyFont="1" applyFill="1" applyBorder="1" applyAlignment="1">
      <alignment horizontal="center" vertical="center"/>
    </xf>
    <xf numFmtId="1" fontId="23" fillId="2" borderId="98" xfId="0" applyNumberFormat="1" applyFont="1" applyFill="1" applyBorder="1" applyAlignment="1">
      <alignment horizontal="center" vertical="center"/>
    </xf>
    <xf numFmtId="164" fontId="11" fillId="2" borderId="96" xfId="0" quotePrefix="1" applyNumberFormat="1" applyFont="1" applyFill="1" applyBorder="1" applyAlignment="1">
      <alignment horizontal="center" vertical="center"/>
    </xf>
    <xf numFmtId="164" fontId="70" fillId="4" borderId="105" xfId="0" applyNumberFormat="1" applyFont="1" applyFill="1" applyBorder="1" applyAlignment="1">
      <alignment horizontal="center" vertical="center"/>
    </xf>
    <xf numFmtId="0" fontId="9" fillId="2" borderId="84" xfId="0" applyFont="1" applyFill="1" applyBorder="1" applyAlignment="1">
      <alignment vertical="center"/>
    </xf>
    <xf numFmtId="0" fontId="63" fillId="4" borderId="11" xfId="0" applyFont="1" applyFill="1" applyBorder="1" applyAlignment="1">
      <alignment vertical="center"/>
    </xf>
    <xf numFmtId="164" fontId="9" fillId="2" borderId="85" xfId="0" applyNumberFormat="1" applyFont="1" applyFill="1" applyBorder="1" applyAlignment="1">
      <alignment vertical="center"/>
    </xf>
    <xf numFmtId="0" fontId="9" fillId="2" borderId="87" xfId="0" applyFont="1" applyFill="1" applyBorder="1" applyAlignment="1">
      <alignment vertical="center"/>
    </xf>
    <xf numFmtId="0" fontId="9" fillId="2" borderId="106" xfId="0" applyFont="1" applyFill="1" applyBorder="1" applyAlignment="1">
      <alignment vertical="center"/>
    </xf>
    <xf numFmtId="1" fontId="9" fillId="2" borderId="113" xfId="0" applyNumberFormat="1" applyFont="1" applyFill="1" applyBorder="1" applyAlignment="1">
      <alignment vertical="center"/>
    </xf>
    <xf numFmtId="178" fontId="22" fillId="0" borderId="0" xfId="0" applyNumberFormat="1" applyFont="1" applyProtection="1">
      <protection hidden="1"/>
    </xf>
    <xf numFmtId="0" fontId="1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9" fillId="0" borderId="0" xfId="3" applyFont="1" applyAlignment="1">
      <alignment horizontal="center" vertical="center"/>
    </xf>
    <xf numFmtId="0" fontId="19" fillId="0" borderId="0" xfId="3" applyFont="1" applyAlignment="1">
      <alignment vertical="center"/>
    </xf>
    <xf numFmtId="177" fontId="9" fillId="0" borderId="0" xfId="0" applyNumberFormat="1" applyFont="1" applyAlignment="1">
      <alignment horizontal="left" vertical="center"/>
    </xf>
    <xf numFmtId="0" fontId="19" fillId="0" borderId="119" xfId="3" applyFont="1" applyBorder="1" applyAlignment="1">
      <alignment vertical="center"/>
    </xf>
    <xf numFmtId="0" fontId="9" fillId="0" borderId="119" xfId="0" applyFont="1" applyBorder="1" applyAlignment="1">
      <alignment horizontal="left" vertical="center" wrapText="1"/>
    </xf>
    <xf numFmtId="0" fontId="9" fillId="0" borderId="96" xfId="0" applyFont="1" applyBorder="1" applyAlignment="1">
      <alignment horizontal="left" vertical="center" wrapText="1"/>
    </xf>
    <xf numFmtId="0" fontId="19" fillId="0" borderId="119" xfId="3" applyFont="1" applyBorder="1" applyAlignment="1">
      <alignment horizontal="right" vertical="center"/>
    </xf>
    <xf numFmtId="17" fontId="9" fillId="0" borderId="119" xfId="0" applyNumberFormat="1" applyFont="1" applyBorder="1" applyAlignment="1">
      <alignment vertical="center"/>
    </xf>
    <xf numFmtId="0" fontId="55" fillId="0" borderId="78" xfId="4" applyFont="1" applyBorder="1" applyAlignment="1">
      <alignment vertical="center"/>
    </xf>
    <xf numFmtId="0" fontId="55" fillId="0" borderId="96" xfId="4" applyFont="1" applyBorder="1" applyAlignment="1">
      <alignment vertical="center"/>
    </xf>
    <xf numFmtId="0" fontId="55" fillId="0" borderId="105" xfId="4" applyFont="1" applyBorder="1" applyAlignment="1">
      <alignment horizontal="center" vertical="center"/>
    </xf>
    <xf numFmtId="0" fontId="55" fillId="0" borderId="119" xfId="4" applyFont="1" applyBorder="1" applyAlignment="1">
      <alignment vertical="center"/>
    </xf>
    <xf numFmtId="0" fontId="55" fillId="0" borderId="100" xfId="0" applyFont="1" applyBorder="1" applyAlignment="1">
      <alignment vertical="center" wrapText="1"/>
    </xf>
    <xf numFmtId="0" fontId="55" fillId="0" borderId="85" xfId="0" applyFont="1" applyBorder="1" applyAlignment="1">
      <alignment horizontal="center" vertical="center" wrapText="1"/>
    </xf>
    <xf numFmtId="0" fontId="9" fillId="0" borderId="107" xfId="4" quotePrefix="1" applyFont="1" applyBorder="1" applyAlignment="1">
      <alignment horizontal="center" vertical="center"/>
    </xf>
    <xf numFmtId="0" fontId="19" fillId="0" borderId="101" xfId="4" applyFont="1" applyBorder="1" applyAlignment="1">
      <alignment horizontal="center" vertical="center"/>
    </xf>
    <xf numFmtId="0" fontId="19" fillId="0" borderId="107" xfId="4" applyFont="1" applyBorder="1" applyAlignment="1">
      <alignment horizontal="center" vertical="center"/>
    </xf>
    <xf numFmtId="0" fontId="9" fillId="0" borderId="102" xfId="4" quotePrefix="1" applyFont="1" applyBorder="1" applyAlignment="1">
      <alignment horizontal="center" vertical="center"/>
    </xf>
    <xf numFmtId="0" fontId="9" fillId="0" borderId="22" xfId="4" applyFont="1" applyBorder="1" applyAlignment="1">
      <alignment horizontal="center" vertical="center"/>
    </xf>
    <xf numFmtId="0" fontId="9" fillId="0" borderId="102" xfId="4" applyFont="1" applyBorder="1" applyAlignment="1">
      <alignment horizontal="center" vertical="center"/>
    </xf>
    <xf numFmtId="1" fontId="9" fillId="0" borderId="22" xfId="4" applyNumberFormat="1" applyFont="1" applyBorder="1" applyAlignment="1" applyProtection="1">
      <alignment horizontal="center"/>
      <protection locked="0"/>
    </xf>
    <xf numFmtId="1" fontId="9" fillId="0" borderId="102" xfId="4" applyNumberFormat="1" applyFont="1" applyBorder="1" applyAlignment="1" applyProtection="1">
      <alignment horizontal="center"/>
      <protection locked="0"/>
    </xf>
    <xf numFmtId="1" fontId="9" fillId="0" borderId="102" xfId="4" applyNumberFormat="1" applyFont="1" applyBorder="1" applyAlignment="1">
      <alignment horizontal="center" vertical="center"/>
    </xf>
    <xf numFmtId="1" fontId="9" fillId="0" borderId="22" xfId="4" applyNumberFormat="1" applyFont="1" applyBorder="1" applyAlignment="1">
      <alignment horizontal="center" vertical="center"/>
    </xf>
    <xf numFmtId="0" fontId="9" fillId="0" borderId="103" xfId="4" applyFont="1" applyBorder="1" applyAlignment="1">
      <alignment horizontal="center" vertical="center"/>
    </xf>
    <xf numFmtId="0" fontId="9" fillId="0" borderId="109" xfId="4" applyFont="1" applyBorder="1" applyAlignment="1">
      <alignment horizontal="center" vertical="center"/>
    </xf>
    <xf numFmtId="167" fontId="9" fillId="0" borderId="23" xfId="4" applyNumberFormat="1" applyFont="1" applyBorder="1" applyAlignment="1">
      <alignment horizontal="center" vertical="center"/>
    </xf>
    <xf numFmtId="167" fontId="9" fillId="0" borderId="109" xfId="4" applyNumberFormat="1" applyFont="1" applyBorder="1" applyAlignment="1">
      <alignment horizontal="center" vertical="center"/>
    </xf>
    <xf numFmtId="0" fontId="55" fillId="0" borderId="98" xfId="4" applyFont="1" applyBorder="1" applyAlignment="1">
      <alignment vertical="center"/>
    </xf>
    <xf numFmtId="0" fontId="9" fillId="0" borderId="107" xfId="4" applyFont="1" applyBorder="1" applyAlignment="1">
      <alignment horizontal="left" vertical="center"/>
    </xf>
    <xf numFmtId="0" fontId="9" fillId="0" borderId="101" xfId="4" applyFont="1" applyBorder="1" applyAlignment="1">
      <alignment horizontal="center" vertical="center"/>
    </xf>
    <xf numFmtId="0" fontId="9" fillId="0" borderId="107" xfId="4" applyFont="1" applyBorder="1" applyAlignment="1">
      <alignment horizontal="center" vertical="center"/>
    </xf>
    <xf numFmtId="2" fontId="9" fillId="0" borderId="22" xfId="4" applyNumberFormat="1" applyFont="1" applyBorder="1" applyAlignment="1" applyProtection="1">
      <alignment horizontal="center"/>
      <protection locked="0"/>
    </xf>
    <xf numFmtId="2" fontId="9" fillId="0" borderId="102" xfId="4" applyNumberFormat="1" applyFont="1" applyBorder="1" applyAlignment="1" applyProtection="1">
      <alignment horizontal="center"/>
      <protection locked="0"/>
    </xf>
    <xf numFmtId="2" fontId="9" fillId="0" borderId="22" xfId="4" applyNumberFormat="1" applyFont="1" applyBorder="1" applyAlignment="1">
      <alignment horizontal="center" vertical="center"/>
    </xf>
    <xf numFmtId="2" fontId="9" fillId="0" borderId="102" xfId="4" applyNumberFormat="1" applyFont="1" applyBorder="1" applyAlignment="1">
      <alignment horizontal="center" vertical="center"/>
    </xf>
    <xf numFmtId="164" fontId="9" fillId="0" borderId="22" xfId="4" applyNumberFormat="1" applyFont="1" applyBorder="1" applyAlignment="1">
      <alignment horizontal="center" vertical="center"/>
    </xf>
    <xf numFmtId="164" fontId="9" fillId="0" borderId="102" xfId="4" applyNumberFormat="1" applyFont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9" fillId="0" borderId="0" xfId="0" applyFont="1"/>
    <xf numFmtId="0" fontId="20" fillId="0" borderId="0" xfId="0" applyFont="1"/>
    <xf numFmtId="0" fontId="20" fillId="0" borderId="0" xfId="0" applyFont="1" applyProtection="1">
      <protection locked="0"/>
    </xf>
    <xf numFmtId="0" fontId="14" fillId="0" borderId="0" xfId="0" applyFont="1"/>
    <xf numFmtId="0" fontId="14" fillId="0" borderId="84" xfId="3" applyFont="1" applyBorder="1" applyAlignment="1">
      <alignment horizontal="left" vertical="center" indent="1"/>
    </xf>
    <xf numFmtId="0" fontId="9" fillId="0" borderId="85" xfId="3" applyFont="1" applyBorder="1" applyAlignment="1">
      <alignment horizontal="left" vertical="center" indent="1"/>
    </xf>
    <xf numFmtId="0" fontId="9" fillId="0" borderId="76" xfId="0" applyFont="1" applyBorder="1" applyAlignment="1" applyProtection="1">
      <alignment vertical="center"/>
      <protection locked="0"/>
    </xf>
    <xf numFmtId="0" fontId="14" fillId="0" borderId="78" xfId="3" applyFont="1" applyBorder="1" applyAlignment="1">
      <alignment horizontal="left" vertical="center" indent="1"/>
    </xf>
    <xf numFmtId="0" fontId="9" fillId="0" borderId="98" xfId="3" applyFont="1" applyBorder="1" applyAlignment="1">
      <alignment horizontal="left" vertical="center" indent="1"/>
    </xf>
    <xf numFmtId="12" fontId="9" fillId="0" borderId="76" xfId="0" applyNumberFormat="1" applyFont="1" applyBorder="1" applyAlignment="1" applyProtection="1">
      <alignment vertical="center"/>
      <protection locked="0"/>
    </xf>
    <xf numFmtId="0" fontId="14" fillId="0" borderId="105" xfId="0" applyFont="1" applyBorder="1" applyAlignment="1">
      <alignment horizontal="left" vertical="center" indent="1"/>
    </xf>
    <xf numFmtId="164" fontId="14" fillId="0" borderId="105" xfId="0" applyNumberFormat="1" applyFont="1" applyBorder="1" applyAlignment="1">
      <alignment horizontal="center" vertical="center"/>
    </xf>
    <xf numFmtId="164" fontId="14" fillId="0" borderId="98" xfId="4" applyNumberFormat="1" applyFont="1" applyBorder="1" applyAlignment="1">
      <alignment horizontal="center" vertical="center"/>
    </xf>
    <xf numFmtId="164" fontId="14" fillId="0" borderId="105" xfId="4" applyNumberFormat="1" applyFont="1" applyBorder="1" applyAlignment="1">
      <alignment horizontal="center" vertical="center"/>
    </xf>
    <xf numFmtId="0" fontId="14" fillId="0" borderId="87" xfId="3" applyFont="1" applyBorder="1" applyAlignment="1">
      <alignment horizontal="left" vertical="center" indent="1"/>
    </xf>
    <xf numFmtId="0" fontId="9" fillId="0" borderId="15" xfId="3" applyFont="1" applyBorder="1" applyAlignment="1">
      <alignment horizontal="left" vertical="center" indent="1"/>
    </xf>
    <xf numFmtId="0" fontId="55" fillId="0" borderId="0" xfId="0" applyFont="1" applyAlignment="1">
      <alignment vertical="center"/>
    </xf>
    <xf numFmtId="0" fontId="14" fillId="0" borderId="78" xfId="5" applyFont="1" applyBorder="1" applyAlignment="1">
      <alignment horizontal="left" vertical="center" indent="1"/>
    </xf>
    <xf numFmtId="0" fontId="71" fillId="0" borderId="98" xfId="0" applyFont="1" applyBorder="1" applyAlignment="1">
      <alignment vertical="center"/>
    </xf>
    <xf numFmtId="164" fontId="14" fillId="0" borderId="78" xfId="0" applyNumberFormat="1" applyFont="1" applyBorder="1" applyAlignment="1">
      <alignment horizontal="center" vertical="center"/>
    </xf>
    <xf numFmtId="0" fontId="14" fillId="0" borderId="105" xfId="0" applyFont="1" applyBorder="1" applyProtection="1">
      <protection hidden="1"/>
    </xf>
    <xf numFmtId="0" fontId="14" fillId="0" borderId="98" xfId="5" applyFont="1" applyBorder="1" applyAlignment="1">
      <alignment horizontal="left" vertical="center" indent="1"/>
    </xf>
    <xf numFmtId="0" fontId="14" fillId="0" borderId="0" xfId="5" applyFont="1" applyAlignment="1">
      <alignment horizontal="left" vertical="center" indent="1"/>
    </xf>
    <xf numFmtId="0" fontId="1" fillId="0" borderId="0" xfId="0" applyFont="1" applyProtection="1">
      <protection locked="0"/>
    </xf>
    <xf numFmtId="0" fontId="14" fillId="0" borderId="87" xfId="5" applyFont="1" applyBorder="1" applyAlignment="1">
      <alignment horizontal="left" vertical="center" indent="1"/>
    </xf>
    <xf numFmtId="0" fontId="14" fillId="0" borderId="15" xfId="5" applyFont="1" applyBorder="1" applyAlignment="1">
      <alignment horizontal="left" vertical="center" indent="1"/>
    </xf>
    <xf numFmtId="0" fontId="9" fillId="0" borderId="78" xfId="0" applyFont="1" applyBorder="1" applyAlignment="1" applyProtection="1">
      <alignment vertical="center"/>
      <protection hidden="1"/>
    </xf>
    <xf numFmtId="0" fontId="9" fillId="0" borderId="98" xfId="0" applyFont="1" applyBorder="1" applyAlignment="1" applyProtection="1">
      <alignment vertical="center"/>
      <protection hidden="1"/>
    </xf>
    <xf numFmtId="0" fontId="14" fillId="0" borderId="84" xfId="0" applyFont="1" applyBorder="1" applyAlignment="1" applyProtection="1">
      <alignment vertical="center"/>
      <protection hidden="1"/>
    </xf>
    <xf numFmtId="0" fontId="5" fillId="0" borderId="100" xfId="0" applyFont="1" applyBorder="1" applyAlignment="1" applyProtection="1">
      <alignment vertical="top"/>
      <protection hidden="1"/>
    </xf>
    <xf numFmtId="0" fontId="5" fillId="0" borderId="85" xfId="0" applyFont="1" applyBorder="1" applyAlignment="1" applyProtection="1">
      <alignment vertical="top"/>
      <protection hidden="1"/>
    </xf>
    <xf numFmtId="0" fontId="5" fillId="0" borderId="87" xfId="0" applyFont="1" applyBorder="1" applyAlignment="1" applyProtection="1">
      <alignment vertical="top"/>
      <protection hidden="1"/>
    </xf>
    <xf numFmtId="0" fontId="5" fillId="0" borderId="0" xfId="0" applyFont="1" applyAlignment="1" applyProtection="1">
      <alignment vertical="top"/>
      <protection hidden="1"/>
    </xf>
    <xf numFmtId="0" fontId="5" fillId="0" borderId="15" xfId="0" applyFont="1" applyBorder="1" applyAlignment="1" applyProtection="1">
      <alignment vertical="top"/>
      <protection hidden="1"/>
    </xf>
    <xf numFmtId="0" fontId="9" fillId="0" borderId="98" xfId="0" applyFont="1" applyBorder="1" applyAlignment="1" applyProtection="1">
      <alignment horizontal="center" vertical="center"/>
      <protection hidden="1"/>
    </xf>
    <xf numFmtId="0" fontId="5" fillId="0" borderId="112" xfId="0" applyFont="1" applyBorder="1" applyAlignment="1" applyProtection="1">
      <alignment vertical="top"/>
      <protection hidden="1"/>
    </xf>
    <xf numFmtId="0" fontId="5" fillId="0" borderId="106" xfId="0" applyFont="1" applyBorder="1" applyAlignment="1" applyProtection="1">
      <alignment vertical="top"/>
      <protection hidden="1"/>
    </xf>
    <xf numFmtId="0" fontId="5" fillId="0" borderId="113" xfId="0" applyFont="1" applyBorder="1" applyAlignment="1" applyProtection="1">
      <alignment vertical="top"/>
      <protection hidden="1"/>
    </xf>
    <xf numFmtId="0" fontId="1" fillId="0" borderId="0" xfId="0" applyFont="1" applyProtection="1">
      <protection hidden="1"/>
    </xf>
    <xf numFmtId="0" fontId="9" fillId="0" borderId="0" xfId="0" applyFont="1" applyAlignment="1" applyProtection="1">
      <alignment vertical="center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9" fillId="0" borderId="105" xfId="3" applyFont="1" applyBorder="1" applyAlignment="1">
      <alignment horizontal="center" vertical="center"/>
    </xf>
    <xf numFmtId="0" fontId="19" fillId="0" borderId="105" xfId="3" applyFont="1" applyBorder="1" applyAlignment="1">
      <alignment vertical="center"/>
    </xf>
    <xf numFmtId="0" fontId="72" fillId="0" borderId="105" xfId="0" applyFont="1" applyBorder="1" applyAlignment="1">
      <alignment horizontal="center" vertical="center"/>
    </xf>
    <xf numFmtId="0" fontId="72" fillId="0" borderId="98" xfId="0" applyFont="1" applyBorder="1" applyAlignment="1">
      <alignment horizontal="center" vertical="center"/>
    </xf>
    <xf numFmtId="0" fontId="19" fillId="0" borderId="112" xfId="3" applyFont="1" applyBorder="1" applyAlignment="1">
      <alignment vertical="center"/>
    </xf>
    <xf numFmtId="0" fontId="12" fillId="0" borderId="78" xfId="0" applyFont="1" applyBorder="1" applyAlignment="1">
      <alignment horizontal="center" vertical="center"/>
    </xf>
    <xf numFmtId="0" fontId="55" fillId="0" borderId="78" xfId="0" applyFont="1" applyBorder="1" applyAlignment="1" applyProtection="1">
      <alignment horizontal="center" vertical="center"/>
      <protection hidden="1"/>
    </xf>
    <xf numFmtId="0" fontId="55" fillId="0" borderId="98" xfId="0" applyFont="1" applyBorder="1" applyAlignment="1" applyProtection="1">
      <alignment horizontal="center" vertical="center"/>
      <protection hidden="1"/>
    </xf>
    <xf numFmtId="0" fontId="9" fillId="0" borderId="105" xfId="0" applyFont="1" applyBorder="1" applyAlignment="1" applyProtection="1">
      <alignment horizontal="center" vertical="center"/>
      <protection locked="0"/>
    </xf>
    <xf numFmtId="0" fontId="9" fillId="0" borderId="102" xfId="4" applyFont="1" applyBorder="1" applyAlignment="1">
      <alignment horizontal="center" vertical="center"/>
    </xf>
    <xf numFmtId="0" fontId="9" fillId="0" borderId="104" xfId="4" applyFont="1" applyBorder="1" applyAlignment="1">
      <alignment horizontal="center" vertical="center"/>
    </xf>
    <xf numFmtId="2" fontId="9" fillId="0" borderId="102" xfId="4" applyNumberFormat="1" applyFont="1" applyBorder="1" applyAlignment="1" applyProtection="1">
      <alignment horizontal="center"/>
      <protection locked="0"/>
    </xf>
    <xf numFmtId="2" fontId="9" fillId="0" borderId="104" xfId="4" applyNumberFormat="1" applyFont="1" applyBorder="1" applyAlignment="1" applyProtection="1">
      <alignment horizontal="center"/>
      <protection locked="0"/>
    </xf>
    <xf numFmtId="2" fontId="9" fillId="0" borderId="109" xfId="4" applyNumberFormat="1" applyFont="1" applyBorder="1" applyAlignment="1" applyProtection="1">
      <alignment horizontal="center"/>
      <protection locked="0"/>
    </xf>
    <xf numFmtId="2" fontId="9" fillId="0" borderId="110" xfId="4" applyNumberFormat="1" applyFont="1" applyBorder="1" applyAlignment="1" applyProtection="1">
      <alignment horizontal="center"/>
      <protection locked="0"/>
    </xf>
    <xf numFmtId="0" fontId="9" fillId="0" borderId="78" xfId="0" applyFont="1" applyBorder="1" applyAlignment="1" applyProtection="1">
      <alignment horizontal="center" vertical="center"/>
      <protection locked="0"/>
    </xf>
    <xf numFmtId="0" fontId="9" fillId="0" borderId="98" xfId="0" applyFont="1" applyBorder="1" applyAlignment="1" applyProtection="1">
      <alignment horizontal="center" vertical="center"/>
      <protection locked="0"/>
    </xf>
    <xf numFmtId="0" fontId="19" fillId="0" borderId="78" xfId="0" applyFont="1" applyBorder="1" applyAlignment="1" applyProtection="1">
      <alignment horizontal="center" vertical="top" wrapText="1"/>
      <protection hidden="1"/>
    </xf>
    <xf numFmtId="0" fontId="19" fillId="0" borderId="98" xfId="0" applyFont="1" applyBorder="1" applyAlignment="1" applyProtection="1">
      <alignment horizontal="center" vertical="top" wrapText="1"/>
      <protection hidden="1"/>
    </xf>
    <xf numFmtId="0" fontId="9" fillId="0" borderId="22" xfId="4" applyFont="1" applyBorder="1" applyAlignment="1">
      <alignment horizontal="left" vertical="center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06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9" fillId="0" borderId="101" xfId="4" applyFont="1" applyBorder="1" applyAlignment="1">
      <alignment horizontal="left" vertical="center"/>
    </xf>
    <xf numFmtId="0" fontId="9" fillId="0" borderId="102" xfId="4" applyFont="1" applyBorder="1" applyAlignment="1">
      <alignment horizontal="left" vertical="center"/>
    </xf>
    <xf numFmtId="0" fontId="9" fillId="0" borderId="104" xfId="4" applyFont="1" applyBorder="1" applyAlignment="1">
      <alignment horizontal="left" vertical="center"/>
    </xf>
    <xf numFmtId="0" fontId="9" fillId="0" borderId="23" xfId="4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78" fontId="22" fillId="0" borderId="0" xfId="0" applyNumberFormat="1" applyFont="1" applyAlignment="1" applyProtection="1">
      <alignment horizontal="center"/>
      <protection hidden="1"/>
    </xf>
    <xf numFmtId="0" fontId="19" fillId="0" borderId="107" xfId="4" applyFont="1" applyBorder="1" applyAlignment="1">
      <alignment horizontal="center" vertical="center"/>
    </xf>
    <xf numFmtId="0" fontId="19" fillId="0" borderId="108" xfId="4" applyFont="1" applyBorder="1" applyAlignment="1">
      <alignment horizontal="center" vertical="center"/>
    </xf>
    <xf numFmtId="0" fontId="19" fillId="0" borderId="0" xfId="3" applyFont="1" applyAlignment="1">
      <alignment horizontal="center" vertical="center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00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72" fillId="0" borderId="78" xfId="0" applyFont="1" applyBorder="1" applyAlignment="1">
      <alignment horizontal="center" vertical="center"/>
    </xf>
    <xf numFmtId="0" fontId="72" fillId="0" borderId="98" xfId="0" applyFont="1" applyBorder="1" applyAlignment="1">
      <alignment horizontal="center" vertical="center"/>
    </xf>
    <xf numFmtId="0" fontId="72" fillId="0" borderId="96" xfId="0" applyFont="1" applyBorder="1" applyAlignment="1">
      <alignment horizontal="center" vertical="center"/>
    </xf>
    <xf numFmtId="0" fontId="19" fillId="0" borderId="96" xfId="3" applyFont="1" applyBorder="1" applyAlignment="1">
      <alignment horizontal="center" vertical="center"/>
    </xf>
    <xf numFmtId="0" fontId="19" fillId="0" borderId="98" xfId="3" applyFont="1" applyBorder="1" applyAlignment="1">
      <alignment horizontal="center" vertical="center"/>
    </xf>
    <xf numFmtId="0" fontId="19" fillId="0" borderId="78" xfId="3" applyFont="1" applyBorder="1" applyAlignment="1">
      <alignment horizontal="center" vertical="center"/>
    </xf>
    <xf numFmtId="0" fontId="14" fillId="0" borderId="0" xfId="1" applyFont="1" applyFill="1" applyBorder="1" applyAlignment="1" applyProtection="1">
      <alignment horizontal="center" vertical="center" wrapText="1"/>
    </xf>
    <xf numFmtId="0" fontId="9" fillId="0" borderId="78" xfId="5" applyFont="1" applyBorder="1" applyAlignment="1">
      <alignment horizontal="left" vertical="center" wrapText="1" indent="1"/>
    </xf>
    <xf numFmtId="0" fontId="9" fillId="0" borderId="98" xfId="5" applyFont="1" applyBorder="1" applyAlignment="1">
      <alignment horizontal="left" vertical="center" wrapText="1" indent="1"/>
    </xf>
    <xf numFmtId="0" fontId="55" fillId="0" borderId="91" xfId="0" applyFont="1" applyBorder="1" applyAlignment="1">
      <alignment horizontal="center" vertical="center" wrapText="1"/>
    </xf>
    <xf numFmtId="0" fontId="55" fillId="0" borderId="111" xfId="0" applyFont="1" applyBorder="1" applyAlignment="1">
      <alignment horizontal="center" vertical="center" wrapText="1"/>
    </xf>
    <xf numFmtId="0" fontId="9" fillId="0" borderId="107" xfId="4" applyFont="1" applyBorder="1" applyAlignment="1">
      <alignment horizontal="center" vertical="center"/>
    </xf>
    <xf numFmtId="0" fontId="9" fillId="0" borderId="108" xfId="4" applyFont="1" applyBorder="1" applyAlignment="1">
      <alignment horizontal="center" vertical="center"/>
    </xf>
    <xf numFmtId="0" fontId="14" fillId="2" borderId="34" xfId="0" applyFont="1" applyFill="1" applyBorder="1" applyAlignment="1">
      <alignment horizontal="left" vertical="center"/>
    </xf>
    <xf numFmtId="0" fontId="14" fillId="2" borderId="35" xfId="0" applyFont="1" applyFill="1" applyBorder="1" applyAlignment="1">
      <alignment horizontal="left" vertical="center"/>
    </xf>
    <xf numFmtId="0" fontId="14" fillId="2" borderId="33" xfId="0" applyFont="1" applyFill="1" applyBorder="1" applyAlignment="1">
      <alignment horizontal="left" vertical="center"/>
    </xf>
    <xf numFmtId="164" fontId="14" fillId="2" borderId="38" xfId="0" applyNumberFormat="1" applyFont="1" applyFill="1" applyBorder="1" applyAlignment="1">
      <alignment horizontal="center" vertical="center"/>
    </xf>
    <xf numFmtId="164" fontId="14" fillId="2" borderId="39" xfId="0" applyNumberFormat="1" applyFont="1" applyFill="1" applyBorder="1" applyAlignment="1">
      <alignment horizontal="center" vertical="center"/>
    </xf>
    <xf numFmtId="164" fontId="14" fillId="2" borderId="30" xfId="0" applyNumberFormat="1" applyFont="1" applyFill="1" applyBorder="1" applyAlignment="1">
      <alignment horizontal="center" vertical="center"/>
    </xf>
    <xf numFmtId="0" fontId="14" fillId="0" borderId="0" xfId="1" applyFont="1" applyBorder="1" applyAlignment="1" applyProtection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74" fontId="22" fillId="0" borderId="0" xfId="0" applyNumberFormat="1" applyFont="1" applyAlignment="1" applyProtection="1">
      <alignment horizontal="center"/>
      <protection hidden="1"/>
    </xf>
    <xf numFmtId="167" fontId="14" fillId="0" borderId="21" xfId="0" applyNumberFormat="1" applyFont="1" applyBorder="1" applyAlignment="1" applyProtection="1">
      <alignment horizontal="center" vertical="center"/>
      <protection hidden="1"/>
    </xf>
    <xf numFmtId="0" fontId="55" fillId="2" borderId="1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2" borderId="11" xfId="0" applyFont="1" applyFill="1" applyBorder="1" applyAlignment="1">
      <alignment horizontal="center" vertical="center"/>
    </xf>
    <xf numFmtId="0" fontId="55" fillId="2" borderId="13" xfId="0" applyFont="1" applyFill="1" applyBorder="1" applyAlignment="1">
      <alignment horizontal="center" vertical="center"/>
    </xf>
    <xf numFmtId="167" fontId="14" fillId="0" borderId="22" xfId="0" applyNumberFormat="1" applyFont="1" applyBorder="1" applyAlignment="1" applyProtection="1">
      <alignment horizontal="center" vertical="center"/>
      <protection hidden="1"/>
    </xf>
    <xf numFmtId="164" fontId="14" fillId="2" borderId="12" xfId="0" applyNumberFormat="1" applyFont="1" applyFill="1" applyBorder="1" applyAlignment="1">
      <alignment horizontal="left" vertical="center"/>
    </xf>
    <xf numFmtId="164" fontId="14" fillId="2" borderId="11" xfId="0" applyNumberFormat="1" applyFont="1" applyFill="1" applyBorder="1" applyAlignment="1">
      <alignment horizontal="left" vertical="center"/>
    </xf>
    <xf numFmtId="164" fontId="14" fillId="2" borderId="13" xfId="0" applyNumberFormat="1" applyFont="1" applyFill="1" applyBorder="1" applyAlignment="1">
      <alignment horizontal="left" vertical="center"/>
    </xf>
    <xf numFmtId="164" fontId="14" fillId="2" borderId="16" xfId="0" applyNumberFormat="1" applyFont="1" applyFill="1" applyBorder="1" applyAlignment="1">
      <alignment horizontal="left" vertical="center"/>
    </xf>
    <xf numFmtId="164" fontId="14" fillId="2" borderId="10" xfId="0" applyNumberFormat="1" applyFont="1" applyFill="1" applyBorder="1" applyAlignment="1">
      <alignment horizontal="left" vertical="center"/>
    </xf>
    <xf numFmtId="164" fontId="14" fillId="2" borderId="17" xfId="0" applyNumberFormat="1" applyFont="1" applyFill="1" applyBorder="1" applyAlignment="1">
      <alignment horizontal="left" vertical="center"/>
    </xf>
    <xf numFmtId="164" fontId="14" fillId="2" borderId="21" xfId="0" applyNumberFormat="1" applyFont="1" applyFill="1" applyBorder="1" applyAlignment="1">
      <alignment horizontal="center" vertical="center"/>
    </xf>
    <xf numFmtId="0" fontId="14" fillId="2" borderId="23" xfId="0" applyFont="1" applyFill="1" applyBorder="1" applyAlignment="1">
      <alignment horizontal="center" vertical="center"/>
    </xf>
    <xf numFmtId="0" fontId="55" fillId="2" borderId="16" xfId="0" applyFont="1" applyFill="1" applyBorder="1" applyAlignment="1">
      <alignment horizontal="center" vertical="center"/>
    </xf>
    <xf numFmtId="0" fontId="55" fillId="2" borderId="10" xfId="0" applyFont="1" applyFill="1" applyBorder="1" applyAlignment="1">
      <alignment horizontal="center" vertical="center"/>
    </xf>
    <xf numFmtId="0" fontId="55" fillId="2" borderId="17" xfId="0" applyFont="1" applyFill="1" applyBorder="1" applyAlignment="1">
      <alignment horizontal="center" vertical="center"/>
    </xf>
    <xf numFmtId="0" fontId="14" fillId="2" borderId="32" xfId="0" applyFont="1" applyFill="1" applyBorder="1" applyAlignment="1">
      <alignment horizontal="left" vertical="center"/>
    </xf>
    <xf numFmtId="164" fontId="14" fillId="2" borderId="37" xfId="0" applyNumberFormat="1" applyFont="1" applyFill="1" applyBorder="1" applyAlignment="1">
      <alignment horizontal="center" vertical="center"/>
    </xf>
    <xf numFmtId="0" fontId="21" fillId="2" borderId="14" xfId="3" applyFont="1" applyFill="1" applyBorder="1" applyAlignment="1">
      <alignment horizontal="left" vertical="center" wrapText="1"/>
    </xf>
    <xf numFmtId="0" fontId="21" fillId="2" borderId="0" xfId="3" applyFont="1" applyFill="1" applyAlignment="1">
      <alignment horizontal="left" vertical="center" wrapText="1"/>
    </xf>
    <xf numFmtId="0" fontId="21" fillId="2" borderId="15" xfId="3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left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06" xfId="0" applyFont="1" applyFill="1" applyBorder="1" applyAlignment="1">
      <alignment horizontal="center" vertical="center" wrapText="1"/>
    </xf>
    <xf numFmtId="0" fontId="19" fillId="2" borderId="113" xfId="0" applyFont="1" applyFill="1" applyBorder="1" applyAlignment="1">
      <alignment horizontal="center" vertical="center" wrapText="1"/>
    </xf>
    <xf numFmtId="0" fontId="19" fillId="2" borderId="84" xfId="0" applyFont="1" applyFill="1" applyBorder="1" applyAlignment="1">
      <alignment horizontal="center" vertical="center" wrapText="1"/>
    </xf>
    <xf numFmtId="0" fontId="19" fillId="2" borderId="11" xfId="0" applyFont="1" applyFill="1" applyBorder="1" applyAlignment="1">
      <alignment horizontal="center" vertical="center" wrapText="1"/>
    </xf>
    <xf numFmtId="0" fontId="19" fillId="2" borderId="85" xfId="0" applyFont="1" applyFill="1" applyBorder="1" applyAlignment="1">
      <alignment horizontal="center" vertical="center" wrapText="1"/>
    </xf>
    <xf numFmtId="167" fontId="14" fillId="2" borderId="23" xfId="0" applyNumberFormat="1" applyFont="1" applyFill="1" applyBorder="1" applyAlignment="1" applyProtection="1">
      <alignment horizontal="center" vertical="center"/>
      <protection hidden="1"/>
    </xf>
    <xf numFmtId="0" fontId="55" fillId="2" borderId="91" xfId="0" applyFont="1" applyFill="1" applyBorder="1" applyAlignment="1">
      <alignment horizontal="center" vertical="center" wrapText="1"/>
    </xf>
    <xf numFmtId="0" fontId="55" fillId="2" borderId="20" xfId="0" applyFont="1" applyFill="1" applyBorder="1" applyAlignment="1">
      <alignment horizontal="center" vertical="center" wrapText="1"/>
    </xf>
    <xf numFmtId="164" fontId="14" fillId="2" borderId="21" xfId="0" applyNumberFormat="1" applyFont="1" applyFill="1" applyBorder="1" applyAlignment="1">
      <alignment horizontal="left" vertical="center"/>
    </xf>
    <xf numFmtId="164" fontId="14" fillId="2" borderId="22" xfId="0" applyNumberFormat="1" applyFont="1" applyFill="1" applyBorder="1" applyAlignment="1">
      <alignment horizontal="left" vertical="center"/>
    </xf>
    <xf numFmtId="164" fontId="14" fillId="2" borderId="23" xfId="0" applyNumberFormat="1" applyFont="1" applyFill="1" applyBorder="1" applyAlignment="1">
      <alignment horizontal="left" vertical="center"/>
    </xf>
    <xf numFmtId="164" fontId="14" fillId="2" borderId="22" xfId="0" applyNumberFormat="1" applyFont="1" applyFill="1" applyBorder="1" applyAlignment="1">
      <alignment horizontal="center" vertical="center"/>
    </xf>
    <xf numFmtId="164" fontId="14" fillId="2" borderId="23" xfId="0" applyNumberFormat="1" applyFont="1" applyFill="1" applyBorder="1" applyAlignment="1">
      <alignment horizontal="center" vertical="center"/>
    </xf>
    <xf numFmtId="172" fontId="54" fillId="3" borderId="78" xfId="4" quotePrefix="1" applyNumberFormat="1" applyFont="1" applyFill="1" applyBorder="1" applyAlignment="1">
      <alignment horizontal="center" vertical="center" wrapText="1"/>
    </xf>
    <xf numFmtId="172" fontId="54" fillId="3" borderId="96" xfId="4" quotePrefix="1" applyNumberFormat="1" applyFont="1" applyFill="1" applyBorder="1" applyAlignment="1">
      <alignment horizontal="center" vertical="center" wrapText="1"/>
    </xf>
    <xf numFmtId="172" fontId="54" fillId="3" borderId="98" xfId="4" quotePrefix="1" applyNumberFormat="1" applyFont="1" applyFill="1" applyBorder="1" applyAlignment="1">
      <alignment horizontal="center" vertical="center" wrapText="1"/>
    </xf>
    <xf numFmtId="172" fontId="55" fillId="3" borderId="78" xfId="4" quotePrefix="1" applyNumberFormat="1" applyFont="1" applyFill="1" applyBorder="1" applyAlignment="1">
      <alignment horizontal="left" vertical="center"/>
    </xf>
    <xf numFmtId="172" fontId="55" fillId="3" borderId="98" xfId="4" quotePrefix="1" applyNumberFormat="1" applyFont="1" applyFill="1" applyBorder="1" applyAlignment="1">
      <alignment horizontal="left" vertical="center"/>
    </xf>
    <xf numFmtId="3" fontId="8" fillId="3" borderId="0" xfId="4" applyNumberFormat="1" applyFont="1" applyFill="1" applyAlignment="1">
      <alignment horizontal="center" vertical="center" wrapText="1"/>
    </xf>
    <xf numFmtId="166" fontId="18" fillId="3" borderId="0" xfId="4" applyNumberFormat="1" applyFont="1" applyFill="1" applyAlignment="1">
      <alignment horizontal="center" vertical="center" wrapText="1"/>
    </xf>
    <xf numFmtId="0" fontId="2" fillId="0" borderId="84" xfId="4" applyFont="1" applyBorder="1" applyAlignment="1" applyProtection="1">
      <alignment horizontal="center" vertical="center" wrapText="1"/>
      <protection hidden="1"/>
    </xf>
    <xf numFmtId="0" fontId="2" fillId="0" borderId="11" xfId="4" applyFont="1" applyBorder="1" applyAlignment="1" applyProtection="1">
      <alignment horizontal="center" vertical="center" wrapText="1"/>
      <protection hidden="1"/>
    </xf>
    <xf numFmtId="0" fontId="2" fillId="0" borderId="85" xfId="4" applyFont="1" applyBorder="1" applyAlignment="1" applyProtection="1">
      <alignment horizontal="center" vertical="center" wrapText="1"/>
      <protection hidden="1"/>
    </xf>
    <xf numFmtId="0" fontId="2" fillId="0" borderId="16" xfId="4" applyFont="1" applyBorder="1" applyAlignment="1" applyProtection="1">
      <alignment horizontal="center" vertical="center" wrapText="1"/>
      <protection hidden="1"/>
    </xf>
    <xf numFmtId="0" fontId="2" fillId="0" borderId="10" xfId="4" applyFont="1" applyBorder="1" applyAlignment="1" applyProtection="1">
      <alignment horizontal="center" vertical="center" wrapText="1"/>
      <protection hidden="1"/>
    </xf>
    <xf numFmtId="0" fontId="2" fillId="0" borderId="17" xfId="4" applyFont="1" applyBorder="1" applyAlignment="1" applyProtection="1">
      <alignment horizontal="center" vertical="center" wrapText="1"/>
      <protection hidden="1"/>
    </xf>
    <xf numFmtId="0" fontId="21" fillId="2" borderId="87" xfId="3" applyFont="1" applyFill="1" applyBorder="1" applyAlignment="1">
      <alignment horizontal="left" vertical="center" wrapText="1"/>
    </xf>
    <xf numFmtId="0" fontId="11" fillId="0" borderId="11" xfId="4" applyFont="1" applyBorder="1" applyAlignment="1">
      <alignment horizontal="center" vertical="center" wrapText="1"/>
    </xf>
    <xf numFmtId="172" fontId="53" fillId="3" borderId="78" xfId="4" quotePrefix="1" applyNumberFormat="1" applyFont="1" applyFill="1" applyBorder="1" applyAlignment="1">
      <alignment horizontal="center" vertical="center" wrapText="1"/>
    </xf>
    <xf numFmtId="172" fontId="53" fillId="3" borderId="96" xfId="4" quotePrefix="1" applyNumberFormat="1" applyFont="1" applyFill="1" applyBorder="1" applyAlignment="1">
      <alignment horizontal="center" vertical="center" wrapText="1"/>
    </xf>
    <xf numFmtId="172" fontId="53" fillId="3" borderId="97" xfId="4" quotePrefix="1" applyNumberFormat="1" applyFont="1" applyFill="1" applyBorder="1" applyAlignment="1">
      <alignment horizontal="center" vertical="center" wrapText="1"/>
    </xf>
    <xf numFmtId="172" fontId="53" fillId="3" borderId="1" xfId="4" quotePrefix="1" applyNumberFormat="1" applyFont="1" applyFill="1" applyBorder="1" applyAlignment="1">
      <alignment horizontal="center" vertical="center" wrapText="1"/>
    </xf>
    <xf numFmtId="170" fontId="5" fillId="0" borderId="0" xfId="4" applyNumberFormat="1" applyFont="1" applyAlignment="1" applyProtection="1">
      <alignment horizontal="left"/>
      <protection hidden="1"/>
    </xf>
    <xf numFmtId="0" fontId="22" fillId="2" borderId="0" xfId="4" applyFont="1" applyFill="1" applyAlignment="1">
      <alignment horizontal="center" vertical="center"/>
    </xf>
    <xf numFmtId="176" fontId="22" fillId="0" borderId="0" xfId="4" applyNumberFormat="1" applyFont="1" applyAlignment="1" applyProtection="1">
      <alignment horizontal="center"/>
      <protection hidden="1"/>
    </xf>
    <xf numFmtId="0" fontId="9" fillId="2" borderId="0" xfId="4" applyFont="1" applyFill="1" applyAlignment="1">
      <alignment horizontal="left" vertical="center" wrapText="1"/>
    </xf>
    <xf numFmtId="179" fontId="22" fillId="0" borderId="0" xfId="4" applyNumberFormat="1" applyFont="1" applyAlignment="1" applyProtection="1">
      <alignment horizontal="center"/>
      <protection hidden="1"/>
    </xf>
    <xf numFmtId="0" fontId="2" fillId="0" borderId="106" xfId="4" applyFont="1" applyBorder="1" applyAlignment="1" applyProtection="1">
      <alignment horizontal="center" vertical="center" wrapText="1"/>
      <protection hidden="1"/>
    </xf>
    <xf numFmtId="0" fontId="2" fillId="0" borderId="113" xfId="4" applyFont="1" applyBorder="1" applyAlignment="1" applyProtection="1">
      <alignment horizontal="center" vertical="center" wrapText="1"/>
      <protection hidden="1"/>
    </xf>
    <xf numFmtId="0" fontId="55" fillId="0" borderId="78" xfId="4" applyFont="1" applyBorder="1" applyAlignment="1" applyProtection="1">
      <alignment horizontal="center" vertical="center" wrapText="1"/>
      <protection hidden="1"/>
    </xf>
    <xf numFmtId="0" fontId="55" fillId="0" borderId="96" xfId="4" applyFont="1" applyBorder="1" applyAlignment="1" applyProtection="1">
      <alignment horizontal="center" vertical="center" wrapText="1"/>
      <protection hidden="1"/>
    </xf>
    <xf numFmtId="0" fontId="55" fillId="0" borderId="98" xfId="4" applyFont="1" applyBorder="1" applyAlignment="1" applyProtection="1">
      <alignment horizontal="center" vertical="center" wrapText="1"/>
      <protection hidden="1"/>
    </xf>
    <xf numFmtId="0" fontId="14" fillId="0" borderId="11" xfId="4" applyFont="1" applyBorder="1" applyAlignment="1" applyProtection="1">
      <alignment horizontal="center" vertical="center"/>
      <protection hidden="1"/>
    </xf>
    <xf numFmtId="0" fontId="46" fillId="11" borderId="80" xfId="4" applyFont="1" applyFill="1" applyBorder="1" applyAlignment="1">
      <alignment horizontal="left" vertical="center" wrapText="1"/>
    </xf>
    <xf numFmtId="0" fontId="46" fillId="11" borderId="81" xfId="4" applyFont="1" applyFill="1" applyBorder="1" applyAlignment="1">
      <alignment horizontal="left" vertical="center" wrapText="1"/>
    </xf>
    <xf numFmtId="0" fontId="32" fillId="12" borderId="83" xfId="4" applyFont="1" applyFill="1" applyBorder="1" applyAlignment="1">
      <alignment horizontal="center" vertical="center" textRotation="90" wrapText="1"/>
    </xf>
    <xf numFmtId="0" fontId="32" fillId="12" borderId="75" xfId="4" applyFont="1" applyFill="1" applyBorder="1" applyAlignment="1">
      <alignment horizontal="center" vertical="center" textRotation="90" wrapText="1"/>
    </xf>
    <xf numFmtId="0" fontId="32" fillId="12" borderId="92" xfId="4" applyFont="1" applyFill="1" applyBorder="1" applyAlignment="1">
      <alignment horizontal="center" vertical="center" textRotation="90" wrapText="1"/>
    </xf>
    <xf numFmtId="0" fontId="47" fillId="12" borderId="84" xfId="4" applyFont="1" applyFill="1" applyBorder="1" applyAlignment="1">
      <alignment horizontal="center" vertical="center" textRotation="90" wrapText="1"/>
    </xf>
    <xf numFmtId="0" fontId="47" fillId="12" borderId="85" xfId="4" applyFont="1" applyFill="1" applyBorder="1" applyAlignment="1">
      <alignment horizontal="center" vertical="center" textRotation="90" wrapText="1"/>
    </xf>
    <xf numFmtId="0" fontId="47" fillId="12" borderId="87" xfId="4" applyFont="1" applyFill="1" applyBorder="1" applyAlignment="1">
      <alignment horizontal="center" vertical="center" textRotation="90" wrapText="1"/>
    </xf>
    <xf numFmtId="0" fontId="47" fillId="12" borderId="15" xfId="4" applyFont="1" applyFill="1" applyBorder="1" applyAlignment="1">
      <alignment horizontal="center" vertical="center" textRotation="90" wrapText="1"/>
    </xf>
    <xf numFmtId="0" fontId="47" fillId="12" borderId="16" xfId="4" applyFont="1" applyFill="1" applyBorder="1" applyAlignment="1">
      <alignment horizontal="center" vertical="center" textRotation="90" wrapText="1"/>
    </xf>
    <xf numFmtId="0" fontId="47" fillId="12" borderId="17" xfId="4" applyFont="1" applyFill="1" applyBorder="1" applyAlignment="1">
      <alignment horizontal="center" vertical="center" textRotation="90" wrapText="1"/>
    </xf>
    <xf numFmtId="0" fontId="49" fillId="13" borderId="84" xfId="4" applyFont="1" applyFill="1" applyBorder="1" applyAlignment="1">
      <alignment horizontal="left" vertical="center" wrapText="1"/>
    </xf>
    <xf numFmtId="0" fontId="49" fillId="13" borderId="86" xfId="4" applyFont="1" applyFill="1" applyBorder="1" applyAlignment="1">
      <alignment horizontal="left" vertical="center" wrapText="1"/>
    </xf>
    <xf numFmtId="0" fontId="49" fillId="13" borderId="88" xfId="4" applyFont="1" applyFill="1" applyBorder="1" applyAlignment="1">
      <alignment horizontal="left" vertical="center" wrapText="1"/>
    </xf>
    <xf numFmtId="0" fontId="49" fillId="13" borderId="89" xfId="4" applyFont="1" applyFill="1" applyBorder="1" applyAlignment="1">
      <alignment horizontal="left" vertical="center" wrapText="1"/>
    </xf>
    <xf numFmtId="0" fontId="47" fillId="12" borderId="0" xfId="4" applyFont="1" applyFill="1" applyAlignment="1">
      <alignment horizontal="center" vertical="center" textRotation="90" wrapText="1"/>
    </xf>
    <xf numFmtId="0" fontId="47" fillId="12" borderId="10" xfId="4" applyFont="1" applyFill="1" applyBorder="1" applyAlignment="1">
      <alignment horizontal="center" vertical="center" textRotation="90" wrapText="1"/>
    </xf>
    <xf numFmtId="0" fontId="37" fillId="6" borderId="0" xfId="4" applyFont="1" applyFill="1" applyAlignment="1">
      <alignment horizontal="center"/>
    </xf>
    <xf numFmtId="0" fontId="33" fillId="6" borderId="74" xfId="4" applyFont="1" applyFill="1" applyBorder="1" applyAlignment="1">
      <alignment horizontal="center" vertical="center"/>
    </xf>
    <xf numFmtId="0" fontId="27" fillId="6" borderId="74" xfId="4" applyFont="1" applyFill="1" applyBorder="1" applyAlignment="1">
      <alignment horizontal="center" vertical="center" wrapText="1"/>
    </xf>
    <xf numFmtId="0" fontId="41" fillId="0" borderId="0" xfId="4" applyFont="1" applyAlignment="1">
      <alignment horizontal="center" wrapText="1"/>
    </xf>
    <xf numFmtId="0" fontId="30" fillId="7" borderId="75" xfId="4" applyFont="1" applyFill="1" applyBorder="1" applyAlignment="1">
      <alignment horizontal="center" vertical="center" textRotation="90" wrapText="1"/>
    </xf>
    <xf numFmtId="0" fontId="30" fillId="7" borderId="82" xfId="4" applyFont="1" applyFill="1" applyBorder="1" applyAlignment="1">
      <alignment horizontal="center" vertical="center" textRotation="90" wrapText="1"/>
    </xf>
    <xf numFmtId="0" fontId="43" fillId="7" borderId="76" xfId="4" applyFont="1" applyFill="1" applyBorder="1" applyAlignment="1">
      <alignment horizontal="center" vertical="center" textRotation="90" wrapText="1"/>
    </xf>
    <xf numFmtId="0" fontId="43" fillId="7" borderId="20" xfId="4" applyFont="1" applyFill="1" applyBorder="1" applyAlignment="1">
      <alignment horizontal="center" vertical="center" textRotation="90" wrapText="1"/>
    </xf>
    <xf numFmtId="0" fontId="43" fillId="7" borderId="0" xfId="4" applyFont="1" applyFill="1" applyAlignment="1">
      <alignment horizontal="center" vertical="center" textRotation="90" wrapText="1"/>
    </xf>
    <xf numFmtId="0" fontId="45" fillId="5" borderId="16" xfId="4" applyFont="1" applyFill="1" applyBorder="1" applyAlignment="1">
      <alignment horizontal="center" vertical="center" wrapText="1"/>
    </xf>
    <xf numFmtId="0" fontId="45" fillId="5" borderId="77" xfId="4" applyFont="1" applyFill="1" applyBorder="1" applyAlignment="1">
      <alignment horizontal="center" vertical="center" wrapText="1"/>
    </xf>
    <xf numFmtId="0" fontId="45" fillId="5" borderId="78" xfId="4" applyFont="1" applyFill="1" applyBorder="1" applyAlignment="1">
      <alignment horizontal="center" vertical="center" wrapText="1"/>
    </xf>
    <xf numFmtId="0" fontId="45" fillId="5" borderId="79" xfId="4" applyFont="1" applyFill="1" applyBorder="1" applyAlignment="1">
      <alignment horizontal="center" vertical="center" wrapText="1"/>
    </xf>
    <xf numFmtId="0" fontId="45" fillId="5" borderId="80" xfId="4" applyFont="1" applyFill="1" applyBorder="1" applyAlignment="1">
      <alignment horizontal="left" vertical="center" wrapText="1"/>
    </xf>
    <xf numFmtId="0" fontId="45" fillId="5" borderId="81" xfId="4" applyFont="1" applyFill="1" applyBorder="1" applyAlignment="1">
      <alignment horizontal="left" vertical="center" wrapText="1"/>
    </xf>
    <xf numFmtId="0" fontId="46" fillId="11" borderId="78" xfId="4" applyFont="1" applyFill="1" applyBorder="1" applyAlignment="1">
      <alignment horizontal="center" vertical="center" wrapText="1"/>
    </xf>
    <xf numFmtId="0" fontId="46" fillId="11" borderId="79" xfId="4" applyFont="1" applyFill="1" applyBorder="1" applyAlignment="1">
      <alignment horizontal="center" vertical="center" wrapText="1"/>
    </xf>
    <xf numFmtId="0" fontId="30" fillId="9" borderId="69" xfId="4" applyFont="1" applyFill="1" applyBorder="1" applyAlignment="1">
      <alignment horizontal="center" vertical="center"/>
    </xf>
    <xf numFmtId="0" fontId="30" fillId="9" borderId="70" xfId="4" applyFont="1" applyFill="1" applyBorder="1" applyAlignment="1">
      <alignment horizontal="center" vertical="center"/>
    </xf>
    <xf numFmtId="0" fontId="30" fillId="9" borderId="71" xfId="4" applyFont="1" applyFill="1" applyBorder="1" applyAlignment="1">
      <alignment horizontal="center" vertical="center"/>
    </xf>
    <xf numFmtId="0" fontId="30" fillId="9" borderId="67" xfId="4" applyFont="1" applyFill="1" applyBorder="1" applyAlignment="1">
      <alignment horizontal="center" vertical="center"/>
    </xf>
    <xf numFmtId="0" fontId="36" fillId="2" borderId="18" xfId="4" applyFont="1" applyFill="1" applyBorder="1" applyAlignment="1">
      <alignment horizontal="center"/>
    </xf>
    <xf numFmtId="0" fontId="36" fillId="2" borderId="19" xfId="4" applyFont="1" applyFill="1" applyBorder="1" applyAlignment="1">
      <alignment horizontal="center"/>
    </xf>
    <xf numFmtId="0" fontId="27" fillId="6" borderId="40" xfId="4" applyFont="1" applyFill="1" applyBorder="1" applyAlignment="1">
      <alignment horizontal="center" vertical="center" wrapText="1"/>
    </xf>
    <xf numFmtId="0" fontId="27" fillId="6" borderId="41" xfId="4" applyFont="1" applyFill="1" applyBorder="1" applyAlignment="1">
      <alignment horizontal="center" vertical="center" wrapText="1"/>
    </xf>
    <xf numFmtId="0" fontId="28" fillId="6" borderId="41" xfId="4" applyFont="1" applyFill="1" applyBorder="1" applyAlignment="1">
      <alignment horizontal="center" vertical="center" wrapText="1"/>
    </xf>
    <xf numFmtId="0" fontId="29" fillId="6" borderId="41" xfId="4" applyFont="1" applyFill="1" applyBorder="1" applyAlignment="1">
      <alignment horizontal="center" vertical="center" wrapText="1"/>
    </xf>
    <xf numFmtId="0" fontId="29" fillId="6" borderId="41" xfId="4" applyFont="1" applyFill="1" applyBorder="1" applyAlignment="1">
      <alignment horizontal="center" vertical="center"/>
    </xf>
    <xf numFmtId="0" fontId="29" fillId="6" borderId="42" xfId="4" applyFont="1" applyFill="1" applyBorder="1" applyAlignment="1">
      <alignment horizontal="center" vertical="center"/>
    </xf>
    <xf numFmtId="0" fontId="27" fillId="6" borderId="43" xfId="4" applyFont="1" applyFill="1" applyBorder="1" applyAlignment="1">
      <alignment horizontal="center" vertical="center" wrapText="1"/>
    </xf>
    <xf numFmtId="0" fontId="27" fillId="6" borderId="44" xfId="4" applyFont="1" applyFill="1" applyBorder="1" applyAlignment="1">
      <alignment horizontal="center" vertical="center"/>
    </xf>
    <xf numFmtId="0" fontId="27" fillId="6" borderId="51" xfId="4" applyFont="1" applyFill="1" applyBorder="1" applyAlignment="1">
      <alignment horizontal="center" vertical="center"/>
    </xf>
    <xf numFmtId="0" fontId="27" fillId="6" borderId="52" xfId="4" applyFont="1" applyFill="1" applyBorder="1" applyAlignment="1">
      <alignment horizontal="center" vertical="center"/>
    </xf>
    <xf numFmtId="0" fontId="30" fillId="6" borderId="45" xfId="4" applyFont="1" applyFill="1" applyBorder="1" applyAlignment="1">
      <alignment horizontal="center" vertical="center"/>
    </xf>
    <xf numFmtId="0" fontId="30" fillId="6" borderId="46" xfId="4" applyFont="1" applyFill="1" applyBorder="1" applyAlignment="1">
      <alignment horizontal="center" vertical="center"/>
    </xf>
    <xf numFmtId="0" fontId="30" fillId="6" borderId="43" xfId="4" applyFont="1" applyFill="1" applyBorder="1" applyAlignment="1">
      <alignment horizontal="center" vertical="center"/>
    </xf>
    <xf numFmtId="0" fontId="30" fillId="6" borderId="51" xfId="4" applyFont="1" applyFill="1" applyBorder="1" applyAlignment="1">
      <alignment horizontal="center" vertical="center"/>
    </xf>
    <xf numFmtId="0" fontId="30" fillId="6" borderId="47" xfId="4" applyFont="1" applyFill="1" applyBorder="1" applyAlignment="1">
      <alignment horizontal="center" vertical="center"/>
    </xf>
    <xf numFmtId="0" fontId="31" fillId="6" borderId="48" xfId="4" applyFont="1" applyFill="1" applyBorder="1" applyAlignment="1">
      <alignment horizontal="center" vertical="center"/>
    </xf>
    <xf numFmtId="0" fontId="31" fillId="6" borderId="53" xfId="4" applyFont="1" applyFill="1" applyBorder="1" applyAlignment="1">
      <alignment horizontal="center" vertical="center"/>
    </xf>
    <xf numFmtId="0" fontId="31" fillId="6" borderId="49" xfId="4" applyFont="1" applyFill="1" applyBorder="1" applyAlignment="1">
      <alignment horizontal="center" vertical="center"/>
    </xf>
    <xf numFmtId="0" fontId="31" fillId="6" borderId="56" xfId="4" applyFont="1" applyFill="1" applyBorder="1" applyAlignment="1">
      <alignment horizontal="center" vertical="center"/>
    </xf>
    <xf numFmtId="0" fontId="31" fillId="6" borderId="43" xfId="4" applyFont="1" applyFill="1" applyBorder="1" applyAlignment="1">
      <alignment horizontal="center" vertical="center"/>
    </xf>
    <xf numFmtId="0" fontId="31" fillId="6" borderId="51" xfId="4" applyFont="1" applyFill="1" applyBorder="1" applyAlignment="1">
      <alignment horizontal="center" vertical="center"/>
    </xf>
    <xf numFmtId="0" fontId="31" fillId="6" borderId="45" xfId="4" applyFont="1" applyFill="1" applyBorder="1" applyAlignment="1">
      <alignment horizontal="center" vertical="center"/>
    </xf>
    <xf numFmtId="0" fontId="31" fillId="6" borderId="50" xfId="4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25668449197860965"/>
          <c:w val="0.84158415841584155"/>
          <c:h val="0.63903743315508021"/>
        </c:manualLayout>
      </c:layout>
      <c:scatterChart>
        <c:scatterStyle val="lineMarker"/>
        <c:varyColors val="0"/>
        <c:ser>
          <c:idx val="2"/>
          <c:order val="0"/>
          <c:tx>
            <c:strRef>
              <c:f>A.Granul!$C$19</c:f>
              <c:strCache>
                <c:ptCount val="1"/>
                <c:pt idx="0">
                  <c:v>M-1</c:v>
                </c:pt>
              </c:strCache>
            </c:strRef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A.Granul!$O$18:$O$35</c:f>
              <c:numCache>
                <c:formatCode>General</c:formatCode>
                <c:ptCount val="18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2.36</c:v>
                </c:pt>
                <c:pt idx="11">
                  <c:v>2</c:v>
                </c:pt>
                <c:pt idx="12">
                  <c:v>1.19</c:v>
                </c:pt>
                <c:pt idx="13">
                  <c:v>0.6</c:v>
                </c:pt>
                <c:pt idx="14">
                  <c:v>0.42</c:v>
                </c:pt>
                <c:pt idx="15">
                  <c:v>0.3</c:v>
                </c:pt>
                <c:pt idx="16">
                  <c:v>0.14899999999999999</c:v>
                </c:pt>
                <c:pt idx="17">
                  <c:v>7.3999999999999996E-2</c:v>
                </c:pt>
              </c:numCache>
            </c:numRef>
          </c:xVal>
          <c:yVal>
            <c:numRef>
              <c:f>A.Granul!$S$18:$S$35</c:f>
              <c:numCache>
                <c:formatCode>0.0</c:formatCode>
                <c:ptCount val="18"/>
                <c:pt idx="0">
                  <c:v>100</c:v>
                </c:pt>
                <c:pt idx="1">
                  <c:v>100</c:v>
                </c:pt>
                <c:pt idx="2">
                  <c:v>96.737365729020368</c:v>
                </c:pt>
                <c:pt idx="3">
                  <c:v>90.324022891039832</c:v>
                </c:pt>
                <c:pt idx="4">
                  <c:v>84.873241107276272</c:v>
                </c:pt>
                <c:pt idx="5">
                  <c:v>73.456819301447041</c:v>
                </c:pt>
                <c:pt idx="6">
                  <c:v>66.310363102405887</c:v>
                </c:pt>
                <c:pt idx="7">
                  <c:v>62.661585152699679</c:v>
                </c:pt>
                <c:pt idx="8">
                  <c:v>57.753643033232898</c:v>
                </c:pt>
                <c:pt idx="9">
                  <c:v>54.211194502306476</c:v>
                </c:pt>
                <c:pt idx="10">
                  <c:v>49.032616067382399</c:v>
                </c:pt>
                <c:pt idx="11">
                  <c:v>47.356367351557068</c:v>
                </c:pt>
                <c:pt idx="12">
                  <c:v>40.351707913359583</c:v>
                </c:pt>
                <c:pt idx="13">
                  <c:v>31.408593256302638</c:v>
                </c:pt>
                <c:pt idx="14">
                  <c:v>27.175831135894526</c:v>
                </c:pt>
                <c:pt idx="15">
                  <c:v>23.785875632381845</c:v>
                </c:pt>
                <c:pt idx="16">
                  <c:v>17.820677688355374</c:v>
                </c:pt>
                <c:pt idx="17">
                  <c:v>13.456812316430202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84-4F54-B9C4-7251D95801C4}"/>
            </c:ext>
          </c:extLst>
        </c:ser>
        <c:ser>
          <c:idx val="0"/>
          <c:order val="1"/>
          <c:tx>
            <c:v>Max</c:v>
          </c:tx>
          <c:spPr>
            <a:ln w="25400">
              <a:solidFill>
                <a:schemeClr val="tx1"/>
              </a:solidFill>
            </a:ln>
          </c:spPr>
          <c:marker>
            <c:symbol val="diamond"/>
            <c:size val="2"/>
            <c:spPr>
              <a:ln>
                <a:solidFill>
                  <a:schemeClr val="tx1"/>
                </a:solidFill>
              </a:ln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(A.Granul!$U$20,A.Granul!$U$21,A.Granul!$V$22,A.Granul!$V$23,A.Granul!$V$25,A.Granul!$V$27,A.Granul!$V$29,A.Granul!$V$32,A.Granul!$V$35)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80</c:v>
                </c:pt>
                <c:pt idx="5">
                  <c:v>65</c:v>
                </c:pt>
                <c:pt idx="6">
                  <c:v>52</c:v>
                </c:pt>
                <c:pt idx="7">
                  <c:v>35</c:v>
                </c:pt>
                <c:pt idx="8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5D-4A18-B02B-95B3153098E1}"/>
            </c:ext>
          </c:extLst>
        </c:ser>
        <c:ser>
          <c:idx val="1"/>
          <c:order val="2"/>
          <c:tx>
            <c:v>Min</c:v>
          </c:tx>
          <c:spPr>
            <a:ln w="25400">
              <a:solidFill>
                <a:schemeClr val="tx1"/>
              </a:solidFill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diamond"/>
            <c:size val="2"/>
            <c:spPr>
              <a:solidFill>
                <a:schemeClr val="tx1"/>
              </a:solidFill>
              <a:ln w="1905" cap="rnd">
                <a:solidFill>
                  <a:schemeClr val="tx1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(A.Granul!$O$20,A.Granul!$O$21,A.Granul!$O$22,A.Granul!$O$23,A.Granul!$O$25,A.Granul!$O$27,A.Granul!$O$29,A.Granul!$O$32,A.Granul!$O$35)</c:f>
              <c:numCache>
                <c:formatCode>General</c:formatCode>
                <c:ptCount val="9"/>
                <c:pt idx="0">
                  <c:v>50.6</c:v>
                </c:pt>
                <c:pt idx="1">
                  <c:v>38.1</c:v>
                </c:pt>
                <c:pt idx="2">
                  <c:v>25.4</c:v>
                </c:pt>
                <c:pt idx="3">
                  <c:v>19.05</c:v>
                </c:pt>
                <c:pt idx="4">
                  <c:v>9.5250000000000004</c:v>
                </c:pt>
                <c:pt idx="5">
                  <c:v>4.76</c:v>
                </c:pt>
                <c:pt idx="6">
                  <c:v>2</c:v>
                </c:pt>
                <c:pt idx="7">
                  <c:v>0.42</c:v>
                </c:pt>
                <c:pt idx="8">
                  <c:v>7.3999999999999996E-2</c:v>
                </c:pt>
              </c:numCache>
            </c:numRef>
          </c:xVal>
          <c:yVal>
            <c:numRef>
              <c:f>(A.Granul!$U$20,A.Granul!$U$21,A.Granul!$T$22,A.Granul!$T$23,A.Granul!$T$25,A.Granul!$T$27,A.Granul!$T$29,A.Granul!$T$32,A.Granul!$T$35)</c:f>
              <c:numCache>
                <c:formatCode>0</c:formatCode>
                <c:ptCount val="9"/>
                <c:pt idx="0">
                  <c:v>100</c:v>
                </c:pt>
                <c:pt idx="1">
                  <c:v>100</c:v>
                </c:pt>
                <c:pt idx="2">
                  <c:v>90</c:v>
                </c:pt>
                <c:pt idx="3">
                  <c:v>65</c:v>
                </c:pt>
                <c:pt idx="4">
                  <c:v>45</c:v>
                </c:pt>
                <c:pt idx="5">
                  <c:v>30</c:v>
                </c:pt>
                <c:pt idx="6">
                  <c:v>22</c:v>
                </c:pt>
                <c:pt idx="7">
                  <c:v>15</c:v>
                </c:pt>
                <c:pt idx="8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5D-4A18-B02B-95B315309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4208280"/>
        <c:axId val="263821120"/>
      </c:scatterChart>
      <c:valAx>
        <c:axId val="264208280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Diametro de las partículas (mm)</a:t>
                </a:r>
              </a:p>
            </c:rich>
          </c:tx>
          <c:layout>
            <c:manualLayout>
              <c:xMode val="edge"/>
              <c:yMode val="edge"/>
              <c:x val="0.39745403111739747"/>
              <c:y val="0.9411764705882352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63821120"/>
        <c:crosses val="autoZero"/>
        <c:crossBetween val="midCat"/>
      </c:valAx>
      <c:valAx>
        <c:axId val="263821120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s-PE"/>
                  <a:t>% que pasa</a:t>
                </a:r>
              </a:p>
            </c:rich>
          </c:tx>
          <c:layout>
            <c:manualLayout>
              <c:xMode val="edge"/>
              <c:yMode val="edge"/>
              <c:x val="1.1315417256011316E-2"/>
              <c:y val="0.41176470588235292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64208280"/>
        <c:crossesAt val="0.01"/>
        <c:crossBetween val="midCat"/>
        <c:majorUnit val="20"/>
        <c:minorUnit val="4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DETERMINACION DE LIMITE LIQUIDO</a:t>
            </a:r>
          </a:p>
        </c:rich>
      </c:tx>
      <c:layout>
        <c:manualLayout>
          <c:xMode val="edge"/>
          <c:yMode val="edge"/>
          <c:x val="0.25085982808849927"/>
          <c:y val="2.777777777777830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'LL-LP'!$N$36:$N$38</c:f>
            </c:numRef>
          </c:xVal>
          <c:yVal>
            <c:numRef>
              <c:f>'LL-LP'!$O$36:$O$38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87-4420-B380-8BFE541F2936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'LL-LP'!$N$39:$N$41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'LL-LP'!$O$39:$O$41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B87-4420-B380-8BFE541F2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5403864"/>
        <c:axId val="264537984"/>
      </c:scatterChart>
      <c:valAx>
        <c:axId val="26540386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64537984"/>
        <c:crosses val="autoZero"/>
        <c:crossBetween val="midCat"/>
        <c:majorUnit val="10"/>
        <c:minorUnit val="10"/>
      </c:valAx>
      <c:valAx>
        <c:axId val="264537984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% de Humedad</a:t>
                </a:r>
              </a:p>
            </c:rich>
          </c:tx>
          <c:layout>
            <c:manualLayout>
              <c:xMode val="edge"/>
              <c:yMode val="edge"/>
              <c:x val="1.7182130584192441E-2"/>
              <c:y val="0.30555730533683567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265403864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</xdr:colOff>
      <xdr:row>55</xdr:row>
      <xdr:rowOff>692</xdr:rowOff>
    </xdr:from>
    <xdr:to>
      <xdr:col>8</xdr:col>
      <xdr:colOff>904875</xdr:colOff>
      <xdr:row>55</xdr:row>
      <xdr:rowOff>692</xdr:rowOff>
    </xdr:to>
    <xdr:cxnSp macro="">
      <xdr:nvCxnSpPr>
        <xdr:cNvPr id="4" name="2 Conector rec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330987"/>
          <a:ext cx="6217054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502226</xdr:colOff>
      <xdr:row>49</xdr:row>
      <xdr:rowOff>51954</xdr:rowOff>
    </xdr:from>
    <xdr:to>
      <xdr:col>5</xdr:col>
      <xdr:colOff>320386</xdr:colOff>
      <xdr:row>53</xdr:row>
      <xdr:rowOff>5368</xdr:rowOff>
    </xdr:to>
    <xdr:sp macro="" textlink="">
      <xdr:nvSpPr>
        <xdr:cNvPr id="18" name="15 CuadroTexto">
          <a:extLst>
            <a:ext uri="{FF2B5EF4-FFF2-40B4-BE49-F238E27FC236}">
              <a16:creationId xmlns:a16="http://schemas.microsoft.com/office/drawing/2014/main" id="{AE6605AE-7F26-4CD7-BFE9-0C8B41F5A8BD}"/>
            </a:ext>
          </a:extLst>
        </xdr:cNvPr>
        <xdr:cNvSpPr txBox="1"/>
      </xdr:nvSpPr>
      <xdr:spPr>
        <a:xfrm>
          <a:off x="1584612" y="11178886"/>
          <a:ext cx="2208069" cy="80200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5</xdr:col>
      <xdr:colOff>405416</xdr:colOff>
      <xdr:row>49</xdr:row>
      <xdr:rowOff>53859</xdr:rowOff>
    </xdr:from>
    <xdr:to>
      <xdr:col>7</xdr:col>
      <xdr:colOff>639064</xdr:colOff>
      <xdr:row>53</xdr:row>
      <xdr:rowOff>5368</xdr:rowOff>
    </xdr:to>
    <xdr:sp macro="" textlink="">
      <xdr:nvSpPr>
        <xdr:cNvPr id="19" name="15 CuadroTexto">
          <a:extLst>
            <a:ext uri="{FF2B5EF4-FFF2-40B4-BE49-F238E27FC236}">
              <a16:creationId xmlns:a16="http://schemas.microsoft.com/office/drawing/2014/main" id="{6F7FF6F7-C0AE-4E4C-AAE2-DCBBF58FFAB8}"/>
            </a:ext>
          </a:extLst>
        </xdr:cNvPr>
        <xdr:cNvSpPr txBox="1"/>
      </xdr:nvSpPr>
      <xdr:spPr>
        <a:xfrm>
          <a:off x="3877711" y="11180791"/>
          <a:ext cx="2294512" cy="8001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 editAs="oneCell">
    <xdr:from>
      <xdr:col>3</xdr:col>
      <xdr:colOff>727361</xdr:colOff>
      <xdr:row>0</xdr:row>
      <xdr:rowOff>51953</xdr:rowOff>
    </xdr:from>
    <xdr:to>
      <xdr:col>6</xdr:col>
      <xdr:colOff>112566</xdr:colOff>
      <xdr:row>3</xdr:row>
      <xdr:rowOff>194282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D581D045-BD4C-424F-AACF-215BF319F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86543" y="51953"/>
          <a:ext cx="1437409" cy="8696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</xdr:colOff>
      <xdr:row>38</xdr:row>
      <xdr:rowOff>114301</xdr:rowOff>
    </xdr:from>
    <xdr:to>
      <xdr:col>10</xdr:col>
      <xdr:colOff>763905</xdr:colOff>
      <xdr:row>55</xdr:row>
      <xdr:rowOff>53341</xdr:rowOff>
    </xdr:to>
    <xdr:sp macro="" textlink="">
      <xdr:nvSpPr>
        <xdr:cNvPr id="35" name="Rectángulo 39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ChangeArrowheads="1"/>
        </xdr:cNvSpPr>
      </xdr:nvSpPr>
      <xdr:spPr bwMode="auto">
        <a:xfrm>
          <a:off x="129540" y="6758941"/>
          <a:ext cx="6296025" cy="2781300"/>
        </a:xfrm>
        <a:prstGeom prst="roundRect">
          <a:avLst>
            <a:gd name="adj" fmla="val 16667"/>
          </a:avLst>
        </a:prstGeom>
        <a:ln w="9525">
          <a:headEnd/>
          <a:tailEnd/>
        </a:ln>
        <a:extLst>
          <a:ext uri="{53640926-AAD7-44D8-BBD7-CCE9431645EC}">
            <a14:shadowObscured xmlns:a14="http://schemas.microsoft.com/office/drawing/2010/main" val="1"/>
          </a:ext>
        </a:extLst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</xdr:sp>
    <xdr:clientData/>
  </xdr:twoCellAnchor>
  <xdr:twoCellAnchor editAs="oneCell">
    <xdr:from>
      <xdr:col>2</xdr:col>
      <xdr:colOff>413385</xdr:colOff>
      <xdr:row>0</xdr:row>
      <xdr:rowOff>83820</xdr:rowOff>
    </xdr:from>
    <xdr:to>
      <xdr:col>8</xdr:col>
      <xdr:colOff>276225</xdr:colOff>
      <xdr:row>4</xdr:row>
      <xdr:rowOff>102870</xdr:rowOff>
    </xdr:to>
    <xdr:pic>
      <xdr:nvPicPr>
        <xdr:cNvPr id="317806" name="1 Imagen">
          <a:extLst>
            <a:ext uri="{FF2B5EF4-FFF2-40B4-BE49-F238E27FC236}">
              <a16:creationId xmlns:a16="http://schemas.microsoft.com/office/drawing/2014/main" id="{00000000-0008-0000-0100-00006ED904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34518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30480</xdr:colOff>
      <xdr:row>62</xdr:row>
      <xdr:rowOff>121920</xdr:rowOff>
    </xdr:from>
    <xdr:to>
      <xdr:col>10</xdr:col>
      <xdr:colOff>914400</xdr:colOff>
      <xdr:row>62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1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30480" y="10965180"/>
          <a:ext cx="65455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0</xdr:col>
      <xdr:colOff>106680</xdr:colOff>
      <xdr:row>39</xdr:row>
      <xdr:rowOff>114300</xdr:rowOff>
    </xdr:from>
    <xdr:to>
      <xdr:col>10</xdr:col>
      <xdr:colOff>769620</xdr:colOff>
      <xdr:row>55</xdr:row>
      <xdr:rowOff>7620</xdr:rowOff>
    </xdr:to>
    <xdr:graphicFrame macro="">
      <xdr:nvGraphicFramePr>
        <xdr:cNvPr id="7" name="Gráfico 34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739140</xdr:colOff>
      <xdr:row>40</xdr:row>
      <xdr:rowOff>99060</xdr:rowOff>
    </xdr:from>
    <xdr:to>
      <xdr:col>10</xdr:col>
      <xdr:colOff>729615</xdr:colOff>
      <xdr:row>43</xdr:row>
      <xdr:rowOff>100966</xdr:rowOff>
    </xdr:to>
    <xdr:grpSp>
      <xdr:nvGrpSpPr>
        <xdr:cNvPr id="8" name="Group 65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pSpPr>
          <a:grpSpLocks/>
        </xdr:cNvGrpSpPr>
      </xdr:nvGrpSpPr>
      <xdr:grpSpPr bwMode="auto">
        <a:xfrm>
          <a:off x="739140" y="7162800"/>
          <a:ext cx="5560695" cy="504826"/>
          <a:chOff x="-541" y="-192946"/>
          <a:chExt cx="19936" cy="150"/>
        </a:xfrm>
      </xdr:grpSpPr>
      <xdr:sp macro="" textlink="">
        <xdr:nvSpPr>
          <xdr:cNvPr id="9" name="Texto 63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89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</a:t>
            </a:r>
          </a:p>
        </xdr:txBody>
      </xdr:sp>
      <xdr:sp macro="" textlink="">
        <xdr:nvSpPr>
          <xdr:cNvPr id="10" name="Texto 62">
            <a:extLst>
              <a:ext uri="{FF2B5EF4-FFF2-40B4-BE49-F238E27FC236}">
                <a16:creationId xmlns:a16="http://schemas.microsoft.com/office/drawing/2014/main" id="{00000000-0008-0000-01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1075" y="-192853"/>
            <a:ext cx="2816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</a:t>
            </a:r>
          </a:p>
        </xdr:txBody>
      </xdr:sp>
      <xdr:sp macro="" textlink="">
        <xdr:nvSpPr>
          <xdr:cNvPr id="11" name="Texto 61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635" y="-192853"/>
            <a:ext cx="19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</a:t>
            </a:r>
          </a:p>
        </xdr:txBody>
      </xdr:sp>
      <xdr:sp macro="" textlink="">
        <xdr:nvSpPr>
          <xdr:cNvPr id="12" name="Texto 60">
            <a:extLst>
              <a:ext uri="{FF2B5EF4-FFF2-40B4-BE49-F238E27FC236}">
                <a16:creationId xmlns:a16="http://schemas.microsoft.com/office/drawing/2014/main" id="{00000000-0008-0000-0100-00000C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507" y="-19285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0.425</a:t>
            </a:r>
          </a:p>
        </xdr:txBody>
      </xdr:sp>
      <xdr:sp macro="" textlink="">
        <xdr:nvSpPr>
          <xdr:cNvPr id="13" name="Texto 59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891" y="-192853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0.075</a:t>
            </a:r>
          </a:p>
        </xdr:txBody>
      </xdr:sp>
      <xdr:sp macro="" textlink="">
        <xdr:nvSpPr>
          <xdr:cNvPr id="14" name="Texto 58">
            <a:extLst>
              <a:ext uri="{FF2B5EF4-FFF2-40B4-BE49-F238E27FC236}">
                <a16:creationId xmlns:a16="http://schemas.microsoft.com/office/drawing/2014/main" id="{00000000-0008-0000-01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4627" y="-192904"/>
            <a:ext cx="3616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5" name="Texto 57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9571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Gruesa</a:t>
            </a:r>
          </a:p>
        </xdr:txBody>
      </xdr:sp>
      <xdr:sp macro="" textlink="">
        <xdr:nvSpPr>
          <xdr:cNvPr id="16" name="Texto 56">
            <a:extLst>
              <a:ext uri="{FF2B5EF4-FFF2-40B4-BE49-F238E27FC236}">
                <a16:creationId xmlns:a16="http://schemas.microsoft.com/office/drawing/2014/main" id="{00000000-0008-0000-01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915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Media</a:t>
            </a:r>
          </a:p>
        </xdr:txBody>
      </xdr:sp>
      <xdr:sp macro="" textlink="">
        <xdr:nvSpPr>
          <xdr:cNvPr id="17" name="Texto 55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763" y="-192946"/>
            <a:ext cx="3584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Grava</a:t>
            </a:r>
          </a:p>
        </xdr:txBody>
      </xdr:sp>
      <xdr:sp macro="" textlink="">
        <xdr:nvSpPr>
          <xdr:cNvPr id="18" name="Texto 54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2003" y="-192907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19" name="Texto 53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035" y="-192907"/>
            <a:ext cx="3648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Fina</a:t>
            </a:r>
          </a:p>
        </xdr:txBody>
      </xdr:sp>
      <xdr:sp macro="" textlink="">
        <xdr:nvSpPr>
          <xdr:cNvPr id="20" name="Texto 52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659" y="-192946"/>
            <a:ext cx="3616" cy="54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Arena</a:t>
            </a:r>
          </a:p>
        </xdr:txBody>
      </xdr:sp>
      <xdr:grpSp>
        <xdr:nvGrpSpPr>
          <xdr:cNvPr id="21" name="Group 5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GrpSpPr>
            <a:grpSpLocks/>
          </xdr:cNvGrpSpPr>
        </xdr:nvGrpSpPr>
        <xdr:grpSpPr bwMode="auto">
          <a:xfrm>
            <a:off x="-541" y="-192937"/>
            <a:ext cx="18752" cy="81"/>
            <a:chOff x="1560000" y="14940000"/>
            <a:chExt cx="11720000" cy="540000"/>
          </a:xfrm>
        </xdr:grpSpPr>
        <xdr:sp macro="" textlink="">
          <xdr:nvSpPr>
            <xdr:cNvPr id="24" name="Line 40">
              <a:extLst>
                <a:ext uri="{FF2B5EF4-FFF2-40B4-BE49-F238E27FC236}">
                  <a16:creationId xmlns:a16="http://schemas.microsoft.com/office/drawing/2014/main" id="{00000000-0008-0000-0100-000018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546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5" name="Line 41">
              <a:extLst>
                <a:ext uri="{FF2B5EF4-FFF2-40B4-BE49-F238E27FC236}">
                  <a16:creationId xmlns:a16="http://schemas.microsoft.com/office/drawing/2014/main" id="{00000000-0008-0000-0100-00001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40000"/>
              <a:ext cx="1172000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6" name="Line 42">
              <a:extLst>
                <a:ext uri="{FF2B5EF4-FFF2-40B4-BE49-F238E27FC236}">
                  <a16:creationId xmlns:a16="http://schemas.microsoft.com/office/drawing/2014/main" id="{00000000-0008-0000-0100-00001A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5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7" name="Line 43">
              <a:extLst>
                <a:ext uri="{FF2B5EF4-FFF2-40B4-BE49-F238E27FC236}">
                  <a16:creationId xmlns:a16="http://schemas.microsoft.com/office/drawing/2014/main" id="{00000000-0008-0000-0100-00001B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20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8" name="Line 44">
              <a:extLst>
                <a:ext uri="{FF2B5EF4-FFF2-40B4-BE49-F238E27FC236}">
                  <a16:creationId xmlns:a16="http://schemas.microsoft.com/office/drawing/2014/main" id="{00000000-0008-0000-0100-00001C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654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29" name="Line 45">
              <a:extLst>
                <a:ext uri="{FF2B5EF4-FFF2-40B4-BE49-F238E27FC236}">
                  <a16:creationId xmlns:a16="http://schemas.microsoft.com/office/drawing/2014/main" id="{00000000-0008-0000-0100-00001D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856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0" name="Line 46">
              <a:extLst>
                <a:ext uri="{FF2B5EF4-FFF2-40B4-BE49-F238E27FC236}">
                  <a16:creationId xmlns:a16="http://schemas.microsoft.com/office/drawing/2014/main" id="{00000000-0008-0000-0100-00001E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962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1" name="Line 47">
              <a:extLst>
                <a:ext uri="{FF2B5EF4-FFF2-40B4-BE49-F238E27FC236}">
                  <a16:creationId xmlns:a16="http://schemas.microsoft.com/office/drawing/2014/main" id="{00000000-0008-0000-0100-00001F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1500000" y="15200000"/>
              <a:ext cx="0" cy="28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2" name="Line 48">
              <a:extLst>
                <a:ext uri="{FF2B5EF4-FFF2-40B4-BE49-F238E27FC236}">
                  <a16:creationId xmlns:a16="http://schemas.microsoft.com/office/drawing/2014/main" id="{00000000-0008-0000-0100-00002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13260000" y="14960000"/>
              <a:ext cx="0" cy="52000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33" name="Line 49">
              <a:extLst>
                <a:ext uri="{FF2B5EF4-FFF2-40B4-BE49-F238E27FC236}">
                  <a16:creationId xmlns:a16="http://schemas.microsoft.com/office/drawing/2014/main" id="{00000000-0008-0000-0100-000021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4199982" y="15200000"/>
              <a:ext cx="9059940" cy="0"/>
            </a:xfrm>
            <a:prstGeom prst="line">
              <a:avLst/>
            </a:prstGeom>
            <a:noFill/>
            <a:ln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</xdr:grpSp>
      <xdr:sp macro="" textlink="">
        <xdr:nvSpPr>
          <xdr:cNvPr id="22" name="Texto 51">
            <a:extLst>
              <a:ext uri="{FF2B5EF4-FFF2-40B4-BE49-F238E27FC236}">
                <a16:creationId xmlns:a16="http://schemas.microsoft.com/office/drawing/2014/main" id="{00000000-0008-0000-01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221" y="-192928"/>
            <a:ext cx="3648" cy="57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Limo y Arcilla</a:t>
            </a:r>
          </a:p>
        </xdr:txBody>
      </xdr:sp>
      <xdr:sp macro="" textlink="">
        <xdr:nvSpPr>
          <xdr:cNvPr id="23" name="Texto 64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6611" y="-192853"/>
            <a:ext cx="2784" cy="51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9"/>
          </a:solidFill>
          <a:ln>
            <a:noFill/>
          </a:ln>
          <a:extLst>
            <a:ext uri="{91240B29-F687-4F45-9708-019B960494DF}">
              <a14:hiddenLine xmlns:a14="http://schemas.microsoft.com/office/drawing/2010/main" w="1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</a:t>
            </a:r>
          </a:p>
        </xdr:txBody>
      </xdr:sp>
    </xdr:grpSp>
    <xdr:clientData/>
  </xdr:twoCellAnchor>
  <xdr:twoCellAnchor>
    <xdr:from>
      <xdr:col>2</xdr:col>
      <xdr:colOff>533400</xdr:colOff>
      <xdr:row>39</xdr:row>
      <xdr:rowOff>38100</xdr:rowOff>
    </xdr:from>
    <xdr:to>
      <xdr:col>7</xdr:col>
      <xdr:colOff>611505</xdr:colOff>
      <xdr:row>40</xdr:row>
      <xdr:rowOff>28575</xdr:rowOff>
    </xdr:to>
    <xdr:sp macro="" textlink="">
      <xdr:nvSpPr>
        <xdr:cNvPr id="34" name="Texto 38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 txBox="1">
          <a:spLocks noChangeArrowheads="1"/>
        </xdr:cNvSpPr>
      </xdr:nvSpPr>
      <xdr:spPr bwMode="auto">
        <a:xfrm>
          <a:off x="1790700" y="6842760"/>
          <a:ext cx="3034665" cy="15811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7</xdr:col>
      <xdr:colOff>512445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70685" y="83820"/>
          <a:ext cx="344424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45720</xdr:colOff>
      <xdr:row>48</xdr:row>
      <xdr:rowOff>121920</xdr:rowOff>
    </xdr:from>
    <xdr:to>
      <xdr:col>11</xdr:col>
      <xdr:colOff>0</xdr:colOff>
      <xdr:row>48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500360"/>
          <a:ext cx="68427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1</xdr:col>
      <xdr:colOff>0</xdr:colOff>
      <xdr:row>34</xdr:row>
      <xdr:rowOff>0</xdr:rowOff>
    </xdr:from>
    <xdr:to>
      <xdr:col>5</xdr:col>
      <xdr:colOff>541020</xdr:colOff>
      <xdr:row>41</xdr:row>
      <xdr:rowOff>7620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1135197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457200</xdr:colOff>
      <xdr:row>34</xdr:row>
      <xdr:rowOff>91440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951720" y="739140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413385</xdr:colOff>
      <xdr:row>0</xdr:row>
      <xdr:rowOff>83820</xdr:rowOff>
    </xdr:from>
    <xdr:to>
      <xdr:col>6</xdr:col>
      <xdr:colOff>672465</xdr:colOff>
      <xdr:row>4</xdr:row>
      <xdr:rowOff>102870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585" y="83820"/>
          <a:ext cx="3421380" cy="8115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52</xdr:row>
      <xdr:rowOff>121920</xdr:rowOff>
    </xdr:from>
    <xdr:to>
      <xdr:col>9</xdr:col>
      <xdr:colOff>922020</xdr:colOff>
      <xdr:row>52</xdr:row>
      <xdr:rowOff>121920</xdr:rowOff>
    </xdr:to>
    <xdr:cxnSp macro="">
      <xdr:nvCxnSpPr>
        <xdr:cNvPr id="3" name="2 Conector rec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cxnSpLocks noChangeShapeType="1"/>
        </xdr:cNvCxnSpPr>
      </xdr:nvCxnSpPr>
      <xdr:spPr bwMode="auto">
        <a:xfrm flipV="1">
          <a:off x="38100" y="10965180"/>
          <a:ext cx="68503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371475</xdr:colOff>
      <xdr:row>0</xdr:row>
      <xdr:rowOff>104775</xdr:rowOff>
    </xdr:from>
    <xdr:to>
      <xdr:col>14</xdr:col>
      <xdr:colOff>228600</xdr:colOff>
      <xdr:row>2</xdr:row>
      <xdr:rowOff>66675</xdr:rowOff>
    </xdr:to>
    <xdr:sp macro="" textlink="">
      <xdr:nvSpPr>
        <xdr:cNvPr id="2" name="Text Box 1" descr="Malla púrpura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 bwMode="auto">
        <a:xfrm>
          <a:off x="790575" y="104775"/>
          <a:ext cx="7545705" cy="297180"/>
        </a:xfrm>
        <a:prstGeom prst="rect">
          <a:avLst/>
        </a:prstGeom>
        <a:blipFill dpi="0" rotWithShape="0">
          <a:blip xmlns:r="http://schemas.openxmlformats.org/officeDocument/2006/relationships" r:embed="rId1"/>
          <a:srcRect/>
          <a:tile tx="0" ty="0" sx="100000" sy="100000" flip="none" algn="tl"/>
        </a:blip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36576" tIns="32004" rIns="36576" bIns="0" anchor="t" upright="1"/>
        <a:lstStyle/>
        <a:p>
          <a:pPr algn="ctr" rtl="0">
            <a:defRPr sz="1000"/>
          </a:pPr>
          <a:r>
            <a:rPr lang="es-PE" sz="1700" b="1" i="0" u="sng" strike="noStrike">
              <a:solidFill>
                <a:srgbClr val="FFFFFF"/>
              </a:solidFill>
              <a:latin typeface="Times New Roman"/>
              <a:cs typeface="Times New Roman"/>
            </a:rPr>
            <a:t>SISTEMA DE CLASIFICACION AASHTO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"/>
  <sheetViews>
    <sheetView showGridLines="0" tabSelected="1" view="pageBreakPreview" topLeftCell="A35" zoomScale="85" zoomScaleNormal="110" zoomScaleSheetLayoutView="85" workbookViewId="0">
      <selection activeCell="J42" sqref="J42:J45"/>
    </sheetView>
  </sheetViews>
  <sheetFormatPr baseColWidth="10" defaultColWidth="10.33203125" defaultRowHeight="13.8" x14ac:dyDescent="0.25"/>
  <cols>
    <col min="1" max="1" width="16.33203125" style="1" customWidth="1"/>
    <col min="2" max="2" width="15.5546875" style="1" customWidth="1"/>
    <col min="3" max="3" width="5" style="1" customWidth="1"/>
    <col min="4" max="4" width="14.88671875" style="1" customWidth="1"/>
    <col min="5" max="5" width="0.44140625" style="1" customWidth="1"/>
    <col min="6" max="6" width="15.5546875" style="1" customWidth="1"/>
    <col min="7" max="9" width="15.33203125" style="1" customWidth="1"/>
    <col min="10" max="16384" width="10.33203125" style="1"/>
  </cols>
  <sheetData>
    <row r="1" spans="1:12" ht="18.75" customHeight="1" thickTop="1" x14ac:dyDescent="0.25">
      <c r="A1" s="585"/>
      <c r="B1" s="586"/>
      <c r="C1" s="586"/>
      <c r="D1" s="586"/>
      <c r="E1" s="586"/>
      <c r="F1" s="586"/>
      <c r="G1" s="586"/>
      <c r="H1" s="586"/>
      <c r="I1" s="587"/>
    </row>
    <row r="2" spans="1:12" ht="18.75" customHeight="1" x14ac:dyDescent="0.25">
      <c r="A2" s="588"/>
      <c r="B2" s="589"/>
      <c r="C2" s="589"/>
      <c r="D2" s="589"/>
      <c r="E2" s="589"/>
      <c r="F2" s="589"/>
      <c r="G2" s="589"/>
      <c r="H2" s="589"/>
      <c r="I2" s="590"/>
    </row>
    <row r="3" spans="1:12" ht="18.75" customHeight="1" x14ac:dyDescent="0.25">
      <c r="A3" s="588"/>
      <c r="B3" s="589"/>
      <c r="C3" s="589"/>
      <c r="D3" s="589"/>
      <c r="E3" s="589"/>
      <c r="F3" s="589"/>
      <c r="G3" s="589"/>
      <c r="H3" s="589"/>
      <c r="I3" s="590"/>
    </row>
    <row r="4" spans="1:12" ht="18.75" customHeight="1" thickBot="1" x14ac:dyDescent="0.3">
      <c r="A4" s="591"/>
      <c r="B4" s="592"/>
      <c r="C4" s="592"/>
      <c r="D4" s="592"/>
      <c r="E4" s="592"/>
      <c r="F4" s="592"/>
      <c r="G4" s="592"/>
      <c r="H4" s="592"/>
      <c r="I4" s="593"/>
    </row>
    <row r="5" spans="1:12" ht="18.75" customHeight="1" thickTop="1" x14ac:dyDescent="0.25">
      <c r="A5" s="594" t="s">
        <v>23</v>
      </c>
      <c r="B5" s="594"/>
      <c r="C5" s="594"/>
      <c r="D5" s="594"/>
      <c r="E5" s="594"/>
      <c r="F5" s="594"/>
      <c r="G5" s="594"/>
      <c r="H5" s="594"/>
      <c r="I5" s="594"/>
    </row>
    <row r="6" spans="1:12" ht="14.25" customHeight="1" x14ac:dyDescent="0.25">
      <c r="A6" s="595" t="s">
        <v>279</v>
      </c>
      <c r="B6" s="595"/>
      <c r="C6" s="595"/>
      <c r="D6" s="595"/>
      <c r="E6" s="595"/>
      <c r="F6" s="595"/>
      <c r="G6" s="595"/>
      <c r="H6" s="595"/>
      <c r="I6" s="595"/>
      <c r="L6"/>
    </row>
    <row r="7" spans="1:12" ht="2.25" customHeight="1" x14ac:dyDescent="0.25">
      <c r="A7" s="472"/>
      <c r="B7" s="472"/>
      <c r="C7" s="472"/>
      <c r="D7" s="472"/>
      <c r="E7" s="472"/>
      <c r="F7" s="472"/>
      <c r="G7" s="472"/>
      <c r="H7" s="472"/>
      <c r="I7" s="472"/>
    </row>
    <row r="8" spans="1:12" ht="18.75" customHeight="1" x14ac:dyDescent="0.25">
      <c r="A8" s="473"/>
      <c r="B8" s="559" t="s">
        <v>338</v>
      </c>
      <c r="C8" s="603" t="s">
        <v>21</v>
      </c>
      <c r="D8" s="604"/>
      <c r="E8" s="562"/>
      <c r="F8" s="605" t="s">
        <v>337</v>
      </c>
      <c r="G8" s="604"/>
      <c r="H8" s="560" t="s">
        <v>336</v>
      </c>
      <c r="I8" s="474"/>
    </row>
    <row r="9" spans="1:12" ht="18.75" customHeight="1" x14ac:dyDescent="0.25">
      <c r="B9" s="557"/>
      <c r="C9" s="608"/>
      <c r="D9" s="607"/>
      <c r="E9" s="561"/>
      <c r="F9" s="606"/>
      <c r="G9" s="607"/>
      <c r="H9" s="558"/>
      <c r="I9" s="474"/>
    </row>
    <row r="10" spans="1:12" ht="18.75" customHeight="1" x14ac:dyDescent="0.25">
      <c r="A10" s="476"/>
      <c r="B10" s="598"/>
      <c r="C10" s="598"/>
      <c r="D10" s="598"/>
      <c r="E10" s="475"/>
      <c r="F10" s="598"/>
      <c r="G10" s="598"/>
      <c r="H10" s="475"/>
      <c r="I10" s="477"/>
    </row>
    <row r="11" spans="1:12" ht="27.75" customHeight="1" x14ac:dyDescent="0.25">
      <c r="A11" s="599" t="s">
        <v>292</v>
      </c>
      <c r="B11" s="600"/>
      <c r="C11" s="600"/>
      <c r="D11" s="600"/>
      <c r="E11" s="601"/>
      <c r="F11" s="600"/>
      <c r="G11" s="600"/>
      <c r="H11" s="600"/>
      <c r="I11" s="602"/>
    </row>
    <row r="12" spans="1:12" ht="12" customHeight="1" x14ac:dyDescent="0.25">
      <c r="A12" s="577" t="s">
        <v>327</v>
      </c>
      <c r="B12" s="578"/>
      <c r="C12" s="579"/>
      <c r="D12" s="578"/>
      <c r="E12" s="579"/>
      <c r="F12" s="578"/>
      <c r="G12" s="579"/>
      <c r="H12" s="578"/>
      <c r="I12" s="580"/>
    </row>
    <row r="13" spans="1:12" ht="3.75" customHeight="1" x14ac:dyDescent="0.25">
      <c r="A13" s="478"/>
      <c r="B13" s="479"/>
      <c r="C13" s="479"/>
      <c r="D13" s="479"/>
      <c r="E13" s="480"/>
      <c r="F13" s="479"/>
      <c r="G13" s="479"/>
      <c r="H13" s="481"/>
      <c r="I13" s="482"/>
    </row>
    <row r="14" spans="1:12" ht="18.75" customHeight="1" x14ac:dyDescent="0.25">
      <c r="A14" s="483" t="s">
        <v>321</v>
      </c>
      <c r="B14" s="484"/>
      <c r="C14" s="485" t="s">
        <v>286</v>
      </c>
      <c r="D14" s="484"/>
      <c r="E14" s="484"/>
      <c r="F14" s="484"/>
      <c r="G14" s="486"/>
      <c r="H14" s="487"/>
      <c r="I14" s="488"/>
    </row>
    <row r="15" spans="1:12" ht="18.75" customHeight="1" x14ac:dyDescent="0.25">
      <c r="A15" s="581" t="s">
        <v>253</v>
      </c>
      <c r="B15" s="581"/>
      <c r="C15" s="489" t="s">
        <v>287</v>
      </c>
      <c r="D15" s="596"/>
      <c r="E15" s="597"/>
      <c r="F15" s="490"/>
      <c r="G15" s="491"/>
      <c r="H15" s="491"/>
      <c r="I15" s="490"/>
    </row>
    <row r="16" spans="1:12" ht="18.75" customHeight="1" x14ac:dyDescent="0.25">
      <c r="A16" s="576" t="s">
        <v>254</v>
      </c>
      <c r="B16" s="576"/>
      <c r="C16" s="492" t="s">
        <v>287</v>
      </c>
      <c r="D16" s="566"/>
      <c r="E16" s="567"/>
      <c r="F16" s="493"/>
      <c r="G16" s="494"/>
      <c r="H16" s="494"/>
      <c r="I16" s="493"/>
    </row>
    <row r="17" spans="1:9" ht="18.75" customHeight="1" x14ac:dyDescent="0.25">
      <c r="A17" s="576" t="s">
        <v>255</v>
      </c>
      <c r="B17" s="576"/>
      <c r="C17" s="492" t="s">
        <v>287</v>
      </c>
      <c r="D17" s="566"/>
      <c r="E17" s="567"/>
      <c r="F17" s="493"/>
      <c r="G17" s="494"/>
      <c r="H17" s="494"/>
      <c r="I17" s="493"/>
    </row>
    <row r="18" spans="1:9" ht="18.75" customHeight="1" x14ac:dyDescent="0.25">
      <c r="A18" s="576" t="s">
        <v>303</v>
      </c>
      <c r="B18" s="576"/>
      <c r="C18" s="494" t="s">
        <v>288</v>
      </c>
      <c r="D18" s="566"/>
      <c r="E18" s="567"/>
      <c r="F18" s="495"/>
      <c r="G18" s="496"/>
      <c r="H18" s="496"/>
      <c r="I18" s="495"/>
    </row>
    <row r="19" spans="1:9" ht="18.75" customHeight="1" x14ac:dyDescent="0.25">
      <c r="A19" s="576" t="s">
        <v>302</v>
      </c>
      <c r="B19" s="576"/>
      <c r="C19" s="494" t="s">
        <v>288</v>
      </c>
      <c r="D19" s="566"/>
      <c r="E19" s="567"/>
      <c r="F19" s="493"/>
      <c r="G19" s="494"/>
      <c r="H19" s="497"/>
      <c r="I19" s="498"/>
    </row>
    <row r="20" spans="1:9" ht="18.75" customHeight="1" x14ac:dyDescent="0.25">
      <c r="A20" s="582" t="s">
        <v>301</v>
      </c>
      <c r="B20" s="583"/>
      <c r="C20" s="499" t="s">
        <v>288</v>
      </c>
      <c r="D20" s="566"/>
      <c r="E20" s="567"/>
      <c r="F20" s="493"/>
      <c r="G20" s="494"/>
      <c r="H20" s="497"/>
      <c r="I20" s="498"/>
    </row>
    <row r="21" spans="1:9" ht="18.75" customHeight="1" x14ac:dyDescent="0.25">
      <c r="A21" s="576" t="s">
        <v>300</v>
      </c>
      <c r="B21" s="576"/>
      <c r="C21" s="494" t="s">
        <v>290</v>
      </c>
      <c r="D21" s="566"/>
      <c r="E21" s="567"/>
      <c r="F21" s="493"/>
      <c r="G21" s="494"/>
      <c r="H21" s="494"/>
      <c r="I21" s="493"/>
    </row>
    <row r="22" spans="1:9" ht="18.75" customHeight="1" x14ac:dyDescent="0.25">
      <c r="A22" s="584" t="s">
        <v>299</v>
      </c>
      <c r="B22" s="584"/>
      <c r="C22" s="500" t="s">
        <v>289</v>
      </c>
      <c r="D22" s="566"/>
      <c r="E22" s="567"/>
      <c r="F22" s="501"/>
      <c r="G22" s="502"/>
      <c r="H22" s="502"/>
      <c r="I22" s="501"/>
    </row>
    <row r="23" spans="1:9" ht="18.75" customHeight="1" x14ac:dyDescent="0.25">
      <c r="A23" s="483" t="s">
        <v>322</v>
      </c>
      <c r="B23" s="484"/>
      <c r="C23" s="486"/>
      <c r="D23" s="484"/>
      <c r="E23" s="484"/>
      <c r="F23" s="484"/>
      <c r="G23" s="486"/>
      <c r="H23" s="484"/>
      <c r="I23" s="503"/>
    </row>
    <row r="24" spans="1:9" ht="18.75" customHeight="1" x14ac:dyDescent="0.25">
      <c r="A24" s="581" t="s">
        <v>256</v>
      </c>
      <c r="B24" s="581"/>
      <c r="C24" s="504"/>
      <c r="D24" s="614"/>
      <c r="E24" s="615"/>
      <c r="F24" s="505"/>
      <c r="G24" s="506"/>
      <c r="H24" s="506"/>
      <c r="I24" s="505"/>
    </row>
    <row r="25" spans="1:9" ht="18.75" customHeight="1" x14ac:dyDescent="0.25">
      <c r="A25" s="576" t="s">
        <v>304</v>
      </c>
      <c r="B25" s="576"/>
      <c r="C25" s="499" t="s">
        <v>288</v>
      </c>
      <c r="D25" s="568"/>
      <c r="E25" s="569"/>
      <c r="F25" s="507"/>
      <c r="G25" s="508"/>
      <c r="H25" s="508"/>
      <c r="I25" s="507"/>
    </row>
    <row r="26" spans="1:9" ht="18.75" customHeight="1" x14ac:dyDescent="0.25">
      <c r="A26" s="576" t="s">
        <v>305</v>
      </c>
      <c r="B26" s="576"/>
      <c r="C26" s="499" t="s">
        <v>288</v>
      </c>
      <c r="D26" s="568"/>
      <c r="E26" s="569"/>
      <c r="F26" s="507"/>
      <c r="G26" s="508"/>
      <c r="H26" s="508"/>
      <c r="I26" s="507"/>
    </row>
    <row r="27" spans="1:9" ht="18.75" customHeight="1" x14ac:dyDescent="0.25">
      <c r="A27" s="576" t="s">
        <v>298</v>
      </c>
      <c r="B27" s="576"/>
      <c r="C27" s="499" t="s">
        <v>288</v>
      </c>
      <c r="D27" s="568"/>
      <c r="E27" s="569"/>
      <c r="F27" s="507"/>
      <c r="G27" s="508"/>
      <c r="H27" s="508"/>
      <c r="I27" s="507"/>
    </row>
    <row r="28" spans="1:9" ht="18.75" customHeight="1" x14ac:dyDescent="0.25">
      <c r="A28" s="576" t="s">
        <v>306</v>
      </c>
      <c r="B28" s="576"/>
      <c r="C28" s="499" t="s">
        <v>288</v>
      </c>
      <c r="D28" s="568"/>
      <c r="E28" s="569"/>
      <c r="F28" s="507"/>
      <c r="G28" s="508"/>
      <c r="H28" s="508"/>
      <c r="I28" s="507"/>
    </row>
    <row r="29" spans="1:9" ht="18.75" customHeight="1" x14ac:dyDescent="0.25">
      <c r="A29" s="576" t="s">
        <v>307</v>
      </c>
      <c r="B29" s="576"/>
      <c r="C29" s="499" t="s">
        <v>288</v>
      </c>
      <c r="D29" s="568"/>
      <c r="E29" s="569"/>
      <c r="F29" s="509"/>
      <c r="G29" s="510"/>
      <c r="H29" s="510"/>
      <c r="I29" s="509"/>
    </row>
    <row r="30" spans="1:9" ht="18.75" customHeight="1" x14ac:dyDescent="0.25">
      <c r="A30" s="576" t="s">
        <v>308</v>
      </c>
      <c r="B30" s="576"/>
      <c r="C30" s="499" t="s">
        <v>288</v>
      </c>
      <c r="D30" s="568"/>
      <c r="E30" s="569"/>
      <c r="F30" s="509"/>
      <c r="G30" s="510"/>
      <c r="H30" s="510"/>
      <c r="I30" s="509"/>
    </row>
    <row r="31" spans="1:9" ht="18.75" customHeight="1" x14ac:dyDescent="0.25">
      <c r="A31" s="576" t="s">
        <v>309</v>
      </c>
      <c r="B31" s="576"/>
      <c r="C31" s="499" t="s">
        <v>288</v>
      </c>
      <c r="D31" s="568"/>
      <c r="E31" s="569"/>
      <c r="F31" s="509"/>
      <c r="G31" s="510"/>
      <c r="H31" s="510"/>
      <c r="I31" s="509"/>
    </row>
    <row r="32" spans="1:9" ht="18.75" customHeight="1" x14ac:dyDescent="0.25">
      <c r="A32" s="576" t="s">
        <v>310</v>
      </c>
      <c r="B32" s="576"/>
      <c r="C32" s="494" t="s">
        <v>291</v>
      </c>
      <c r="D32" s="568"/>
      <c r="E32" s="569"/>
      <c r="F32" s="511"/>
      <c r="G32" s="512"/>
      <c r="H32" s="512"/>
      <c r="I32" s="511"/>
    </row>
    <row r="33" spans="1:10" ht="18.75" customHeight="1" x14ac:dyDescent="0.25">
      <c r="A33" s="584" t="s">
        <v>323</v>
      </c>
      <c r="B33" s="584"/>
      <c r="C33" s="500" t="s">
        <v>289</v>
      </c>
      <c r="D33" s="570"/>
      <c r="E33" s="571"/>
      <c r="F33" s="501"/>
      <c r="G33" s="502"/>
      <c r="H33" s="502"/>
      <c r="I33" s="501"/>
    </row>
    <row r="34" spans="1:10" ht="18.75" customHeight="1" x14ac:dyDescent="0.25">
      <c r="A34" s="513" t="s">
        <v>324</v>
      </c>
      <c r="B34" s="514"/>
      <c r="C34" s="514"/>
      <c r="D34" s="515" t="s">
        <v>326</v>
      </c>
      <c r="E34" s="516"/>
      <c r="F34" s="516"/>
      <c r="G34" s="517"/>
      <c r="H34" s="516"/>
      <c r="I34" s="518"/>
    </row>
    <row r="35" spans="1:10" ht="17.100000000000001" customHeight="1" x14ac:dyDescent="0.25">
      <c r="A35" s="519" t="s">
        <v>316</v>
      </c>
      <c r="B35" s="520"/>
      <c r="C35" s="572"/>
      <c r="D35" s="573"/>
      <c r="E35" s="521"/>
      <c r="F35" s="612" t="s">
        <v>311</v>
      </c>
      <c r="G35" s="612" t="s">
        <v>312</v>
      </c>
      <c r="H35" s="612" t="s">
        <v>280</v>
      </c>
      <c r="I35" s="612" t="s">
        <v>257</v>
      </c>
    </row>
    <row r="36" spans="1:10" ht="17.100000000000001" customHeight="1" x14ac:dyDescent="0.25">
      <c r="A36" s="522" t="s">
        <v>317</v>
      </c>
      <c r="B36" s="523"/>
      <c r="C36" s="572"/>
      <c r="D36" s="573"/>
      <c r="E36" s="521"/>
      <c r="F36" s="613"/>
      <c r="G36" s="613"/>
      <c r="H36" s="613"/>
      <c r="I36" s="613"/>
    </row>
    <row r="37" spans="1:10" ht="17.100000000000001" customHeight="1" x14ac:dyDescent="0.25">
      <c r="A37" s="522" t="s">
        <v>328</v>
      </c>
      <c r="B37" s="523"/>
      <c r="C37" s="572"/>
      <c r="D37" s="573"/>
      <c r="E37" s="524"/>
      <c r="F37" s="525" t="s">
        <v>293</v>
      </c>
      <c r="G37" s="526"/>
      <c r="H37" s="527"/>
      <c r="I37" s="528"/>
    </row>
    <row r="38" spans="1:10" ht="17.100000000000001" customHeight="1" x14ac:dyDescent="0.25">
      <c r="A38" s="529" t="s">
        <v>318</v>
      </c>
      <c r="B38" s="530"/>
      <c r="C38" s="572"/>
      <c r="D38" s="573"/>
      <c r="E38" s="521"/>
      <c r="F38" s="525" t="s">
        <v>294</v>
      </c>
      <c r="G38" s="526"/>
      <c r="H38" s="527"/>
      <c r="I38" s="528"/>
    </row>
    <row r="39" spans="1:10" ht="17.100000000000001" customHeight="1" x14ac:dyDescent="0.25">
      <c r="A39" s="522" t="s">
        <v>319</v>
      </c>
      <c r="B39" s="523"/>
      <c r="C39" s="572"/>
      <c r="D39" s="573"/>
      <c r="E39" s="521"/>
      <c r="F39" s="525" t="s">
        <v>331</v>
      </c>
      <c r="G39" s="526"/>
      <c r="H39" s="527"/>
      <c r="I39" s="528"/>
    </row>
    <row r="40" spans="1:10" ht="17.100000000000001" customHeight="1" x14ac:dyDescent="0.25">
      <c r="A40" s="513" t="s">
        <v>313</v>
      </c>
      <c r="B40" s="513"/>
      <c r="C40" s="513"/>
      <c r="D40" s="531"/>
      <c r="E40" s="531"/>
      <c r="F40" s="525" t="s">
        <v>332</v>
      </c>
      <c r="G40" s="526"/>
      <c r="H40" s="528"/>
      <c r="I40" s="528"/>
    </row>
    <row r="41" spans="1:10" ht="17.100000000000001" customHeight="1" x14ac:dyDescent="0.25">
      <c r="A41" s="532" t="s">
        <v>295</v>
      </c>
      <c r="B41" s="533"/>
      <c r="C41" s="565"/>
      <c r="D41" s="565"/>
      <c r="E41" s="531"/>
      <c r="F41" s="525" t="s">
        <v>297</v>
      </c>
      <c r="G41" s="534"/>
      <c r="H41" s="528"/>
      <c r="I41" s="535"/>
    </row>
    <row r="42" spans="1:10" ht="17.100000000000001" customHeight="1" x14ac:dyDescent="0.25">
      <c r="A42" s="532" t="s">
        <v>314</v>
      </c>
      <c r="B42" s="536"/>
      <c r="C42" s="565"/>
      <c r="D42" s="565"/>
      <c r="E42" s="537"/>
      <c r="J42" s="538"/>
    </row>
    <row r="43" spans="1:10" ht="17.100000000000001" customHeight="1" x14ac:dyDescent="0.25">
      <c r="A43" s="539" t="s">
        <v>315</v>
      </c>
      <c r="B43" s="540"/>
      <c r="C43" s="565"/>
      <c r="D43" s="565"/>
      <c r="E43" s="537"/>
      <c r="F43" s="574" t="s">
        <v>325</v>
      </c>
      <c r="G43" s="575"/>
      <c r="H43" s="563" t="s">
        <v>281</v>
      </c>
      <c r="I43" s="564"/>
      <c r="J43" s="538"/>
    </row>
    <row r="44" spans="1:10" ht="18.75" customHeight="1" x14ac:dyDescent="0.25">
      <c r="A44" s="532" t="s">
        <v>329</v>
      </c>
      <c r="B44" s="536"/>
      <c r="C44" s="565"/>
      <c r="D44" s="565"/>
      <c r="E44" s="537"/>
      <c r="F44" s="541" t="s">
        <v>296</v>
      </c>
      <c r="G44" s="542"/>
      <c r="H44" s="563"/>
      <c r="I44" s="564"/>
      <c r="J44" s="538"/>
    </row>
    <row r="45" spans="1:10" ht="22.5" customHeight="1" x14ac:dyDescent="0.25">
      <c r="A45" s="610" t="s">
        <v>330</v>
      </c>
      <c r="B45" s="611"/>
      <c r="C45" s="565"/>
      <c r="D45" s="565"/>
      <c r="E45" s="537"/>
      <c r="F45" s="541" t="s">
        <v>333</v>
      </c>
      <c r="G45" s="542"/>
      <c r="H45" s="563"/>
      <c r="I45" s="564"/>
      <c r="J45" s="538"/>
    </row>
    <row r="46" spans="1:10" ht="18.75" customHeight="1" x14ac:dyDescent="0.25">
      <c r="A46" s="543" t="s">
        <v>285</v>
      </c>
      <c r="B46" s="544"/>
      <c r="C46" s="544"/>
      <c r="D46" s="545"/>
      <c r="F46" s="541" t="s">
        <v>320</v>
      </c>
      <c r="G46" s="542"/>
      <c r="H46" s="563"/>
      <c r="I46" s="564"/>
    </row>
    <row r="47" spans="1:10" ht="18.75" customHeight="1" x14ac:dyDescent="0.25">
      <c r="A47" s="546"/>
      <c r="B47" s="547"/>
      <c r="C47" s="547"/>
      <c r="D47" s="548"/>
      <c r="F47" s="541" t="s">
        <v>334</v>
      </c>
      <c r="G47" s="542"/>
      <c r="H47" s="563"/>
      <c r="I47" s="564"/>
    </row>
    <row r="48" spans="1:10" ht="18.75" customHeight="1" x14ac:dyDescent="0.25">
      <c r="A48" s="546"/>
      <c r="B48" s="547"/>
      <c r="C48" s="547"/>
      <c r="D48" s="548"/>
      <c r="F48" s="541" t="s">
        <v>282</v>
      </c>
      <c r="G48" s="549"/>
      <c r="H48" s="563"/>
      <c r="I48" s="564"/>
    </row>
    <row r="49" spans="1:9" ht="18.75" customHeight="1" x14ac:dyDescent="0.25">
      <c r="A49" s="550"/>
      <c r="B49" s="551"/>
      <c r="C49" s="551"/>
      <c r="D49" s="552"/>
      <c r="F49" s="541" t="s">
        <v>283</v>
      </c>
      <c r="G49" s="542"/>
      <c r="H49" s="565"/>
      <c r="I49" s="565"/>
    </row>
    <row r="50" spans="1:9" ht="16.5" customHeight="1" x14ac:dyDescent="0.25">
      <c r="E50" s="553"/>
    </row>
    <row r="51" spans="1:9" ht="14.25" customHeight="1" x14ac:dyDescent="0.25">
      <c r="E51" s="553"/>
    </row>
    <row r="52" spans="1:9" ht="16.5" customHeight="1" x14ac:dyDescent="0.25">
      <c r="E52" s="553"/>
    </row>
    <row r="53" spans="1:9" ht="18" customHeight="1" x14ac:dyDescent="0.25">
      <c r="A53" s="554" t="s">
        <v>25</v>
      </c>
      <c r="B53" s="41"/>
      <c r="C53" s="41"/>
      <c r="D53" s="44"/>
      <c r="E53" s="44"/>
      <c r="F53" s="44"/>
      <c r="G53" s="44"/>
      <c r="H53" s="14"/>
      <c r="I53" s="14"/>
    </row>
    <row r="54" spans="1:9" ht="18" customHeight="1" x14ac:dyDescent="0.25">
      <c r="A54" s="554" t="s">
        <v>335</v>
      </c>
      <c r="B54" s="44"/>
      <c r="C54" s="44"/>
      <c r="D54" s="555"/>
      <c r="E54" s="555"/>
      <c r="F54" s="556" t="s">
        <v>284</v>
      </c>
      <c r="G54" s="556"/>
      <c r="H54" s="14"/>
      <c r="I54" s="14"/>
    </row>
    <row r="55" spans="1:9" ht="0.75" customHeight="1" x14ac:dyDescent="0.25"/>
    <row r="56" spans="1:9" ht="29.25" customHeight="1" x14ac:dyDescent="0.25">
      <c r="A56" s="609" t="s">
        <v>278</v>
      </c>
      <c r="B56" s="609"/>
      <c r="C56" s="609"/>
      <c r="D56" s="609"/>
      <c r="E56" s="609"/>
      <c r="F56" s="609"/>
      <c r="G56" s="609"/>
      <c r="H56" s="609"/>
      <c r="I56" s="609"/>
    </row>
    <row r="57" spans="1:9" ht="15.9" customHeight="1" x14ac:dyDescent="0.25"/>
    <row r="58" spans="1:9" ht="15.9" customHeight="1" x14ac:dyDescent="0.25"/>
  </sheetData>
  <protectedRanges>
    <protectedRange sqref="B13:C13" name="Rango3_3_1_1_1_1_1_1_1_1"/>
    <protectedRange sqref="B9:C10" name="Rango3_3_1_1_1_1_1_2_1_1"/>
  </protectedRanges>
  <mergeCells count="71">
    <mergeCell ref="A24:B24"/>
    <mergeCell ref="A25:B25"/>
    <mergeCell ref="A27:B27"/>
    <mergeCell ref="D22:E22"/>
    <mergeCell ref="D24:E24"/>
    <mergeCell ref="D25:E25"/>
    <mergeCell ref="D26:E26"/>
    <mergeCell ref="A56:I56"/>
    <mergeCell ref="A26:B26"/>
    <mergeCell ref="A29:B29"/>
    <mergeCell ref="A30:B30"/>
    <mergeCell ref="A31:B31"/>
    <mergeCell ref="A32:B32"/>
    <mergeCell ref="A33:B33"/>
    <mergeCell ref="H43:I43"/>
    <mergeCell ref="A28:B28"/>
    <mergeCell ref="A45:B45"/>
    <mergeCell ref="H49:I49"/>
    <mergeCell ref="F35:F36"/>
    <mergeCell ref="G35:G36"/>
    <mergeCell ref="H35:H36"/>
    <mergeCell ref="I35:I36"/>
    <mergeCell ref="D27:E27"/>
    <mergeCell ref="A1:I4"/>
    <mergeCell ref="A5:I5"/>
    <mergeCell ref="A6:I6"/>
    <mergeCell ref="D15:E15"/>
    <mergeCell ref="D16:E16"/>
    <mergeCell ref="B10:D10"/>
    <mergeCell ref="F10:G10"/>
    <mergeCell ref="A11:I11"/>
    <mergeCell ref="A16:B16"/>
    <mergeCell ref="C8:D8"/>
    <mergeCell ref="F8:G8"/>
    <mergeCell ref="F9:G9"/>
    <mergeCell ref="C9:D9"/>
    <mergeCell ref="A20:B20"/>
    <mergeCell ref="A17:B17"/>
    <mergeCell ref="A18:B18"/>
    <mergeCell ref="A21:B21"/>
    <mergeCell ref="A22:B22"/>
    <mergeCell ref="A19:B19"/>
    <mergeCell ref="A12:I12"/>
    <mergeCell ref="A15:B15"/>
    <mergeCell ref="D17:E17"/>
    <mergeCell ref="D18:E18"/>
    <mergeCell ref="D19:E19"/>
    <mergeCell ref="H48:I48"/>
    <mergeCell ref="D32:E32"/>
    <mergeCell ref="D33:E33"/>
    <mergeCell ref="C39:D39"/>
    <mergeCell ref="C35:D35"/>
    <mergeCell ref="C36:D36"/>
    <mergeCell ref="C37:D37"/>
    <mergeCell ref="C38:D38"/>
    <mergeCell ref="C45:D45"/>
    <mergeCell ref="C42:D42"/>
    <mergeCell ref="C43:D43"/>
    <mergeCell ref="C44:D44"/>
    <mergeCell ref="H46:I46"/>
    <mergeCell ref="F43:G43"/>
    <mergeCell ref="H44:I44"/>
    <mergeCell ref="H45:I45"/>
    <mergeCell ref="C41:D41"/>
    <mergeCell ref="D20:E20"/>
    <mergeCell ref="H47:I47"/>
    <mergeCell ref="D28:E28"/>
    <mergeCell ref="D29:E29"/>
    <mergeCell ref="D30:E30"/>
    <mergeCell ref="D31:E31"/>
    <mergeCell ref="D21:E21"/>
  </mergeCells>
  <printOptions horizontalCentered="1" verticalCentered="1"/>
  <pageMargins left="0" right="0.39370078740157483" top="0.78740157480314965" bottom="0" header="0" footer="0"/>
  <pageSetup paperSize="9" scale="78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Z68"/>
  <sheetViews>
    <sheetView showGridLines="0" zoomScaleNormal="100" zoomScaleSheetLayoutView="100" workbookViewId="0">
      <selection activeCell="U42" sqref="U42"/>
    </sheetView>
  </sheetViews>
  <sheetFormatPr baseColWidth="10" defaultColWidth="10.33203125" defaultRowHeight="13.8" x14ac:dyDescent="0.25"/>
  <cols>
    <col min="1" max="1" width="16.33203125" style="1" customWidth="1"/>
    <col min="2" max="2" width="2" style="1" customWidth="1"/>
    <col min="3" max="3" width="10.6640625" style="1" customWidth="1"/>
    <col min="4" max="4" width="9.33203125" style="1" customWidth="1"/>
    <col min="5" max="5" width="2.6640625" style="1" customWidth="1"/>
    <col min="6" max="9" width="9.6640625" style="1" customWidth="1"/>
    <col min="10" max="10" width="1.5546875" style="1" customWidth="1"/>
    <col min="11" max="11" width="13.5546875" style="1" customWidth="1"/>
    <col min="12" max="12" width="6.44140625" style="1" customWidth="1"/>
    <col min="13" max="13" width="8" style="1" customWidth="1"/>
    <col min="14" max="14" width="15.6640625" style="1" customWidth="1"/>
    <col min="15" max="15" width="11" style="1" customWidth="1"/>
    <col min="16" max="19" width="9.6640625" style="1" customWidth="1"/>
    <col min="20" max="22" width="5.6640625" style="1" customWidth="1"/>
    <col min="23" max="23" width="10.5546875" style="1" customWidth="1"/>
    <col min="24" max="24" width="17" style="1" customWidth="1"/>
    <col min="25" max="26" width="10.5546875" style="1" customWidth="1"/>
    <col min="27" max="16384" width="10.33203125" style="1"/>
  </cols>
  <sheetData>
    <row r="1" spans="1:26" ht="15.75" customHeight="1" thickTop="1" x14ac:dyDescent="0.25">
      <c r="A1" s="21"/>
      <c r="B1" s="22"/>
      <c r="C1" s="22"/>
      <c r="D1" s="23"/>
      <c r="E1" s="23"/>
      <c r="F1" s="23"/>
      <c r="G1" s="23"/>
      <c r="H1" s="23"/>
      <c r="I1" s="24"/>
      <c r="J1" s="24"/>
      <c r="K1" s="25"/>
      <c r="N1" s="311"/>
      <c r="O1" s="311"/>
      <c r="P1" s="311"/>
      <c r="Q1" s="311"/>
      <c r="R1" s="311"/>
      <c r="S1" s="311"/>
      <c r="T1" s="311"/>
      <c r="U1" s="311"/>
      <c r="V1" s="311"/>
    </row>
    <row r="2" spans="1:26" ht="15.75" customHeight="1" x14ac:dyDescent="0.25">
      <c r="A2" s="26"/>
      <c r="B2" s="18"/>
      <c r="C2" s="18"/>
      <c r="D2" s="19"/>
      <c r="E2" s="19"/>
      <c r="F2" s="19"/>
      <c r="G2" s="19"/>
      <c r="H2" s="19"/>
      <c r="K2" s="27"/>
      <c r="N2" s="338" t="s">
        <v>95</v>
      </c>
      <c r="O2" s="339" t="s">
        <v>93</v>
      </c>
      <c r="P2" s="38"/>
      <c r="Q2" s="38"/>
      <c r="R2" s="38"/>
      <c r="S2" s="38"/>
      <c r="T2" s="38"/>
      <c r="U2" s="38"/>
      <c r="V2" s="38"/>
      <c r="W2" s="51"/>
      <c r="X2" s="299" t="s">
        <v>250</v>
      </c>
      <c r="Y2" s="51"/>
      <c r="Z2" s="51"/>
    </row>
    <row r="3" spans="1:26" ht="15.75" customHeight="1" x14ac:dyDescent="0.25">
      <c r="A3" s="26"/>
      <c r="B3" s="18"/>
      <c r="C3" s="18"/>
      <c r="D3" s="19"/>
      <c r="E3" s="19"/>
      <c r="F3" s="19"/>
      <c r="G3" s="19"/>
      <c r="H3" s="19"/>
      <c r="K3" s="27"/>
      <c r="N3" s="338" t="s">
        <v>248</v>
      </c>
      <c r="O3" s="339" t="s">
        <v>249</v>
      </c>
      <c r="P3" s="38"/>
      <c r="Q3" s="38"/>
      <c r="R3" s="38"/>
      <c r="S3" s="38"/>
      <c r="T3" s="38"/>
      <c r="U3" s="38"/>
      <c r="V3" s="38"/>
      <c r="W3" s="51"/>
      <c r="X3" s="300" t="s">
        <v>249</v>
      </c>
      <c r="Z3" s="51"/>
    </row>
    <row r="4" spans="1:26" ht="15.75" customHeight="1" x14ac:dyDescent="0.25">
      <c r="A4" s="26"/>
      <c r="B4" s="18"/>
      <c r="C4" s="18"/>
      <c r="D4" s="19"/>
      <c r="E4" s="19"/>
      <c r="F4" s="19"/>
      <c r="G4" s="19"/>
      <c r="H4" s="19"/>
      <c r="K4" s="27"/>
      <c r="N4" s="338" t="s">
        <v>95</v>
      </c>
      <c r="O4" s="339" t="s">
        <v>65</v>
      </c>
      <c r="P4" s="38"/>
      <c r="Q4" s="38"/>
      <c r="R4" s="38"/>
      <c r="S4" s="38"/>
      <c r="T4" s="38"/>
      <c r="U4" s="38"/>
      <c r="V4" s="38"/>
      <c r="W4" s="51"/>
      <c r="X4" s="301" t="s">
        <v>93</v>
      </c>
      <c r="Z4" s="51"/>
    </row>
    <row r="5" spans="1:26" ht="15.75" customHeight="1" thickBot="1" x14ac:dyDescent="0.3">
      <c r="A5" s="28"/>
      <c r="B5" s="20"/>
      <c r="C5" s="20"/>
      <c r="D5" s="20"/>
      <c r="E5" s="20"/>
      <c r="F5" s="20"/>
      <c r="G5" s="20"/>
      <c r="H5" s="20"/>
      <c r="I5" s="20"/>
      <c r="J5" s="20"/>
      <c r="K5" s="29"/>
      <c r="N5" s="38"/>
      <c r="O5" s="38"/>
      <c r="P5" s="38"/>
      <c r="Q5" s="38"/>
      <c r="R5" s="38"/>
      <c r="S5" s="38"/>
      <c r="T5" s="38"/>
      <c r="U5" s="38"/>
      <c r="V5" s="38"/>
      <c r="W5" s="51"/>
      <c r="X5" s="300" t="s">
        <v>94</v>
      </c>
      <c r="Z5" s="51"/>
    </row>
    <row r="6" spans="1:26" ht="10.199999999999999" customHeight="1" thickTop="1" x14ac:dyDescent="0.25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N6" s="466" t="s">
        <v>72</v>
      </c>
      <c r="O6" s="467">
        <f>SUM(P18:P27)</f>
        <v>8182</v>
      </c>
      <c r="P6" s="468">
        <f>O6</f>
        <v>8182</v>
      </c>
      <c r="Q6" s="38"/>
      <c r="R6" s="38"/>
      <c r="S6" s="38"/>
      <c r="T6" s="38"/>
      <c r="U6" s="38"/>
      <c r="V6" s="38"/>
      <c r="W6" s="51"/>
      <c r="X6" s="301" t="s">
        <v>65</v>
      </c>
      <c r="Y6" s="51"/>
      <c r="Z6" s="51"/>
    </row>
    <row r="7" spans="1:26" ht="15.9" customHeight="1" x14ac:dyDescent="0.25">
      <c r="A7" s="623" t="s">
        <v>23</v>
      </c>
      <c r="B7" s="623"/>
      <c r="C7" s="623"/>
      <c r="D7" s="623"/>
      <c r="E7" s="623"/>
      <c r="F7" s="623"/>
      <c r="G7" s="623"/>
      <c r="H7" s="623"/>
      <c r="I7" s="623"/>
      <c r="J7" s="623"/>
      <c r="K7" s="623"/>
      <c r="N7" s="469" t="s">
        <v>73</v>
      </c>
      <c r="O7" s="341">
        <v>10189</v>
      </c>
      <c r="P7" s="342">
        <f>O7/(1+T13/100)</f>
        <v>9686.9963869272451</v>
      </c>
      <c r="Q7" s="38"/>
      <c r="R7" s="38"/>
      <c r="S7" s="38"/>
      <c r="T7" s="38"/>
      <c r="U7" s="38"/>
      <c r="V7" s="38"/>
      <c r="W7" s="51"/>
      <c r="X7" s="302" t="s">
        <v>66</v>
      </c>
      <c r="Y7" s="51"/>
      <c r="Z7" s="51"/>
    </row>
    <row r="8" spans="1:26" ht="15.9" customHeight="1" x14ac:dyDescent="0.25">
      <c r="A8" s="624">
        <f>+K12</f>
        <v>1</v>
      </c>
      <c r="B8" s="624"/>
      <c r="C8" s="624"/>
      <c r="D8" s="624"/>
      <c r="E8" s="624"/>
      <c r="F8" s="624"/>
      <c r="G8" s="624"/>
      <c r="H8" s="624"/>
      <c r="I8" s="624"/>
      <c r="J8" s="624"/>
      <c r="K8" s="624"/>
      <c r="N8" s="343" t="s">
        <v>74</v>
      </c>
      <c r="O8" s="470"/>
      <c r="P8" s="471">
        <f>SUM(P6:P7)</f>
        <v>17868.996386927247</v>
      </c>
      <c r="Q8" s="38"/>
      <c r="R8" s="38"/>
      <c r="S8" s="38"/>
      <c r="T8" s="38"/>
      <c r="U8" s="38"/>
      <c r="V8" s="38"/>
      <c r="W8" s="51"/>
      <c r="X8" s="300" t="s">
        <v>67</v>
      </c>
      <c r="Y8" s="51"/>
      <c r="Z8" s="51"/>
    </row>
    <row r="9" spans="1:26" ht="10.199999999999999" customHeight="1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N9" s="38"/>
      <c r="O9" s="38"/>
      <c r="P9" s="38"/>
      <c r="Q9" s="38"/>
      <c r="R9" s="38"/>
      <c r="S9" s="38"/>
      <c r="T9" s="38"/>
      <c r="U9" s="38"/>
      <c r="V9" s="38"/>
      <c r="W9" s="51"/>
      <c r="X9" s="51"/>
      <c r="Y9" s="51"/>
      <c r="Z9" s="51"/>
    </row>
    <row r="10" spans="1:26" ht="15.9" customHeight="1" x14ac:dyDescent="0.25">
      <c r="A10" s="34" t="s">
        <v>16</v>
      </c>
      <c r="B10" s="35" t="s">
        <v>0</v>
      </c>
      <c r="C10" s="647" t="s">
        <v>39</v>
      </c>
      <c r="D10" s="647"/>
      <c r="E10" s="647"/>
      <c r="F10" s="647"/>
      <c r="G10" s="647"/>
      <c r="H10" s="647"/>
      <c r="I10" s="36" t="s">
        <v>38</v>
      </c>
      <c r="J10" s="37" t="s">
        <v>0</v>
      </c>
      <c r="K10" s="388" t="s">
        <v>251</v>
      </c>
      <c r="L10" s="15"/>
      <c r="M10" s="15"/>
      <c r="N10" s="345" t="s">
        <v>75</v>
      </c>
      <c r="O10" s="346"/>
      <c r="P10" s="347"/>
      <c r="Q10" s="347"/>
      <c r="R10" s="348"/>
      <c r="S10" s="349" t="s">
        <v>68</v>
      </c>
      <c r="T10" s="350"/>
      <c r="U10" s="351"/>
      <c r="V10" s="352"/>
      <c r="W10" s="51"/>
      <c r="X10" s="61">
        <f>Q13</f>
        <v>578.9</v>
      </c>
      <c r="Y10" s="62">
        <f>SUM(P18:P27)</f>
        <v>8182</v>
      </c>
      <c r="Z10" s="51"/>
    </row>
    <row r="11" spans="1:26" ht="15.9" customHeight="1" x14ac:dyDescent="0.25">
      <c r="A11" s="34" t="s">
        <v>17</v>
      </c>
      <c r="B11" s="35" t="s">
        <v>0</v>
      </c>
      <c r="C11" s="647" t="s">
        <v>19</v>
      </c>
      <c r="D11" s="647"/>
      <c r="E11" s="647"/>
      <c r="F11" s="647"/>
      <c r="G11" s="647"/>
      <c r="H11" s="647"/>
      <c r="I11" s="39" t="s">
        <v>21</v>
      </c>
      <c r="J11" s="35" t="s">
        <v>0</v>
      </c>
      <c r="K11" s="38" t="s">
        <v>27</v>
      </c>
      <c r="L11" s="15"/>
      <c r="M11" s="15"/>
      <c r="N11" s="353" t="s">
        <v>76</v>
      </c>
      <c r="O11" s="354"/>
      <c r="P11" s="38"/>
      <c r="Q11" s="38"/>
      <c r="R11" s="355"/>
      <c r="S11" s="340" t="s">
        <v>69</v>
      </c>
      <c r="T11" s="341">
        <v>608.9</v>
      </c>
      <c r="U11" s="38"/>
      <c r="V11" s="355"/>
      <c r="W11" s="51"/>
      <c r="X11" s="61">
        <f>Q13-P36</f>
        <v>435.2</v>
      </c>
      <c r="Y11" s="51"/>
      <c r="Z11" s="51"/>
    </row>
    <row r="12" spans="1:26" ht="15.9" customHeight="1" x14ac:dyDescent="0.25">
      <c r="A12" s="34" t="s">
        <v>18</v>
      </c>
      <c r="B12" s="35" t="s">
        <v>0</v>
      </c>
      <c r="C12" s="647" t="s">
        <v>40</v>
      </c>
      <c r="D12" s="647"/>
      <c r="E12" s="647"/>
      <c r="F12" s="647"/>
      <c r="G12" s="647"/>
      <c r="H12" s="647"/>
      <c r="I12" s="39" t="s">
        <v>22</v>
      </c>
      <c r="J12" s="35" t="s">
        <v>0</v>
      </c>
      <c r="K12" s="386">
        <v>1</v>
      </c>
      <c r="L12" s="15"/>
      <c r="M12" s="15"/>
      <c r="N12" s="340" t="s">
        <v>77</v>
      </c>
      <c r="O12" s="354"/>
      <c r="P12" s="38"/>
      <c r="Q12" s="356">
        <f>IF(O2="Global",T12,IF(O2="Fraccionada",P8))</f>
        <v>17868.996386927247</v>
      </c>
      <c r="R12" s="357"/>
      <c r="S12" s="340" t="s">
        <v>70</v>
      </c>
      <c r="T12" s="341">
        <v>578.9</v>
      </c>
      <c r="U12" s="358"/>
      <c r="V12" s="359"/>
      <c r="W12" s="51"/>
      <c r="X12" s="61">
        <f>Q12-Y10</f>
        <v>9686.9963869272469</v>
      </c>
      <c r="Y12" s="51"/>
      <c r="Z12" s="51"/>
    </row>
    <row r="13" spans="1:26" ht="10.199999999999999" customHeight="1" x14ac:dyDescent="0.25">
      <c r="A13" s="34"/>
      <c r="B13" s="35"/>
      <c r="C13" s="54"/>
      <c r="D13" s="54"/>
      <c r="E13" s="54"/>
      <c r="F13" s="54"/>
      <c r="G13" s="54"/>
      <c r="H13" s="54"/>
      <c r="I13" s="39"/>
      <c r="J13" s="35"/>
      <c r="K13" s="40"/>
      <c r="L13" s="15"/>
      <c r="M13" s="15"/>
      <c r="N13" s="340" t="s">
        <v>78</v>
      </c>
      <c r="O13" s="38"/>
      <c r="P13" s="38"/>
      <c r="Q13" s="356">
        <f>IF(O2="Global","--",IF(O2="Fraccionada",T12))</f>
        <v>578.9</v>
      </c>
      <c r="R13" s="360"/>
      <c r="S13" s="340" t="s">
        <v>71</v>
      </c>
      <c r="T13" s="361">
        <f>((T11-T12)/T12)*100</f>
        <v>5.1822421834513737</v>
      </c>
      <c r="U13" s="358"/>
      <c r="V13" s="355"/>
      <c r="W13" s="51"/>
      <c r="X13" s="61">
        <f>+X12*X11/X10</f>
        <v>7282.3990803087536</v>
      </c>
      <c r="Y13" s="51"/>
      <c r="Z13" s="51"/>
    </row>
    <row r="14" spans="1:26" ht="19.95" customHeight="1" x14ac:dyDescent="0.25">
      <c r="A14" s="599" t="s">
        <v>43</v>
      </c>
      <c r="B14" s="600"/>
      <c r="C14" s="600"/>
      <c r="D14" s="600"/>
      <c r="E14" s="600"/>
      <c r="F14" s="600"/>
      <c r="G14" s="600"/>
      <c r="H14" s="600"/>
      <c r="I14" s="600"/>
      <c r="J14" s="600"/>
      <c r="K14" s="602"/>
      <c r="L14" s="15"/>
      <c r="M14" s="15"/>
      <c r="N14" s="343" t="s">
        <v>79</v>
      </c>
      <c r="O14" s="344"/>
      <c r="P14" s="344"/>
      <c r="Q14" s="362">
        <f>IF(O2="Fraccionada",(X13+Y10),IF(O2="Global",SUM(P18:P35)))</f>
        <v>15464.399080308754</v>
      </c>
      <c r="R14" s="363"/>
      <c r="S14" s="343"/>
      <c r="T14" s="344"/>
      <c r="U14" s="344"/>
      <c r="V14" s="364"/>
      <c r="W14" s="51"/>
      <c r="X14" s="61"/>
      <c r="Y14" s="51"/>
      <c r="Z14" s="51"/>
    </row>
    <row r="15" spans="1:26" ht="19.95" customHeight="1" x14ac:dyDescent="0.25">
      <c r="A15" s="577" t="s">
        <v>42</v>
      </c>
      <c r="B15" s="578"/>
      <c r="C15" s="578"/>
      <c r="D15" s="578"/>
      <c r="E15" s="578"/>
      <c r="F15" s="578"/>
      <c r="G15" s="578"/>
      <c r="H15" s="578"/>
      <c r="I15" s="578"/>
      <c r="J15" s="578"/>
      <c r="K15" s="580"/>
      <c r="L15" s="15"/>
      <c r="M15" s="15"/>
      <c r="N15" s="38"/>
      <c r="O15" s="38"/>
      <c r="P15" s="38"/>
      <c r="Q15" s="38"/>
      <c r="R15" s="38"/>
      <c r="S15" s="38"/>
      <c r="T15" s="38"/>
      <c r="U15" s="38"/>
      <c r="V15" s="38"/>
      <c r="W15" s="51"/>
      <c r="X15" s="51"/>
      <c r="Y15" s="51"/>
      <c r="Z15" s="51"/>
    </row>
    <row r="16" spans="1:26" ht="10.199999999999999" customHeight="1" x14ac:dyDescent="0.25">
      <c r="A16" s="55"/>
      <c r="B16" s="48"/>
      <c r="C16" s="49"/>
      <c r="D16" s="49"/>
      <c r="E16" s="49"/>
      <c r="F16" s="49"/>
      <c r="G16" s="49"/>
      <c r="H16" s="49"/>
      <c r="I16" s="50"/>
      <c r="J16" s="48"/>
      <c r="K16" s="56"/>
      <c r="L16" s="15"/>
      <c r="M16" s="15"/>
      <c r="N16" s="336" t="s">
        <v>44</v>
      </c>
      <c r="O16" s="337"/>
      <c r="P16" s="365" t="s">
        <v>80</v>
      </c>
      <c r="Q16" s="365" t="s">
        <v>81</v>
      </c>
      <c r="R16" s="365" t="s">
        <v>81</v>
      </c>
      <c r="S16" s="366" t="s">
        <v>45</v>
      </c>
      <c r="T16" s="651" t="s">
        <v>99</v>
      </c>
      <c r="U16" s="652"/>
      <c r="V16" s="653"/>
      <c r="W16" s="51"/>
      <c r="X16" s="51"/>
      <c r="Y16" s="51"/>
      <c r="Z16" s="51"/>
    </row>
    <row r="17" spans="1:26" ht="15.9" customHeight="1" x14ac:dyDescent="0.25">
      <c r="A17" s="644" t="s">
        <v>30</v>
      </c>
      <c r="B17" s="645"/>
      <c r="C17" s="645"/>
      <c r="D17" s="645"/>
      <c r="E17" s="645"/>
      <c r="F17" s="645"/>
      <c r="G17" s="645"/>
      <c r="H17" s="645"/>
      <c r="I17" s="645"/>
      <c r="J17" s="645"/>
      <c r="K17" s="646"/>
      <c r="M17" s="15"/>
      <c r="N17" s="367" t="s">
        <v>46</v>
      </c>
      <c r="O17" s="367" t="s">
        <v>47</v>
      </c>
      <c r="P17" s="367" t="s">
        <v>82</v>
      </c>
      <c r="Q17" s="367" t="s">
        <v>83</v>
      </c>
      <c r="R17" s="367" t="s">
        <v>84</v>
      </c>
      <c r="S17" s="368" t="s">
        <v>48</v>
      </c>
      <c r="T17" s="648" t="s">
        <v>276</v>
      </c>
      <c r="U17" s="649"/>
      <c r="V17" s="650"/>
      <c r="W17" s="51"/>
      <c r="X17" s="51"/>
      <c r="Y17" s="51"/>
      <c r="Z17" s="51"/>
    </row>
    <row r="18" spans="1:26" ht="15.9" customHeight="1" x14ac:dyDescent="0.25">
      <c r="A18" s="57" t="s">
        <v>28</v>
      </c>
      <c r="B18" s="45" t="s">
        <v>0</v>
      </c>
      <c r="C18" s="38" t="s">
        <v>35</v>
      </c>
      <c r="D18" s="45"/>
      <c r="E18" s="41"/>
      <c r="F18" s="38"/>
      <c r="G18" s="38"/>
      <c r="H18" s="41"/>
      <c r="I18" s="46" t="s">
        <v>31</v>
      </c>
      <c r="J18" s="42" t="s">
        <v>0</v>
      </c>
      <c r="K18" s="303"/>
      <c r="M18" s="15"/>
      <c r="N18" s="335" t="s">
        <v>49</v>
      </c>
      <c r="O18" s="335">
        <v>76.2</v>
      </c>
      <c r="P18" s="465">
        <v>0</v>
      </c>
      <c r="Q18" s="369">
        <f t="shared" ref="Q18:Q27" si="0">P18/$Q$12*100</f>
        <v>0</v>
      </c>
      <c r="R18" s="370">
        <f>Q18</f>
        <v>0</v>
      </c>
      <c r="S18" s="371">
        <f t="shared" ref="S18:S36" si="1">100-R18</f>
        <v>100</v>
      </c>
      <c r="T18" s="452"/>
      <c r="U18" s="453"/>
      <c r="V18" s="454"/>
      <c r="W18" s="51"/>
      <c r="X18" s="51"/>
      <c r="Y18" s="51"/>
      <c r="Z18" s="51"/>
    </row>
    <row r="19" spans="1:26" ht="15.9" customHeight="1" x14ac:dyDescent="0.25">
      <c r="A19" s="57" t="s">
        <v>32</v>
      </c>
      <c r="B19" s="45" t="s">
        <v>0</v>
      </c>
      <c r="C19" s="38" t="s">
        <v>36</v>
      </c>
      <c r="D19" s="45"/>
      <c r="E19" s="41"/>
      <c r="F19" s="38"/>
      <c r="G19" s="38"/>
      <c r="H19" s="41"/>
      <c r="I19" s="46" t="s">
        <v>33</v>
      </c>
      <c r="J19" s="42" t="s">
        <v>0</v>
      </c>
      <c r="K19" s="58">
        <v>43831</v>
      </c>
      <c r="M19" s="15"/>
      <c r="N19" s="335" t="s">
        <v>85</v>
      </c>
      <c r="O19" s="335">
        <v>63.5</v>
      </c>
      <c r="P19" s="465">
        <v>0</v>
      </c>
      <c r="Q19" s="369">
        <f t="shared" si="0"/>
        <v>0</v>
      </c>
      <c r="R19" s="370">
        <f>+R18+Q19</f>
        <v>0</v>
      </c>
      <c r="S19" s="371">
        <f t="shared" si="1"/>
        <v>100</v>
      </c>
      <c r="T19" s="455"/>
      <c r="U19" s="456"/>
      <c r="V19" s="457"/>
      <c r="W19" s="63"/>
      <c r="X19" s="63"/>
      <c r="Y19" s="63"/>
      <c r="Z19" s="51"/>
    </row>
    <row r="20" spans="1:26" ht="15.9" customHeight="1" x14ac:dyDescent="0.25">
      <c r="A20" s="57" t="s">
        <v>29</v>
      </c>
      <c r="B20" s="45" t="s">
        <v>0</v>
      </c>
      <c r="C20" s="38" t="s">
        <v>37</v>
      </c>
      <c r="D20" s="45"/>
      <c r="E20" s="41"/>
      <c r="F20" s="38"/>
      <c r="G20" s="38"/>
      <c r="H20" s="41"/>
      <c r="I20" s="46" t="s">
        <v>34</v>
      </c>
      <c r="J20" s="42" t="s">
        <v>0</v>
      </c>
      <c r="K20" s="58">
        <v>43844</v>
      </c>
      <c r="M20" s="15"/>
      <c r="N20" s="335" t="s">
        <v>50</v>
      </c>
      <c r="O20" s="335">
        <v>50.6</v>
      </c>
      <c r="P20" s="465">
        <v>583</v>
      </c>
      <c r="Q20" s="369">
        <f t="shared" si="0"/>
        <v>3.2626342709796288</v>
      </c>
      <c r="R20" s="370">
        <f t="shared" ref="R20:R36" si="2">+R19+Q20</f>
        <v>3.2626342709796288</v>
      </c>
      <c r="S20" s="371">
        <f t="shared" si="1"/>
        <v>96.737365729020368</v>
      </c>
      <c r="T20" s="452"/>
      <c r="U20" s="458">
        <v>100</v>
      </c>
      <c r="V20" s="454"/>
      <c r="W20" s="51"/>
      <c r="X20" s="51"/>
      <c r="Y20" s="51"/>
      <c r="Z20" s="51"/>
    </row>
    <row r="21" spans="1:26" ht="10.199999999999999" customHeight="1" x14ac:dyDescent="0.25">
      <c r="A21" s="59"/>
      <c r="B21" s="31"/>
      <c r="C21" s="31"/>
      <c r="D21" s="31"/>
      <c r="E21" s="31"/>
      <c r="F21" s="31"/>
      <c r="G21" s="31"/>
      <c r="H21" s="31"/>
      <c r="I21" s="31"/>
      <c r="J21" s="31"/>
      <c r="K21" s="60"/>
      <c r="M21" s="15"/>
      <c r="N21" s="335" t="s">
        <v>51</v>
      </c>
      <c r="O21" s="335">
        <v>38.1</v>
      </c>
      <c r="P21" s="465">
        <v>1146</v>
      </c>
      <c r="Q21" s="369">
        <f t="shared" si="0"/>
        <v>6.4133428379805402</v>
      </c>
      <c r="R21" s="370">
        <f t="shared" si="2"/>
        <v>9.6759771089601685</v>
      </c>
      <c r="S21" s="371">
        <f t="shared" si="1"/>
        <v>90.324022891039832</v>
      </c>
      <c r="T21" s="459"/>
      <c r="U21" s="458">
        <v>100</v>
      </c>
      <c r="V21" s="460"/>
      <c r="W21" s="51"/>
      <c r="X21" s="51"/>
      <c r="Y21" s="51"/>
      <c r="Z21" s="51"/>
    </row>
    <row r="22" spans="1:26" ht="10.199999999999999" customHeight="1" x14ac:dyDescent="0.25">
      <c r="A22" s="304"/>
      <c r="B22" s="312"/>
      <c r="C22" s="312"/>
      <c r="D22" s="312"/>
      <c r="E22" s="312"/>
      <c r="F22" s="312"/>
      <c r="G22" s="312"/>
      <c r="H22" s="312"/>
      <c r="I22" s="305"/>
      <c r="J22" s="305"/>
      <c r="K22" s="306"/>
      <c r="L22" s="15"/>
      <c r="M22" s="32"/>
      <c r="N22" s="335" t="s">
        <v>52</v>
      </c>
      <c r="O22" s="335">
        <v>25.4</v>
      </c>
      <c r="P22" s="465">
        <v>974</v>
      </c>
      <c r="Q22" s="369">
        <f t="shared" si="0"/>
        <v>5.4507817837635653</v>
      </c>
      <c r="R22" s="370">
        <f t="shared" si="2"/>
        <v>15.126758892723734</v>
      </c>
      <c r="S22" s="371">
        <f t="shared" si="1"/>
        <v>84.873241107276272</v>
      </c>
      <c r="T22" s="459">
        <v>90</v>
      </c>
      <c r="U22" s="458"/>
      <c r="V22" s="460">
        <v>100</v>
      </c>
      <c r="W22" s="63"/>
      <c r="X22" s="63"/>
      <c r="Y22" s="63"/>
      <c r="Z22" s="51"/>
    </row>
    <row r="23" spans="1:26" ht="13.2" customHeight="1" x14ac:dyDescent="0.25">
      <c r="A23" s="627" t="s">
        <v>46</v>
      </c>
      <c r="B23" s="628"/>
      <c r="C23" s="629"/>
      <c r="D23" s="655" t="s">
        <v>57</v>
      </c>
      <c r="E23" s="313"/>
      <c r="F23" s="631" t="s">
        <v>98</v>
      </c>
      <c r="G23" s="632"/>
      <c r="H23" s="633"/>
      <c r="I23" s="637" t="s">
        <v>50</v>
      </c>
      <c r="J23" s="307"/>
      <c r="K23" s="308"/>
      <c r="L23" s="15"/>
      <c r="M23" s="71"/>
      <c r="N23" s="335" t="s">
        <v>53</v>
      </c>
      <c r="O23" s="335">
        <v>19.05</v>
      </c>
      <c r="P23" s="465">
        <v>2040</v>
      </c>
      <c r="Q23" s="369">
        <f t="shared" si="0"/>
        <v>11.416421805829232</v>
      </c>
      <c r="R23" s="370">
        <f t="shared" si="2"/>
        <v>26.543180698552966</v>
      </c>
      <c r="S23" s="371">
        <f t="shared" si="1"/>
        <v>73.456819301447041</v>
      </c>
      <c r="T23" s="459">
        <v>65</v>
      </c>
      <c r="U23" s="458"/>
      <c r="V23" s="460">
        <v>100</v>
      </c>
      <c r="W23" s="63"/>
      <c r="X23" s="63"/>
      <c r="Y23" s="64"/>
      <c r="Z23" s="51"/>
    </row>
    <row r="24" spans="1:26" ht="13.2" customHeight="1" x14ac:dyDescent="0.25">
      <c r="A24" s="314" t="s">
        <v>56</v>
      </c>
      <c r="B24" s="626" t="s">
        <v>47</v>
      </c>
      <c r="C24" s="626"/>
      <c r="D24" s="656"/>
      <c r="E24" s="313"/>
      <c r="F24" s="634"/>
      <c r="G24" s="635"/>
      <c r="H24" s="636"/>
      <c r="I24" s="638"/>
      <c r="J24" s="307"/>
      <c r="K24" s="308"/>
      <c r="L24" s="15"/>
      <c r="M24" s="33"/>
      <c r="N24" s="335" t="s">
        <v>86</v>
      </c>
      <c r="O24" s="335">
        <v>12.7</v>
      </c>
      <c r="P24" s="465">
        <v>1277</v>
      </c>
      <c r="Q24" s="369">
        <f t="shared" si="0"/>
        <v>7.1464561990411433</v>
      </c>
      <c r="R24" s="370">
        <f t="shared" si="2"/>
        <v>33.689636897594113</v>
      </c>
      <c r="S24" s="371">
        <f t="shared" si="1"/>
        <v>66.310363102405887</v>
      </c>
      <c r="T24" s="459"/>
      <c r="U24" s="458"/>
      <c r="V24" s="460"/>
      <c r="W24" s="63"/>
      <c r="X24" s="63"/>
      <c r="Y24" s="63"/>
      <c r="Z24" s="51"/>
    </row>
    <row r="25" spans="1:26" ht="13.2" customHeight="1" x14ac:dyDescent="0.25">
      <c r="A25" s="315" t="s">
        <v>49</v>
      </c>
      <c r="B25" s="625">
        <v>76.2</v>
      </c>
      <c r="C25" s="625"/>
      <c r="D25" s="316">
        <f>+S18</f>
        <v>100</v>
      </c>
      <c r="E25" s="313"/>
      <c r="F25" s="313"/>
      <c r="G25" s="313"/>
      <c r="H25" s="313"/>
      <c r="I25" s="313"/>
      <c r="J25" s="309"/>
      <c r="K25" s="310"/>
      <c r="L25" s="16"/>
      <c r="M25" s="33"/>
      <c r="N25" s="335" t="s">
        <v>54</v>
      </c>
      <c r="O25" s="335">
        <v>9.5250000000000004</v>
      </c>
      <c r="P25" s="465">
        <v>652</v>
      </c>
      <c r="Q25" s="369">
        <f t="shared" si="0"/>
        <v>3.6487779497062056</v>
      </c>
      <c r="R25" s="370">
        <f t="shared" si="2"/>
        <v>37.338414847300321</v>
      </c>
      <c r="S25" s="371">
        <f t="shared" si="1"/>
        <v>62.661585152699679</v>
      </c>
      <c r="T25" s="459">
        <v>45</v>
      </c>
      <c r="U25" s="458"/>
      <c r="V25" s="460">
        <v>80</v>
      </c>
      <c r="W25" s="63"/>
      <c r="X25" s="63"/>
      <c r="Y25" s="63"/>
      <c r="Z25" s="51"/>
    </row>
    <row r="26" spans="1:26" ht="13.2" customHeight="1" x14ac:dyDescent="0.25">
      <c r="A26" s="317" t="s">
        <v>50</v>
      </c>
      <c r="B26" s="630">
        <v>50.6</v>
      </c>
      <c r="C26" s="630"/>
      <c r="D26" s="318">
        <f>+S20</f>
        <v>96.737365729020368</v>
      </c>
      <c r="E26" s="313"/>
      <c r="F26" s="627" t="s">
        <v>64</v>
      </c>
      <c r="G26" s="628"/>
      <c r="H26" s="628"/>
      <c r="I26" s="629"/>
      <c r="J26" s="319"/>
      <c r="K26" s="320"/>
      <c r="L26" s="15"/>
      <c r="M26" s="15"/>
      <c r="N26" s="335" t="s">
        <v>87</v>
      </c>
      <c r="O26" s="335">
        <v>6.35</v>
      </c>
      <c r="P26" s="465">
        <v>877</v>
      </c>
      <c r="Q26" s="369">
        <f t="shared" si="0"/>
        <v>4.9079421194667825</v>
      </c>
      <c r="R26" s="370">
        <f t="shared" si="2"/>
        <v>42.246356966767102</v>
      </c>
      <c r="S26" s="371">
        <f t="shared" si="1"/>
        <v>57.753643033232898</v>
      </c>
      <c r="T26" s="459"/>
      <c r="U26" s="458"/>
      <c r="V26" s="460"/>
      <c r="W26" s="63"/>
      <c r="X26" s="63"/>
      <c r="Y26" s="65"/>
      <c r="Z26" s="51"/>
    </row>
    <row r="27" spans="1:26" ht="13.2" customHeight="1" x14ac:dyDescent="0.25">
      <c r="A27" s="321" t="s">
        <v>51</v>
      </c>
      <c r="B27" s="630">
        <v>38.1</v>
      </c>
      <c r="C27" s="630"/>
      <c r="D27" s="318">
        <f>+S21</f>
        <v>90.324022891039832</v>
      </c>
      <c r="E27" s="313"/>
      <c r="F27" s="639"/>
      <c r="G27" s="640"/>
      <c r="H27" s="640"/>
      <c r="I27" s="641"/>
      <c r="J27" s="319"/>
      <c r="K27" s="320"/>
      <c r="L27" s="15"/>
      <c r="M27" s="15"/>
      <c r="N27" s="335" t="s">
        <v>55</v>
      </c>
      <c r="O27" s="335">
        <v>4.76</v>
      </c>
      <c r="P27" s="465">
        <v>633</v>
      </c>
      <c r="Q27" s="369">
        <f t="shared" si="0"/>
        <v>3.542448530926424</v>
      </c>
      <c r="R27" s="370">
        <f t="shared" si="2"/>
        <v>45.788805497693524</v>
      </c>
      <c r="S27" s="371">
        <f t="shared" si="1"/>
        <v>54.211194502306476</v>
      </c>
      <c r="T27" s="459">
        <v>30</v>
      </c>
      <c r="U27" s="458"/>
      <c r="V27" s="460">
        <v>65</v>
      </c>
      <c r="W27" s="63"/>
      <c r="X27" s="63"/>
      <c r="Y27" s="66"/>
      <c r="Z27" s="51"/>
    </row>
    <row r="28" spans="1:26" ht="13.2" customHeight="1" x14ac:dyDescent="0.25">
      <c r="A28" s="317" t="s">
        <v>52</v>
      </c>
      <c r="B28" s="630">
        <v>25.4</v>
      </c>
      <c r="C28" s="630"/>
      <c r="D28" s="318">
        <f>+S22</f>
        <v>84.873241107276272</v>
      </c>
      <c r="E28" s="313"/>
      <c r="F28" s="642" t="s">
        <v>58</v>
      </c>
      <c r="G28" s="643">
        <f>R27</f>
        <v>45.788805497693524</v>
      </c>
      <c r="H28" s="322" t="s">
        <v>59</v>
      </c>
      <c r="I28" s="323">
        <f>SUM(Q18:Q23)</f>
        <v>26.543180698552966</v>
      </c>
      <c r="J28" s="319"/>
      <c r="K28" s="320"/>
      <c r="L28" s="15"/>
      <c r="M28" s="15"/>
      <c r="N28" s="335">
        <v>8</v>
      </c>
      <c r="O28" s="335">
        <v>2.36</v>
      </c>
      <c r="P28" s="465">
        <v>55.3</v>
      </c>
      <c r="Q28" s="369">
        <f t="shared" ref="Q28:Q36" si="3">IF($O$2="Fraccionada",P28*$S$27/Q$13,IF($O$2="Global",P28/$Q$12*100))</f>
        <v>5.1785784349240771</v>
      </c>
      <c r="R28" s="370">
        <f t="shared" si="2"/>
        <v>50.967383932617601</v>
      </c>
      <c r="S28" s="371">
        <f t="shared" si="1"/>
        <v>49.032616067382399</v>
      </c>
      <c r="T28" s="459"/>
      <c r="U28" s="458"/>
      <c r="V28" s="460"/>
      <c r="W28" s="51"/>
      <c r="X28" s="51"/>
      <c r="Y28" s="51"/>
      <c r="Z28" s="51"/>
    </row>
    <row r="29" spans="1:26" ht="13.2" customHeight="1" x14ac:dyDescent="0.25">
      <c r="A29" s="317" t="s">
        <v>53</v>
      </c>
      <c r="B29" s="630">
        <v>19.05</v>
      </c>
      <c r="C29" s="630"/>
      <c r="D29" s="318">
        <f>+S23</f>
        <v>73.456819301447041</v>
      </c>
      <c r="E29" s="313"/>
      <c r="F29" s="618"/>
      <c r="G29" s="621"/>
      <c r="H29" s="324" t="s">
        <v>60</v>
      </c>
      <c r="I29" s="325">
        <f>SUM(Q24:Q27)</f>
        <v>19.245624799140558</v>
      </c>
      <c r="J29" s="319"/>
      <c r="K29" s="320"/>
      <c r="L29" s="15"/>
      <c r="M29" s="15"/>
      <c r="N29" s="335">
        <v>10</v>
      </c>
      <c r="O29" s="335">
        <v>2</v>
      </c>
      <c r="P29" s="465">
        <v>17.899999999999999</v>
      </c>
      <c r="Q29" s="369">
        <f t="shared" si="3"/>
        <v>1.6762487158253341</v>
      </c>
      <c r="R29" s="370">
        <f t="shared" si="2"/>
        <v>52.643632648442932</v>
      </c>
      <c r="S29" s="371">
        <f t="shared" si="1"/>
        <v>47.356367351557068</v>
      </c>
      <c r="T29" s="459">
        <v>22</v>
      </c>
      <c r="U29" s="458"/>
      <c r="V29" s="460">
        <v>52</v>
      </c>
      <c r="W29" s="51"/>
      <c r="X29" s="51"/>
      <c r="Y29" s="51"/>
      <c r="Z29" s="51"/>
    </row>
    <row r="30" spans="1:26" ht="13.2" customHeight="1" x14ac:dyDescent="0.25">
      <c r="A30" s="317" t="s">
        <v>54</v>
      </c>
      <c r="B30" s="630">
        <v>9.5250000000000004</v>
      </c>
      <c r="C30" s="630"/>
      <c r="D30" s="318">
        <f>+S25</f>
        <v>62.661585152699679</v>
      </c>
      <c r="E30" s="313"/>
      <c r="F30" s="616" t="s">
        <v>61</v>
      </c>
      <c r="G30" s="619">
        <f>100-(G28+G33)</f>
        <v>40.754382185876274</v>
      </c>
      <c r="H30" s="324" t="s">
        <v>59</v>
      </c>
      <c r="I30" s="325">
        <f>SUM(Q28:Q29)</f>
        <v>6.8548271507494114</v>
      </c>
      <c r="J30" s="319"/>
      <c r="K30" s="320"/>
      <c r="L30" s="15"/>
      <c r="M30" s="15"/>
      <c r="N30" s="335">
        <v>16</v>
      </c>
      <c r="O30" s="335">
        <v>1.19</v>
      </c>
      <c r="P30" s="465">
        <v>74.8</v>
      </c>
      <c r="Q30" s="369">
        <f t="shared" si="3"/>
        <v>7.0046594381974856</v>
      </c>
      <c r="R30" s="370">
        <f t="shared" si="2"/>
        <v>59.648292086640417</v>
      </c>
      <c r="S30" s="371">
        <f t="shared" si="1"/>
        <v>40.351707913359583</v>
      </c>
      <c r="T30" s="459"/>
      <c r="U30" s="458"/>
      <c r="V30" s="460"/>
      <c r="W30" s="67"/>
      <c r="X30" s="67"/>
      <c r="Y30" s="68"/>
      <c r="Z30" s="51"/>
    </row>
    <row r="31" spans="1:26" ht="13.2" customHeight="1" x14ac:dyDescent="0.25">
      <c r="A31" s="317" t="s">
        <v>55</v>
      </c>
      <c r="B31" s="630">
        <v>4.76</v>
      </c>
      <c r="C31" s="630"/>
      <c r="D31" s="318">
        <f>+S27</f>
        <v>54.211194502306476</v>
      </c>
      <c r="E31" s="313"/>
      <c r="F31" s="617"/>
      <c r="G31" s="620"/>
      <c r="H31" s="324" t="s">
        <v>62</v>
      </c>
      <c r="I31" s="325">
        <f>SUM(Q30:Q32)</f>
        <v>20.180536215662542</v>
      </c>
      <c r="J31" s="319"/>
      <c r="K31" s="320"/>
      <c r="L31" s="15"/>
      <c r="M31" s="15"/>
      <c r="N31" s="335">
        <v>30</v>
      </c>
      <c r="O31" s="335">
        <v>0.6</v>
      </c>
      <c r="P31" s="465">
        <v>95.5</v>
      </c>
      <c r="Q31" s="369">
        <f t="shared" si="3"/>
        <v>8.9431146570569506</v>
      </c>
      <c r="R31" s="370">
        <f t="shared" si="2"/>
        <v>68.591406743697362</v>
      </c>
      <c r="S31" s="371">
        <f t="shared" si="1"/>
        <v>31.408593256302638</v>
      </c>
      <c r="T31" s="459"/>
      <c r="U31" s="458"/>
      <c r="V31" s="460"/>
      <c r="W31" s="51"/>
      <c r="X31" s="51"/>
      <c r="Y31" s="51"/>
      <c r="Z31" s="61">
        <f>SUM(P18:P26)</f>
        <v>7549</v>
      </c>
    </row>
    <row r="32" spans="1:26" ht="13.2" customHeight="1" x14ac:dyDescent="0.25">
      <c r="A32" s="317">
        <v>8</v>
      </c>
      <c r="B32" s="630">
        <v>2.36</v>
      </c>
      <c r="C32" s="630"/>
      <c r="D32" s="318">
        <f>+S28</f>
        <v>49.032616067382399</v>
      </c>
      <c r="E32" s="313"/>
      <c r="F32" s="618"/>
      <c r="G32" s="621"/>
      <c r="H32" s="324" t="s">
        <v>60</v>
      </c>
      <c r="I32" s="325">
        <f>SUM(Q33:Q35)</f>
        <v>13.719018819464328</v>
      </c>
      <c r="J32" s="319"/>
      <c r="K32" s="320"/>
      <c r="L32" s="15"/>
      <c r="M32" s="15"/>
      <c r="N32" s="335">
        <v>40</v>
      </c>
      <c r="O32" s="335">
        <v>0.42</v>
      </c>
      <c r="P32" s="465">
        <v>45.2</v>
      </c>
      <c r="Q32" s="369">
        <f t="shared" si="3"/>
        <v>4.2327621204081067</v>
      </c>
      <c r="R32" s="370">
        <f t="shared" si="2"/>
        <v>72.824168864105474</v>
      </c>
      <c r="S32" s="371">
        <f t="shared" si="1"/>
        <v>27.175831135894526</v>
      </c>
      <c r="T32" s="461">
        <v>15</v>
      </c>
      <c r="U32" s="462"/>
      <c r="V32" s="463">
        <v>35</v>
      </c>
      <c r="W32" s="51"/>
      <c r="X32" s="51"/>
      <c r="Y32" s="51"/>
      <c r="Z32" s="61">
        <f>SUM(P27:P35)</f>
        <v>1068.2</v>
      </c>
    </row>
    <row r="33" spans="1:26" ht="13.2" customHeight="1" x14ac:dyDescent="0.25">
      <c r="A33" s="317">
        <v>16</v>
      </c>
      <c r="B33" s="630">
        <v>1.19</v>
      </c>
      <c r="C33" s="630"/>
      <c r="D33" s="318">
        <f t="shared" ref="D33:D38" si="4">+S30</f>
        <v>40.351707913359583</v>
      </c>
      <c r="E33" s="313"/>
      <c r="F33" s="385" t="s">
        <v>63</v>
      </c>
      <c r="G33" s="326">
        <f>S35</f>
        <v>13.456812316430202</v>
      </c>
      <c r="H33" s="327"/>
      <c r="I33" s="328">
        <f>Q36</f>
        <v>13.456812316430195</v>
      </c>
      <c r="J33" s="319"/>
      <c r="K33" s="320"/>
      <c r="L33" s="15"/>
      <c r="M33" s="15"/>
      <c r="N33" s="335">
        <v>50</v>
      </c>
      <c r="O33" s="335">
        <v>0.3</v>
      </c>
      <c r="P33" s="465">
        <v>36.200000000000003</v>
      </c>
      <c r="Q33" s="369">
        <f t="shared" si="3"/>
        <v>3.3899555035126872</v>
      </c>
      <c r="R33" s="370">
        <f t="shared" si="2"/>
        <v>76.214124367618155</v>
      </c>
      <c r="S33" s="371">
        <f t="shared" si="1"/>
        <v>23.785875632381845</v>
      </c>
      <c r="T33" s="459"/>
      <c r="U33" s="458"/>
      <c r="V33" s="460"/>
      <c r="W33" s="51"/>
      <c r="X33" s="51"/>
      <c r="Y33" s="69"/>
      <c r="Z33" s="51"/>
    </row>
    <row r="34" spans="1:26" ht="13.2" customHeight="1" x14ac:dyDescent="0.25">
      <c r="A34" s="317">
        <v>30</v>
      </c>
      <c r="B34" s="630">
        <v>0.6</v>
      </c>
      <c r="C34" s="630"/>
      <c r="D34" s="318">
        <f t="shared" si="4"/>
        <v>31.408593256302638</v>
      </c>
      <c r="E34" s="313"/>
      <c r="F34" s="313"/>
      <c r="G34" s="313"/>
      <c r="H34" s="313"/>
      <c r="I34" s="313"/>
      <c r="J34" s="319"/>
      <c r="K34" s="320"/>
      <c r="L34" s="15"/>
      <c r="M34" s="15"/>
      <c r="N34" s="335">
        <v>100</v>
      </c>
      <c r="O34" s="335">
        <v>0.14899999999999999</v>
      </c>
      <c r="P34" s="465">
        <v>63.7</v>
      </c>
      <c r="Q34" s="369">
        <f t="shared" si="3"/>
        <v>5.9651979440264693</v>
      </c>
      <c r="R34" s="370">
        <f t="shared" si="2"/>
        <v>82.179322311644626</v>
      </c>
      <c r="S34" s="371">
        <f t="shared" si="1"/>
        <v>17.820677688355374</v>
      </c>
      <c r="T34" s="459"/>
      <c r="U34" s="458"/>
      <c r="V34" s="460"/>
      <c r="W34" s="51"/>
      <c r="X34" s="51"/>
      <c r="Y34" s="61"/>
      <c r="Z34" s="51"/>
    </row>
    <row r="35" spans="1:26" ht="13.2" customHeight="1" x14ac:dyDescent="0.25">
      <c r="A35" s="317">
        <v>40</v>
      </c>
      <c r="B35" s="630">
        <v>0.42</v>
      </c>
      <c r="C35" s="630"/>
      <c r="D35" s="318">
        <f t="shared" si="4"/>
        <v>27.175831135894526</v>
      </c>
      <c r="E35" s="313"/>
      <c r="F35" s="657" t="str">
        <f>IF(O3="No","","Clasificacion SUCS")</f>
        <v/>
      </c>
      <c r="G35" s="657"/>
      <c r="H35" s="637" t="str">
        <f>IF(O3="No","",'Sucs '!G4)</f>
        <v/>
      </c>
      <c r="I35" s="637"/>
      <c r="J35" s="319"/>
      <c r="K35" s="320"/>
      <c r="L35" s="15"/>
      <c r="M35" s="15"/>
      <c r="N35" s="335">
        <v>200</v>
      </c>
      <c r="O35" s="335">
        <v>7.3999999999999996E-2</v>
      </c>
      <c r="P35" s="465">
        <v>46.6</v>
      </c>
      <c r="Q35" s="369">
        <f t="shared" si="3"/>
        <v>4.3638653719251721</v>
      </c>
      <c r="R35" s="370">
        <f t="shared" si="2"/>
        <v>86.543187683569798</v>
      </c>
      <c r="S35" s="371">
        <f t="shared" si="1"/>
        <v>13.456812316430202</v>
      </c>
      <c r="T35" s="461">
        <v>5</v>
      </c>
      <c r="U35" s="462"/>
      <c r="V35" s="463">
        <v>20</v>
      </c>
      <c r="W35" s="51"/>
      <c r="X35" s="51"/>
      <c r="Y35" s="61"/>
      <c r="Z35" s="62"/>
    </row>
    <row r="36" spans="1:26" ht="13.2" customHeight="1" x14ac:dyDescent="0.25">
      <c r="A36" s="317">
        <v>50</v>
      </c>
      <c r="B36" s="630">
        <v>0.3</v>
      </c>
      <c r="C36" s="630"/>
      <c r="D36" s="318">
        <f t="shared" si="4"/>
        <v>23.785875632381845</v>
      </c>
      <c r="E36" s="313"/>
      <c r="F36" s="658"/>
      <c r="G36" s="658"/>
      <c r="H36" s="660"/>
      <c r="I36" s="660"/>
      <c r="J36" s="319"/>
      <c r="K36" s="320"/>
      <c r="L36" s="15"/>
      <c r="M36" s="15"/>
      <c r="N36" s="372" t="s">
        <v>88</v>
      </c>
      <c r="O36" s="372">
        <v>0.01</v>
      </c>
      <c r="P36" s="372">
        <f>IF(O2="Fraccionada",(Q13-(SUM(P28:P35))),IF(O2="Global",(Q12-Q14)))</f>
        <v>143.69999999999999</v>
      </c>
      <c r="Q36" s="369">
        <f t="shared" si="3"/>
        <v>13.456812316430195</v>
      </c>
      <c r="R36" s="370">
        <f t="shared" si="2"/>
        <v>100</v>
      </c>
      <c r="S36" s="371">
        <f t="shared" si="1"/>
        <v>0</v>
      </c>
      <c r="T36" s="452"/>
      <c r="U36" s="464"/>
      <c r="V36" s="454"/>
      <c r="W36" s="51"/>
      <c r="X36" s="51"/>
      <c r="Y36" s="61"/>
      <c r="Z36" s="51"/>
    </row>
    <row r="37" spans="1:26" ht="13.2" customHeight="1" x14ac:dyDescent="0.25">
      <c r="A37" s="317">
        <v>100</v>
      </c>
      <c r="B37" s="630">
        <v>0.14899999999999999</v>
      </c>
      <c r="C37" s="630"/>
      <c r="D37" s="318">
        <f t="shared" si="4"/>
        <v>17.820677688355374</v>
      </c>
      <c r="E37" s="313"/>
      <c r="F37" s="658" t="str">
        <f>IF(O3="No","","Clasificacion AASHTO")</f>
        <v/>
      </c>
      <c r="G37" s="658"/>
      <c r="H37" s="660" t="str">
        <f>IF(O3="No","",Aashto!J26)</f>
        <v/>
      </c>
      <c r="I37" s="660"/>
      <c r="J37" s="319"/>
      <c r="K37" s="320"/>
      <c r="L37" s="15"/>
      <c r="M37" s="15"/>
      <c r="N37" s="38"/>
      <c r="O37" s="38"/>
      <c r="P37" s="38"/>
      <c r="Q37" s="361"/>
      <c r="R37" s="361"/>
      <c r="S37" s="373">
        <f>MAX(S18:S36)</f>
        <v>100</v>
      </c>
      <c r="T37" s="38"/>
      <c r="U37" s="38"/>
      <c r="V37" s="38"/>
      <c r="W37" s="51"/>
      <c r="X37" s="51"/>
      <c r="Y37" s="61"/>
      <c r="Z37" s="62"/>
    </row>
    <row r="38" spans="1:26" ht="13.2" customHeight="1" x14ac:dyDescent="0.25">
      <c r="A38" s="329">
        <v>200</v>
      </c>
      <c r="B38" s="654">
        <v>7.3999999999999996E-2</v>
      </c>
      <c r="C38" s="654"/>
      <c r="D38" s="330">
        <f t="shared" si="4"/>
        <v>13.456812316430202</v>
      </c>
      <c r="E38" s="313"/>
      <c r="F38" s="659"/>
      <c r="G38" s="659"/>
      <c r="H38" s="661"/>
      <c r="I38" s="661"/>
      <c r="J38" s="319"/>
      <c r="K38" s="320"/>
      <c r="L38" s="15"/>
      <c r="M38" s="15"/>
      <c r="N38" s="374" t="s">
        <v>89</v>
      </c>
      <c r="O38" s="374" t="s">
        <v>90</v>
      </c>
      <c r="P38" s="374" t="s">
        <v>91</v>
      </c>
      <c r="Q38" s="38"/>
      <c r="R38" s="38"/>
      <c r="S38" s="38"/>
      <c r="T38" s="38"/>
      <c r="U38" s="38"/>
      <c r="V38" s="38"/>
      <c r="W38" s="51"/>
      <c r="X38" s="51"/>
      <c r="Y38" s="61"/>
      <c r="Z38" s="51"/>
    </row>
    <row r="39" spans="1:26" ht="12.6" customHeight="1" x14ac:dyDescent="0.25">
      <c r="A39" s="331"/>
      <c r="B39" s="313"/>
      <c r="C39" s="313"/>
      <c r="D39" s="313"/>
      <c r="E39" s="313"/>
      <c r="F39" s="313"/>
      <c r="G39" s="319"/>
      <c r="H39" s="319"/>
      <c r="I39" s="319"/>
      <c r="J39" s="319"/>
      <c r="K39" s="320"/>
      <c r="L39" s="15"/>
      <c r="M39" s="15"/>
      <c r="N39" s="375" t="str">
        <f t="shared" ref="N39:N56" si="5">IF(AND(S18=60,S19=60),((O18+O19)/2),IF(AND(S18&gt;=60,S19&lt;=60),FORECAST(60,O18:O19,S18:S19),""))</f>
        <v/>
      </c>
      <c r="O39" s="376" t="str">
        <f t="shared" ref="O39:O56" si="6">IF(AND(S18=30,S19=30),((O18+O19)/2),IF(AND(S18&gt;=30,S19&lt;=30),FORECAST(30,O18:O19,S18:S19),""))</f>
        <v/>
      </c>
      <c r="P39" s="376" t="str">
        <f t="shared" ref="P39:P56" si="7">IF(AND(S18=10,S19=10),((O18+O19)/2),IF(AND(S18&gt;=10,S19&lt;=10),FORECAST(10,O18:O19,S18:S19),""))</f>
        <v/>
      </c>
      <c r="Q39" s="38"/>
      <c r="R39" s="38"/>
      <c r="S39" s="361"/>
      <c r="T39" s="37"/>
      <c r="U39" s="38"/>
      <c r="V39" s="38"/>
      <c r="W39" s="51"/>
      <c r="X39" s="51"/>
      <c r="Y39" s="70"/>
      <c r="Z39" s="51"/>
    </row>
    <row r="40" spans="1:26" ht="13.2" customHeight="1" x14ac:dyDescent="0.25">
      <c r="A40" s="331"/>
      <c r="B40" s="313"/>
      <c r="C40" s="313"/>
      <c r="D40" s="313"/>
      <c r="E40" s="313"/>
      <c r="F40" s="313"/>
      <c r="G40" s="319"/>
      <c r="H40" s="319"/>
      <c r="I40" s="319"/>
      <c r="J40" s="319"/>
      <c r="K40" s="320"/>
      <c r="L40" s="15"/>
      <c r="M40" s="15"/>
      <c r="N40" s="375" t="str">
        <f t="shared" si="5"/>
        <v/>
      </c>
      <c r="O40" s="376" t="str">
        <f t="shared" si="6"/>
        <v/>
      </c>
      <c r="P40" s="376" t="str">
        <f t="shared" si="7"/>
        <v/>
      </c>
      <c r="Q40" s="38"/>
      <c r="R40" s="38"/>
      <c r="S40" s="38"/>
      <c r="T40" s="37"/>
      <c r="U40" s="361"/>
      <c r="V40" s="38"/>
      <c r="W40" s="51"/>
      <c r="X40" s="51"/>
      <c r="Y40" s="70"/>
      <c r="Z40" s="51"/>
    </row>
    <row r="41" spans="1:26" ht="13.2" customHeight="1" x14ac:dyDescent="0.25">
      <c r="A41" s="331"/>
      <c r="B41" s="313"/>
      <c r="C41" s="313"/>
      <c r="D41" s="313"/>
      <c r="E41" s="313"/>
      <c r="F41" s="313"/>
      <c r="G41" s="319"/>
      <c r="H41" s="319"/>
      <c r="I41" s="319"/>
      <c r="J41" s="319"/>
      <c r="K41" s="320"/>
      <c r="L41" s="15"/>
      <c r="M41" s="15"/>
      <c r="N41" s="375" t="str">
        <f t="shared" si="5"/>
        <v/>
      </c>
      <c r="O41" s="376" t="str">
        <f t="shared" si="6"/>
        <v/>
      </c>
      <c r="P41" s="376" t="str">
        <f t="shared" si="7"/>
        <v/>
      </c>
      <c r="Q41" s="38"/>
      <c r="R41" s="38"/>
      <c r="S41" s="38"/>
      <c r="T41" s="37"/>
      <c r="U41" s="361"/>
      <c r="V41" s="38"/>
      <c r="W41" s="51"/>
      <c r="X41" s="51"/>
      <c r="Y41" s="51"/>
      <c r="Z41" s="51"/>
    </row>
    <row r="42" spans="1:26" ht="13.2" customHeight="1" x14ac:dyDescent="0.25">
      <c r="A42" s="331"/>
      <c r="B42" s="313"/>
      <c r="C42" s="313"/>
      <c r="D42" s="313"/>
      <c r="E42" s="313"/>
      <c r="F42" s="313"/>
      <c r="G42" s="319"/>
      <c r="H42" s="319"/>
      <c r="I42" s="319"/>
      <c r="J42" s="319"/>
      <c r="K42" s="320"/>
      <c r="L42" s="15"/>
      <c r="M42" s="15"/>
      <c r="N42" s="375" t="str">
        <f t="shared" si="5"/>
        <v/>
      </c>
      <c r="O42" s="376" t="str">
        <f t="shared" si="6"/>
        <v/>
      </c>
      <c r="P42" s="376" t="str">
        <f t="shared" si="7"/>
        <v/>
      </c>
      <c r="Q42" s="38"/>
      <c r="R42" s="38"/>
      <c r="S42" s="38"/>
      <c r="T42" s="37"/>
      <c r="U42" s="361"/>
      <c r="V42" s="38"/>
      <c r="W42" s="51"/>
      <c r="X42" s="51"/>
      <c r="Y42" s="51"/>
      <c r="Z42" s="51"/>
    </row>
    <row r="43" spans="1:26" ht="13.2" customHeight="1" x14ac:dyDescent="0.25">
      <c r="A43" s="331"/>
      <c r="B43" s="313"/>
      <c r="C43" s="313"/>
      <c r="D43" s="313"/>
      <c r="E43" s="313"/>
      <c r="F43" s="313"/>
      <c r="G43" s="319"/>
      <c r="H43" s="319"/>
      <c r="I43" s="319"/>
      <c r="J43" s="319"/>
      <c r="K43" s="320"/>
      <c r="L43" s="15"/>
      <c r="M43" s="15"/>
      <c r="N43" s="375" t="str">
        <f t="shared" si="5"/>
        <v/>
      </c>
      <c r="O43" s="376" t="str">
        <f t="shared" si="6"/>
        <v/>
      </c>
      <c r="P43" s="376" t="str">
        <f t="shared" si="7"/>
        <v/>
      </c>
      <c r="Q43" s="38"/>
      <c r="R43" s="38"/>
      <c r="S43" s="38"/>
      <c r="T43" s="37"/>
      <c r="U43" s="361"/>
      <c r="V43" s="38"/>
      <c r="W43" s="51"/>
      <c r="X43" s="51"/>
      <c r="Y43" s="51"/>
      <c r="Z43" s="51"/>
    </row>
    <row r="44" spans="1:26" ht="13.2" customHeight="1" x14ac:dyDescent="0.25">
      <c r="A44" s="331"/>
      <c r="B44" s="313"/>
      <c r="C44" s="313"/>
      <c r="D44" s="313"/>
      <c r="E44" s="313"/>
      <c r="F44" s="313"/>
      <c r="G44" s="319"/>
      <c r="H44" s="319"/>
      <c r="I44" s="319"/>
      <c r="J44" s="319"/>
      <c r="K44" s="320"/>
      <c r="L44" s="15"/>
      <c r="M44" s="15"/>
      <c r="N44" s="375" t="str">
        <f t="shared" si="5"/>
        <v/>
      </c>
      <c r="O44" s="376" t="str">
        <f t="shared" si="6"/>
        <v/>
      </c>
      <c r="P44" s="376" t="str">
        <f t="shared" si="7"/>
        <v/>
      </c>
      <c r="Q44" s="38"/>
      <c r="R44" s="38"/>
      <c r="S44" s="38"/>
      <c r="T44" s="37"/>
      <c r="U44" s="361"/>
      <c r="V44" s="38"/>
      <c r="W44" s="51"/>
      <c r="X44" s="51"/>
      <c r="Y44" s="51"/>
      <c r="Z44" s="51"/>
    </row>
    <row r="45" spans="1:26" ht="13.2" customHeight="1" x14ac:dyDescent="0.25">
      <c r="A45" s="331"/>
      <c r="B45" s="313"/>
      <c r="C45" s="313"/>
      <c r="D45" s="313"/>
      <c r="E45" s="313"/>
      <c r="F45" s="313"/>
      <c r="G45" s="319"/>
      <c r="H45" s="319"/>
      <c r="I45" s="319"/>
      <c r="J45" s="319"/>
      <c r="K45" s="320"/>
      <c r="L45" s="15"/>
      <c r="M45" s="15"/>
      <c r="N45" s="375" t="str">
        <f t="shared" si="5"/>
        <v/>
      </c>
      <c r="O45" s="376" t="str">
        <f t="shared" si="6"/>
        <v/>
      </c>
      <c r="P45" s="376" t="str">
        <f t="shared" si="7"/>
        <v/>
      </c>
      <c r="Q45" s="38"/>
      <c r="R45" s="38"/>
      <c r="S45" s="38"/>
      <c r="T45" s="37"/>
      <c r="U45" s="361"/>
      <c r="V45" s="38"/>
      <c r="W45" s="51"/>
      <c r="X45" s="51"/>
      <c r="Y45" s="51"/>
      <c r="Z45" s="51"/>
    </row>
    <row r="46" spans="1:26" ht="13.2" customHeight="1" x14ac:dyDescent="0.25">
      <c r="A46" s="331"/>
      <c r="B46" s="313"/>
      <c r="C46" s="313"/>
      <c r="D46" s="313"/>
      <c r="E46" s="313"/>
      <c r="F46" s="313"/>
      <c r="G46" s="319"/>
      <c r="H46" s="319"/>
      <c r="I46" s="319"/>
      <c r="J46" s="319"/>
      <c r="K46" s="320"/>
      <c r="L46" s="15"/>
      <c r="M46" s="15"/>
      <c r="N46" s="375">
        <f t="shared" si="5"/>
        <v>7.8031922332980628</v>
      </c>
      <c r="O46" s="376" t="str">
        <f t="shared" si="6"/>
        <v/>
      </c>
      <c r="P46" s="376" t="str">
        <f t="shared" si="7"/>
        <v/>
      </c>
      <c r="Q46" s="38"/>
      <c r="R46" s="38"/>
      <c r="S46" s="38"/>
      <c r="T46" s="37"/>
      <c r="U46" s="361"/>
      <c r="V46" s="38"/>
      <c r="W46" s="51"/>
      <c r="X46" s="51"/>
      <c r="Y46" s="51"/>
      <c r="Z46" s="51"/>
    </row>
    <row r="47" spans="1:26" ht="13.2" customHeight="1" x14ac:dyDescent="0.25">
      <c r="A47" s="331"/>
      <c r="B47" s="313"/>
      <c r="C47" s="313"/>
      <c r="D47" s="313"/>
      <c r="E47" s="313"/>
      <c r="F47" s="313"/>
      <c r="G47" s="319"/>
      <c r="H47" s="319"/>
      <c r="I47" s="319"/>
      <c r="J47" s="319"/>
      <c r="K47" s="320"/>
      <c r="L47" s="15"/>
      <c r="M47" s="15"/>
      <c r="N47" s="375" t="str">
        <f t="shared" si="5"/>
        <v/>
      </c>
      <c r="O47" s="376" t="str">
        <f t="shared" si="6"/>
        <v/>
      </c>
      <c r="P47" s="376" t="str">
        <f t="shared" si="7"/>
        <v/>
      </c>
      <c r="Q47" s="38"/>
      <c r="R47" s="38"/>
      <c r="S47" s="38"/>
      <c r="T47" s="37"/>
      <c r="U47" s="361"/>
      <c r="V47" s="38"/>
      <c r="W47" s="51"/>
      <c r="X47" s="51"/>
      <c r="Y47" s="51"/>
      <c r="Z47" s="51"/>
    </row>
    <row r="48" spans="1:26" ht="13.2" customHeight="1" x14ac:dyDescent="0.25">
      <c r="A48" s="331"/>
      <c r="B48" s="313"/>
      <c r="C48" s="313"/>
      <c r="D48" s="313"/>
      <c r="E48" s="313"/>
      <c r="F48" s="313"/>
      <c r="G48" s="319"/>
      <c r="H48" s="319"/>
      <c r="I48" s="319"/>
      <c r="J48" s="319"/>
      <c r="K48" s="320"/>
      <c r="L48" s="15"/>
      <c r="M48" s="15"/>
      <c r="N48" s="375" t="str">
        <f t="shared" si="5"/>
        <v/>
      </c>
      <c r="O48" s="376" t="str">
        <f t="shared" si="6"/>
        <v/>
      </c>
      <c r="P48" s="376" t="str">
        <f t="shared" si="7"/>
        <v/>
      </c>
      <c r="Q48" s="38"/>
      <c r="R48" s="38"/>
      <c r="S48" s="38"/>
      <c r="T48" s="37"/>
      <c r="U48" s="361"/>
      <c r="V48" s="38"/>
      <c r="W48" s="51"/>
      <c r="X48" s="51"/>
      <c r="Y48" s="51"/>
      <c r="Z48" s="51"/>
    </row>
    <row r="49" spans="1:26" ht="13.2" customHeight="1" x14ac:dyDescent="0.25">
      <c r="A49" s="331"/>
      <c r="B49" s="313"/>
      <c r="C49" s="313"/>
      <c r="D49" s="313"/>
      <c r="E49" s="313"/>
      <c r="F49" s="313"/>
      <c r="G49" s="319"/>
      <c r="H49" s="319"/>
      <c r="I49" s="319"/>
      <c r="J49" s="319"/>
      <c r="K49" s="320"/>
      <c r="L49" s="15"/>
      <c r="M49" s="15"/>
      <c r="N49" s="375" t="str">
        <f t="shared" si="5"/>
        <v/>
      </c>
      <c r="O49" s="376" t="str">
        <f t="shared" si="6"/>
        <v/>
      </c>
      <c r="P49" s="376" t="str">
        <f t="shared" si="7"/>
        <v/>
      </c>
      <c r="Q49" s="38"/>
      <c r="R49" s="38"/>
      <c r="S49" s="38"/>
      <c r="T49" s="37"/>
      <c r="U49" s="361"/>
      <c r="V49" s="38"/>
      <c r="W49" s="51"/>
      <c r="X49" s="51"/>
      <c r="Y49" s="51"/>
      <c r="Z49" s="51"/>
    </row>
    <row r="50" spans="1:26" ht="13.2" customHeight="1" x14ac:dyDescent="0.25">
      <c r="A50" s="331"/>
      <c r="B50" s="313"/>
      <c r="C50" s="313"/>
      <c r="D50" s="313"/>
      <c r="E50" s="313"/>
      <c r="F50" s="313"/>
      <c r="G50" s="319"/>
      <c r="H50" s="319"/>
      <c r="I50" s="319"/>
      <c r="J50" s="319"/>
      <c r="K50" s="320"/>
      <c r="L50" s="15"/>
      <c r="M50" s="15"/>
      <c r="N50" s="375" t="str">
        <f t="shared" si="5"/>
        <v/>
      </c>
      <c r="O50" s="376" t="str">
        <f t="shared" si="6"/>
        <v/>
      </c>
      <c r="P50" s="376" t="str">
        <f t="shared" si="7"/>
        <v/>
      </c>
      <c r="Q50" s="38"/>
      <c r="R50" s="38"/>
      <c r="S50" s="38"/>
      <c r="T50" s="37"/>
      <c r="U50" s="361"/>
      <c r="V50" s="38"/>
      <c r="W50" s="51"/>
      <c r="X50" s="51"/>
      <c r="Y50" s="51"/>
      <c r="Z50" s="51"/>
    </row>
    <row r="51" spans="1:26" ht="13.2" customHeight="1" x14ac:dyDescent="0.25">
      <c r="A51" s="331"/>
      <c r="B51" s="313"/>
      <c r="C51" s="313"/>
      <c r="D51" s="313"/>
      <c r="E51" s="313"/>
      <c r="F51" s="313"/>
      <c r="G51" s="319"/>
      <c r="H51" s="319"/>
      <c r="I51" s="319"/>
      <c r="J51" s="319"/>
      <c r="K51" s="320"/>
      <c r="L51" s="15"/>
      <c r="M51" s="15"/>
      <c r="N51" s="375" t="str">
        <f t="shared" si="5"/>
        <v/>
      </c>
      <c r="O51" s="376" t="str">
        <f t="shared" si="6"/>
        <v/>
      </c>
      <c r="P51" s="376" t="str">
        <f t="shared" si="7"/>
        <v/>
      </c>
      <c r="Q51" s="38"/>
      <c r="R51" s="38"/>
      <c r="S51" s="38"/>
      <c r="T51" s="37"/>
      <c r="U51" s="361"/>
      <c r="V51" s="38"/>
      <c r="W51" s="51"/>
      <c r="X51" s="51"/>
      <c r="Y51" s="51"/>
      <c r="Z51" s="51"/>
    </row>
    <row r="52" spans="1:26" ht="13.2" customHeight="1" x14ac:dyDescent="0.25">
      <c r="A52" s="331"/>
      <c r="B52" s="313"/>
      <c r="C52" s="313"/>
      <c r="D52" s="313"/>
      <c r="E52" s="313"/>
      <c r="F52" s="313"/>
      <c r="G52" s="319"/>
      <c r="H52" s="319"/>
      <c r="I52" s="319"/>
      <c r="J52" s="319"/>
      <c r="K52" s="320"/>
      <c r="L52" s="15"/>
      <c r="M52" s="15"/>
      <c r="N52" s="375" t="str">
        <f t="shared" si="5"/>
        <v/>
      </c>
      <c r="O52" s="376">
        <f t="shared" si="6"/>
        <v>0.54009897581723099</v>
      </c>
      <c r="P52" s="376" t="str">
        <f t="shared" si="7"/>
        <v/>
      </c>
      <c r="Q52" s="38"/>
      <c r="R52" s="38"/>
      <c r="S52" s="38"/>
      <c r="T52" s="37"/>
      <c r="U52" s="361"/>
      <c r="V52" s="38"/>
      <c r="W52" s="51"/>
      <c r="X52" s="51"/>
      <c r="Y52" s="51"/>
      <c r="Z52" s="51"/>
    </row>
    <row r="53" spans="1:26" ht="13.2" customHeight="1" x14ac:dyDescent="0.25">
      <c r="A53" s="331"/>
      <c r="B53" s="313"/>
      <c r="C53" s="313"/>
      <c r="D53" s="313"/>
      <c r="E53" s="313"/>
      <c r="F53" s="313"/>
      <c r="G53" s="319"/>
      <c r="H53" s="319"/>
      <c r="I53" s="319"/>
      <c r="J53" s="319"/>
      <c r="K53" s="320"/>
      <c r="L53" s="15"/>
      <c r="M53" s="15"/>
      <c r="N53" s="375" t="str">
        <f t="shared" si="5"/>
        <v/>
      </c>
      <c r="O53" s="376" t="str">
        <f t="shared" si="6"/>
        <v/>
      </c>
      <c r="P53" s="376" t="str">
        <f t="shared" si="7"/>
        <v/>
      </c>
      <c r="Q53" s="38"/>
      <c r="R53" s="38"/>
      <c r="S53" s="38"/>
      <c r="T53" s="37"/>
      <c r="U53" s="361"/>
      <c r="V53" s="38"/>
      <c r="W53" s="51"/>
      <c r="X53" s="51"/>
      <c r="Y53" s="51"/>
      <c r="Z53" s="51"/>
    </row>
    <row r="54" spans="1:26" ht="13.2" customHeight="1" x14ac:dyDescent="0.25">
      <c r="A54" s="331"/>
      <c r="B54" s="313"/>
      <c r="C54" s="313"/>
      <c r="D54" s="313"/>
      <c r="E54" s="313"/>
      <c r="F54" s="313"/>
      <c r="G54" s="319"/>
      <c r="H54" s="319"/>
      <c r="I54" s="319"/>
      <c r="J54" s="319"/>
      <c r="K54" s="320"/>
      <c r="L54" s="15"/>
      <c r="M54" s="15"/>
      <c r="N54" s="375" t="str">
        <f t="shared" si="5"/>
        <v/>
      </c>
      <c r="O54" s="376" t="str">
        <f t="shared" si="6"/>
        <v/>
      </c>
      <c r="P54" s="376" t="str">
        <f t="shared" si="7"/>
        <v/>
      </c>
      <c r="Q54" s="38"/>
      <c r="R54" s="38"/>
      <c r="S54" s="38"/>
      <c r="T54" s="37"/>
      <c r="U54" s="361"/>
      <c r="V54" s="38"/>
      <c r="W54" s="51"/>
      <c r="X54" s="51"/>
      <c r="Y54" s="51"/>
      <c r="Z54" s="51"/>
    </row>
    <row r="55" spans="1:26" ht="13.2" customHeight="1" x14ac:dyDescent="0.25">
      <c r="A55" s="331"/>
      <c r="B55" s="319"/>
      <c r="C55" s="319"/>
      <c r="D55" s="319"/>
      <c r="E55" s="319"/>
      <c r="F55" s="319"/>
      <c r="G55" s="319"/>
      <c r="H55" s="319"/>
      <c r="I55" s="319"/>
      <c r="J55" s="319"/>
      <c r="K55" s="320"/>
      <c r="L55" s="15"/>
      <c r="M55" s="15"/>
      <c r="N55" s="375" t="str">
        <f t="shared" si="5"/>
        <v/>
      </c>
      <c r="O55" s="376" t="str">
        <f t="shared" si="6"/>
        <v/>
      </c>
      <c r="P55" s="376" t="str">
        <f t="shared" si="7"/>
        <v/>
      </c>
      <c r="Q55" s="38"/>
      <c r="R55" s="38"/>
      <c r="S55" s="38"/>
      <c r="T55" s="37"/>
      <c r="U55" s="361"/>
      <c r="V55" s="38"/>
      <c r="W55" s="51"/>
      <c r="X55" s="51"/>
      <c r="Y55" s="51"/>
      <c r="Z55" s="51"/>
    </row>
    <row r="56" spans="1:26" ht="13.2" customHeight="1" x14ac:dyDescent="0.25">
      <c r="A56" s="332"/>
      <c r="B56" s="333"/>
      <c r="C56" s="333"/>
      <c r="D56" s="333"/>
      <c r="E56" s="333"/>
      <c r="F56" s="333"/>
      <c r="G56" s="333"/>
      <c r="H56" s="333"/>
      <c r="I56" s="333"/>
      <c r="J56" s="333"/>
      <c r="K56" s="334"/>
      <c r="L56" s="15"/>
      <c r="M56" s="15"/>
      <c r="N56" s="375" t="str">
        <f t="shared" si="5"/>
        <v/>
      </c>
      <c r="O56" s="376" t="str">
        <f t="shared" si="6"/>
        <v/>
      </c>
      <c r="P56" s="376">
        <f t="shared" si="7"/>
        <v>5.7559554592181296E-2</v>
      </c>
      <c r="Q56" s="38"/>
      <c r="R56" s="38"/>
      <c r="S56" s="38"/>
      <c r="T56" s="37"/>
      <c r="U56" s="361"/>
      <c r="V56" s="38"/>
      <c r="W56" s="51"/>
      <c r="X56" s="51"/>
      <c r="Y56" s="51"/>
      <c r="Z56" s="51"/>
    </row>
    <row r="57" spans="1:26" ht="15.9" customHeight="1" x14ac:dyDescent="0.25">
      <c r="A57" s="43" t="s">
        <v>24</v>
      </c>
      <c r="B57" s="44"/>
      <c r="C57" s="44"/>
      <c r="D57" s="44"/>
      <c r="E57" s="44"/>
      <c r="F57" s="44"/>
      <c r="G57" s="44"/>
      <c r="H57" s="14"/>
      <c r="I57" s="14"/>
      <c r="J57" s="14"/>
      <c r="K57" s="14"/>
      <c r="L57" s="15"/>
      <c r="M57" s="15"/>
      <c r="N57" s="374" t="s">
        <v>92</v>
      </c>
      <c r="O57" s="374"/>
      <c r="P57" s="374"/>
      <c r="Q57" s="38"/>
      <c r="R57" s="38"/>
      <c r="S57" s="38"/>
      <c r="T57" s="37"/>
      <c r="U57" s="361"/>
      <c r="V57" s="38"/>
      <c r="W57" s="51"/>
      <c r="X57" s="51"/>
      <c r="Y57" s="51"/>
      <c r="Z57" s="51"/>
    </row>
    <row r="58" spans="1:26" ht="15.9" customHeight="1" x14ac:dyDescent="0.25">
      <c r="A58" s="53" t="s">
        <v>20</v>
      </c>
      <c r="B58" s="44"/>
      <c r="C58" s="44"/>
      <c r="D58" s="44"/>
      <c r="E58" s="44"/>
      <c r="F58" s="44"/>
      <c r="G58" s="44"/>
      <c r="H58" s="14"/>
      <c r="I58" s="14"/>
      <c r="J58" s="14"/>
      <c r="K58" s="14"/>
      <c r="L58" s="15"/>
      <c r="M58" s="15"/>
      <c r="N58" s="377" t="s">
        <v>89</v>
      </c>
      <c r="O58" s="377" t="s">
        <v>90</v>
      </c>
      <c r="P58" s="377" t="s">
        <v>91</v>
      </c>
      <c r="Q58" s="38"/>
      <c r="R58" s="38"/>
      <c r="S58" s="38"/>
      <c r="T58" s="37"/>
      <c r="U58" s="361"/>
      <c r="V58" s="38"/>
      <c r="W58" s="51"/>
      <c r="X58" s="51"/>
      <c r="Y58" s="51"/>
      <c r="Z58" s="51"/>
    </row>
    <row r="59" spans="1:26" ht="15.9" customHeight="1" x14ac:dyDescent="0.25">
      <c r="A59" s="47"/>
      <c r="B59" s="44"/>
      <c r="C59" s="44"/>
      <c r="D59" s="44"/>
      <c r="E59" s="44"/>
      <c r="F59" s="44"/>
      <c r="G59" s="44"/>
      <c r="H59" s="14"/>
      <c r="I59" s="14"/>
      <c r="J59" s="14"/>
      <c r="K59" s="14"/>
      <c r="L59" s="15"/>
      <c r="M59" s="15"/>
      <c r="N59" s="378">
        <f>AVERAGE(N39:N56)</f>
        <v>7.8031922332980628</v>
      </c>
      <c r="O59" s="378">
        <f>AVERAGE(O39:O56)</f>
        <v>0.54009897581723099</v>
      </c>
      <c r="P59" s="378">
        <f>AVERAGE(P39:P56)</f>
        <v>5.7559554592181296E-2</v>
      </c>
      <c r="Q59" s="38"/>
      <c r="R59" s="38"/>
      <c r="S59" s="38"/>
      <c r="T59" s="38"/>
      <c r="U59" s="38"/>
      <c r="V59" s="38"/>
      <c r="W59" s="51"/>
      <c r="X59" s="51"/>
      <c r="Y59" s="51"/>
      <c r="Z59" s="51"/>
    </row>
    <row r="60" spans="1:26" ht="15.9" customHeight="1" x14ac:dyDescent="0.25">
      <c r="A60" s="52" t="s">
        <v>25</v>
      </c>
      <c r="B60" s="41"/>
      <c r="C60" s="41"/>
      <c r="D60" s="44"/>
      <c r="E60" s="44"/>
      <c r="F60" s="44"/>
      <c r="G60" s="44"/>
      <c r="H60" s="14"/>
      <c r="I60" s="14"/>
      <c r="J60" s="14"/>
      <c r="K60" s="14"/>
      <c r="L60" s="15"/>
      <c r="M60" s="15"/>
      <c r="N60" s="379" t="s">
        <v>96</v>
      </c>
      <c r="O60" s="380"/>
      <c r="P60" s="381">
        <f>N59/P59</f>
        <v>135.56727963906141</v>
      </c>
      <c r="Q60" s="311"/>
      <c r="R60" s="311"/>
      <c r="S60" s="311"/>
      <c r="T60" s="311"/>
      <c r="U60" s="311"/>
      <c r="V60" s="311"/>
      <c r="W60" s="51"/>
      <c r="X60" s="51"/>
      <c r="Y60" s="51"/>
      <c r="Z60" s="51"/>
    </row>
    <row r="61" spans="1:26" ht="15.9" customHeight="1" x14ac:dyDescent="0.25">
      <c r="A61" s="52" t="s">
        <v>26</v>
      </c>
      <c r="B61" s="44"/>
      <c r="C61" s="44"/>
      <c r="D61" s="44"/>
      <c r="E61" s="44"/>
      <c r="F61" s="44"/>
      <c r="G61" s="44"/>
      <c r="H61" s="14"/>
      <c r="I61" s="14"/>
      <c r="J61" s="14"/>
      <c r="K61" s="14"/>
      <c r="L61" s="15"/>
      <c r="M61" s="15"/>
      <c r="N61" s="382" t="s">
        <v>97</v>
      </c>
      <c r="O61" s="383"/>
      <c r="P61" s="384">
        <f>((O59)^2/(P59*N59))</f>
        <v>0.64946683219708234</v>
      </c>
      <c r="Q61" s="38"/>
      <c r="R61" s="38"/>
      <c r="S61" s="38"/>
      <c r="T61" s="38"/>
      <c r="U61" s="38"/>
      <c r="V61" s="38"/>
      <c r="W61" s="51"/>
      <c r="X61" s="51"/>
      <c r="Y61" s="51"/>
      <c r="Z61" s="51"/>
    </row>
    <row r="62" spans="1:26" ht="15.9" customHeight="1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5"/>
      <c r="M62" s="15"/>
      <c r="W62" s="51"/>
      <c r="X62" s="51"/>
      <c r="Y62" s="51"/>
      <c r="Z62" s="51"/>
    </row>
    <row r="63" spans="1:26" ht="15.9" customHeight="1" x14ac:dyDescent="0.25">
      <c r="W63" s="51"/>
      <c r="X63" s="51"/>
      <c r="Y63" s="51"/>
      <c r="Z63" s="51"/>
    </row>
    <row r="64" spans="1:26" ht="30.75" customHeight="1" x14ac:dyDescent="0.25">
      <c r="A64" s="622" t="s">
        <v>41</v>
      </c>
      <c r="B64" s="622"/>
      <c r="C64" s="622"/>
      <c r="D64" s="622"/>
      <c r="E64" s="622"/>
      <c r="F64" s="622"/>
      <c r="G64" s="622"/>
      <c r="H64" s="622"/>
      <c r="I64" s="622"/>
      <c r="J64" s="622"/>
      <c r="K64" s="622"/>
      <c r="W64" s="51"/>
      <c r="X64" s="51"/>
      <c r="Y64" s="51"/>
      <c r="Z64" s="51"/>
    </row>
    <row r="65" spans="23:26" ht="15.9" customHeight="1" x14ac:dyDescent="0.25">
      <c r="W65" s="51"/>
      <c r="X65" s="51"/>
      <c r="Y65" s="51"/>
      <c r="Z65" s="51"/>
    </row>
    <row r="66" spans="23:26" ht="15.9" customHeight="1" x14ac:dyDescent="0.25">
      <c r="W66" s="51"/>
      <c r="X66" s="51"/>
      <c r="Y66" s="51"/>
      <c r="Z66" s="51"/>
    </row>
    <row r="67" spans="23:26" x14ac:dyDescent="0.25">
      <c r="W67" s="51"/>
      <c r="X67" s="51"/>
      <c r="Y67" s="51"/>
      <c r="Z67" s="51"/>
    </row>
    <row r="68" spans="23:26" x14ac:dyDescent="0.25">
      <c r="W68" s="51"/>
      <c r="X68" s="51"/>
      <c r="Y68" s="51"/>
      <c r="Z68" s="51"/>
    </row>
  </sheetData>
  <protectedRanges>
    <protectedRange sqref="C11:C13 C16" name="Rango3_3_1_1_1_1_1_1_1_1"/>
    <protectedRange sqref="C10" name="Rango3_3_1_1_1_1_1_2_1"/>
  </protectedRanges>
  <mergeCells count="39">
    <mergeCell ref="T17:V17"/>
    <mergeCell ref="T16:V16"/>
    <mergeCell ref="B38:C38"/>
    <mergeCell ref="B30:C30"/>
    <mergeCell ref="B31:C31"/>
    <mergeCell ref="B32:C32"/>
    <mergeCell ref="B33:C33"/>
    <mergeCell ref="B34:C34"/>
    <mergeCell ref="B35:C35"/>
    <mergeCell ref="B36:C36"/>
    <mergeCell ref="B37:C37"/>
    <mergeCell ref="D23:D24"/>
    <mergeCell ref="F35:G36"/>
    <mergeCell ref="F37:G38"/>
    <mergeCell ref="H35:I36"/>
    <mergeCell ref="H37:I38"/>
    <mergeCell ref="F28:F29"/>
    <mergeCell ref="G28:G29"/>
    <mergeCell ref="A14:K14"/>
    <mergeCell ref="A17:K17"/>
    <mergeCell ref="C10:H10"/>
    <mergeCell ref="C11:H11"/>
    <mergeCell ref="C12:H12"/>
    <mergeCell ref="F30:F32"/>
    <mergeCell ref="G30:G32"/>
    <mergeCell ref="A64:K64"/>
    <mergeCell ref="A15:K15"/>
    <mergeCell ref="A7:K7"/>
    <mergeCell ref="A8:K8"/>
    <mergeCell ref="B25:C25"/>
    <mergeCell ref="B24:C24"/>
    <mergeCell ref="A23:C23"/>
    <mergeCell ref="B26:C26"/>
    <mergeCell ref="B27:C27"/>
    <mergeCell ref="B28:C28"/>
    <mergeCell ref="B29:C29"/>
    <mergeCell ref="F23:H24"/>
    <mergeCell ref="I23:I24"/>
    <mergeCell ref="F26:I27"/>
  </mergeCells>
  <dataValidations disablePrompts="1" count="3">
    <dataValidation type="list" allowBlank="1" showInputMessage="1" showErrorMessage="1" sqref="O2" xr:uid="{00000000-0002-0000-0100-000000000000}">
      <formula1>$X$4:$X$5</formula1>
    </dataValidation>
    <dataValidation type="list" allowBlank="1" showInputMessage="1" showErrorMessage="1" sqref="O3" xr:uid="{00000000-0002-0000-0100-000001000000}">
      <formula1>$X$2:$X$3</formula1>
    </dataValidation>
    <dataValidation type="list" allowBlank="1" showInputMessage="1" showErrorMessage="1" sqref="O4" xr:uid="{00000000-0002-0000-0100-000002000000}">
      <formula1>$X$6:$X$8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52"/>
  <sheetViews>
    <sheetView showGridLines="0" topLeftCell="A13" zoomScaleNormal="100" zoomScaleSheetLayoutView="100" workbookViewId="0">
      <selection activeCell="N16" sqref="N16"/>
    </sheetView>
  </sheetViews>
  <sheetFormatPr baseColWidth="10" defaultColWidth="10.33203125" defaultRowHeight="13.8" x14ac:dyDescent="0.25"/>
  <cols>
    <col min="1" max="1" width="16.33203125" style="194" customWidth="1"/>
    <col min="2" max="2" width="2" style="194" customWidth="1"/>
    <col min="3" max="3" width="11.44140625" style="194" customWidth="1"/>
    <col min="4" max="8" width="9.33203125" style="194" customWidth="1"/>
    <col min="9" max="9" width="8.88671875" style="194" customWidth="1"/>
    <col min="10" max="10" width="1.5546875" style="194" customWidth="1"/>
    <col min="11" max="11" width="13.5546875" style="194" customWidth="1"/>
    <col min="12" max="12" width="6.44140625" style="194" customWidth="1"/>
    <col min="13" max="13" width="8" style="194" customWidth="1"/>
    <col min="14" max="14" width="12.6640625" style="194" customWidth="1"/>
    <col min="15" max="15" width="10.88671875" style="194" customWidth="1"/>
    <col min="16" max="22" width="10.6640625" style="194" customWidth="1"/>
    <col min="23" max="16384" width="10.33203125" style="194"/>
  </cols>
  <sheetData>
    <row r="1" spans="1:19" ht="15.75" customHeight="1" thickTop="1" x14ac:dyDescent="0.25">
      <c r="A1" s="189"/>
      <c r="B1" s="190"/>
      <c r="C1" s="190"/>
      <c r="D1" s="191"/>
      <c r="E1" s="191"/>
      <c r="F1" s="191"/>
      <c r="G1" s="191"/>
      <c r="H1" s="191"/>
      <c r="I1" s="192"/>
      <c r="J1" s="192"/>
      <c r="K1" s="193"/>
    </row>
    <row r="2" spans="1:19" ht="15.75" customHeight="1" x14ac:dyDescent="0.25">
      <c r="A2" s="195"/>
      <c r="B2" s="196"/>
      <c r="C2" s="196"/>
      <c r="D2" s="197"/>
      <c r="E2" s="197"/>
      <c r="F2" s="197"/>
      <c r="G2" s="197"/>
      <c r="H2" s="197"/>
      <c r="K2" s="198"/>
      <c r="P2" s="199"/>
    </row>
    <row r="3" spans="1:19" ht="15.75" customHeight="1" x14ac:dyDescent="0.25">
      <c r="A3" s="195"/>
      <c r="B3" s="196"/>
      <c r="C3" s="196"/>
      <c r="D3" s="197"/>
      <c r="E3" s="197"/>
      <c r="F3" s="197"/>
      <c r="G3" s="197"/>
      <c r="H3" s="197"/>
      <c r="K3" s="198"/>
    </row>
    <row r="4" spans="1:19" ht="15.75" customHeight="1" x14ac:dyDescent="0.25">
      <c r="A4" s="195"/>
      <c r="B4" s="196"/>
      <c r="C4" s="196"/>
      <c r="D4" s="197"/>
      <c r="E4" s="197"/>
      <c r="F4" s="197"/>
      <c r="G4" s="197"/>
      <c r="H4" s="197"/>
      <c r="K4" s="198"/>
    </row>
    <row r="5" spans="1:19" ht="15.75" customHeight="1" thickBot="1" x14ac:dyDescent="0.3">
      <c r="A5" s="200"/>
      <c r="B5" s="201"/>
      <c r="C5" s="201"/>
      <c r="D5" s="201"/>
      <c r="E5" s="201"/>
      <c r="F5" s="201"/>
      <c r="G5" s="201"/>
      <c r="H5" s="201"/>
      <c r="I5" s="201"/>
      <c r="J5" s="201"/>
      <c r="K5" s="202"/>
    </row>
    <row r="6" spans="1:19" ht="15.9" customHeight="1" thickTop="1" x14ac:dyDescent="0.25">
      <c r="A6" s="203"/>
      <c r="B6" s="203"/>
      <c r="C6" s="203"/>
      <c r="D6" s="203"/>
      <c r="E6" s="203"/>
      <c r="F6" s="203"/>
      <c r="G6" s="203"/>
      <c r="H6" s="203"/>
      <c r="I6" s="203"/>
      <c r="J6" s="203"/>
      <c r="K6" s="203"/>
    </row>
    <row r="7" spans="1:19" ht="15.9" customHeight="1" x14ac:dyDescent="0.25">
      <c r="A7" s="203"/>
      <c r="B7" s="203"/>
      <c r="C7" s="203"/>
      <c r="D7" s="203"/>
      <c r="E7" s="203"/>
      <c r="F7" s="203"/>
      <c r="G7" s="203"/>
      <c r="H7" s="203"/>
      <c r="I7" s="203"/>
      <c r="J7" s="203"/>
      <c r="K7" s="203"/>
    </row>
    <row r="8" spans="1:19" ht="15.9" customHeight="1" x14ac:dyDescent="0.25">
      <c r="A8" s="682" t="s">
        <v>23</v>
      </c>
      <c r="B8" s="682"/>
      <c r="C8" s="682"/>
      <c r="D8" s="682"/>
      <c r="E8" s="682"/>
      <c r="F8" s="682"/>
      <c r="G8" s="682"/>
      <c r="H8" s="682"/>
      <c r="I8" s="682"/>
      <c r="J8" s="682"/>
      <c r="K8" s="682"/>
    </row>
    <row r="9" spans="1:19" ht="15.9" customHeight="1" x14ac:dyDescent="0.25">
      <c r="A9" s="683">
        <f>+K13</f>
        <v>10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O9" s="204"/>
    </row>
    <row r="10" spans="1:19" ht="15.9" customHeight="1" x14ac:dyDescent="0.25">
      <c r="A10" s="205"/>
      <c r="B10" s="205"/>
      <c r="C10" s="205"/>
      <c r="D10" s="205"/>
      <c r="E10" s="205"/>
      <c r="F10" s="205"/>
      <c r="G10" s="205"/>
      <c r="H10" s="205"/>
      <c r="I10" s="205"/>
      <c r="J10" s="205"/>
      <c r="K10" s="205"/>
    </row>
    <row r="11" spans="1:19" ht="15.9" customHeight="1" x14ac:dyDescent="0.25">
      <c r="A11" s="34" t="s">
        <v>16</v>
      </c>
      <c r="B11" s="35" t="s">
        <v>0</v>
      </c>
      <c r="C11" s="684" t="s">
        <v>39</v>
      </c>
      <c r="D11" s="684"/>
      <c r="E11" s="684"/>
      <c r="F11" s="684"/>
      <c r="G11" s="684"/>
      <c r="H11" s="684"/>
      <c r="I11" s="206" t="s">
        <v>38</v>
      </c>
      <c r="J11" s="207" t="s">
        <v>0</v>
      </c>
      <c r="K11" s="208" t="s">
        <v>252</v>
      </c>
      <c r="L11" s="209"/>
      <c r="M11" s="209"/>
      <c r="O11" s="210"/>
    </row>
    <row r="12" spans="1:19" ht="15.9" customHeight="1" x14ac:dyDescent="0.25">
      <c r="A12" s="34" t="s">
        <v>17</v>
      </c>
      <c r="B12" s="35" t="s">
        <v>0</v>
      </c>
      <c r="C12" s="684" t="s">
        <v>19</v>
      </c>
      <c r="D12" s="684"/>
      <c r="E12" s="684"/>
      <c r="F12" s="684"/>
      <c r="G12" s="684"/>
      <c r="H12" s="684"/>
      <c r="I12" s="39" t="s">
        <v>21</v>
      </c>
      <c r="J12" s="35" t="s">
        <v>0</v>
      </c>
      <c r="K12" s="211" t="s">
        <v>27</v>
      </c>
      <c r="L12" s="209"/>
      <c r="M12" s="209"/>
      <c r="P12" s="212"/>
      <c r="Q12" s="212"/>
      <c r="R12" s="213"/>
      <c r="S12" s="214"/>
    </row>
    <row r="13" spans="1:19" ht="15.9" customHeight="1" x14ac:dyDescent="0.25">
      <c r="A13" s="34" t="s">
        <v>18</v>
      </c>
      <c r="B13" s="35" t="s">
        <v>0</v>
      </c>
      <c r="C13" s="684" t="s">
        <v>40</v>
      </c>
      <c r="D13" s="684"/>
      <c r="E13" s="684"/>
      <c r="F13" s="684"/>
      <c r="G13" s="684"/>
      <c r="H13" s="684"/>
      <c r="I13" s="39" t="s">
        <v>22</v>
      </c>
      <c r="J13" s="35" t="s">
        <v>0</v>
      </c>
      <c r="K13" s="387">
        <v>10</v>
      </c>
      <c r="L13" s="209"/>
      <c r="M13" s="209"/>
      <c r="P13" s="212"/>
      <c r="Q13" s="212"/>
      <c r="R13" s="681"/>
      <c r="S13" s="681"/>
    </row>
    <row r="14" spans="1:19" ht="15.9" customHeight="1" x14ac:dyDescent="0.25">
      <c r="A14" s="34"/>
      <c r="B14" s="35"/>
      <c r="C14" s="215"/>
      <c r="D14" s="215"/>
      <c r="E14" s="215"/>
      <c r="F14" s="215"/>
      <c r="G14" s="215"/>
      <c r="H14" s="215"/>
      <c r="I14" s="39"/>
      <c r="J14" s="35"/>
      <c r="K14" s="216"/>
      <c r="L14" s="209"/>
      <c r="M14" s="209"/>
      <c r="P14" s="212"/>
      <c r="Q14" s="212"/>
      <c r="R14" s="217"/>
      <c r="S14" s="217"/>
    </row>
    <row r="15" spans="1:19" ht="30" customHeight="1" x14ac:dyDescent="0.25">
      <c r="A15" s="669" t="s">
        <v>229</v>
      </c>
      <c r="B15" s="670"/>
      <c r="C15" s="670"/>
      <c r="D15" s="670"/>
      <c r="E15" s="670"/>
      <c r="F15" s="670"/>
      <c r="G15" s="670"/>
      <c r="H15" s="670"/>
      <c r="I15" s="670"/>
      <c r="J15" s="670"/>
      <c r="K15" s="671"/>
      <c r="L15" s="209"/>
      <c r="M15" s="209"/>
      <c r="P15" s="212"/>
      <c r="Q15" s="212"/>
      <c r="R15" s="217"/>
      <c r="S15" s="217"/>
    </row>
    <row r="16" spans="1:19" ht="18" customHeight="1" x14ac:dyDescent="0.25">
      <c r="A16" s="672" t="s">
        <v>277</v>
      </c>
      <c r="B16" s="673"/>
      <c r="C16" s="673"/>
      <c r="D16" s="673"/>
      <c r="E16" s="673"/>
      <c r="F16" s="673"/>
      <c r="G16" s="673"/>
      <c r="H16" s="673"/>
      <c r="I16" s="673"/>
      <c r="J16" s="673"/>
      <c r="K16" s="674"/>
      <c r="L16" s="209"/>
      <c r="M16" s="209"/>
      <c r="P16" s="212"/>
      <c r="Q16" s="212"/>
      <c r="R16" s="217"/>
      <c r="S16" s="217"/>
    </row>
    <row r="17" spans="1:21" ht="11.25" customHeight="1" x14ac:dyDescent="0.25">
      <c r="A17" s="218"/>
      <c r="B17" s="48"/>
      <c r="C17" s="219"/>
      <c r="D17" s="219"/>
      <c r="E17" s="219"/>
      <c r="F17" s="219"/>
      <c r="G17" s="219"/>
      <c r="H17" s="219"/>
      <c r="I17" s="50"/>
      <c r="J17" s="48"/>
      <c r="K17" s="220"/>
      <c r="L17" s="209"/>
      <c r="M17" s="209"/>
      <c r="P17" s="212"/>
      <c r="Q17" s="212"/>
      <c r="R17" s="217"/>
      <c r="S17" s="217"/>
    </row>
    <row r="18" spans="1:21" ht="15.9" customHeight="1" x14ac:dyDescent="0.25">
      <c r="A18" s="675" t="s">
        <v>30</v>
      </c>
      <c r="B18" s="645"/>
      <c r="C18" s="645"/>
      <c r="D18" s="645"/>
      <c r="E18" s="645"/>
      <c r="F18" s="645"/>
      <c r="G18" s="645"/>
      <c r="H18" s="645"/>
      <c r="I18" s="645"/>
      <c r="J18" s="645"/>
      <c r="K18" s="646"/>
      <c r="M18" s="209"/>
      <c r="P18" s="212"/>
      <c r="Q18" s="212"/>
      <c r="R18" s="221"/>
      <c r="S18" s="221"/>
    </row>
    <row r="19" spans="1:21" ht="15.9" customHeight="1" x14ac:dyDescent="0.25">
      <c r="A19" s="222" t="s">
        <v>28</v>
      </c>
      <c r="B19" s="45" t="s">
        <v>0</v>
      </c>
      <c r="C19" s="211" t="s">
        <v>35</v>
      </c>
      <c r="D19" s="45"/>
      <c r="E19" s="223"/>
      <c r="F19" s="211"/>
      <c r="G19" s="211"/>
      <c r="H19" s="223"/>
      <c r="I19" s="46" t="s">
        <v>31</v>
      </c>
      <c r="J19" s="224" t="s">
        <v>0</v>
      </c>
      <c r="K19" s="225"/>
      <c r="M19" s="209"/>
      <c r="P19" s="212"/>
      <c r="Q19" s="212"/>
      <c r="R19" s="221"/>
      <c r="S19" s="221"/>
    </row>
    <row r="20" spans="1:21" ht="15.9" customHeight="1" x14ac:dyDescent="0.25">
      <c r="A20" s="222" t="s">
        <v>32</v>
      </c>
      <c r="B20" s="45" t="s">
        <v>0</v>
      </c>
      <c r="C20" s="211" t="s">
        <v>36</v>
      </c>
      <c r="D20" s="45"/>
      <c r="E20" s="223"/>
      <c r="F20" s="211"/>
      <c r="G20" s="211"/>
      <c r="H20" s="223"/>
      <c r="I20" s="46" t="s">
        <v>33</v>
      </c>
      <c r="J20" s="224" t="s">
        <v>0</v>
      </c>
      <c r="K20" s="226">
        <v>43831</v>
      </c>
      <c r="M20" s="209"/>
      <c r="P20" s="212"/>
      <c r="Q20" s="212"/>
      <c r="R20" s="221"/>
      <c r="S20" s="221"/>
      <c r="U20" s="227" t="s">
        <v>230</v>
      </c>
    </row>
    <row r="21" spans="1:21" ht="15.9" customHeight="1" x14ac:dyDescent="0.25">
      <c r="A21" s="222" t="s">
        <v>29</v>
      </c>
      <c r="B21" s="45" t="s">
        <v>0</v>
      </c>
      <c r="C21" s="211" t="s">
        <v>37</v>
      </c>
      <c r="D21" s="45"/>
      <c r="E21" s="223"/>
      <c r="F21" s="211"/>
      <c r="G21" s="211"/>
      <c r="H21" s="223"/>
      <c r="I21" s="46" t="s">
        <v>34</v>
      </c>
      <c r="J21" s="224" t="s">
        <v>0</v>
      </c>
      <c r="K21" s="226">
        <v>43844</v>
      </c>
      <c r="M21" s="209"/>
      <c r="P21" s="212"/>
      <c r="Q21" s="212"/>
      <c r="R21" s="221"/>
      <c r="S21" s="221"/>
      <c r="U21" s="227" t="s">
        <v>231</v>
      </c>
    </row>
    <row r="22" spans="1:21" ht="12" customHeight="1" x14ac:dyDescent="0.25">
      <c r="A22" s="228"/>
      <c r="B22" s="229"/>
      <c r="C22" s="229"/>
      <c r="D22" s="229"/>
      <c r="E22" s="229"/>
      <c r="F22" s="229"/>
      <c r="G22" s="229"/>
      <c r="H22" s="229"/>
      <c r="I22" s="229"/>
      <c r="J22" s="229"/>
      <c r="K22" s="230"/>
      <c r="M22" s="209"/>
    </row>
    <row r="23" spans="1:21" ht="18.75" customHeight="1" x14ac:dyDescent="0.25">
      <c r="A23" s="231"/>
      <c r="I23" s="676"/>
      <c r="J23" s="676"/>
      <c r="K23" s="232"/>
      <c r="L23" s="209"/>
      <c r="M23" s="233"/>
      <c r="Q23" s="234"/>
    </row>
    <row r="24" spans="1:21" ht="18.75" customHeight="1" x14ac:dyDescent="0.25">
      <c r="A24" s="235"/>
      <c r="D24" s="677" t="s">
        <v>232</v>
      </c>
      <c r="E24" s="678"/>
      <c r="F24" s="678"/>
      <c r="G24" s="679" t="s">
        <v>233</v>
      </c>
      <c r="H24" s="680"/>
      <c r="I24" s="667"/>
      <c r="J24" s="667"/>
      <c r="K24" s="236"/>
      <c r="L24" s="209"/>
      <c r="M24" s="237"/>
      <c r="O24" s="662" t="s">
        <v>232</v>
      </c>
      <c r="P24" s="663"/>
      <c r="Q24" s="238" t="s">
        <v>231</v>
      </c>
      <c r="R24" s="662" t="s">
        <v>233</v>
      </c>
      <c r="S24" s="664"/>
      <c r="T24" s="238" t="s">
        <v>231</v>
      </c>
    </row>
    <row r="25" spans="1:21" ht="18.75" customHeight="1" x14ac:dyDescent="0.25">
      <c r="A25" s="235"/>
      <c r="B25" s="665" t="s">
        <v>234</v>
      </c>
      <c r="C25" s="666"/>
      <c r="D25" s="239" t="str">
        <f>IF($Q$24="NO","",O25)</f>
        <v/>
      </c>
      <c r="E25" s="239" t="str">
        <f>IF($Q$24="NO","",P25)</f>
        <v/>
      </c>
      <c r="F25" s="240" t="str">
        <f>IF($Q$24="NO","",Q25)</f>
        <v/>
      </c>
      <c r="G25" s="241" t="str">
        <f>IF($T$24="NO","",R25)</f>
        <v/>
      </c>
      <c r="H25" s="239" t="str">
        <f>IF($T$24="NO","",S25)</f>
        <v/>
      </c>
      <c r="I25" s="667"/>
      <c r="J25" s="667"/>
      <c r="K25" s="236"/>
      <c r="L25" s="209"/>
      <c r="M25" s="237"/>
      <c r="N25" s="242" t="s">
        <v>234</v>
      </c>
      <c r="O25" s="239">
        <v>1</v>
      </c>
      <c r="P25" s="239">
        <v>2</v>
      </c>
      <c r="Q25" s="240">
        <v>3</v>
      </c>
      <c r="R25" s="243">
        <v>1</v>
      </c>
      <c r="S25" s="243">
        <v>2</v>
      </c>
    </row>
    <row r="26" spans="1:21" ht="18.75" customHeight="1" x14ac:dyDescent="0.25">
      <c r="A26" s="235"/>
      <c r="B26" s="244" t="s">
        <v>235</v>
      </c>
      <c r="C26" s="245"/>
      <c r="D26" s="246" t="str">
        <f>IF($Q$24="NO","",O26)</f>
        <v/>
      </c>
      <c r="E26" s="246" t="str">
        <f t="shared" ref="E26:F33" si="0">IF($Q$24="NO","",P26)</f>
        <v/>
      </c>
      <c r="F26" s="247" t="str">
        <f t="shared" si="0"/>
        <v/>
      </c>
      <c r="G26" s="248" t="str">
        <f>IF($T$24="NO","",R26)</f>
        <v/>
      </c>
      <c r="H26" s="246" t="str">
        <f>IF($T$24="NO","",S26)</f>
        <v/>
      </c>
      <c r="I26" s="668"/>
      <c r="J26" s="668"/>
      <c r="K26" s="249"/>
      <c r="L26" s="250"/>
      <c r="M26" s="237"/>
      <c r="N26" s="244" t="s">
        <v>235</v>
      </c>
      <c r="O26" s="251">
        <v>5</v>
      </c>
      <c r="P26" s="251">
        <v>3</v>
      </c>
      <c r="Q26" s="252">
        <v>4</v>
      </c>
      <c r="R26" s="253">
        <v>11</v>
      </c>
      <c r="S26" s="253">
        <v>10</v>
      </c>
    </row>
    <row r="27" spans="1:21" ht="18.75" customHeight="1" x14ac:dyDescent="0.25">
      <c r="A27" s="235"/>
      <c r="B27" s="244" t="s">
        <v>236</v>
      </c>
      <c r="C27" s="245"/>
      <c r="D27" s="246" t="str">
        <f t="shared" ref="D27:D33" si="1">IF($Q$24="NO","",O27)</f>
        <v/>
      </c>
      <c r="E27" s="246" t="str">
        <f t="shared" si="0"/>
        <v/>
      </c>
      <c r="F27" s="247" t="str">
        <f t="shared" si="0"/>
        <v/>
      </c>
      <c r="G27" s="254"/>
      <c r="H27" s="255"/>
      <c r="I27" s="256"/>
      <c r="J27" s="256"/>
      <c r="K27" s="257"/>
      <c r="L27" s="209"/>
      <c r="M27" s="209"/>
      <c r="N27" s="244" t="s">
        <v>236</v>
      </c>
      <c r="O27" s="258">
        <v>34</v>
      </c>
      <c r="P27" s="258">
        <v>23</v>
      </c>
      <c r="Q27" s="251">
        <v>14</v>
      </c>
      <c r="R27" s="259"/>
      <c r="S27" s="260"/>
    </row>
    <row r="28" spans="1:21" ht="18.75" customHeight="1" x14ac:dyDescent="0.25">
      <c r="A28" s="235"/>
      <c r="B28" s="244" t="s">
        <v>237</v>
      </c>
      <c r="C28" s="245"/>
      <c r="D28" s="246" t="str">
        <f t="shared" si="1"/>
        <v/>
      </c>
      <c r="E28" s="246" t="str">
        <f t="shared" si="0"/>
        <v/>
      </c>
      <c r="F28" s="247" t="str">
        <f t="shared" si="0"/>
        <v/>
      </c>
      <c r="G28" s="248" t="str">
        <f>IF($T$24="NO","",R28)</f>
        <v/>
      </c>
      <c r="H28" s="246" t="str">
        <f>IF($T$24="NO","",S28)</f>
        <v/>
      </c>
      <c r="I28" s="256"/>
      <c r="J28" s="256"/>
      <c r="K28" s="257"/>
      <c r="L28" s="209"/>
      <c r="M28" s="209"/>
      <c r="N28" s="244" t="s">
        <v>237</v>
      </c>
      <c r="O28" s="261">
        <v>45.75</v>
      </c>
      <c r="P28" s="261">
        <v>43.9</v>
      </c>
      <c r="Q28" s="262">
        <v>43.66</v>
      </c>
      <c r="R28" s="263">
        <v>23.05</v>
      </c>
      <c r="S28" s="263">
        <v>18.07</v>
      </c>
    </row>
    <row r="29" spans="1:21" ht="18.75" customHeight="1" x14ac:dyDescent="0.25">
      <c r="A29" s="235"/>
      <c r="B29" s="244" t="s">
        <v>238</v>
      </c>
      <c r="C29" s="245"/>
      <c r="D29" s="246" t="str">
        <f t="shared" si="1"/>
        <v/>
      </c>
      <c r="E29" s="246" t="str">
        <f t="shared" si="0"/>
        <v/>
      </c>
      <c r="F29" s="247" t="str">
        <f t="shared" si="0"/>
        <v/>
      </c>
      <c r="G29" s="248" t="str">
        <f t="shared" ref="G29:H32" si="2">IF($T$24="NO","",R29)</f>
        <v/>
      </c>
      <c r="H29" s="246" t="str">
        <f t="shared" si="2"/>
        <v/>
      </c>
      <c r="I29" s="256"/>
      <c r="J29" s="256"/>
      <c r="K29" s="257"/>
      <c r="L29" s="209"/>
      <c r="M29" s="209"/>
      <c r="N29" s="244" t="s">
        <v>238</v>
      </c>
      <c r="O29" s="261">
        <v>41.37</v>
      </c>
      <c r="P29" s="261">
        <v>40.03</v>
      </c>
      <c r="Q29" s="262">
        <v>38.78</v>
      </c>
      <c r="R29" s="263">
        <v>22.63</v>
      </c>
      <c r="S29" s="263">
        <v>17.48</v>
      </c>
    </row>
    <row r="30" spans="1:21" ht="18.75" customHeight="1" x14ac:dyDescent="0.25">
      <c r="A30" s="235"/>
      <c r="B30" s="244" t="s">
        <v>239</v>
      </c>
      <c r="C30" s="245"/>
      <c r="D30" s="246" t="str">
        <f t="shared" si="1"/>
        <v/>
      </c>
      <c r="E30" s="246" t="str">
        <f t="shared" si="0"/>
        <v/>
      </c>
      <c r="F30" s="247" t="str">
        <f t="shared" si="0"/>
        <v/>
      </c>
      <c r="G30" s="248" t="str">
        <f t="shared" si="2"/>
        <v/>
      </c>
      <c r="H30" s="246" t="str">
        <f t="shared" si="2"/>
        <v/>
      </c>
      <c r="I30" s="256"/>
      <c r="J30" s="256"/>
      <c r="K30" s="257"/>
      <c r="L30" s="209"/>
      <c r="M30" s="209"/>
      <c r="N30" s="244" t="s">
        <v>239</v>
      </c>
      <c r="O30" s="261">
        <v>22.74</v>
      </c>
      <c r="P30" s="261">
        <v>24.18</v>
      </c>
      <c r="Q30" s="262">
        <v>19.97</v>
      </c>
      <c r="R30" s="263">
        <v>19.309999999999999</v>
      </c>
      <c r="S30" s="263">
        <v>13.01</v>
      </c>
    </row>
    <row r="31" spans="1:21" ht="18.75" customHeight="1" x14ac:dyDescent="0.25">
      <c r="A31" s="235"/>
      <c r="B31" s="244" t="s">
        <v>240</v>
      </c>
      <c r="C31" s="245"/>
      <c r="D31" s="246" t="str">
        <f t="shared" si="1"/>
        <v/>
      </c>
      <c r="E31" s="246" t="str">
        <f t="shared" si="0"/>
        <v/>
      </c>
      <c r="F31" s="247" t="str">
        <f t="shared" si="0"/>
        <v/>
      </c>
      <c r="G31" s="248" t="str">
        <f t="shared" si="2"/>
        <v/>
      </c>
      <c r="H31" s="246" t="str">
        <f t="shared" si="2"/>
        <v/>
      </c>
      <c r="I31" s="256"/>
      <c r="J31" s="256"/>
      <c r="K31" s="257"/>
      <c r="L31" s="209"/>
      <c r="M31" s="209"/>
      <c r="N31" s="244" t="s">
        <v>240</v>
      </c>
      <c r="O31" s="264">
        <f t="shared" ref="O31:Q32" si="3">+O28-O29</f>
        <v>4.3800000000000026</v>
      </c>
      <c r="P31" s="264">
        <f t="shared" si="3"/>
        <v>3.8699999999999974</v>
      </c>
      <c r="Q31" s="265">
        <f t="shared" si="3"/>
        <v>4.8799999999999955</v>
      </c>
      <c r="R31" s="266">
        <f>+R28-R29</f>
        <v>0.42000000000000171</v>
      </c>
      <c r="S31" s="266">
        <f>+S28-S29</f>
        <v>0.58999999999999986</v>
      </c>
    </row>
    <row r="32" spans="1:21" ht="18.75" customHeight="1" x14ac:dyDescent="0.25">
      <c r="A32" s="235"/>
      <c r="B32" s="244" t="s">
        <v>241</v>
      </c>
      <c r="C32" s="245"/>
      <c r="D32" s="246" t="str">
        <f t="shared" si="1"/>
        <v/>
      </c>
      <c r="E32" s="246" t="str">
        <f t="shared" si="0"/>
        <v/>
      </c>
      <c r="F32" s="247" t="str">
        <f t="shared" si="0"/>
        <v/>
      </c>
      <c r="G32" s="248" t="str">
        <f t="shared" si="2"/>
        <v/>
      </c>
      <c r="H32" s="246" t="str">
        <f t="shared" si="2"/>
        <v/>
      </c>
      <c r="I32" s="256"/>
      <c r="J32" s="256"/>
      <c r="K32" s="257"/>
      <c r="L32" s="209"/>
      <c r="M32" s="209"/>
      <c r="N32" s="244" t="s">
        <v>241</v>
      </c>
      <c r="O32" s="264">
        <f t="shared" si="3"/>
        <v>18.63</v>
      </c>
      <c r="P32" s="264">
        <f t="shared" si="3"/>
        <v>15.850000000000001</v>
      </c>
      <c r="Q32" s="265">
        <f t="shared" si="3"/>
        <v>18.810000000000002</v>
      </c>
      <c r="R32" s="266">
        <f>+R29-R30</f>
        <v>3.3200000000000003</v>
      </c>
      <c r="S32" s="266">
        <f>+S29-S30</f>
        <v>4.4700000000000006</v>
      </c>
    </row>
    <row r="33" spans="1:19" ht="18.75" customHeight="1" x14ac:dyDescent="0.25">
      <c r="A33" s="235"/>
      <c r="B33" s="244" t="s">
        <v>242</v>
      </c>
      <c r="C33" s="245"/>
      <c r="D33" s="267" t="str">
        <f t="shared" si="1"/>
        <v/>
      </c>
      <c r="E33" s="267" t="str">
        <f t="shared" si="0"/>
        <v/>
      </c>
      <c r="F33" s="268" t="str">
        <f t="shared" si="0"/>
        <v/>
      </c>
      <c r="G33" s="269" t="str">
        <f>IF($T$24="NO","",R33)</f>
        <v/>
      </c>
      <c r="H33" s="267" t="str">
        <f>IF($T$24="NO","",S33)</f>
        <v/>
      </c>
      <c r="I33" s="256"/>
      <c r="J33" s="256"/>
      <c r="K33" s="257"/>
      <c r="L33" s="209"/>
      <c r="M33" s="209"/>
      <c r="N33" s="244" t="s">
        <v>242</v>
      </c>
      <c r="O33" s="264">
        <f>+O31/O32*100</f>
        <v>23.510466988727874</v>
      </c>
      <c r="P33" s="264">
        <f>+P31/P32*100</f>
        <v>24.416403785488942</v>
      </c>
      <c r="Q33" s="265">
        <f>+Q31/Q32*100</f>
        <v>25.943646996278545</v>
      </c>
      <c r="R33" s="266">
        <f>+R31/R32*100</f>
        <v>12.650602409638603</v>
      </c>
      <c r="S33" s="266">
        <f>+S31/S32*100</f>
        <v>13.199105145413863</v>
      </c>
    </row>
    <row r="34" spans="1:19" ht="18.75" customHeight="1" x14ac:dyDescent="0.25">
      <c r="A34" s="270"/>
      <c r="G34" s="256"/>
      <c r="H34" s="256"/>
      <c r="I34" s="256"/>
      <c r="J34" s="256"/>
      <c r="K34" s="257"/>
      <c r="L34" s="209"/>
      <c r="M34" s="209"/>
      <c r="P34" s="271"/>
      <c r="Q34" s="271"/>
      <c r="R34" s="271"/>
      <c r="S34" s="271"/>
    </row>
    <row r="35" spans="1:19" ht="18.75" customHeight="1" x14ac:dyDescent="0.25">
      <c r="A35" s="235"/>
      <c r="D35" s="256"/>
      <c r="E35" s="256"/>
      <c r="F35" s="256"/>
      <c r="G35" s="272" t="s">
        <v>243</v>
      </c>
      <c r="H35" s="273" t="str">
        <f>+IF(Q24="NO","NP",O40)</f>
        <v>NP</v>
      </c>
      <c r="I35" s="274"/>
      <c r="J35" s="256"/>
      <c r="K35" s="257"/>
      <c r="L35" s="209"/>
      <c r="M35" s="209"/>
      <c r="N35" s="275" t="s">
        <v>244</v>
      </c>
      <c r="O35" s="275" t="s">
        <v>245</v>
      </c>
      <c r="P35" s="276"/>
      <c r="Q35" s="277"/>
      <c r="R35" s="271"/>
      <c r="S35" s="271"/>
    </row>
    <row r="36" spans="1:19" ht="18.75" customHeight="1" x14ac:dyDescent="0.25">
      <c r="A36" s="235"/>
      <c r="B36" s="278"/>
      <c r="C36" s="279"/>
      <c r="D36" s="279"/>
      <c r="E36" s="279"/>
      <c r="F36" s="279"/>
      <c r="G36" s="279"/>
      <c r="H36" s="233"/>
      <c r="I36" s="256"/>
      <c r="J36" s="256"/>
      <c r="K36" s="257"/>
      <c r="L36" s="209"/>
      <c r="M36" s="209"/>
      <c r="N36" s="280" t="str">
        <f>+D27</f>
        <v/>
      </c>
      <c r="O36" s="281" t="str">
        <f>+D33</f>
        <v/>
      </c>
      <c r="P36" s="276"/>
      <c r="Q36" s="282"/>
      <c r="R36" s="271"/>
      <c r="S36" s="271"/>
    </row>
    <row r="37" spans="1:19" ht="18.75" customHeight="1" x14ac:dyDescent="0.25">
      <c r="A37" s="235"/>
      <c r="B37" s="283"/>
      <c r="C37" s="279"/>
      <c r="D37" s="279"/>
      <c r="E37" s="279"/>
      <c r="F37" s="279"/>
      <c r="I37" s="256"/>
      <c r="J37" s="256"/>
      <c r="K37" s="257"/>
      <c r="L37" s="209"/>
      <c r="M37" s="209"/>
      <c r="N37" s="280" t="str">
        <f>+E27</f>
        <v/>
      </c>
      <c r="O37" s="281" t="str">
        <f>+E33</f>
        <v/>
      </c>
      <c r="P37" s="276"/>
      <c r="Q37" s="282"/>
      <c r="R37" s="271"/>
      <c r="S37" s="271"/>
    </row>
    <row r="38" spans="1:19" ht="18.75" customHeight="1" x14ac:dyDescent="0.25">
      <c r="A38" s="284"/>
      <c r="B38" s="283"/>
      <c r="C38" s="279"/>
      <c r="D38" s="279"/>
      <c r="E38" s="279"/>
      <c r="F38" s="279"/>
      <c r="G38" s="272" t="s">
        <v>246</v>
      </c>
      <c r="H38" s="273" t="str">
        <f>+IF(T24="NO","NP",O42)</f>
        <v>NP</v>
      </c>
      <c r="I38" s="256"/>
      <c r="J38" s="256"/>
      <c r="K38" s="257"/>
      <c r="L38" s="209"/>
      <c r="M38" s="209"/>
      <c r="N38" s="285" t="str">
        <f>+F27</f>
        <v/>
      </c>
      <c r="O38" s="286" t="str">
        <f>+F33</f>
        <v/>
      </c>
      <c r="P38" s="276"/>
      <c r="Q38" s="287"/>
      <c r="R38" s="288"/>
      <c r="S38" s="288"/>
    </row>
    <row r="39" spans="1:19" ht="18.75" customHeight="1" x14ac:dyDescent="0.25">
      <c r="A39" s="284"/>
      <c r="B39" s="283"/>
      <c r="C39" s="279"/>
      <c r="D39" s="278"/>
      <c r="E39" s="279"/>
      <c r="F39" s="279"/>
      <c r="I39" s="256"/>
      <c r="J39" s="256"/>
      <c r="K39" s="257"/>
      <c r="L39" s="209"/>
      <c r="M39" s="209"/>
      <c r="N39" s="275">
        <v>25</v>
      </c>
      <c r="O39" s="275">
        <v>0</v>
      </c>
      <c r="P39" s="276"/>
      <c r="Q39" s="287"/>
      <c r="R39" s="288"/>
      <c r="S39" s="288"/>
    </row>
    <row r="40" spans="1:19" ht="18.75" customHeight="1" x14ac:dyDescent="0.25">
      <c r="A40" s="289"/>
      <c r="B40" s="223"/>
      <c r="C40" s="223"/>
      <c r="D40" s="223"/>
      <c r="E40" s="223"/>
      <c r="F40" s="223"/>
      <c r="G40" s="279"/>
      <c r="H40" s="256"/>
      <c r="I40" s="256"/>
      <c r="J40" s="256"/>
      <c r="K40" s="257"/>
      <c r="L40" s="209"/>
      <c r="M40" s="209"/>
      <c r="N40" s="280">
        <v>25</v>
      </c>
      <c r="O40" s="281" t="e">
        <f>P41</f>
        <v>#VALUE!</v>
      </c>
      <c r="P40" s="290" t="e">
        <f>+D33/(1.419-0.3*LOG10(D27))</f>
        <v>#VALUE!</v>
      </c>
      <c r="Q40" s="290" t="e">
        <f>+F33/(1.419-0.3*LOG10(F27))</f>
        <v>#VALUE!</v>
      </c>
      <c r="R40" s="288"/>
      <c r="S40" s="288"/>
    </row>
    <row r="41" spans="1:19" ht="18.75" customHeight="1" x14ac:dyDescent="0.25">
      <c r="A41" s="289"/>
      <c r="B41" s="279"/>
      <c r="C41" s="279"/>
      <c r="D41" s="279"/>
      <c r="E41" s="279"/>
      <c r="F41" s="279"/>
      <c r="G41" s="272" t="s">
        <v>247</v>
      </c>
      <c r="H41" s="273" t="str">
        <f>IF(T24="NO","NP",H35-H38)</f>
        <v>NP</v>
      </c>
      <c r="I41" s="256"/>
      <c r="J41" s="256"/>
      <c r="K41" s="257"/>
      <c r="L41" s="209"/>
      <c r="M41" s="209"/>
      <c r="N41" s="285">
        <v>10</v>
      </c>
      <c r="O41" s="286" t="e">
        <f>+O40</f>
        <v>#VALUE!</v>
      </c>
      <c r="P41" s="290" t="e">
        <f>+AVERAGE(P40:Q40)</f>
        <v>#VALUE!</v>
      </c>
      <c r="Q41" s="290"/>
    </row>
    <row r="42" spans="1:19" ht="18.75" customHeight="1" x14ac:dyDescent="0.25">
      <c r="A42" s="291"/>
      <c r="B42" s="292"/>
      <c r="C42" s="292"/>
      <c r="D42" s="292"/>
      <c r="E42" s="292"/>
      <c r="F42" s="292"/>
      <c r="G42" s="292"/>
      <c r="H42" s="293"/>
      <c r="I42" s="293"/>
      <c r="J42" s="293"/>
      <c r="K42" s="294"/>
      <c r="L42" s="209"/>
      <c r="M42" s="209"/>
      <c r="N42" s="272" t="s">
        <v>246</v>
      </c>
      <c r="O42" s="286">
        <f>AVERAGE(R33:S33)</f>
        <v>12.924853777526234</v>
      </c>
      <c r="P42" s="271"/>
      <c r="Q42" s="295"/>
    </row>
    <row r="43" spans="1:19" ht="15.9" customHeight="1" x14ac:dyDescent="0.25">
      <c r="A43" s="278" t="s">
        <v>24</v>
      </c>
      <c r="B43" s="279"/>
      <c r="C43" s="279"/>
      <c r="D43" s="279"/>
      <c r="E43" s="279"/>
      <c r="F43" s="279"/>
      <c r="G43" s="279"/>
      <c r="H43" s="256"/>
      <c r="I43" s="256"/>
      <c r="J43" s="256"/>
      <c r="K43" s="256"/>
      <c r="L43" s="209"/>
      <c r="M43" s="209"/>
    </row>
    <row r="44" spans="1:19" ht="15.9" customHeight="1" x14ac:dyDescent="0.25">
      <c r="A44" s="296" t="s">
        <v>20</v>
      </c>
      <c r="B44" s="279"/>
      <c r="C44" s="279"/>
      <c r="D44" s="279"/>
      <c r="E44" s="279"/>
      <c r="F44" s="279"/>
      <c r="G44" s="279"/>
      <c r="H44" s="256"/>
      <c r="I44" s="256"/>
      <c r="J44" s="256"/>
      <c r="K44" s="256"/>
      <c r="L44" s="209"/>
      <c r="M44" s="209"/>
    </row>
    <row r="45" spans="1:19" ht="15.9" customHeight="1" x14ac:dyDescent="0.25">
      <c r="A45" s="297"/>
      <c r="B45" s="279"/>
      <c r="C45" s="279"/>
      <c r="D45" s="279"/>
      <c r="E45" s="279"/>
      <c r="F45" s="279"/>
      <c r="G45" s="279"/>
      <c r="H45" s="256"/>
      <c r="I45" s="256"/>
      <c r="J45" s="256"/>
      <c r="K45" s="256"/>
      <c r="L45" s="209"/>
      <c r="M45" s="209"/>
    </row>
    <row r="46" spans="1:19" ht="15.9" customHeight="1" x14ac:dyDescent="0.25">
      <c r="A46" s="298" t="s">
        <v>25</v>
      </c>
      <c r="B46" s="223"/>
      <c r="C46" s="223"/>
      <c r="D46" s="279"/>
      <c r="E46" s="279"/>
      <c r="F46" s="279"/>
      <c r="G46" s="279"/>
      <c r="H46" s="256"/>
      <c r="I46" s="256"/>
      <c r="J46" s="256"/>
      <c r="K46" s="256"/>
      <c r="L46" s="209"/>
      <c r="M46" s="209"/>
    </row>
    <row r="47" spans="1:19" ht="15.9" customHeight="1" x14ac:dyDescent="0.25">
      <c r="A47" s="298" t="s">
        <v>26</v>
      </c>
      <c r="B47" s="279"/>
      <c r="C47" s="279"/>
      <c r="D47" s="279"/>
      <c r="E47" s="279"/>
      <c r="F47" s="279"/>
      <c r="G47" s="279"/>
      <c r="H47" s="256"/>
      <c r="I47" s="256"/>
      <c r="J47" s="256"/>
      <c r="K47" s="256"/>
      <c r="L47" s="209"/>
      <c r="M47" s="209"/>
    </row>
    <row r="48" spans="1:19" ht="15.9" customHeight="1" x14ac:dyDescent="0.25">
      <c r="A48" s="256"/>
      <c r="B48" s="256"/>
      <c r="C48" s="256"/>
      <c r="D48" s="256"/>
      <c r="E48" s="256"/>
      <c r="F48" s="256"/>
      <c r="G48" s="256"/>
      <c r="H48" s="256"/>
      <c r="I48" s="256"/>
      <c r="J48" s="256"/>
      <c r="K48" s="256"/>
      <c r="L48" s="209"/>
      <c r="M48" s="209"/>
    </row>
    <row r="49" spans="1:11" ht="15.9" customHeight="1" x14ac:dyDescent="0.25"/>
    <row r="50" spans="1:11" ht="30.75" customHeight="1" x14ac:dyDescent="0.25">
      <c r="A50" s="622" t="s">
        <v>41</v>
      </c>
      <c r="B50" s="622"/>
      <c r="C50" s="622"/>
      <c r="D50" s="622"/>
      <c r="E50" s="622"/>
      <c r="F50" s="622"/>
      <c r="G50" s="622"/>
      <c r="H50" s="622"/>
      <c r="I50" s="622"/>
      <c r="J50" s="622"/>
      <c r="K50" s="622"/>
    </row>
    <row r="51" spans="1:11" ht="15.9" customHeight="1" x14ac:dyDescent="0.25"/>
    <row r="52" spans="1:11" ht="15.9" customHeight="1" x14ac:dyDescent="0.25"/>
  </sheetData>
  <protectedRanges>
    <protectedRange sqref="C12:C14 C17" name="Rango3_3_1_1_1_1_1_1_1_1"/>
    <protectedRange sqref="C11" name="Rango3_3_1_1_1_1_1_2_1"/>
  </protectedRanges>
  <mergeCells count="19">
    <mergeCell ref="R13:S13"/>
    <mergeCell ref="A8:K8"/>
    <mergeCell ref="A9:K9"/>
    <mergeCell ref="C11:H11"/>
    <mergeCell ref="C12:H12"/>
    <mergeCell ref="C13:H13"/>
    <mergeCell ref="A50:K50"/>
    <mergeCell ref="A15:K15"/>
    <mergeCell ref="A16:K16"/>
    <mergeCell ref="A18:K18"/>
    <mergeCell ref="I23:J23"/>
    <mergeCell ref="D24:F24"/>
    <mergeCell ref="G24:H24"/>
    <mergeCell ref="I24:J24"/>
    <mergeCell ref="O24:P24"/>
    <mergeCell ref="R24:S24"/>
    <mergeCell ref="B25:C25"/>
    <mergeCell ref="I25:J25"/>
    <mergeCell ref="I26:J26"/>
  </mergeCells>
  <dataValidations count="1">
    <dataValidation type="list" allowBlank="1" showInputMessage="1" showErrorMessage="1" sqref="Q24 T24" xr:uid="{00000000-0002-0000-0200-000000000000}">
      <formula1>$U$20:$U$21</formula1>
    </dataValidation>
  </dataValidation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56"/>
  <sheetViews>
    <sheetView showGridLines="0" topLeftCell="A19" zoomScaleNormal="100" zoomScaleSheetLayoutView="100" workbookViewId="0">
      <selection activeCell="N36" sqref="N36"/>
    </sheetView>
  </sheetViews>
  <sheetFormatPr baseColWidth="10" defaultColWidth="10.33203125" defaultRowHeight="13.8" x14ac:dyDescent="0.25"/>
  <cols>
    <col min="1" max="1" width="15.6640625" style="194" customWidth="1"/>
    <col min="2" max="2" width="2" style="194" customWidth="1"/>
    <col min="3" max="5" width="10.6640625" style="194" customWidth="1"/>
    <col min="6" max="7" width="13.6640625" style="194" customWidth="1"/>
    <col min="8" max="8" width="7.6640625" style="194" customWidth="1"/>
    <col min="9" max="9" width="1.5546875" style="194" customWidth="1"/>
    <col min="10" max="10" width="13.5546875" style="194" customWidth="1"/>
    <col min="11" max="11" width="6.44140625" style="194" customWidth="1"/>
    <col min="12" max="12" width="4.109375" style="194" customWidth="1"/>
    <col min="13" max="13" width="8" style="194" customWidth="1"/>
    <col min="14" max="14" width="10.33203125" style="194"/>
    <col min="15" max="15" width="18.33203125" style="194" customWidth="1"/>
    <col min="16" max="16384" width="10.33203125" style="194"/>
  </cols>
  <sheetData>
    <row r="1" spans="1:17" ht="15.75" customHeight="1" thickTop="1" x14ac:dyDescent="0.25">
      <c r="A1" s="189"/>
      <c r="B1" s="190"/>
      <c r="C1" s="190"/>
      <c r="D1" s="191"/>
      <c r="E1" s="191"/>
      <c r="F1" s="191"/>
      <c r="G1" s="191"/>
      <c r="H1" s="192"/>
      <c r="I1" s="192"/>
      <c r="J1" s="193"/>
    </row>
    <row r="2" spans="1:17" ht="15.75" customHeight="1" x14ac:dyDescent="0.25">
      <c r="A2" s="195"/>
      <c r="B2" s="196"/>
      <c r="C2" s="196"/>
      <c r="D2" s="197"/>
      <c r="E2" s="197"/>
      <c r="F2" s="197"/>
      <c r="G2" s="197"/>
      <c r="J2" s="198"/>
    </row>
    <row r="3" spans="1:17" ht="15.75" customHeight="1" x14ac:dyDescent="0.25">
      <c r="A3" s="195"/>
      <c r="B3" s="196"/>
      <c r="C3" s="196"/>
      <c r="D3" s="197"/>
      <c r="E3" s="197"/>
      <c r="F3" s="197"/>
      <c r="G3" s="197"/>
      <c r="J3" s="198"/>
    </row>
    <row r="4" spans="1:17" ht="15.75" customHeight="1" x14ac:dyDescent="0.25">
      <c r="A4" s="195"/>
      <c r="B4" s="196"/>
      <c r="C4" s="196"/>
      <c r="D4" s="197"/>
      <c r="E4" s="197"/>
      <c r="F4" s="197"/>
      <c r="G4" s="197"/>
      <c r="J4" s="198"/>
    </row>
    <row r="5" spans="1:17" ht="15.75" customHeight="1" thickBot="1" x14ac:dyDescent="0.3">
      <c r="A5" s="200"/>
      <c r="B5" s="201"/>
      <c r="C5" s="201"/>
      <c r="D5" s="201"/>
      <c r="E5" s="201"/>
      <c r="F5" s="201"/>
      <c r="G5" s="201"/>
      <c r="H5" s="201"/>
      <c r="I5" s="201"/>
      <c r="J5" s="202"/>
    </row>
    <row r="6" spans="1:17" ht="15.9" customHeight="1" thickTop="1" x14ac:dyDescent="0.25">
      <c r="A6" s="203"/>
      <c r="B6" s="203"/>
      <c r="C6" s="203"/>
      <c r="D6" s="203"/>
      <c r="E6" s="203"/>
      <c r="F6" s="203"/>
      <c r="G6" s="203"/>
      <c r="H6" s="203"/>
      <c r="I6" s="203"/>
      <c r="J6" s="203"/>
    </row>
    <row r="7" spans="1:17" ht="15.9" customHeight="1" x14ac:dyDescent="0.25">
      <c r="A7" s="203"/>
      <c r="B7" s="203"/>
      <c r="C7" s="203"/>
      <c r="D7" s="203"/>
      <c r="E7" s="203"/>
      <c r="F7" s="203"/>
      <c r="G7" s="203"/>
      <c r="H7" s="203"/>
      <c r="I7" s="203"/>
      <c r="J7" s="203"/>
    </row>
    <row r="8" spans="1:17" ht="15.9" customHeight="1" x14ac:dyDescent="0.25">
      <c r="A8" s="682" t="s">
        <v>23</v>
      </c>
      <c r="B8" s="682"/>
      <c r="C8" s="682"/>
      <c r="D8" s="682"/>
      <c r="E8" s="682"/>
      <c r="F8" s="682"/>
      <c r="G8" s="682"/>
      <c r="H8" s="682"/>
      <c r="I8" s="682"/>
      <c r="J8" s="682"/>
    </row>
    <row r="9" spans="1:17" ht="15.9" customHeight="1" x14ac:dyDescent="0.25">
      <c r="A9" s="685">
        <f>J13</f>
        <v>1</v>
      </c>
      <c r="B9" s="685"/>
      <c r="C9" s="685"/>
      <c r="D9" s="685"/>
      <c r="E9" s="685"/>
      <c r="F9" s="685"/>
      <c r="G9" s="685"/>
      <c r="H9" s="685"/>
      <c r="I9" s="685"/>
      <c r="J9" s="685"/>
      <c r="O9" s="204"/>
    </row>
    <row r="10" spans="1:17" ht="15.9" customHeight="1" x14ac:dyDescent="0.25">
      <c r="A10" s="205"/>
      <c r="B10" s="205"/>
      <c r="C10" s="205"/>
      <c r="D10" s="205"/>
      <c r="E10" s="205"/>
      <c r="F10" s="205"/>
      <c r="G10" s="205"/>
      <c r="H10" s="205"/>
      <c r="I10" s="205"/>
      <c r="J10" s="205"/>
    </row>
    <row r="11" spans="1:17" ht="15.9" customHeight="1" x14ac:dyDescent="0.25">
      <c r="A11" s="34" t="s">
        <v>16</v>
      </c>
      <c r="B11" s="35" t="s">
        <v>0</v>
      </c>
      <c r="C11" s="684" t="s">
        <v>39</v>
      </c>
      <c r="D11" s="684"/>
      <c r="E11" s="684"/>
      <c r="F11" s="684"/>
      <c r="G11" s="684"/>
      <c r="H11" s="206" t="s">
        <v>38</v>
      </c>
      <c r="I11" s="207" t="s">
        <v>0</v>
      </c>
      <c r="J11" s="211" t="s">
        <v>258</v>
      </c>
      <c r="K11" s="209"/>
      <c r="L11" s="209"/>
      <c r="M11" s="209"/>
      <c r="O11" s="210"/>
    </row>
    <row r="12" spans="1:17" ht="15.9" customHeight="1" x14ac:dyDescent="0.25">
      <c r="A12" s="34" t="s">
        <v>17</v>
      </c>
      <c r="B12" s="35" t="s">
        <v>0</v>
      </c>
      <c r="C12" s="684" t="s">
        <v>19</v>
      </c>
      <c r="D12" s="684"/>
      <c r="E12" s="684"/>
      <c r="F12" s="684"/>
      <c r="G12" s="684"/>
      <c r="H12" s="39" t="s">
        <v>21</v>
      </c>
      <c r="I12" s="35" t="s">
        <v>0</v>
      </c>
      <c r="J12" s="389">
        <v>15</v>
      </c>
      <c r="K12" s="209"/>
      <c r="L12" s="209"/>
      <c r="M12" s="209"/>
      <c r="O12" s="390"/>
      <c r="P12" s="213"/>
      <c r="Q12" s="214"/>
    </row>
    <row r="13" spans="1:17" ht="15.9" customHeight="1" x14ac:dyDescent="0.25">
      <c r="A13" s="34" t="s">
        <v>18</v>
      </c>
      <c r="B13" s="35" t="s">
        <v>0</v>
      </c>
      <c r="C13" s="684" t="s">
        <v>40</v>
      </c>
      <c r="D13" s="684"/>
      <c r="E13" s="684"/>
      <c r="F13" s="684"/>
      <c r="G13" s="684"/>
      <c r="H13" s="39" t="s">
        <v>22</v>
      </c>
      <c r="I13" s="35" t="s">
        <v>0</v>
      </c>
      <c r="J13" s="391">
        <v>1</v>
      </c>
      <c r="K13" s="209"/>
      <c r="L13" s="209"/>
      <c r="M13" s="209"/>
      <c r="P13" s="681"/>
      <c r="Q13" s="681"/>
    </row>
    <row r="14" spans="1:17" ht="15.9" customHeight="1" x14ac:dyDescent="0.25">
      <c r="A14" s="34"/>
      <c r="B14" s="35"/>
      <c r="C14" s="215"/>
      <c r="D14" s="215"/>
      <c r="E14" s="215"/>
      <c r="F14" s="215"/>
      <c r="G14" s="215"/>
      <c r="H14" s="39"/>
      <c r="I14" s="35"/>
      <c r="J14" s="216"/>
      <c r="K14" s="209"/>
      <c r="L14" s="209"/>
      <c r="M14" s="209"/>
      <c r="P14" s="217"/>
      <c r="Q14" s="217"/>
    </row>
    <row r="15" spans="1:17" ht="34.950000000000003" customHeight="1" x14ac:dyDescent="0.25">
      <c r="A15" s="669" t="s">
        <v>259</v>
      </c>
      <c r="B15" s="670"/>
      <c r="C15" s="670"/>
      <c r="D15" s="670"/>
      <c r="E15" s="670"/>
      <c r="F15" s="670"/>
      <c r="G15" s="670"/>
      <c r="H15" s="670"/>
      <c r="I15" s="670"/>
      <c r="J15" s="671"/>
      <c r="K15" s="209"/>
      <c r="L15" s="209"/>
    </row>
    <row r="16" spans="1:17" ht="18" customHeight="1" x14ac:dyDescent="0.25">
      <c r="A16" s="672" t="s">
        <v>260</v>
      </c>
      <c r="B16" s="686"/>
      <c r="C16" s="686"/>
      <c r="D16" s="686"/>
      <c r="E16" s="686"/>
      <c r="F16" s="686"/>
      <c r="G16" s="686"/>
      <c r="H16" s="686"/>
      <c r="I16" s="686"/>
      <c r="J16" s="687"/>
      <c r="K16" s="209"/>
      <c r="L16" s="209"/>
    </row>
    <row r="17" spans="1:18" ht="11.25" customHeight="1" x14ac:dyDescent="0.25">
      <c r="A17" s="392"/>
      <c r="B17" s="48"/>
      <c r="C17" s="219"/>
      <c r="D17" s="219"/>
      <c r="E17" s="219"/>
      <c r="F17" s="219"/>
      <c r="G17" s="219"/>
      <c r="H17" s="50"/>
      <c r="I17" s="48"/>
      <c r="J17" s="393"/>
      <c r="K17" s="209"/>
      <c r="L17" s="209"/>
    </row>
    <row r="18" spans="1:18" ht="15.9" customHeight="1" x14ac:dyDescent="0.25">
      <c r="A18" s="645" t="s">
        <v>30</v>
      </c>
      <c r="B18" s="645"/>
      <c r="C18" s="645"/>
      <c r="D18" s="645"/>
      <c r="E18" s="645"/>
      <c r="F18" s="645"/>
      <c r="G18" s="645"/>
      <c r="H18" s="645"/>
      <c r="I18" s="645"/>
      <c r="J18" s="645"/>
      <c r="L18" s="209"/>
    </row>
    <row r="19" spans="1:18" ht="15.9" customHeight="1" x14ac:dyDescent="0.25">
      <c r="A19" s="394" t="s">
        <v>28</v>
      </c>
      <c r="B19" s="45" t="s">
        <v>0</v>
      </c>
      <c r="C19" s="211" t="s">
        <v>35</v>
      </c>
      <c r="D19" s="45"/>
      <c r="E19" s="223"/>
      <c r="F19" s="211"/>
      <c r="G19" s="223"/>
      <c r="H19" s="46" t="s">
        <v>31</v>
      </c>
      <c r="I19" s="224" t="s">
        <v>0</v>
      </c>
      <c r="J19" s="224"/>
      <c r="L19" s="209"/>
    </row>
    <row r="20" spans="1:18" ht="15.9" customHeight="1" x14ac:dyDescent="0.25">
      <c r="A20" s="394" t="s">
        <v>32</v>
      </c>
      <c r="B20" s="45" t="s">
        <v>0</v>
      </c>
      <c r="C20" s="211" t="s">
        <v>36</v>
      </c>
      <c r="D20" s="45"/>
      <c r="E20" s="223"/>
      <c r="F20" s="211"/>
      <c r="G20" s="223"/>
      <c r="H20" s="46" t="s">
        <v>33</v>
      </c>
      <c r="I20" s="224" t="s">
        <v>0</v>
      </c>
      <c r="J20" s="395">
        <v>43831</v>
      </c>
      <c r="L20" s="209"/>
    </row>
    <row r="21" spans="1:18" ht="15.9" customHeight="1" x14ac:dyDescent="0.25">
      <c r="A21" s="394" t="s">
        <v>29</v>
      </c>
      <c r="B21" s="45" t="s">
        <v>0</v>
      </c>
      <c r="C21" s="211" t="s">
        <v>37</v>
      </c>
      <c r="D21" s="45"/>
      <c r="E21" s="223"/>
      <c r="F21" s="211"/>
      <c r="G21" s="223"/>
      <c r="H21" s="46" t="s">
        <v>34</v>
      </c>
      <c r="I21" s="224" t="s">
        <v>0</v>
      </c>
      <c r="J21" s="395">
        <v>43844</v>
      </c>
      <c r="L21" s="209"/>
    </row>
    <row r="22" spans="1:18" ht="12" customHeight="1" x14ac:dyDescent="0.25">
      <c r="A22" s="396"/>
      <c r="B22" s="396"/>
      <c r="C22" s="396"/>
      <c r="D22" s="396"/>
      <c r="E22" s="396"/>
      <c r="F22" s="396"/>
      <c r="G22" s="396"/>
      <c r="H22" s="396"/>
      <c r="I22" s="396"/>
      <c r="J22" s="396"/>
      <c r="L22" s="209"/>
      <c r="M22" s="209"/>
      <c r="P22" s="221"/>
      <c r="Q22" s="221"/>
    </row>
    <row r="23" spans="1:18" ht="19.2" customHeight="1" x14ac:dyDescent="0.25">
      <c r="A23" s="397"/>
      <c r="B23" s="398"/>
      <c r="C23" s="398"/>
      <c r="D23" s="398"/>
      <c r="E23" s="398"/>
      <c r="F23" s="398"/>
      <c r="G23" s="398"/>
      <c r="H23" s="398"/>
      <c r="I23" s="398"/>
      <c r="J23" s="399"/>
      <c r="K23" s="400"/>
      <c r="L23" s="400"/>
      <c r="M23" s="400"/>
      <c r="N23" s="400"/>
      <c r="O23" s="400"/>
      <c r="P23" s="401"/>
      <c r="Q23" s="401"/>
      <c r="R23" s="400"/>
    </row>
    <row r="24" spans="1:18" ht="19.2" customHeight="1" x14ac:dyDescent="0.25">
      <c r="A24" s="402"/>
      <c r="B24" s="400"/>
      <c r="C24" s="688" t="s">
        <v>261</v>
      </c>
      <c r="D24" s="689"/>
      <c r="E24" s="689"/>
      <c r="F24" s="690"/>
      <c r="G24" s="400"/>
      <c r="H24" s="400"/>
      <c r="I24" s="400"/>
      <c r="J24" s="403"/>
      <c r="K24" s="400"/>
      <c r="L24" s="400"/>
      <c r="M24" s="404" t="s">
        <v>151</v>
      </c>
      <c r="N24" s="405" t="s">
        <v>262</v>
      </c>
      <c r="O24" s="406"/>
      <c r="P24" s="407"/>
      <c r="Q24" s="408"/>
      <c r="R24" s="409">
        <v>935.9</v>
      </c>
    </row>
    <row r="25" spans="1:18" ht="19.2" customHeight="1" x14ac:dyDescent="0.25">
      <c r="A25" s="402"/>
      <c r="B25" s="282"/>
      <c r="C25" s="405" t="s">
        <v>262</v>
      </c>
      <c r="D25" s="406"/>
      <c r="E25" s="407"/>
      <c r="F25" s="410">
        <f>+R24</f>
        <v>935.9</v>
      </c>
      <c r="G25" s="411"/>
      <c r="H25" s="412"/>
      <c r="I25" s="413"/>
      <c r="J25" s="414"/>
      <c r="K25" s="400"/>
      <c r="L25" s="400"/>
      <c r="M25" s="415" t="s">
        <v>152</v>
      </c>
      <c r="N25" s="416" t="s">
        <v>263</v>
      </c>
      <c r="O25" s="417"/>
      <c r="P25" s="418"/>
      <c r="Q25" s="419"/>
      <c r="R25" s="420">
        <v>606.5</v>
      </c>
    </row>
    <row r="26" spans="1:18" ht="19.2" customHeight="1" x14ac:dyDescent="0.25">
      <c r="A26" s="402"/>
      <c r="B26" s="282"/>
      <c r="C26" s="416" t="s">
        <v>263</v>
      </c>
      <c r="D26" s="417"/>
      <c r="E26" s="418"/>
      <c r="F26" s="421">
        <f>+R25</f>
        <v>606.5</v>
      </c>
      <c r="G26" s="400"/>
      <c r="H26" s="400"/>
      <c r="I26" s="422"/>
      <c r="J26" s="403"/>
      <c r="K26" s="423"/>
      <c r="L26" s="400"/>
      <c r="M26" s="415" t="s">
        <v>153</v>
      </c>
      <c r="N26" s="416" t="s">
        <v>264</v>
      </c>
      <c r="O26" s="417"/>
      <c r="P26" s="418"/>
      <c r="Q26" s="419"/>
      <c r="R26" s="420">
        <v>928.2</v>
      </c>
    </row>
    <row r="27" spans="1:18" ht="19.2" customHeight="1" x14ac:dyDescent="0.25">
      <c r="A27" s="402"/>
      <c r="B27" s="282"/>
      <c r="C27" s="416" t="s">
        <v>264</v>
      </c>
      <c r="D27" s="417"/>
      <c r="E27" s="418"/>
      <c r="F27" s="421">
        <f>+R26</f>
        <v>928.2</v>
      </c>
      <c r="G27" s="235"/>
      <c r="H27" s="411"/>
      <c r="I27" s="411"/>
      <c r="J27" s="424"/>
      <c r="K27" s="400"/>
      <c r="L27" s="400"/>
      <c r="M27" s="415" t="s">
        <v>154</v>
      </c>
      <c r="N27" s="416" t="s">
        <v>265</v>
      </c>
      <c r="O27" s="417"/>
      <c r="P27" s="418"/>
      <c r="Q27" s="419"/>
      <c r="R27" s="425">
        <f>R26/(R24-R25)</f>
        <v>2.8178506375227692</v>
      </c>
    </row>
    <row r="28" spans="1:18" ht="12" customHeight="1" x14ac:dyDescent="0.25">
      <c r="A28" s="402"/>
      <c r="B28" s="282"/>
      <c r="C28" s="691"/>
      <c r="D28" s="691"/>
      <c r="E28" s="691"/>
      <c r="F28" s="691"/>
      <c r="G28" s="396"/>
      <c r="H28" s="411"/>
      <c r="I28" s="411"/>
      <c r="J28" s="424"/>
      <c r="K28" s="400"/>
      <c r="L28" s="400"/>
      <c r="M28" s="415" t="s">
        <v>13</v>
      </c>
      <c r="N28" s="416" t="s">
        <v>266</v>
      </c>
      <c r="O28" s="417"/>
      <c r="P28" s="418"/>
      <c r="Q28" s="419"/>
      <c r="R28" s="425">
        <f>R24/(R24-R25)</f>
        <v>2.8412264723740135</v>
      </c>
    </row>
    <row r="29" spans="1:18" ht="19.2" customHeight="1" x14ac:dyDescent="0.25">
      <c r="A29" s="402"/>
      <c r="B29" s="282"/>
      <c r="C29" s="688" t="s">
        <v>267</v>
      </c>
      <c r="D29" s="689"/>
      <c r="E29" s="689"/>
      <c r="F29" s="690"/>
      <c r="G29" s="426" t="s">
        <v>268</v>
      </c>
      <c r="H29" s="427"/>
      <c r="I29" s="411"/>
      <c r="J29" s="424"/>
      <c r="K29" s="400"/>
      <c r="L29" s="400"/>
      <c r="M29" s="415" t="s">
        <v>14</v>
      </c>
      <c r="N29" s="416" t="s">
        <v>269</v>
      </c>
      <c r="O29" s="417"/>
      <c r="P29" s="418"/>
      <c r="Q29" s="419"/>
      <c r="R29" s="425">
        <f>R26/(R26-R25)</f>
        <v>2.885296860428971</v>
      </c>
    </row>
    <row r="30" spans="1:18" ht="19.2" customHeight="1" x14ac:dyDescent="0.25">
      <c r="A30" s="402"/>
      <c r="B30" s="276"/>
      <c r="C30" s="428" t="s">
        <v>270</v>
      </c>
      <c r="D30" s="429"/>
      <c r="E30" s="430"/>
      <c r="F30" s="431">
        <f>F27/(F25-F26)</f>
        <v>2.8178506375227692</v>
      </c>
      <c r="G30" s="432">
        <f>F30*997.5</f>
        <v>2810.8060109289622</v>
      </c>
      <c r="H30" s="433"/>
      <c r="I30" s="434"/>
      <c r="J30" s="403"/>
      <c r="K30" s="400"/>
      <c r="L30" s="400"/>
      <c r="M30" s="435" t="s">
        <v>271</v>
      </c>
      <c r="N30" s="436" t="s">
        <v>272</v>
      </c>
      <c r="O30" s="437"/>
      <c r="P30" s="438"/>
      <c r="Q30" s="439"/>
      <c r="R30" s="440">
        <f>((R24-R26)/R26*100)</f>
        <v>0.82956259426846912</v>
      </c>
    </row>
    <row r="31" spans="1:18" ht="19.2" customHeight="1" x14ac:dyDescent="0.25">
      <c r="A31" s="402"/>
      <c r="B31" s="276"/>
      <c r="C31" s="416" t="s">
        <v>273</v>
      </c>
      <c r="D31" s="417"/>
      <c r="E31" s="418"/>
      <c r="F31" s="425">
        <f>F25/(F25-F26)</f>
        <v>2.8412264723740135</v>
      </c>
      <c r="G31" s="441">
        <f>F31*997.5</f>
        <v>2834.1234061930786</v>
      </c>
      <c r="H31" s="433"/>
      <c r="I31" s="434"/>
      <c r="J31" s="403"/>
      <c r="K31" s="400"/>
      <c r="L31" s="400"/>
    </row>
    <row r="32" spans="1:18" ht="19.2" customHeight="1" x14ac:dyDescent="0.25">
      <c r="A32" s="402"/>
      <c r="B32" s="276"/>
      <c r="C32" s="416" t="s">
        <v>274</v>
      </c>
      <c r="D32" s="417"/>
      <c r="E32" s="418"/>
      <c r="F32" s="425">
        <f>F27/(F27-F26)</f>
        <v>2.885296860428971</v>
      </c>
      <c r="G32" s="432">
        <f>F32*997.5</f>
        <v>2878.0836182778985</v>
      </c>
      <c r="H32" s="433"/>
      <c r="I32" s="434"/>
      <c r="J32" s="403"/>
      <c r="K32" s="400"/>
      <c r="L32" s="400"/>
    </row>
    <row r="33" spans="1:18" ht="19.2" customHeight="1" x14ac:dyDescent="0.25">
      <c r="A33" s="402"/>
      <c r="B33" s="276"/>
      <c r="C33" s="436" t="s">
        <v>275</v>
      </c>
      <c r="D33" s="437"/>
      <c r="E33" s="438"/>
      <c r="F33" s="442">
        <f>((F25-F27)/F27*100)</f>
        <v>0.82956259426846912</v>
      </c>
      <c r="G33" s="442">
        <f>+F33</f>
        <v>0.82956259426846912</v>
      </c>
      <c r="H33" s="443"/>
      <c r="I33" s="434"/>
      <c r="J33" s="403"/>
      <c r="K33" s="400"/>
      <c r="L33" s="400"/>
    </row>
    <row r="34" spans="1:18" ht="19.2" customHeight="1" x14ac:dyDescent="0.25">
      <c r="A34" s="444"/>
      <c r="B34" s="445"/>
      <c r="C34" s="445"/>
      <c r="D34" s="445"/>
      <c r="E34" s="445"/>
      <c r="F34" s="446"/>
      <c r="G34" s="446"/>
      <c r="H34" s="446"/>
      <c r="I34" s="446"/>
      <c r="J34" s="447"/>
      <c r="K34" s="448"/>
      <c r="L34" s="448"/>
      <c r="M34" s="448"/>
      <c r="N34" s="448"/>
      <c r="O34" s="448"/>
      <c r="P34" s="448"/>
      <c r="Q34" s="448"/>
      <c r="R34" s="448"/>
    </row>
    <row r="35" spans="1:18" ht="15.9" customHeight="1" x14ac:dyDescent="0.25">
      <c r="A35" s="448"/>
      <c r="B35" s="448"/>
      <c r="C35" s="448"/>
      <c r="D35" s="449"/>
      <c r="E35" s="449"/>
      <c r="F35" s="449"/>
      <c r="G35" s="449"/>
      <c r="H35" s="449"/>
      <c r="I35" s="449"/>
      <c r="J35" s="449"/>
      <c r="K35" s="448"/>
      <c r="L35" s="448"/>
      <c r="M35" s="448"/>
      <c r="N35" s="448"/>
      <c r="O35" s="448"/>
      <c r="P35" s="448"/>
      <c r="Q35" s="448"/>
      <c r="R35" s="448"/>
    </row>
    <row r="36" spans="1:18" ht="15.9" customHeight="1" x14ac:dyDescent="0.25">
      <c r="A36" s="278" t="s">
        <v>24</v>
      </c>
      <c r="B36" s="278"/>
      <c r="C36" s="279"/>
      <c r="D36" s="279"/>
      <c r="E36" s="279"/>
      <c r="F36" s="279"/>
      <c r="G36" s="256"/>
      <c r="H36" s="256"/>
      <c r="I36" s="256"/>
      <c r="J36" s="256"/>
      <c r="K36" s="209"/>
      <c r="L36" s="209"/>
      <c r="M36" s="209"/>
    </row>
    <row r="37" spans="1:18" ht="15.9" customHeight="1" x14ac:dyDescent="0.25">
      <c r="A37" s="450" t="s">
        <v>20</v>
      </c>
      <c r="B37" s="283"/>
      <c r="C37" s="279"/>
      <c r="D37" s="279"/>
      <c r="E37" s="279"/>
      <c r="F37" s="279"/>
      <c r="G37" s="256"/>
      <c r="H37" s="256"/>
      <c r="I37" s="256"/>
      <c r="J37" s="256"/>
      <c r="K37" s="209"/>
      <c r="L37" s="209"/>
      <c r="M37" s="209"/>
    </row>
    <row r="38" spans="1:18" ht="15.9" customHeight="1" x14ac:dyDescent="0.25">
      <c r="A38" s="450"/>
      <c r="B38" s="283"/>
      <c r="C38" s="279"/>
      <c r="D38" s="279"/>
      <c r="E38" s="279"/>
      <c r="F38" s="279"/>
      <c r="G38" s="256"/>
      <c r="H38" s="256"/>
      <c r="I38" s="256"/>
      <c r="J38" s="256"/>
      <c r="K38" s="209"/>
      <c r="L38" s="209"/>
      <c r="M38" s="209"/>
    </row>
    <row r="39" spans="1:18" ht="15.9" customHeight="1" x14ac:dyDescent="0.25">
      <c r="A39" s="450"/>
      <c r="B39" s="283"/>
      <c r="C39" s="279"/>
      <c r="D39" s="278"/>
      <c r="E39" s="279"/>
      <c r="F39" s="279"/>
      <c r="G39" s="256"/>
      <c r="H39" s="256"/>
      <c r="I39" s="256"/>
      <c r="J39" s="256"/>
      <c r="K39" s="209"/>
      <c r="L39" s="209"/>
      <c r="M39" s="209"/>
    </row>
    <row r="40" spans="1:18" ht="15.9" customHeight="1" x14ac:dyDescent="0.25">
      <c r="A40" s="297"/>
      <c r="B40" s="223"/>
      <c r="C40" s="223"/>
      <c r="D40" s="223"/>
      <c r="E40" s="223"/>
      <c r="F40" s="279"/>
      <c r="G40" s="256"/>
      <c r="H40" s="256"/>
      <c r="I40" s="256"/>
      <c r="J40" s="256"/>
      <c r="K40" s="209"/>
      <c r="L40" s="209"/>
      <c r="M40" s="209"/>
    </row>
    <row r="41" spans="1:18" ht="15.9" customHeight="1" x14ac:dyDescent="0.25">
      <c r="A41" s="297"/>
      <c r="B41" s="279"/>
      <c r="C41" s="279"/>
      <c r="D41" s="279"/>
      <c r="E41" s="279"/>
      <c r="F41" s="279"/>
      <c r="G41" s="256"/>
      <c r="H41" s="256"/>
      <c r="I41" s="256"/>
      <c r="J41" s="256"/>
      <c r="K41" s="209"/>
      <c r="L41" s="209"/>
      <c r="M41" s="209"/>
    </row>
    <row r="42" spans="1:18" ht="15.9" customHeight="1" x14ac:dyDescent="0.25">
      <c r="A42" s="297"/>
      <c r="B42" s="279"/>
      <c r="C42" s="279"/>
      <c r="D42" s="279"/>
      <c r="E42" s="279"/>
      <c r="F42" s="279"/>
      <c r="G42" s="256"/>
      <c r="H42" s="256"/>
      <c r="I42" s="256"/>
      <c r="J42" s="256"/>
      <c r="K42" s="209"/>
      <c r="L42" s="209"/>
      <c r="M42" s="209"/>
    </row>
    <row r="43" spans="1:18" ht="15.9" customHeight="1" x14ac:dyDescent="0.25">
      <c r="A43" s="297"/>
      <c r="B43" s="279"/>
      <c r="C43" s="279"/>
      <c r="D43" s="279"/>
      <c r="E43" s="279"/>
      <c r="F43" s="279"/>
      <c r="G43" s="256"/>
      <c r="H43" s="256"/>
      <c r="I43" s="256"/>
      <c r="J43" s="256"/>
      <c r="K43" s="209"/>
      <c r="L43" s="209"/>
      <c r="M43" s="209"/>
    </row>
    <row r="44" spans="1:18" ht="15.9" customHeight="1" x14ac:dyDescent="0.25">
      <c r="A44" s="297"/>
      <c r="B44" s="279"/>
      <c r="C44" s="279"/>
      <c r="D44" s="279"/>
      <c r="E44" s="279"/>
      <c r="F44" s="279"/>
      <c r="G44" s="256"/>
      <c r="H44" s="256"/>
      <c r="I44" s="256"/>
      <c r="J44" s="256"/>
      <c r="K44" s="209"/>
      <c r="L44" s="209"/>
      <c r="M44" s="209"/>
    </row>
    <row r="45" spans="1:18" ht="15.9" customHeight="1" x14ac:dyDescent="0.25">
      <c r="A45" s="297"/>
      <c r="B45" s="279"/>
      <c r="C45" s="279"/>
      <c r="D45" s="279"/>
      <c r="E45" s="279"/>
      <c r="F45" s="279"/>
      <c r="G45" s="256"/>
      <c r="H45" s="256"/>
      <c r="I45" s="256"/>
      <c r="J45" s="256"/>
      <c r="K45" s="209"/>
      <c r="L45" s="209"/>
      <c r="M45" s="209"/>
    </row>
    <row r="46" spans="1:18" ht="15.9" customHeight="1" x14ac:dyDescent="0.25">
      <c r="A46" s="297"/>
      <c r="B46" s="279"/>
      <c r="C46" s="279"/>
      <c r="D46" s="279"/>
      <c r="E46" s="279"/>
      <c r="F46" s="279"/>
      <c r="G46" s="256"/>
      <c r="H46" s="256"/>
      <c r="I46" s="256"/>
      <c r="J46" s="256"/>
      <c r="K46" s="209"/>
      <c r="L46" s="209"/>
      <c r="M46" s="209"/>
    </row>
    <row r="47" spans="1:18" ht="15.9" customHeight="1" x14ac:dyDescent="0.25">
      <c r="A47" s="297"/>
      <c r="B47" s="279"/>
      <c r="C47" s="279"/>
      <c r="D47" s="279"/>
      <c r="E47" s="279"/>
      <c r="F47" s="279"/>
      <c r="G47" s="256"/>
      <c r="H47" s="256"/>
      <c r="I47" s="256"/>
      <c r="J47" s="256"/>
      <c r="K47" s="209"/>
      <c r="L47" s="209"/>
      <c r="M47" s="209"/>
    </row>
    <row r="48" spans="1:18" ht="15.9" customHeight="1" x14ac:dyDescent="0.25">
      <c r="A48" s="448"/>
      <c r="B48" s="223"/>
      <c r="C48" s="223"/>
      <c r="D48" s="279"/>
      <c r="E48" s="279"/>
      <c r="F48" s="279"/>
      <c r="G48" s="256"/>
      <c r="H48" s="256"/>
      <c r="I48" s="256"/>
      <c r="J48" s="256"/>
      <c r="K48" s="209"/>
      <c r="L48" s="209"/>
      <c r="M48" s="209"/>
    </row>
    <row r="49" spans="1:13" ht="15.9" customHeight="1" x14ac:dyDescent="0.25">
      <c r="A49" s="448"/>
      <c r="B49" s="223"/>
      <c r="C49" s="223"/>
      <c r="D49" s="279"/>
      <c r="E49" s="279"/>
      <c r="F49" s="279"/>
      <c r="G49" s="256"/>
      <c r="H49" s="256"/>
      <c r="I49" s="256"/>
      <c r="J49" s="256"/>
      <c r="K49" s="209"/>
      <c r="L49" s="209"/>
      <c r="M49" s="209"/>
    </row>
    <row r="50" spans="1:13" ht="15.9" customHeight="1" x14ac:dyDescent="0.25">
      <c r="A50" s="451" t="s">
        <v>25</v>
      </c>
      <c r="B50" s="279"/>
      <c r="C50" s="279"/>
      <c r="D50" s="279"/>
      <c r="E50" s="279"/>
      <c r="F50" s="279"/>
      <c r="G50" s="256"/>
      <c r="H50" s="256"/>
      <c r="I50" s="256"/>
      <c r="J50" s="256"/>
      <c r="K50" s="209"/>
      <c r="L50" s="209"/>
      <c r="M50" s="209"/>
    </row>
    <row r="51" spans="1:13" ht="15.9" customHeight="1" x14ac:dyDescent="0.25">
      <c r="A51" s="451" t="s">
        <v>26</v>
      </c>
      <c r="B51" s="279"/>
      <c r="C51" s="279"/>
      <c r="D51" s="279"/>
      <c r="E51" s="279"/>
      <c r="F51" s="279"/>
      <c r="G51" s="256"/>
      <c r="H51" s="256"/>
      <c r="I51" s="256"/>
      <c r="J51" s="256"/>
      <c r="K51" s="209"/>
      <c r="L51" s="209"/>
      <c r="M51" s="209"/>
    </row>
    <row r="52" spans="1:13" ht="15.9" customHeight="1" x14ac:dyDescent="0.25">
      <c r="A52" s="256"/>
      <c r="B52" s="256"/>
      <c r="C52" s="256"/>
      <c r="D52" s="256"/>
      <c r="E52" s="256"/>
      <c r="F52" s="256"/>
      <c r="G52" s="256"/>
      <c r="H52" s="256"/>
      <c r="I52" s="256"/>
      <c r="J52" s="256"/>
      <c r="K52" s="209"/>
      <c r="L52" s="209"/>
      <c r="M52" s="209"/>
    </row>
    <row r="53" spans="1:13" ht="15.9" customHeight="1" x14ac:dyDescent="0.25"/>
    <row r="54" spans="1:13" ht="30.75" customHeight="1" x14ac:dyDescent="0.25">
      <c r="A54" s="622" t="s">
        <v>41</v>
      </c>
      <c r="B54" s="622"/>
      <c r="C54" s="622"/>
      <c r="D54" s="622"/>
      <c r="E54" s="622"/>
      <c r="F54" s="622"/>
      <c r="G54" s="622"/>
      <c r="H54" s="622"/>
      <c r="I54" s="622"/>
      <c r="J54" s="622"/>
    </row>
    <row r="55" spans="1:13" ht="15.9" customHeight="1" x14ac:dyDescent="0.25"/>
    <row r="56" spans="1:13" ht="15.9" customHeight="1" x14ac:dyDescent="0.25"/>
  </sheetData>
  <protectedRanges>
    <protectedRange sqref="C12:C14 C17" name="Rango3_3_1_1_1_1_1_1_1_1"/>
    <protectedRange sqref="C11" name="Rango3_3_1_1_1_1_1_2_1"/>
  </protectedRanges>
  <mergeCells count="13">
    <mergeCell ref="A54:J54"/>
    <mergeCell ref="A15:J15"/>
    <mergeCell ref="A16:J16"/>
    <mergeCell ref="A18:J18"/>
    <mergeCell ref="C24:F24"/>
    <mergeCell ref="C28:F28"/>
    <mergeCell ref="C29:F29"/>
    <mergeCell ref="P13:Q13"/>
    <mergeCell ref="A8:J8"/>
    <mergeCell ref="A9:J9"/>
    <mergeCell ref="C11:G11"/>
    <mergeCell ref="C12:G12"/>
    <mergeCell ref="C13:G13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40"/>
  <sheetViews>
    <sheetView zoomScale="75" workbookViewId="0">
      <selection activeCell="O17" sqref="O17"/>
    </sheetView>
  </sheetViews>
  <sheetFormatPr baseColWidth="10" defaultColWidth="11.44140625" defaultRowHeight="13.2" x14ac:dyDescent="0.25"/>
  <cols>
    <col min="1" max="1" width="6.109375" style="140" customWidth="1"/>
    <col min="2" max="2" width="10.44140625" style="140" customWidth="1"/>
    <col min="3" max="3" width="18.109375" style="140" bestFit="1" customWidth="1"/>
    <col min="4" max="5" width="11.44140625" style="140"/>
    <col min="6" max="6" width="32.88671875" style="140" customWidth="1"/>
    <col min="7" max="7" width="16.88671875" style="140" customWidth="1"/>
    <col min="8" max="8" width="15.5546875" style="140" customWidth="1"/>
    <col min="9" max="15" width="11.44140625" style="140"/>
    <col min="16" max="16" width="20.5546875" style="140" customWidth="1"/>
    <col min="17" max="17" width="13.44140625" style="140" customWidth="1"/>
    <col min="18" max="16384" width="11.44140625" style="140"/>
  </cols>
  <sheetData>
    <row r="1" spans="1:17" x14ac:dyDescent="0.25">
      <c r="A1" s="145" t="s">
        <v>155</v>
      </c>
      <c r="B1" s="709" t="s">
        <v>156</v>
      </c>
      <c r="C1" s="709"/>
      <c r="D1" s="709"/>
      <c r="E1" s="709"/>
      <c r="F1" s="709"/>
      <c r="G1" s="709"/>
      <c r="H1" s="709"/>
      <c r="I1" s="145"/>
    </row>
    <row r="2" spans="1:17" x14ac:dyDescent="0.25">
      <c r="A2" s="145"/>
      <c r="B2" s="146"/>
      <c r="C2" s="146"/>
      <c r="D2" s="146"/>
      <c r="E2" s="146"/>
      <c r="F2" s="146"/>
      <c r="G2" s="146"/>
      <c r="H2" s="146"/>
      <c r="I2" s="145"/>
      <c r="L2" s="147" t="str">
        <f>+A.Granul!O4</f>
        <v>Inorganico</v>
      </c>
    </row>
    <row r="3" spans="1:17" x14ac:dyDescent="0.25">
      <c r="A3" s="145"/>
      <c r="B3" s="148" t="s">
        <v>157</v>
      </c>
      <c r="C3" s="149">
        <f>+A.Granul!S35</f>
        <v>13.456812316430202</v>
      </c>
      <c r="D3" s="148" t="s">
        <v>158</v>
      </c>
      <c r="E3" s="149">
        <f>+A.Granul!P60</f>
        <v>135.56727963906141</v>
      </c>
      <c r="F3" s="145"/>
      <c r="G3" s="145"/>
      <c r="H3" s="146"/>
      <c r="I3" s="145"/>
      <c r="K3" s="147" t="s">
        <v>159</v>
      </c>
      <c r="L3" s="147">
        <f>+IF(N_10="NP",0,N_10)</f>
        <v>0</v>
      </c>
    </row>
    <row r="4" spans="1:17" ht="15.6" x14ac:dyDescent="0.3">
      <c r="A4" s="145"/>
      <c r="B4" s="148" t="s">
        <v>160</v>
      </c>
      <c r="C4" s="149">
        <f>+A.Granul!S27</f>
        <v>54.211194502306476</v>
      </c>
      <c r="D4" s="148" t="s">
        <v>161</v>
      </c>
      <c r="E4" s="149">
        <f>+A.Granul!P61</f>
        <v>0.64946683219708234</v>
      </c>
      <c r="F4" s="150" t="s">
        <v>162</v>
      </c>
      <c r="G4" s="151" t="str">
        <f>+Q9</f>
        <v>GM</v>
      </c>
      <c r="H4" s="152"/>
      <c r="I4" s="145"/>
      <c r="K4" s="147" t="s">
        <v>163</v>
      </c>
      <c r="L4" s="147">
        <f>+IF(C6="NP",0,C6)</f>
        <v>0</v>
      </c>
    </row>
    <row r="5" spans="1:17" x14ac:dyDescent="0.25">
      <c r="A5" s="145"/>
      <c r="B5" s="148" t="s">
        <v>164</v>
      </c>
      <c r="C5" s="149" t="str">
        <f>+'LL-LP'!H35</f>
        <v>NP</v>
      </c>
      <c r="D5" s="146"/>
      <c r="E5" s="146"/>
      <c r="F5" s="148"/>
      <c r="G5" s="146"/>
      <c r="H5" s="146"/>
      <c r="I5" s="145"/>
      <c r="K5" s="147" t="s">
        <v>165</v>
      </c>
      <c r="L5" s="153">
        <f>IF(OR(E3="----",E3=""),0,E3)</f>
        <v>135.56727963906141</v>
      </c>
    </row>
    <row r="6" spans="1:17" x14ac:dyDescent="0.25">
      <c r="A6" s="145"/>
      <c r="B6" s="148" t="s">
        <v>166</v>
      </c>
      <c r="C6" s="149" t="str">
        <f>+'LL-LP'!H41</f>
        <v>NP</v>
      </c>
      <c r="D6" s="146"/>
      <c r="E6" s="146"/>
      <c r="F6" s="148"/>
      <c r="G6" s="146"/>
      <c r="H6" s="146"/>
      <c r="I6" s="145"/>
      <c r="K6" s="153" t="s">
        <v>167</v>
      </c>
      <c r="L6" s="153">
        <f>IF(OR(E4="----",E4=""),0,E4)</f>
        <v>0.64946683219708234</v>
      </c>
    </row>
    <row r="7" spans="1:17" x14ac:dyDescent="0.25">
      <c r="A7" s="145"/>
      <c r="B7" s="145"/>
      <c r="C7" s="146"/>
      <c r="D7" s="145"/>
      <c r="E7" s="145"/>
      <c r="F7" s="145"/>
      <c r="G7" s="145"/>
      <c r="H7" s="145"/>
      <c r="I7" s="145"/>
    </row>
    <row r="8" spans="1:17" ht="44.25" customHeight="1" x14ac:dyDescent="0.25">
      <c r="A8" s="145"/>
      <c r="B8" s="710" t="s">
        <v>168</v>
      </c>
      <c r="C8" s="710"/>
      <c r="D8" s="710"/>
      <c r="E8" s="154" t="s">
        <v>169</v>
      </c>
      <c r="F8" s="155" t="s">
        <v>170</v>
      </c>
      <c r="G8" s="711" t="s">
        <v>171</v>
      </c>
      <c r="H8" s="711"/>
      <c r="I8" s="145"/>
      <c r="L8" s="156" t="s">
        <v>172</v>
      </c>
      <c r="M8" s="712" t="s">
        <v>173</v>
      </c>
      <c r="N8" s="712"/>
      <c r="O8" s="157" t="s">
        <v>174</v>
      </c>
      <c r="P8" s="156" t="s">
        <v>175</v>
      </c>
      <c r="Q8" s="158" t="s">
        <v>176</v>
      </c>
    </row>
    <row r="9" spans="1:17" ht="36.75" customHeight="1" x14ac:dyDescent="0.25">
      <c r="A9" s="145"/>
      <c r="B9" s="713" t="s">
        <v>177</v>
      </c>
      <c r="C9" s="715" t="s">
        <v>178</v>
      </c>
      <c r="D9" s="717" t="s">
        <v>179</v>
      </c>
      <c r="E9" s="159" t="s">
        <v>180</v>
      </c>
      <c r="F9" s="160" t="s">
        <v>181</v>
      </c>
      <c r="G9" s="718" t="s">
        <v>182</v>
      </c>
      <c r="H9" s="719"/>
      <c r="I9" s="145"/>
      <c r="L9" s="140" t="str">
        <f>IF(AND(N_200&lt;50,(100-N_40)&gt;=0.5*(100-N_200),N_200&lt;5,CU&gt;=4,CC&gt;=1,CC&lt;=3),"GW","")</f>
        <v/>
      </c>
      <c r="M9" s="140" t="str">
        <f>IF(AND(N_200&lt;50,(100-N_40)&gt;=0.5*(100-N_200),N_200&gt;=5,CU&gt;=4,CC&gt;=1,CC&lt;=3,N_200&lt;12,IP&gt;=7,IP&gt;=0.73*(Ll-20)),"GW-GC","")</f>
        <v/>
      </c>
      <c r="N9" s="140" t="str">
        <f>IF(AND(N_200&lt;50,(100-N_40)&gt;=0.5*(100-N_200),N_200&gt;=5,CU&gt;=4,CC&gt;=1,CC&lt;=3,N_200&lt;12,OR(IP&lt;4,IP&lt;0.73*(Ll-20))),"GW-GM","")</f>
        <v/>
      </c>
      <c r="O9" s="140" t="str">
        <f>IF(AND(N_200&lt;50,(100-N_40)&gt;=0.5*(100-N_200),N_200&gt;=5,CU&gt;=4,CC&gt;=1,CC&lt;=3,N_200&lt;12,IP&gt;=4,IP&lt;7,IP&lt;0.9*(Ll-8),IP&gt;=0.73*(Ll-20)),"GW-GC-GM","")</f>
        <v/>
      </c>
      <c r="P9" s="140" t="str">
        <f>+L9&amp;M9&amp;N9&amp;O9</f>
        <v/>
      </c>
      <c r="Q9" s="140" t="str">
        <f>+P9&amp;P10&amp;P11&amp;P12&amp;P13&amp;P14&amp;P15&amp;P16&amp;P17&amp;P18&amp;P19&amp;P20&amp;P21&amp;P22&amp;P23&amp;P24</f>
        <v>GM</v>
      </c>
    </row>
    <row r="10" spans="1:17" ht="36.75" customHeight="1" x14ac:dyDescent="0.25">
      <c r="A10" s="145"/>
      <c r="B10" s="713"/>
      <c r="C10" s="715"/>
      <c r="D10" s="717"/>
      <c r="E10" s="161" t="s">
        <v>183</v>
      </c>
      <c r="F10" s="162" t="s">
        <v>184</v>
      </c>
      <c r="G10" s="720" t="s">
        <v>185</v>
      </c>
      <c r="H10" s="721"/>
      <c r="I10" s="145"/>
      <c r="L10" s="140" t="str">
        <f>IF(AND(N_200&lt;50,(100-N_40)&gt;=0.5*(100-N_200),N_200&lt;5,OR(CU&lt;4,CC&lt;1,CC&gt;3)),"GP","")</f>
        <v/>
      </c>
      <c r="M10" s="140" t="str">
        <f>IF(AND(N_200&lt;50,(100-N_40)&gt;=0.5*(100-N_200),N_200&gt;=5,OR(CU&lt;4,CC&lt;1,CC&gt;3),N_200&lt;12,IP&gt;=7,IP&gt;=0.73*(Ll-20)),"GP-GC","")</f>
        <v/>
      </c>
      <c r="N10" s="140" t="str">
        <f>IF(AND(N_200&lt;50,(100-N_40)&gt;=0.5*(100-N_200),N_200&gt;=5,OR(CU&lt;4,CC&lt;1,CC&gt;3),N_200&lt;12,OR(IP&lt;4,IP&lt;0.73*(Ll-20))),"GP-GM","")</f>
        <v/>
      </c>
      <c r="O10" s="140" t="str">
        <f>IF(AND(N_200&lt;50,(100-N_40)&gt;=0.5*(100-N_200),N_200&gt;=5,OR(CU&lt;4,CC&lt;1,CC&gt;3),N_200&lt;12,IP&gt;=4,IP&lt;7,IP&lt;0.9*(Ll-8),IP&gt;=0.73*(Ll-20)),"GP-GC-GM","")</f>
        <v/>
      </c>
      <c r="P10" s="140" t="str">
        <f t="shared" ref="P10:P23" si="0">+L10&amp;M10&amp;N10&amp;O10</f>
        <v/>
      </c>
    </row>
    <row r="11" spans="1:17" ht="43.5" customHeight="1" x14ac:dyDescent="0.25">
      <c r="A11" s="145"/>
      <c r="B11" s="713"/>
      <c r="C11" s="715"/>
      <c r="D11" s="717" t="s">
        <v>186</v>
      </c>
      <c r="E11" s="161" t="s">
        <v>187</v>
      </c>
      <c r="F11" s="163" t="s">
        <v>188</v>
      </c>
      <c r="G11" s="164" t="s">
        <v>189</v>
      </c>
      <c r="H11" s="722" t="s">
        <v>190</v>
      </c>
      <c r="I11" s="145"/>
      <c r="L11" s="140" t="str">
        <f>IF(AND(N_200&lt;50,(100-N_40)&gt;=0.5*(100-N_200),N_200&gt;=12,OR(IP&lt;4,IP&lt;0.73*(Ll-20))),"GM","")</f>
        <v>GM</v>
      </c>
      <c r="M11" s="140" t="str">
        <f>IF(AND(N_200&lt;50,(100-N_40)&gt;=0.5*(100-N_200),N_200&gt;=12,IP&gt;=4,IP&lt;7,IP&gt;=0.73*(Ll-20)),"GC-GM","")</f>
        <v/>
      </c>
      <c r="P11" s="140" t="str">
        <f t="shared" si="0"/>
        <v>GM</v>
      </c>
    </row>
    <row r="12" spans="1:17" ht="43.5" customHeight="1" x14ac:dyDescent="0.25">
      <c r="A12" s="145"/>
      <c r="B12" s="713"/>
      <c r="C12" s="716"/>
      <c r="D12" s="717"/>
      <c r="E12" s="165" t="s">
        <v>191</v>
      </c>
      <c r="F12" s="162" t="s">
        <v>192</v>
      </c>
      <c r="G12" s="164" t="s">
        <v>193</v>
      </c>
      <c r="H12" s="723"/>
      <c r="I12" s="145"/>
      <c r="L12" s="140" t="str">
        <f>IF(AND(N_200&lt;50,(100-N_40)&gt;=0.5*(100-N_200),N_200&gt;=12,IP&gt;=7,IP&gt;=0.73*(Ll-20)),"GC","")</f>
        <v/>
      </c>
      <c r="P12" s="140" t="str">
        <f t="shared" si="0"/>
        <v/>
      </c>
    </row>
    <row r="13" spans="1:17" ht="36" customHeight="1" x14ac:dyDescent="0.25">
      <c r="A13" s="145"/>
      <c r="B13" s="713"/>
      <c r="C13" s="715" t="s">
        <v>194</v>
      </c>
      <c r="D13" s="717" t="s">
        <v>195</v>
      </c>
      <c r="E13" s="166" t="s">
        <v>196</v>
      </c>
      <c r="F13" s="167" t="s">
        <v>197</v>
      </c>
      <c r="G13" s="724" t="s">
        <v>198</v>
      </c>
      <c r="H13" s="725"/>
      <c r="I13" s="145"/>
      <c r="L13" s="140" t="str">
        <f>IF(AND(N_200&lt;50,(100-N_40)&lt;0.5*(100-N_200),N_200&lt;5,CU&gt;=6,CC&gt;=1,CC&lt;=3),"SW","")</f>
        <v/>
      </c>
      <c r="M13" s="140" t="str">
        <f>IF(AND(N_200&lt;50,(100-N_40)&lt;0.5*(100-N_200),N_200&gt;=5,CU&gt;=6,CC&gt;=1,CC&lt;=3,N_200&lt;12,IP&gt;=7,IP&gt;=0.73*(Ll-20)),"SW-SC","")</f>
        <v/>
      </c>
      <c r="N13" s="140" t="str">
        <f>IF(AND(N_200&lt;50,(100-N_40)&lt;0.5*(100-N_200),N_200&gt;=5,CU&gt;=6,CC&gt;=1,CC&lt;=3,N_200&lt;12,OR(IP&lt;4,IP&lt;0.73*(Ll-20))),"SW-SM","")</f>
        <v/>
      </c>
      <c r="O13" s="140" t="str">
        <f>IF(AND(N_200&lt;50,(100-N_40)&lt;0.5*(100-N_200),N_200&gt;=5,CU&gt;=6,CC&gt;=1,CC&lt;=3,N_200&lt;12,IP&gt;=4,IP&lt;7,IP&lt;0.9*(Ll-8),IP&gt;=0.73*(Ll-20)),"SW-SC-SM","")</f>
        <v/>
      </c>
      <c r="P13" s="140" t="str">
        <f t="shared" si="0"/>
        <v/>
      </c>
    </row>
    <row r="14" spans="1:17" ht="40.5" customHeight="1" x14ac:dyDescent="0.25">
      <c r="A14" s="145"/>
      <c r="B14" s="713"/>
      <c r="C14" s="715"/>
      <c r="D14" s="717"/>
      <c r="E14" s="166" t="s">
        <v>199</v>
      </c>
      <c r="F14" s="167" t="s">
        <v>200</v>
      </c>
      <c r="G14" s="724" t="s">
        <v>201</v>
      </c>
      <c r="H14" s="725"/>
      <c r="I14" s="145"/>
      <c r="L14" s="140" t="str">
        <f>IF(AND(N_200&lt;50,(100-N_40)&lt;0.5*(100-N_200),N_200&lt;5,OR(CU&lt;6,CC&lt;1,CC&gt;3)),"SP","")</f>
        <v/>
      </c>
      <c r="M14" s="140" t="str">
        <f>IF(AND(N_200&lt;50,(100-N_40)&lt;0.5*(100-N_200),N_200&gt;=5,OR(CU&lt;6,CC&lt;1,CC&gt;3),N_200&lt;12,IP&gt;=7,IP&gt;=0.73*(Ll-20)),"SP-SC","")</f>
        <v/>
      </c>
      <c r="N14" s="140" t="str">
        <f>IF(AND(N_200&lt;50,(100-N_40)&lt;0.5*(100-N_200),N_200&gt;=5,OR(CU&lt;6,CC&lt;1,CC&gt;3),N_200&lt;12,OR(IP&lt;4,IP&lt;0.73*(Ll-20))),"SP-SM","")</f>
        <v/>
      </c>
      <c r="O14" s="140" t="str">
        <f>IF(AND(N_200&lt;50,(100-N_40)&lt;0.5*(100-N_200),N_200&gt;=5,OR(CU&lt;6,CC&lt;1,CC&gt;3),N_200&lt;12,IP&gt;=4,IP&lt;7,IP&lt;0.9*(Ll-8),IP&gt;=0.73*(Ll-20)),"SP-SC-SM","")</f>
        <v/>
      </c>
      <c r="P14" s="140" t="str">
        <f t="shared" si="0"/>
        <v/>
      </c>
    </row>
    <row r="15" spans="1:17" ht="42" customHeight="1" x14ac:dyDescent="0.25">
      <c r="A15" s="145"/>
      <c r="B15" s="713"/>
      <c r="C15" s="715"/>
      <c r="D15" s="717" t="s">
        <v>202</v>
      </c>
      <c r="E15" s="166" t="s">
        <v>203</v>
      </c>
      <c r="F15" s="168" t="s">
        <v>204</v>
      </c>
      <c r="G15" s="169" t="s">
        <v>205</v>
      </c>
      <c r="H15" s="692" t="s">
        <v>206</v>
      </c>
      <c r="I15" s="145"/>
      <c r="L15" s="140" t="str">
        <f>IF(AND(N_200&lt;50,(100-N_40)&lt;0.5*(100-N_200),N_200&gt;=12,OR(IP&lt;4,IP&lt;0.73*(Ll-20))),"SM","")</f>
        <v/>
      </c>
      <c r="M15" s="140" t="str">
        <f>IF(AND(N_200&lt;50,(100-N_40)&lt;0.5*(100-N_200),N_200&gt;=12,IP&gt;=4,IP&lt;7,IP&gt;=0.73*(Ll-20)),"SC-SM","")</f>
        <v/>
      </c>
      <c r="P15" s="140" t="str">
        <f t="shared" si="0"/>
        <v/>
      </c>
    </row>
    <row r="16" spans="1:17" ht="38.25" customHeight="1" x14ac:dyDescent="0.25">
      <c r="A16" s="145"/>
      <c r="B16" s="714"/>
      <c r="C16" s="715"/>
      <c r="D16" s="717"/>
      <c r="E16" s="170" t="s">
        <v>207</v>
      </c>
      <c r="F16" s="168" t="s">
        <v>208</v>
      </c>
      <c r="G16" s="167" t="s">
        <v>209</v>
      </c>
      <c r="H16" s="693"/>
      <c r="I16" s="145"/>
      <c r="L16" s="140" t="str">
        <f>IF(AND(N_200&lt;50,(100-N_40)&lt;0.5*(100-N_200),N_200&gt;=12,IP&gt;=7,IP&gt;=0.73*(Ll-20)),"SC","")</f>
        <v/>
      </c>
      <c r="P16" s="140" t="str">
        <f t="shared" si="0"/>
        <v/>
      </c>
    </row>
    <row r="17" spans="1:16" ht="48" customHeight="1" x14ac:dyDescent="0.25">
      <c r="A17" s="145"/>
      <c r="B17" s="694" t="s">
        <v>210</v>
      </c>
      <c r="C17" s="697" t="s">
        <v>211</v>
      </c>
      <c r="D17" s="698"/>
      <c r="E17" s="171" t="s">
        <v>212</v>
      </c>
      <c r="F17" s="172" t="s">
        <v>213</v>
      </c>
      <c r="G17" s="703" t="s">
        <v>214</v>
      </c>
      <c r="H17" s="704"/>
      <c r="I17" s="145"/>
      <c r="L17" s="140" t="str">
        <f>IF(AND(OR(L2="Inorganico"),N_200&gt;=50,Ll&lt;50,OR(IP&lt;4,AND(IP&lt;0.73*(Ll-20)))),"ML","")</f>
        <v/>
      </c>
      <c r="P17" s="140" t="str">
        <f t="shared" si="0"/>
        <v/>
      </c>
    </row>
    <row r="18" spans="1:16" ht="50.25" customHeight="1" x14ac:dyDescent="0.25">
      <c r="A18" s="145"/>
      <c r="B18" s="695"/>
      <c r="C18" s="699"/>
      <c r="D18" s="700"/>
      <c r="E18" s="171" t="s">
        <v>215</v>
      </c>
      <c r="F18" s="172" t="s">
        <v>216</v>
      </c>
      <c r="G18" s="705"/>
      <c r="H18" s="706"/>
      <c r="I18" s="145"/>
      <c r="L18" s="140" t="str">
        <f>IF(AND(OR(L2="Inorganico"),N_200&gt;=50,Ll&lt;50,IP&gt;=7,IP&gt;=0.73*(Ll-20)),"CL","")</f>
        <v/>
      </c>
      <c r="P18" s="140" t="str">
        <f t="shared" si="0"/>
        <v/>
      </c>
    </row>
    <row r="19" spans="1:16" ht="24" customHeight="1" x14ac:dyDescent="0.25">
      <c r="A19" s="145"/>
      <c r="B19" s="695"/>
      <c r="C19" s="701"/>
      <c r="D19" s="702"/>
      <c r="E19" s="171" t="s">
        <v>217</v>
      </c>
      <c r="F19" s="173" t="s">
        <v>218</v>
      </c>
      <c r="G19" s="174"/>
      <c r="H19" s="174"/>
      <c r="I19" s="145"/>
      <c r="L19" s="140" t="str">
        <f>IF(AND(L2="Organico",N_200&gt;=50,Ll&lt;50,IP&lt;0.73*(Ll-20)),"OL","")</f>
        <v/>
      </c>
      <c r="P19" s="140" t="str">
        <f t="shared" si="0"/>
        <v/>
      </c>
    </row>
    <row r="20" spans="1:16" ht="39" customHeight="1" x14ac:dyDescent="0.25">
      <c r="A20" s="145"/>
      <c r="B20" s="695"/>
      <c r="C20" s="699" t="s">
        <v>219</v>
      </c>
      <c r="D20" s="707"/>
      <c r="E20" s="175" t="s">
        <v>220</v>
      </c>
      <c r="F20" s="176" t="s">
        <v>221</v>
      </c>
      <c r="G20" s="145"/>
      <c r="H20" s="145"/>
      <c r="I20" s="145"/>
      <c r="L20" s="140" t="str">
        <f>IF(AND(OR(L2="Inorganico"),N_200&gt;=50,Ll&gt;=50,IP&gt;0,IP&lt;0.73*(Ll-20)),"MH","")</f>
        <v/>
      </c>
      <c r="P20" s="140" t="str">
        <f t="shared" si="0"/>
        <v/>
      </c>
    </row>
    <row r="21" spans="1:16" ht="24" customHeight="1" x14ac:dyDescent="0.25">
      <c r="A21" s="145"/>
      <c r="B21" s="695"/>
      <c r="C21" s="699"/>
      <c r="D21" s="707"/>
      <c r="E21" s="175" t="s">
        <v>222</v>
      </c>
      <c r="F21" s="176" t="s">
        <v>223</v>
      </c>
      <c r="G21" s="145"/>
      <c r="H21" s="145"/>
      <c r="I21" s="145"/>
      <c r="L21" s="140" t="str">
        <f>IF(AND(OR(L2="Inorganico"),N_200&gt;=50,Ll&gt;=50,IP&gt;=0.73*(Ll-20)),"CH","")</f>
        <v/>
      </c>
      <c r="P21" s="140" t="str">
        <f t="shared" si="0"/>
        <v/>
      </c>
    </row>
    <row r="22" spans="1:16" ht="24" customHeight="1" x14ac:dyDescent="0.25">
      <c r="A22" s="145"/>
      <c r="B22" s="695"/>
      <c r="C22" s="701"/>
      <c r="D22" s="708"/>
      <c r="E22" s="177" t="s">
        <v>224</v>
      </c>
      <c r="F22" s="176" t="s">
        <v>225</v>
      </c>
      <c r="G22" s="145"/>
      <c r="H22" s="145"/>
      <c r="I22" s="145"/>
      <c r="L22" s="140" t="str">
        <f>IF(AND(L2="Organico",N_200&gt;=50,Ll&gt;=50,IP&lt;0.73*(Ll-20)),"OH","")</f>
        <v/>
      </c>
      <c r="P22" s="140" t="str">
        <f t="shared" si="0"/>
        <v/>
      </c>
    </row>
    <row r="23" spans="1:16" ht="39" customHeight="1" x14ac:dyDescent="0.25">
      <c r="A23" s="145"/>
      <c r="B23" s="695"/>
      <c r="C23" s="697" t="s">
        <v>226</v>
      </c>
      <c r="D23" s="698"/>
      <c r="E23" s="178" t="s">
        <v>227</v>
      </c>
      <c r="F23" s="179" t="s">
        <v>228</v>
      </c>
      <c r="G23" s="145"/>
      <c r="H23" s="145"/>
      <c r="I23" s="145"/>
      <c r="L23" s="140" t="str">
        <f>IF(AND(OR(L2="Inorganico"),N_200&gt;=50,IP&gt;=0.73*(Ll-20),IP&gt;=4,IP&lt;7,IP&lt;0.9*(Ll-8)),"CL-ML","")</f>
        <v/>
      </c>
      <c r="P23" s="140" t="str">
        <f t="shared" si="0"/>
        <v/>
      </c>
    </row>
    <row r="24" spans="1:16" x14ac:dyDescent="0.25">
      <c r="A24" s="145"/>
      <c r="B24" s="696"/>
      <c r="C24" s="180"/>
      <c r="D24" s="181"/>
      <c r="E24" s="182"/>
      <c r="F24" s="183"/>
      <c r="G24" s="145"/>
      <c r="H24" s="145"/>
      <c r="I24" s="145"/>
      <c r="L24" s="140" t="str">
        <f>IF(AND(L2="Turba"),"Pt","")</f>
        <v/>
      </c>
      <c r="P24" s="140" t="str">
        <f>+L24&amp;M24&amp;N24&amp;O24</f>
        <v/>
      </c>
    </row>
    <row r="25" spans="1:16" x14ac:dyDescent="0.25">
      <c r="A25" s="145"/>
      <c r="B25" s="184"/>
      <c r="C25" s="184"/>
      <c r="D25" s="184"/>
      <c r="E25" s="185"/>
      <c r="F25" s="186"/>
      <c r="G25" s="145"/>
      <c r="H25" s="145"/>
      <c r="I25" s="145"/>
    </row>
    <row r="26" spans="1:16" x14ac:dyDescent="0.25">
      <c r="A26" s="145"/>
      <c r="B26" s="184"/>
      <c r="C26" s="184"/>
      <c r="D26" s="184"/>
      <c r="E26" s="187"/>
      <c r="F26" s="186"/>
      <c r="G26" s="145"/>
      <c r="H26" s="145"/>
      <c r="I26" s="145"/>
    </row>
    <row r="27" spans="1:16" x14ac:dyDescent="0.25">
      <c r="A27" s="145"/>
      <c r="B27" s="145"/>
      <c r="C27" s="145"/>
      <c r="D27" s="145"/>
      <c r="E27" s="187"/>
      <c r="F27" s="186"/>
      <c r="G27" s="145"/>
      <c r="H27" s="145"/>
      <c r="I27" s="145"/>
    </row>
    <row r="28" spans="1:16" x14ac:dyDescent="0.25">
      <c r="A28" s="145"/>
      <c r="B28" s="145"/>
      <c r="C28" s="145"/>
      <c r="D28" s="145"/>
      <c r="E28" s="187"/>
      <c r="F28" s="186"/>
      <c r="G28" s="145"/>
      <c r="H28" s="145"/>
      <c r="I28" s="145"/>
    </row>
    <row r="29" spans="1:16" x14ac:dyDescent="0.25">
      <c r="A29" s="145"/>
      <c r="B29" s="145"/>
      <c r="C29" s="145"/>
      <c r="D29" s="145"/>
      <c r="E29" s="187"/>
      <c r="F29" s="186"/>
      <c r="G29" s="145"/>
      <c r="H29" s="145"/>
      <c r="I29" s="145"/>
    </row>
    <row r="30" spans="1:16" x14ac:dyDescent="0.25">
      <c r="F30" s="188"/>
    </row>
    <row r="31" spans="1:16" x14ac:dyDescent="0.25">
      <c r="F31" s="188"/>
    </row>
    <row r="32" spans="1:16" x14ac:dyDescent="0.25">
      <c r="F32" s="188"/>
    </row>
    <row r="33" spans="6:6" x14ac:dyDescent="0.25">
      <c r="F33" s="188"/>
    </row>
    <row r="34" spans="6:6" x14ac:dyDescent="0.25">
      <c r="F34" s="188"/>
    </row>
    <row r="35" spans="6:6" x14ac:dyDescent="0.25">
      <c r="F35" s="188"/>
    </row>
    <row r="36" spans="6:6" x14ac:dyDescent="0.25">
      <c r="F36" s="188"/>
    </row>
    <row r="37" spans="6:6" x14ac:dyDescent="0.25">
      <c r="F37" s="188"/>
    </row>
    <row r="38" spans="6:6" x14ac:dyDescent="0.25">
      <c r="F38" s="188"/>
    </row>
    <row r="39" spans="6:6" x14ac:dyDescent="0.25">
      <c r="F39" s="188"/>
    </row>
    <row r="40" spans="6:6" x14ac:dyDescent="0.25">
      <c r="F40" s="188"/>
    </row>
  </sheetData>
  <mergeCells count="22">
    <mergeCell ref="B1:H1"/>
    <mergeCell ref="B8:D8"/>
    <mergeCell ref="G8:H8"/>
    <mergeCell ref="M8:N8"/>
    <mergeCell ref="B9:B16"/>
    <mergeCell ref="C9:C12"/>
    <mergeCell ref="D9:D10"/>
    <mergeCell ref="G9:H9"/>
    <mergeCell ref="G10:H10"/>
    <mergeCell ref="D11:D12"/>
    <mergeCell ref="H11:H12"/>
    <mergeCell ref="C13:C16"/>
    <mergeCell ref="D13:D14"/>
    <mergeCell ref="G13:H13"/>
    <mergeCell ref="G14:H14"/>
    <mergeCell ref="D15:D16"/>
    <mergeCell ref="H15:H16"/>
    <mergeCell ref="B17:B24"/>
    <mergeCell ref="C17:D19"/>
    <mergeCell ref="G17:H18"/>
    <mergeCell ref="C20:D22"/>
    <mergeCell ref="C23:D23"/>
  </mergeCells>
  <pageMargins left="0.75" right="0.75" top="1" bottom="1" header="0" footer="0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2"/>
  <sheetViews>
    <sheetView workbookViewId="0">
      <selection activeCell="T8" sqref="T8"/>
    </sheetView>
  </sheetViews>
  <sheetFormatPr baseColWidth="10" defaultColWidth="11.5546875" defaultRowHeight="13.2" x14ac:dyDescent="0.25"/>
  <cols>
    <col min="1" max="1" width="6.109375" style="140" customWidth="1"/>
    <col min="2" max="2" width="18.88671875" style="140" customWidth="1"/>
    <col min="3" max="3" width="6.44140625" style="140" customWidth="1"/>
    <col min="4" max="15" width="7.88671875" style="140" customWidth="1"/>
    <col min="16" max="17" width="11.5546875" style="73"/>
    <col min="18" max="16384" width="11.5546875" style="140"/>
  </cols>
  <sheetData>
    <row r="1" spans="1:16" x14ac:dyDescent="0.25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6" x14ac:dyDescent="0.2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5"/>
    </row>
    <row r="3" spans="1:16" x14ac:dyDescent="0.25">
      <c r="A3" s="74"/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5"/>
    </row>
    <row r="4" spans="1:16" ht="33" customHeight="1" thickBot="1" x14ac:dyDescent="0.3">
      <c r="A4" s="72"/>
      <c r="B4" s="732" t="s">
        <v>100</v>
      </c>
      <c r="C4" s="733"/>
      <c r="D4" s="734" t="s">
        <v>101</v>
      </c>
      <c r="E4" s="734"/>
      <c r="F4" s="734"/>
      <c r="G4" s="734"/>
      <c r="H4" s="734"/>
      <c r="I4" s="734"/>
      <c r="J4" s="734"/>
      <c r="K4" s="735" t="s">
        <v>102</v>
      </c>
      <c r="L4" s="736"/>
      <c r="M4" s="736"/>
      <c r="N4" s="736"/>
      <c r="O4" s="737"/>
    </row>
    <row r="5" spans="1:16" x14ac:dyDescent="0.25">
      <c r="A5" s="72"/>
      <c r="B5" s="738" t="s">
        <v>103</v>
      </c>
      <c r="C5" s="739"/>
      <c r="D5" s="742" t="s">
        <v>104</v>
      </c>
      <c r="E5" s="743"/>
      <c r="F5" s="744" t="s">
        <v>105</v>
      </c>
      <c r="G5" s="742" t="s">
        <v>106</v>
      </c>
      <c r="H5" s="746"/>
      <c r="I5" s="746"/>
      <c r="J5" s="743"/>
      <c r="K5" s="747" t="s">
        <v>107</v>
      </c>
      <c r="L5" s="749" t="s">
        <v>108</v>
      </c>
      <c r="M5" s="751" t="s">
        <v>109</v>
      </c>
      <c r="N5" s="753" t="s">
        <v>110</v>
      </c>
      <c r="O5" s="754"/>
    </row>
    <row r="6" spans="1:16" x14ac:dyDescent="0.25">
      <c r="A6" s="72"/>
      <c r="B6" s="740"/>
      <c r="C6" s="741"/>
      <c r="D6" s="76" t="s">
        <v>111</v>
      </c>
      <c r="E6" s="77" t="s">
        <v>112</v>
      </c>
      <c r="F6" s="745"/>
      <c r="G6" s="76" t="s">
        <v>113</v>
      </c>
      <c r="H6" s="78" t="s">
        <v>114</v>
      </c>
      <c r="I6" s="79" t="s">
        <v>115</v>
      </c>
      <c r="J6" s="77" t="s">
        <v>116</v>
      </c>
      <c r="K6" s="748"/>
      <c r="L6" s="750"/>
      <c r="M6" s="752"/>
      <c r="N6" s="80" t="s">
        <v>117</v>
      </c>
      <c r="O6" s="81" t="s">
        <v>118</v>
      </c>
    </row>
    <row r="7" spans="1:16" x14ac:dyDescent="0.25">
      <c r="A7" s="72"/>
      <c r="B7" s="82"/>
      <c r="C7" s="83"/>
      <c r="D7" s="84"/>
      <c r="E7" s="85"/>
      <c r="F7" s="86"/>
      <c r="G7" s="84"/>
      <c r="H7" s="87"/>
      <c r="I7" s="86"/>
      <c r="J7" s="88"/>
      <c r="K7" s="89"/>
      <c r="L7" s="90"/>
      <c r="M7" s="91"/>
      <c r="N7" s="89"/>
      <c r="O7" s="92"/>
    </row>
    <row r="8" spans="1:16" x14ac:dyDescent="0.25">
      <c r="A8" s="72"/>
      <c r="B8" s="93" t="s">
        <v>119</v>
      </c>
      <c r="C8" s="83"/>
      <c r="D8" s="84"/>
      <c r="E8" s="88"/>
      <c r="F8" s="86"/>
      <c r="G8" s="84"/>
      <c r="H8" s="87"/>
      <c r="I8" s="86"/>
      <c r="J8" s="88"/>
      <c r="K8" s="89"/>
      <c r="L8" s="90"/>
      <c r="M8" s="91"/>
      <c r="N8" s="89"/>
      <c r="O8" s="92"/>
    </row>
    <row r="9" spans="1:16" x14ac:dyDescent="0.25">
      <c r="A9" s="72"/>
      <c r="B9" s="93" t="s">
        <v>120</v>
      </c>
      <c r="C9" s="83"/>
      <c r="D9" s="84"/>
      <c r="E9" s="88"/>
      <c r="F9" s="86"/>
      <c r="G9" s="84"/>
      <c r="H9" s="87"/>
      <c r="I9" s="86"/>
      <c r="J9" s="88"/>
      <c r="K9" s="89"/>
      <c r="L9" s="90"/>
      <c r="M9" s="91"/>
      <c r="N9" s="89"/>
      <c r="O9" s="92"/>
    </row>
    <row r="10" spans="1:16" x14ac:dyDescent="0.25">
      <c r="A10" s="72"/>
      <c r="B10" s="94"/>
      <c r="C10" s="83"/>
      <c r="D10" s="84"/>
      <c r="E10" s="88"/>
      <c r="F10" s="86"/>
      <c r="G10" s="84"/>
      <c r="H10" s="87"/>
      <c r="I10" s="86"/>
      <c r="J10" s="88"/>
      <c r="K10" s="89"/>
      <c r="L10" s="90"/>
      <c r="M10" s="91"/>
      <c r="N10" s="89"/>
      <c r="O10" s="92"/>
    </row>
    <row r="11" spans="1:16" x14ac:dyDescent="0.25">
      <c r="A11" s="72"/>
      <c r="B11" s="95" t="s">
        <v>121</v>
      </c>
      <c r="C11" s="96">
        <f>+A.Granul!S29</f>
        <v>47.356367351557068</v>
      </c>
      <c r="D11" s="84" t="s">
        <v>122</v>
      </c>
      <c r="E11" s="88"/>
      <c r="F11" s="86"/>
      <c r="G11" s="84"/>
      <c r="H11" s="87"/>
      <c r="I11" s="86"/>
      <c r="J11" s="88"/>
      <c r="K11" s="89"/>
      <c r="L11" s="90"/>
      <c r="M11" s="91"/>
      <c r="N11" s="89"/>
      <c r="O11" s="92"/>
    </row>
    <row r="12" spans="1:16" x14ac:dyDescent="0.25">
      <c r="A12" s="72"/>
      <c r="B12" s="95" t="s">
        <v>123</v>
      </c>
      <c r="C12" s="96">
        <f>+A.Granul!S32</f>
        <v>27.175831135894526</v>
      </c>
      <c r="D12" s="84" t="s">
        <v>124</v>
      </c>
      <c r="E12" s="88" t="s">
        <v>122</v>
      </c>
      <c r="F12" s="86" t="s">
        <v>125</v>
      </c>
      <c r="G12" s="84"/>
      <c r="H12" s="87"/>
      <c r="I12" s="86"/>
      <c r="J12" s="88"/>
      <c r="K12" s="89"/>
      <c r="L12" s="90"/>
      <c r="M12" s="91"/>
      <c r="N12" s="89"/>
      <c r="O12" s="92"/>
    </row>
    <row r="13" spans="1:16" x14ac:dyDescent="0.25">
      <c r="A13" s="72"/>
      <c r="B13" s="95" t="s">
        <v>126</v>
      </c>
      <c r="C13" s="96">
        <f>+A.Granul!S35</f>
        <v>13.456812316430202</v>
      </c>
      <c r="D13" s="84" t="s">
        <v>127</v>
      </c>
      <c r="E13" s="88" t="s">
        <v>128</v>
      </c>
      <c r="F13" s="86" t="s">
        <v>129</v>
      </c>
      <c r="G13" s="84" t="s">
        <v>130</v>
      </c>
      <c r="H13" s="87" t="s">
        <v>130</v>
      </c>
      <c r="I13" s="86" t="s">
        <v>130</v>
      </c>
      <c r="J13" s="88" t="s">
        <v>130</v>
      </c>
      <c r="K13" s="89" t="s">
        <v>131</v>
      </c>
      <c r="L13" s="90" t="s">
        <v>131</v>
      </c>
      <c r="M13" s="91" t="s">
        <v>131</v>
      </c>
      <c r="N13" s="89" t="s">
        <v>131</v>
      </c>
      <c r="O13" s="92" t="s">
        <v>131</v>
      </c>
    </row>
    <row r="14" spans="1:16" x14ac:dyDescent="0.25">
      <c r="A14" s="72"/>
      <c r="B14" s="97"/>
      <c r="C14" s="98"/>
      <c r="D14" s="99"/>
      <c r="E14" s="100"/>
      <c r="F14" s="101"/>
      <c r="G14" s="99"/>
      <c r="H14" s="102"/>
      <c r="I14" s="101"/>
      <c r="J14" s="100"/>
      <c r="K14" s="103"/>
      <c r="L14" s="104"/>
      <c r="M14" s="105"/>
      <c r="N14" s="103"/>
      <c r="O14" s="106"/>
    </row>
    <row r="15" spans="1:16" x14ac:dyDescent="0.25">
      <c r="A15" s="72"/>
      <c r="B15" s="107"/>
      <c r="C15" s="108"/>
      <c r="D15" s="109"/>
      <c r="E15" s="110"/>
      <c r="F15" s="111"/>
      <c r="G15" s="109"/>
      <c r="H15" s="112"/>
      <c r="I15" s="111"/>
      <c r="J15" s="110"/>
      <c r="K15" s="113"/>
      <c r="L15" s="114"/>
      <c r="M15" s="115"/>
      <c r="N15" s="113"/>
      <c r="O15" s="116"/>
    </row>
    <row r="16" spans="1:16" x14ac:dyDescent="0.25">
      <c r="A16" s="72"/>
      <c r="B16" s="117" t="s">
        <v>132</v>
      </c>
      <c r="C16" s="118"/>
      <c r="D16" s="109"/>
      <c r="E16" s="110"/>
      <c r="F16" s="111"/>
      <c r="G16" s="109"/>
      <c r="H16" s="112"/>
      <c r="I16" s="111"/>
      <c r="J16" s="110"/>
      <c r="K16" s="113"/>
      <c r="L16" s="114"/>
      <c r="M16" s="115"/>
      <c r="N16" s="113"/>
      <c r="O16" s="116"/>
    </row>
    <row r="17" spans="1:15" x14ac:dyDescent="0.25">
      <c r="A17" s="72"/>
      <c r="B17" s="117" t="s">
        <v>133</v>
      </c>
      <c r="C17" s="118"/>
      <c r="D17" s="109"/>
      <c r="E17" s="110"/>
      <c r="F17" s="111"/>
      <c r="G17" s="109"/>
      <c r="H17" s="112"/>
      <c r="I17" s="111"/>
      <c r="J17" s="110"/>
      <c r="K17" s="113"/>
      <c r="L17" s="114"/>
      <c r="M17" s="115"/>
      <c r="N17" s="113"/>
      <c r="O17" s="116"/>
    </row>
    <row r="18" spans="1:15" x14ac:dyDescent="0.25">
      <c r="A18" s="72"/>
      <c r="B18" s="117" t="s">
        <v>134</v>
      </c>
      <c r="C18" s="118"/>
      <c r="D18" s="109"/>
      <c r="E18" s="110"/>
      <c r="F18" s="111"/>
      <c r="G18" s="109"/>
      <c r="H18" s="112"/>
      <c r="I18" s="111"/>
      <c r="J18" s="110"/>
      <c r="K18" s="113"/>
      <c r="L18" s="114"/>
      <c r="M18" s="115"/>
      <c r="N18" s="113"/>
      <c r="O18" s="116"/>
    </row>
    <row r="19" spans="1:15" x14ac:dyDescent="0.25">
      <c r="A19" s="72"/>
      <c r="B19" s="119"/>
      <c r="C19" s="118"/>
      <c r="D19" s="109"/>
      <c r="E19" s="110"/>
      <c r="F19" s="111"/>
      <c r="G19" s="109"/>
      <c r="H19" s="112"/>
      <c r="I19" s="111"/>
      <c r="J19" s="110"/>
      <c r="K19" s="113"/>
      <c r="L19" s="114"/>
      <c r="M19" s="115"/>
      <c r="N19" s="113"/>
      <c r="O19" s="116"/>
    </row>
    <row r="20" spans="1:15" x14ac:dyDescent="0.25">
      <c r="A20" s="72"/>
      <c r="B20" s="120" t="s">
        <v>135</v>
      </c>
      <c r="C20" s="118" t="str">
        <f>+'LL-LP'!H35</f>
        <v>NP</v>
      </c>
      <c r="D20" s="109"/>
      <c r="E20" s="110"/>
      <c r="F20" s="111"/>
      <c r="G20" s="109" t="s">
        <v>136</v>
      </c>
      <c r="H20" s="112" t="s">
        <v>137</v>
      </c>
      <c r="I20" s="111" t="s">
        <v>136</v>
      </c>
      <c r="J20" s="110" t="s">
        <v>137</v>
      </c>
      <c r="K20" s="113" t="s">
        <v>136</v>
      </c>
      <c r="L20" s="114" t="s">
        <v>137</v>
      </c>
      <c r="M20" s="115" t="s">
        <v>136</v>
      </c>
      <c r="N20" s="113" t="s">
        <v>137</v>
      </c>
      <c r="O20" s="116" t="s">
        <v>137</v>
      </c>
    </row>
    <row r="21" spans="1:15" x14ac:dyDescent="0.25">
      <c r="A21" s="72"/>
      <c r="B21" s="120" t="s">
        <v>138</v>
      </c>
      <c r="C21" s="118" t="str">
        <f>+'LL-LP'!H41</f>
        <v>NP</v>
      </c>
      <c r="D21" s="109" t="s">
        <v>139</v>
      </c>
      <c r="E21" s="110" t="s">
        <v>139</v>
      </c>
      <c r="F21" s="111" t="s">
        <v>140</v>
      </c>
      <c r="G21" s="109" t="s">
        <v>129</v>
      </c>
      <c r="H21" s="112" t="s">
        <v>129</v>
      </c>
      <c r="I21" s="111" t="s">
        <v>141</v>
      </c>
      <c r="J21" s="110" t="s">
        <v>141</v>
      </c>
      <c r="K21" s="113" t="s">
        <v>129</v>
      </c>
      <c r="L21" s="114" t="s">
        <v>129</v>
      </c>
      <c r="M21" s="115" t="s">
        <v>141</v>
      </c>
      <c r="N21" s="113" t="s">
        <v>142</v>
      </c>
      <c r="O21" s="116" t="s">
        <v>142</v>
      </c>
    </row>
    <row r="22" spans="1:15" x14ac:dyDescent="0.25">
      <c r="A22" s="72"/>
      <c r="B22" s="121"/>
      <c r="C22" s="122" t="s">
        <v>143</v>
      </c>
      <c r="D22" s="123"/>
      <c r="E22" s="124"/>
      <c r="F22" s="125"/>
      <c r="G22" s="123"/>
      <c r="H22" s="126"/>
      <c r="I22" s="125"/>
      <c r="J22" s="124"/>
      <c r="K22" s="127"/>
      <c r="L22" s="128"/>
      <c r="M22" s="129"/>
      <c r="N22" s="127"/>
      <c r="O22" s="130"/>
    </row>
    <row r="23" spans="1:15" ht="13.8" thickBot="1" x14ac:dyDescent="0.3">
      <c r="A23" s="72"/>
      <c r="B23" s="131" t="s">
        <v>144</v>
      </c>
      <c r="C23" s="132">
        <f>+D38</f>
        <v>0</v>
      </c>
      <c r="D23" s="726">
        <v>0</v>
      </c>
      <c r="E23" s="727"/>
      <c r="F23" s="133">
        <v>0</v>
      </c>
      <c r="G23" s="726">
        <v>0</v>
      </c>
      <c r="H23" s="728"/>
      <c r="I23" s="729" t="s">
        <v>145</v>
      </c>
      <c r="J23" s="727"/>
      <c r="K23" s="134" t="s">
        <v>146</v>
      </c>
      <c r="L23" s="135" t="s">
        <v>147</v>
      </c>
      <c r="M23" s="136" t="s">
        <v>148</v>
      </c>
      <c r="N23" s="134" t="s">
        <v>149</v>
      </c>
      <c r="O23" s="137" t="s">
        <v>149</v>
      </c>
    </row>
    <row r="24" spans="1:15" ht="13.8" thickTop="1" x14ac:dyDescent="0.25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</row>
    <row r="25" spans="1:15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</row>
    <row r="26" spans="1:15" ht="17.399999999999999" x14ac:dyDescent="0.3">
      <c r="A26" s="72"/>
      <c r="B26" s="72"/>
      <c r="C26" s="72"/>
      <c r="D26" s="72"/>
      <c r="E26" s="138" t="s">
        <v>150</v>
      </c>
      <c r="F26" s="74"/>
      <c r="G26" s="139"/>
      <c r="H26" s="74"/>
      <c r="I26" s="74"/>
      <c r="J26" s="730" t="str">
        <f>+D31&amp;" "&amp;F38</f>
        <v>A-1-a (0)</v>
      </c>
      <c r="K26" s="731"/>
      <c r="L26" s="72"/>
      <c r="M26" s="72"/>
      <c r="N26" s="72"/>
      <c r="O26" s="72"/>
    </row>
    <row r="27" spans="1:15" ht="16.2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</row>
    <row r="28" spans="1:15" ht="16.2" hidden="1" customHeight="1" x14ac:dyDescent="0.25"/>
    <row r="29" spans="1:15" ht="16.2" hidden="1" customHeight="1" x14ac:dyDescent="0.25">
      <c r="D29" s="140" t="str">
        <f>IF(AND(C11&lt;=50,C12&lt;=30,C13&lt;=15,OR(C21&lt;=6,C21="NP"),C23&lt;=0),D6,"--")</f>
        <v>A-1-a</v>
      </c>
      <c r="E29" s="140" t="str">
        <f>IF(AND(C12&lt;=50,C13&lt;=25,OR(C21&lt;=6,C21="NP"),C23&lt;=0),E6,"--")</f>
        <v>A-1-b</v>
      </c>
      <c r="F29" s="140" t="str">
        <f>IF(AND(C12&gt;50,C13&lt;=10,OR(C20="N.P.",C20="NP",C20=0),OR(C21="N.P.",C21="NP",C21=0),C23&lt;=0),F5,"--")</f>
        <v>--</v>
      </c>
      <c r="G29" s="140" t="str">
        <f>IF(AND(C13&lt;=35,OR(C20&lt;=40,C20="NP"),OR(C21&lt;=10,C21="NP"),C23&lt;=0),G6,"--")</f>
        <v>A-2-4</v>
      </c>
      <c r="H29" s="140" t="str">
        <f>IF(AND(C13&lt;=35,C20&gt;40,C20&lt;&gt;"NP",C21&lt;=10,C21&lt;&gt;"NP",C23&lt;=0),H6,"--")</f>
        <v>--</v>
      </c>
      <c r="I29" s="140" t="str">
        <f>IF(AND(C13&lt;=35,C20&lt;=40,C20&lt;&gt;"NP",C23&lt;=4,C21&gt;10,C21&lt;&gt;"NP"),I6,"--")</f>
        <v>--</v>
      </c>
      <c r="J29" s="140" t="str">
        <f>IF(AND(C13&lt;=35,C20&gt;40,C20&lt;&gt;"NP",C21&gt;10,C23&lt;=4,C21&lt;&gt;"NP"),J6,"--")</f>
        <v>--</v>
      </c>
      <c r="K29" s="140" t="str">
        <f>IF(AND(C13&gt;35,OR(C20&lt;=40,C20="NP"),OR(C21&lt;=10,C21="NP"),C23&lt;=8),K5,"--")</f>
        <v>--</v>
      </c>
      <c r="L29" s="140" t="str">
        <f>IF(AND(C13&gt;35,C20&gt;40,C20&lt;&gt;"NP",C21&lt;=10,C21&lt;&gt;"NP",C23&lt;=12),L5,"--")</f>
        <v>--</v>
      </c>
      <c r="M29" s="140" t="str">
        <f>IF(AND(C13&gt;35,C20&lt;=40,C21&gt;10,C23&lt;=16,C21&lt;&gt;"NP"),M5,"--")</f>
        <v>--</v>
      </c>
      <c r="N29" s="140" t="str">
        <f>IF(AND(C13&gt;35,C20&lt;&gt;"NP",C20&gt;40,C21&lt;&gt;"NP",C21&gt;10,C23&lt;=20),IF(C20-C21&gt;30,N6,"--"),"--")</f>
        <v>--</v>
      </c>
      <c r="O29" s="140" t="str">
        <f>IF(AND(C13&gt;35,C20&gt;40,C20&lt;&gt;"NP",C21&gt;10,C21&lt;&gt;"NP",C23&lt;=20),IF(C20-C21&lt;=30,O6,"--"),"--")</f>
        <v>--</v>
      </c>
    </row>
    <row r="30" spans="1:15" ht="16.2" hidden="1" customHeight="1" x14ac:dyDescent="0.25">
      <c r="D30" s="140" t="str">
        <f>IF(D29&lt;&gt;"--",D29,"")</f>
        <v>A-1-a</v>
      </c>
      <c r="E30" s="140" t="str">
        <f>IF(AND(D29="--",E29&lt;&gt;"--"),E29,"")</f>
        <v/>
      </c>
      <c r="F30" s="140" t="str">
        <f>IF(AND(D29="--",E29="--",F29&lt;&gt;"--"),F29,"")</f>
        <v/>
      </c>
      <c r="G30" s="140" t="str">
        <f>IF(AND(D29="--",E29="--",F29="--",G29&lt;&gt;"--"),G29,"")</f>
        <v/>
      </c>
      <c r="H30" s="140" t="str">
        <f>IF(AND(D29="--",E29="--",F29="--",G29="--",H29&lt;&gt;"--"),H29,"")</f>
        <v/>
      </c>
      <c r="I30" s="140" t="str">
        <f>IF(AND(D29="--",E29="--",F29="--",G29="--",H29="--",I29&lt;&gt;"--"),I29,"")</f>
        <v/>
      </c>
      <c r="J30" s="140" t="str">
        <f>IF(AND(D29="--",E29="--",F29="--",G29="--",H29="--",I29="--",J29&lt;&gt;"--"),J29,"")</f>
        <v/>
      </c>
      <c r="K30" s="140" t="str">
        <f>IF(K29&lt;&gt;"--",K29,"")</f>
        <v/>
      </c>
      <c r="L30" s="140" t="str">
        <f>IF(AND(K29="--",L29&lt;&gt;"--"),L29,"")</f>
        <v/>
      </c>
      <c r="M30" s="140" t="str">
        <f>IF(AND(K29="--",L29="--",M29&lt;&gt;"--"),M29,"")</f>
        <v/>
      </c>
      <c r="N30" s="140" t="str">
        <f>IF(AND(K29="--",L29="--",M29="--",N29&lt;&gt;"--"),N29,"")</f>
        <v/>
      </c>
      <c r="O30" s="140" t="str">
        <f>IF(AND(K29="--",L29="--",M29="--",N29="--",O29&lt;&gt;"--"),O29,"")</f>
        <v/>
      </c>
    </row>
    <row r="31" spans="1:15" ht="16.2" hidden="1" customHeight="1" x14ac:dyDescent="0.25">
      <c r="D31" s="140" t="str">
        <f>+D30&amp;E30&amp;F30&amp;G30&amp;H30&amp;I30&amp;J30&amp;K30&amp;L30&amp;M30&amp;N30&amp;O30</f>
        <v>A-1-a</v>
      </c>
    </row>
    <row r="32" spans="1:15" ht="16.2" hidden="1" customHeight="1" x14ac:dyDescent="0.25"/>
    <row r="33" spans="1:15" ht="16.2" hidden="1" customHeight="1" x14ac:dyDescent="0.25">
      <c r="C33" s="140" t="s">
        <v>151</v>
      </c>
      <c r="D33" s="141">
        <f>+IF(C13&gt;75,40,IF(C13&lt;35,1,IF(C13&lt;40,40-C13,C13-40)))</f>
        <v>1</v>
      </c>
    </row>
    <row r="34" spans="1:15" ht="16.2" hidden="1" customHeight="1" x14ac:dyDescent="0.25">
      <c r="C34" s="140" t="s">
        <v>152</v>
      </c>
      <c r="D34" s="141">
        <f>+IF(C13&gt;55,40,IF(C13&lt;15,1,C13-15))</f>
        <v>1</v>
      </c>
    </row>
    <row r="35" spans="1:15" ht="16.2" hidden="1" customHeight="1" x14ac:dyDescent="0.25">
      <c r="C35" s="142" t="s">
        <v>153</v>
      </c>
      <c r="D35" s="141">
        <f>+IF(C20="NP",1,IF(C20&gt;60,20,IF(C20&lt;40,1,C20-40)))</f>
        <v>1</v>
      </c>
    </row>
    <row r="36" spans="1:15" ht="16.2" hidden="1" customHeight="1" x14ac:dyDescent="0.25">
      <c r="C36" s="140" t="s">
        <v>154</v>
      </c>
      <c r="D36" s="141">
        <f>+IF(C21="NP",1,IF(C21&gt;30,20,IF(C21&lt;10,1,C21-10)))</f>
        <v>1</v>
      </c>
    </row>
    <row r="37" spans="1:15" ht="16.2" hidden="1" customHeight="1" x14ac:dyDescent="0.25"/>
    <row r="38" spans="1:15" ht="16.2" hidden="1" customHeight="1" x14ac:dyDescent="0.25">
      <c r="C38" s="143">
        <f>0.2*D33+0.005*D33*D35+0.01*D34*D36</f>
        <v>0.21500000000000002</v>
      </c>
      <c r="D38" s="144">
        <f>ROUND(C38,0)</f>
        <v>0</v>
      </c>
      <c r="F38" s="140" t="str">
        <f>+"("&amp;D38&amp;")"</f>
        <v>(0)</v>
      </c>
    </row>
    <row r="39" spans="1:15" ht="16.2" hidden="1" customHeight="1" x14ac:dyDescent="0.25"/>
    <row r="40" spans="1:15" ht="16.2" hidden="1" customHeight="1" x14ac:dyDescent="0.25"/>
    <row r="41" spans="1:15" ht="16.2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</row>
    <row r="42" spans="1:15" ht="15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</row>
  </sheetData>
  <mergeCells count="15">
    <mergeCell ref="D23:E23"/>
    <mergeCell ref="G23:H23"/>
    <mergeCell ref="I23:J23"/>
    <mergeCell ref="J26:K26"/>
    <mergeCell ref="B4:C4"/>
    <mergeCell ref="D4:J4"/>
    <mergeCell ref="K4:O4"/>
    <mergeCell ref="B5:C6"/>
    <mergeCell ref="D5:E5"/>
    <mergeCell ref="F5:F6"/>
    <mergeCell ref="G5:J5"/>
    <mergeCell ref="K5:K6"/>
    <mergeCell ref="L5:L6"/>
    <mergeCell ref="M5:M6"/>
    <mergeCell ref="N5:O5"/>
  </mergeCells>
  <printOptions horizontalCentered="1"/>
  <pageMargins left="0.39370078740157483" right="0.39370078740157483" top="0.98425196850393704" bottom="0.39370078740157483" header="0" footer="0"/>
  <pageSetup paperSize="9" scale="110" orientation="landscape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755" t="s">
        <v>10</v>
      </c>
      <c r="B2" s="755"/>
      <c r="C2" s="6" t="s">
        <v>11</v>
      </c>
      <c r="D2" s="5" t="s">
        <v>3</v>
      </c>
      <c r="E2" s="5" t="s">
        <v>1</v>
      </c>
      <c r="F2" s="5" t="s">
        <v>2</v>
      </c>
      <c r="G2" s="5" t="s">
        <v>4</v>
      </c>
      <c r="H2" s="5" t="s">
        <v>5</v>
      </c>
      <c r="I2" s="5" t="s">
        <v>7</v>
      </c>
      <c r="J2" s="5" t="s">
        <v>6</v>
      </c>
      <c r="K2" s="5" t="s">
        <v>8</v>
      </c>
      <c r="L2" s="5" t="s">
        <v>9</v>
      </c>
      <c r="M2" s="5" t="s">
        <v>12</v>
      </c>
    </row>
    <row r="3" spans="1:13" ht="18.75" customHeight="1" x14ac:dyDescent="0.25">
      <c r="A3" s="8">
        <v>4400</v>
      </c>
      <c r="B3" s="2">
        <f>+A3+1</f>
        <v>4401</v>
      </c>
      <c r="C3" s="12" t="str">
        <f t="shared" ref="C3:C8" si="0">A3&amp;"-"&amp;B3</f>
        <v>4400-4401</v>
      </c>
      <c r="D3" s="8" t="s">
        <v>15</v>
      </c>
      <c r="E3" s="8">
        <v>350</v>
      </c>
      <c r="F3" s="9">
        <v>42347</v>
      </c>
      <c r="G3" s="2">
        <v>7</v>
      </c>
      <c r="H3" s="10">
        <v>15.05</v>
      </c>
      <c r="I3" s="8">
        <v>49900</v>
      </c>
      <c r="J3" s="3">
        <f t="shared" ref="J3:J8" si="1">H3*H3*PI()/4</f>
        <v>177.89464750493056</v>
      </c>
      <c r="K3" s="11">
        <f t="shared" ref="K3:K8" si="2">I3/J3</f>
        <v>280.50309944607505</v>
      </c>
      <c r="L3" s="4">
        <f t="shared" ref="L3:L8" si="3">+K3/E3</f>
        <v>0.80143742698878584</v>
      </c>
      <c r="M3" s="13" t="s">
        <v>13</v>
      </c>
    </row>
    <row r="4" spans="1:13" ht="18.75" customHeight="1" x14ac:dyDescent="0.25">
      <c r="A4" s="2"/>
      <c r="B4" s="2"/>
      <c r="C4" s="7" t="str">
        <f t="shared" si="0"/>
        <v>-</v>
      </c>
      <c r="D4" s="2"/>
      <c r="E4" s="8">
        <v>350</v>
      </c>
      <c r="F4" s="2"/>
      <c r="G4" s="2">
        <v>7</v>
      </c>
      <c r="H4" s="10">
        <v>15.06</v>
      </c>
      <c r="I4" s="8">
        <v>50310</v>
      </c>
      <c r="J4" s="3">
        <f t="shared" si="1"/>
        <v>178.1311308919295</v>
      </c>
      <c r="K4" s="11">
        <f t="shared" si="2"/>
        <v>282.43238421094742</v>
      </c>
      <c r="L4" s="4">
        <f t="shared" si="3"/>
        <v>0.80694966917413546</v>
      </c>
      <c r="M4" s="13" t="s">
        <v>14</v>
      </c>
    </row>
    <row r="5" spans="1:13" ht="18.75" customHeight="1" x14ac:dyDescent="0.25">
      <c r="A5" s="2">
        <f>+B3+1</f>
        <v>4402</v>
      </c>
      <c r="B5" s="2">
        <f>+A5+1</f>
        <v>4403</v>
      </c>
      <c r="C5" s="7" t="str">
        <f t="shared" si="0"/>
        <v>4402-4403</v>
      </c>
      <c r="D5" s="2"/>
      <c r="E5" s="8">
        <v>350</v>
      </c>
      <c r="F5" s="2"/>
      <c r="G5" s="2">
        <v>14</v>
      </c>
      <c r="H5" s="10">
        <v>15.04</v>
      </c>
      <c r="I5" s="8">
        <v>56450</v>
      </c>
      <c r="J5" s="3">
        <f t="shared" si="1"/>
        <v>177.65832119756422</v>
      </c>
      <c r="K5" s="11">
        <f t="shared" si="2"/>
        <v>317.74475644867209</v>
      </c>
      <c r="L5" s="4">
        <f t="shared" si="3"/>
        <v>0.9078421612819203</v>
      </c>
      <c r="M5" s="13" t="s">
        <v>14</v>
      </c>
    </row>
    <row r="6" spans="1:13" ht="18.75" customHeight="1" x14ac:dyDescent="0.25">
      <c r="A6" s="2"/>
      <c r="B6" s="2"/>
      <c r="C6" s="7" t="str">
        <f t="shared" si="0"/>
        <v>-</v>
      </c>
      <c r="D6" s="2"/>
      <c r="E6" s="8">
        <v>350</v>
      </c>
      <c r="F6" s="2"/>
      <c r="G6" s="2">
        <v>14</v>
      </c>
      <c r="H6" s="10">
        <v>15</v>
      </c>
      <c r="I6" s="8">
        <v>59630</v>
      </c>
      <c r="J6" s="3">
        <f t="shared" si="1"/>
        <v>176.71458676442586</v>
      </c>
      <c r="K6" s="11">
        <f t="shared" si="2"/>
        <v>337.43677356692336</v>
      </c>
      <c r="L6" s="4">
        <f t="shared" si="3"/>
        <v>0.96410506733406676</v>
      </c>
      <c r="M6" s="13" t="s">
        <v>14</v>
      </c>
    </row>
    <row r="7" spans="1:13" ht="18.75" customHeight="1" x14ac:dyDescent="0.25">
      <c r="A7" s="2">
        <f>+B5+1</f>
        <v>4404</v>
      </c>
      <c r="B7" s="2">
        <f>+A7+1</f>
        <v>4405</v>
      </c>
      <c r="C7" s="7" t="str">
        <f t="shared" si="0"/>
        <v>4404-4405</v>
      </c>
      <c r="D7" s="2"/>
      <c r="E7" s="8">
        <v>350</v>
      </c>
      <c r="F7" s="2"/>
      <c r="G7" s="2">
        <v>28</v>
      </c>
      <c r="H7" s="10">
        <v>15.11</v>
      </c>
      <c r="I7" s="8">
        <v>65310</v>
      </c>
      <c r="J7" s="3">
        <f t="shared" si="1"/>
        <v>179.31590402141455</v>
      </c>
      <c r="K7" s="11">
        <f t="shared" si="2"/>
        <v>364.21755424549764</v>
      </c>
      <c r="L7" s="4">
        <f t="shared" si="3"/>
        <v>1.0406215835585646</v>
      </c>
      <c r="M7" s="13" t="s">
        <v>14</v>
      </c>
    </row>
    <row r="8" spans="1:13" ht="18.75" customHeight="1" x14ac:dyDescent="0.25">
      <c r="A8" s="2"/>
      <c r="B8" s="2"/>
      <c r="C8" s="7" t="str">
        <f t="shared" si="0"/>
        <v>-</v>
      </c>
      <c r="D8" s="2"/>
      <c r="E8" s="8">
        <v>350</v>
      </c>
      <c r="F8" s="2"/>
      <c r="G8" s="2">
        <v>28</v>
      </c>
      <c r="H8" s="10">
        <v>15.05</v>
      </c>
      <c r="I8" s="8">
        <v>64730</v>
      </c>
      <c r="J8" s="3">
        <f t="shared" si="1"/>
        <v>177.89464750493056</v>
      </c>
      <c r="K8" s="11">
        <f t="shared" si="2"/>
        <v>363.86704663616104</v>
      </c>
      <c r="L8" s="4">
        <f t="shared" si="3"/>
        <v>1.0396201332461743</v>
      </c>
      <c r="M8" s="13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12</vt:i4>
      </vt:variant>
    </vt:vector>
  </HeadingPairs>
  <TitlesOfParts>
    <vt:vector size="19" baseType="lpstr">
      <vt:lpstr>Proctor</vt:lpstr>
      <vt:lpstr>A.Granul</vt:lpstr>
      <vt:lpstr>LL-LP</vt:lpstr>
      <vt:lpstr>GR-Esp</vt:lpstr>
      <vt:lpstr>Sucs </vt:lpstr>
      <vt:lpstr>Aashto</vt:lpstr>
      <vt:lpstr>Hoja1</vt:lpstr>
      <vt:lpstr>A.Granul!Área_de_impresión</vt:lpstr>
      <vt:lpstr>Aashto!Área_de_impresión</vt:lpstr>
      <vt:lpstr>'GR-Esp'!Área_de_impresión</vt:lpstr>
      <vt:lpstr>'LL-LP'!Área_de_impresión</vt:lpstr>
      <vt:lpstr>Proctor!Área_de_impresión</vt:lpstr>
      <vt:lpstr>'Sucs '!CC</vt:lpstr>
      <vt:lpstr>'Sucs '!CU</vt:lpstr>
      <vt:lpstr>'Sucs '!IP</vt:lpstr>
      <vt:lpstr>'Sucs '!Ll</vt:lpstr>
      <vt:lpstr>'Sucs '!N_10</vt:lpstr>
      <vt:lpstr>'Sucs '!N_200</vt:lpstr>
      <vt:lpstr>'Sucs '!N_40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2025-11-07T17:42:50Z</cp:lastPrinted>
  <dcterms:created xsi:type="dcterms:W3CDTF">1999-11-07T15:11:55Z</dcterms:created>
  <dcterms:modified xsi:type="dcterms:W3CDTF">2026-02-23T19:50:01Z</dcterms:modified>
</cp:coreProperties>
</file>