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"/>
    </mc:Choice>
  </mc:AlternateContent>
  <xr:revisionPtr revIDLastSave="0" documentId="13_ncr:1_{7F0799EE-68FA-48AB-8B5F-593C60B3E1B6}" xr6:coauthVersionLast="47" xr6:coauthVersionMax="47" xr10:uidLastSave="{00000000-0000-0000-0000-000000000000}"/>
  <bookViews>
    <workbookView xWindow="-120" yWindow="-120" windowWidth="29040" windowHeight="15720" tabRatio="547" activeTab="1" xr2:uid="{00000000-000D-0000-FFFF-FFFF00000000}"/>
  </bookViews>
  <sheets>
    <sheet name="FORMATO" sheetId="99" r:id="rId1"/>
    <sheet name="A.Granul" sheetId="91" r:id="rId2"/>
    <sheet name="Incertidumbre" sheetId="97" r:id="rId3"/>
    <sheet name="Balanza" sheetId="98" r:id="rId4"/>
    <sheet name="LL-LP" sheetId="94" state="hidden" r:id="rId5"/>
    <sheet name="Sucs " sheetId="93" state="hidden" r:id="rId6"/>
    <sheet name="Aashto" sheetId="92" state="hidden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#REF!</definedName>
    <definedName name="_L1" localSheetId="2">#REF!</definedName>
    <definedName name="_L1" localSheetId="5">#REF!</definedName>
    <definedName name="_L1">#REF!</definedName>
    <definedName name="_Ll1">[2]Sucs!$L$3</definedName>
    <definedName name="_W1" localSheetId="3">#REF!</definedName>
    <definedName name="_W1" localSheetId="2">#REF!</definedName>
    <definedName name="_W1" localSheetId="5">#REF!</definedName>
    <definedName name="_W1">#REF!</definedName>
    <definedName name="Abra">[3]Sucs!$C$3</definedName>
    <definedName name="_xlnm.Print_Area" localSheetId="1">A.Granul!$A$1:$N$94</definedName>
    <definedName name="_xlnm.Print_Area" localSheetId="6">Aashto!$A$1:$O$47</definedName>
    <definedName name="_xlnm.Print_Area" localSheetId="0">FORMATO!$A$1:$K$65</definedName>
    <definedName name="_xlnm.Print_Area" localSheetId="4">'LL-LP'!$A$1:$K$50</definedName>
    <definedName name="CC" localSheetId="3">#REF!</definedName>
    <definedName name="CC" localSheetId="2">#REF!</definedName>
    <definedName name="CC" localSheetId="5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3">#REF!</definedName>
    <definedName name="CU" localSheetId="2">#REF!</definedName>
    <definedName name="CU" localSheetId="5">'Sucs '!$L$5</definedName>
    <definedName name="CU">#REF!</definedName>
    <definedName name="CUf">'[2]Sucs(Fino)'!$L$5</definedName>
    <definedName name="hh" localSheetId="3">#REF!</definedName>
    <definedName name="hh" localSheetId="2">#REF!</definedName>
    <definedName name="hh">#REF!</definedName>
    <definedName name="IP" localSheetId="3">#REF!</definedName>
    <definedName name="IP" localSheetId="2">#REF!</definedName>
    <definedName name="IP" localSheetId="5">'Sucs '!$L$4</definedName>
    <definedName name="IP">#REF!</definedName>
    <definedName name="IPf">'[2]Sucs(Fino)'!$L$4</definedName>
    <definedName name="L" localSheetId="3">#REF!</definedName>
    <definedName name="L" localSheetId="2">#REF!</definedName>
    <definedName name="L" localSheetId="5">#REF!</definedName>
    <definedName name="L">#REF!</definedName>
    <definedName name="LIf">'[2]Sucs(Fino)'!$L$3</definedName>
    <definedName name="Ll" localSheetId="3">#REF!</definedName>
    <definedName name="Ll" localSheetId="2">#REF!</definedName>
    <definedName name="Ll" localSheetId="5">'Sucs '!$L$3</definedName>
    <definedName name="Ll">#REF!</definedName>
    <definedName name="MORA">[5]BGA!$H$13</definedName>
    <definedName name="N_10" localSheetId="3">#REF!</definedName>
    <definedName name="N_10" localSheetId="2">#REF!</definedName>
    <definedName name="N_10" localSheetId="5">'Sucs '!$C$5</definedName>
    <definedName name="N_10">#REF!</definedName>
    <definedName name="N_101">[2]Sucs!$C$5</definedName>
    <definedName name="N_10f">'[2]Sucs(Fino)'!$C$5</definedName>
    <definedName name="N_200" localSheetId="3">#REF!</definedName>
    <definedName name="N_200" localSheetId="2">#REF!</definedName>
    <definedName name="N_200" localSheetId="5">'Sucs '!$C$3</definedName>
    <definedName name="N_200">#REF!</definedName>
    <definedName name="N_2001">[2]Sucs!$C$3</definedName>
    <definedName name="N_200f">'[2]Sucs(Fino)'!$C$3</definedName>
    <definedName name="N_40" localSheetId="3">#REF!</definedName>
    <definedName name="N_40" localSheetId="2">#REF!</definedName>
    <definedName name="N_40" localSheetId="5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3">#REF!</definedName>
    <definedName name="TABLA" localSheetId="2">#REF!</definedName>
    <definedName name="TABLA">#REF!</definedName>
    <definedName name="tipodegranulometria" localSheetId="3">'[6]G-LL '!$X$2:$X$3</definedName>
    <definedName name="tipodegranulometria" localSheetId="2">'[6]G-LL '!$X$2:$X$3</definedName>
    <definedName name="tipodegranulometria">'[6]G-LL '!$X$2:$X$3</definedName>
    <definedName name="tipodemateria" localSheetId="3">'[6]G-LL '!$X$5:$X$6</definedName>
    <definedName name="tipodemateria" localSheetId="2">'[6]G-LL '!$X$5:$X$6</definedName>
    <definedName name="tipodemateria">'[6]G-LL '!$X$5:$X$6</definedName>
    <definedName name="_xlnm.Print_Titles" localSheetId="1">A.Granul!$1:$21</definedName>
    <definedName name="W" localSheetId="3">#REF!</definedName>
    <definedName name="W" localSheetId="2">#REF!</definedName>
    <definedName name="W" localSheetId="5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4" i="97" l="1"/>
  <c r="B210" i="97"/>
  <c r="B196" i="97"/>
  <c r="B182" i="97"/>
  <c r="B168" i="97"/>
  <c r="B154" i="97"/>
  <c r="B140" i="97"/>
  <c r="B126" i="97"/>
  <c r="B113" i="97"/>
  <c r="B100" i="97"/>
  <c r="B87" i="97"/>
  <c r="B74" i="97"/>
  <c r="B61" i="97"/>
  <c r="B48" i="97"/>
  <c r="C9" i="91" l="1"/>
  <c r="Z15" i="91"/>
  <c r="Y8" i="91"/>
  <c r="Y7" i="91"/>
  <c r="N20" i="91"/>
  <c r="N18" i="91"/>
  <c r="E20" i="91"/>
  <c r="E19" i="91"/>
  <c r="E18" i="91"/>
  <c r="N19" i="91"/>
  <c r="N12" i="91"/>
  <c r="N11" i="91"/>
  <c r="N10" i="91"/>
  <c r="C10" i="91"/>
  <c r="C11" i="91"/>
  <c r="C12" i="91"/>
  <c r="O20" i="91" l="1"/>
  <c r="I78" i="91"/>
  <c r="I77" i="91"/>
  <c r="S33" i="91"/>
  <c r="S34" i="91"/>
  <c r="S35" i="91"/>
  <c r="S36" i="91"/>
  <c r="S37" i="91"/>
  <c r="S38" i="91"/>
  <c r="S39" i="91"/>
  <c r="S32" i="91"/>
  <c r="S26" i="91"/>
  <c r="S27" i="91"/>
  <c r="S28" i="91"/>
  <c r="S29" i="91"/>
  <c r="S30" i="91"/>
  <c r="S31" i="91"/>
  <c r="S25" i="91"/>
  <c r="V14" i="91"/>
  <c r="T8" i="91"/>
  <c r="T7" i="91"/>
  <c r="W3" i="91"/>
  <c r="Z24" i="91" l="1"/>
  <c r="Z14" i="91" l="1"/>
  <c r="V18" i="91" s="1"/>
  <c r="U17" i="91"/>
  <c r="AA19" i="91" l="1"/>
  <c r="V17" i="91"/>
  <c r="T32" i="91"/>
  <c r="T31" i="91"/>
  <c r="T30" i="91"/>
  <c r="T28" i="91"/>
  <c r="T26" i="91"/>
  <c r="T36" i="91"/>
  <c r="U8" i="91"/>
  <c r="T25" i="91"/>
  <c r="T35" i="91"/>
  <c r="Z7" i="91"/>
  <c r="T29" i="91"/>
  <c r="T27" i="91"/>
  <c r="T38" i="91"/>
  <c r="U7" i="91"/>
  <c r="T34" i="91"/>
  <c r="Z8" i="91"/>
  <c r="T37" i="91"/>
  <c r="T33" i="91"/>
  <c r="AA20" i="91" l="1"/>
  <c r="AA21" i="91" s="1"/>
  <c r="N21" i="91"/>
  <c r="A127" i="97" l="1"/>
  <c r="B26" i="98"/>
  <c r="D22" i="98"/>
  <c r="E22" i="98"/>
  <c r="F22" i="98"/>
  <c r="G22" i="98"/>
  <c r="H22" i="98"/>
  <c r="C22" i="98"/>
  <c r="I66" i="91"/>
  <c r="A143" i="97" l="1"/>
  <c r="A157" i="97"/>
  <c r="A199" i="97"/>
  <c r="A185" i="97"/>
  <c r="A171" i="97"/>
  <c r="A213" i="97"/>
  <c r="A129" i="97"/>
  <c r="D23" i="98" l="1"/>
  <c r="H23" i="98"/>
  <c r="C23" i="98"/>
  <c r="G23" i="98"/>
  <c r="F23" i="98"/>
  <c r="E23" i="98"/>
  <c r="V13" i="91" l="1"/>
  <c r="C26" i="98" l="1"/>
  <c r="D26" i="98" s="1"/>
  <c r="Z9" i="91"/>
  <c r="K35" i="98" l="1"/>
  <c r="C30" i="98" l="1"/>
  <c r="C207" i="97" l="1"/>
  <c r="E207" i="97" s="1"/>
  <c r="I205" i="97"/>
  <c r="I204" i="97"/>
  <c r="I203" i="97"/>
  <c r="C203" i="97"/>
  <c r="E203" i="97" s="1"/>
  <c r="I202" i="97"/>
  <c r="E210" i="97"/>
  <c r="G210" i="97" s="1"/>
  <c r="J205" i="97" s="1"/>
  <c r="E224" i="97"/>
  <c r="G224" i="97" s="1"/>
  <c r="J219" i="97" s="1"/>
  <c r="K40" i="98"/>
  <c r="C209" i="97" s="1"/>
  <c r="E209" i="97" s="1"/>
  <c r="E208" i="97" s="1"/>
  <c r="G208" i="97" s="1"/>
  <c r="J203" i="97" s="1"/>
  <c r="K41" i="98"/>
  <c r="C223" i="97" s="1"/>
  <c r="E223" i="97" s="1"/>
  <c r="E222" i="97" s="1"/>
  <c r="G222" i="97" s="1"/>
  <c r="J217" i="97" s="1"/>
  <c r="Z13" i="91"/>
  <c r="K28" i="98"/>
  <c r="C47" i="97" s="1"/>
  <c r="E47" i="97" s="1"/>
  <c r="E46" i="97" s="1"/>
  <c r="G46" i="97" s="1"/>
  <c r="J41" i="97" s="1"/>
  <c r="K29" i="98"/>
  <c r="C60" i="97" s="1"/>
  <c r="E60" i="97" s="1"/>
  <c r="E59" i="97" s="1"/>
  <c r="G59" i="97" s="1"/>
  <c r="J54" i="97" s="1"/>
  <c r="K30" i="98"/>
  <c r="C73" i="97" s="1"/>
  <c r="E73" i="97" s="1"/>
  <c r="E72" i="97" s="1"/>
  <c r="G72" i="97" s="1"/>
  <c r="J67" i="97" s="1"/>
  <c r="K31" i="98"/>
  <c r="C86" i="97" s="1"/>
  <c r="E86" i="97" s="1"/>
  <c r="E85" i="97" s="1"/>
  <c r="G85" i="97" s="1"/>
  <c r="J80" i="97" s="1"/>
  <c r="K32" i="98"/>
  <c r="C99" i="97" s="1"/>
  <c r="E99" i="97" s="1"/>
  <c r="E98" i="97" s="1"/>
  <c r="G98" i="97" s="1"/>
  <c r="J93" i="97" s="1"/>
  <c r="K33" i="98"/>
  <c r="C112" i="97" s="1"/>
  <c r="E112" i="97" s="1"/>
  <c r="E111" i="97" s="1"/>
  <c r="G111" i="97" s="1"/>
  <c r="J106" i="97" s="1"/>
  <c r="K34" i="98"/>
  <c r="C125" i="97" s="1"/>
  <c r="E125" i="97" s="1"/>
  <c r="E124" i="97" s="1"/>
  <c r="G124" i="97" s="1"/>
  <c r="J119" i="97" s="1"/>
  <c r="C139" i="97"/>
  <c r="E139" i="97" s="1"/>
  <c r="E138" i="97" s="1"/>
  <c r="G138" i="97" s="1"/>
  <c r="J133" i="97" s="1"/>
  <c r="K36" i="98"/>
  <c r="C153" i="97" s="1"/>
  <c r="E153" i="97" s="1"/>
  <c r="E152" i="97" s="1"/>
  <c r="G152" i="97" s="1"/>
  <c r="J147" i="97" s="1"/>
  <c r="K37" i="98"/>
  <c r="C167" i="97" s="1"/>
  <c r="E167" i="97" s="1"/>
  <c r="E166" i="97" s="1"/>
  <c r="G166" i="97" s="1"/>
  <c r="J161" i="97" s="1"/>
  <c r="K38" i="98"/>
  <c r="C181" i="97" s="1"/>
  <c r="E181" i="97" s="1"/>
  <c r="E180" i="97" s="1"/>
  <c r="G180" i="97" s="1"/>
  <c r="J175" i="97" s="1"/>
  <c r="K39" i="98"/>
  <c r="C195" i="97" s="1"/>
  <c r="E195" i="97" s="1"/>
  <c r="E194" i="97" s="1"/>
  <c r="G194" i="97" s="1"/>
  <c r="J189" i="97" s="1"/>
  <c r="E48" i="97"/>
  <c r="G48" i="97" s="1"/>
  <c r="J43" i="97" s="1"/>
  <c r="E61" i="97"/>
  <c r="G61" i="97" s="1"/>
  <c r="J56" i="97" s="1"/>
  <c r="E74" i="97"/>
  <c r="G74" i="97" s="1"/>
  <c r="J69" i="97" s="1"/>
  <c r="E87" i="97"/>
  <c r="G87" i="97" s="1"/>
  <c r="J82" i="97" s="1"/>
  <c r="E100" i="97"/>
  <c r="G100" i="97" s="1"/>
  <c r="J95" i="97" s="1"/>
  <c r="E113" i="97"/>
  <c r="G113" i="97" s="1"/>
  <c r="J108" i="97" s="1"/>
  <c r="E126" i="97"/>
  <c r="G126" i="97" s="1"/>
  <c r="J121" i="97" s="1"/>
  <c r="E154" i="97"/>
  <c r="G154" i="97" s="1"/>
  <c r="J149" i="97" s="1"/>
  <c r="E168" i="97"/>
  <c r="G168" i="97" s="1"/>
  <c r="J163" i="97" s="1"/>
  <c r="I40" i="97"/>
  <c r="C41" i="97"/>
  <c r="E41" i="97" s="1"/>
  <c r="I41" i="97"/>
  <c r="I42" i="97"/>
  <c r="I43" i="97"/>
  <c r="C45" i="97"/>
  <c r="E45" i="97" s="1"/>
  <c r="I53" i="97"/>
  <c r="C54" i="97"/>
  <c r="E54" i="97" s="1"/>
  <c r="I54" i="97"/>
  <c r="I55" i="97"/>
  <c r="I56" i="97"/>
  <c r="C58" i="97"/>
  <c r="E58" i="97" s="1"/>
  <c r="I66" i="97"/>
  <c r="C67" i="97"/>
  <c r="E67" i="97" s="1"/>
  <c r="I67" i="97"/>
  <c r="I68" i="97"/>
  <c r="I69" i="97"/>
  <c r="C71" i="97"/>
  <c r="E71" i="97" s="1"/>
  <c r="I79" i="97"/>
  <c r="C80" i="97"/>
  <c r="E80" i="97" s="1"/>
  <c r="I80" i="97"/>
  <c r="I81" i="97"/>
  <c r="I82" i="97"/>
  <c r="C84" i="97"/>
  <c r="E84" i="97" s="1"/>
  <c r="I92" i="97"/>
  <c r="C93" i="97"/>
  <c r="E93" i="97" s="1"/>
  <c r="I93" i="97"/>
  <c r="I94" i="97"/>
  <c r="I95" i="97"/>
  <c r="C97" i="97"/>
  <c r="E97" i="97" s="1"/>
  <c r="I105" i="97"/>
  <c r="C106" i="97"/>
  <c r="E106" i="97" s="1"/>
  <c r="I106" i="97"/>
  <c r="I107" i="97"/>
  <c r="I108" i="97"/>
  <c r="C110" i="97"/>
  <c r="E110" i="97" s="1"/>
  <c r="I118" i="97"/>
  <c r="C119" i="97"/>
  <c r="E119" i="97" s="1"/>
  <c r="I119" i="97"/>
  <c r="I120" i="97"/>
  <c r="I121" i="97"/>
  <c r="C123" i="97"/>
  <c r="E123" i="97" s="1"/>
  <c r="I132" i="97"/>
  <c r="C133" i="97"/>
  <c r="E133" i="97" s="1"/>
  <c r="I133" i="97"/>
  <c r="I134" i="97"/>
  <c r="I135" i="97"/>
  <c r="C137" i="97"/>
  <c r="E137" i="97" s="1"/>
  <c r="E140" i="97"/>
  <c r="G140" i="97" s="1"/>
  <c r="J135" i="97" s="1"/>
  <c r="I146" i="97"/>
  <c r="C147" i="97"/>
  <c r="E147" i="97" s="1"/>
  <c r="I147" i="97"/>
  <c r="I148" i="97"/>
  <c r="I149" i="97"/>
  <c r="C151" i="97"/>
  <c r="E151" i="97" s="1"/>
  <c r="I160" i="97"/>
  <c r="C161" i="97"/>
  <c r="E161" i="97" s="1"/>
  <c r="I161" i="97"/>
  <c r="I162" i="97"/>
  <c r="I163" i="97"/>
  <c r="C165" i="97"/>
  <c r="E165" i="97" s="1"/>
  <c r="I174" i="97"/>
  <c r="C175" i="97"/>
  <c r="E175" i="97" s="1"/>
  <c r="I175" i="97"/>
  <c r="I176" i="97"/>
  <c r="I177" i="97"/>
  <c r="C179" i="97"/>
  <c r="E179" i="97" s="1"/>
  <c r="E182" i="97"/>
  <c r="G182" i="97" s="1"/>
  <c r="J177" i="97" s="1"/>
  <c r="I188" i="97"/>
  <c r="C189" i="97"/>
  <c r="E189" i="97" s="1"/>
  <c r="I189" i="97"/>
  <c r="I190" i="97"/>
  <c r="I191" i="97"/>
  <c r="C193" i="97"/>
  <c r="E193" i="97" s="1"/>
  <c r="E196" i="97"/>
  <c r="G196" i="97" s="1"/>
  <c r="J191" i="97" s="1"/>
  <c r="I216" i="97"/>
  <c r="C217" i="97"/>
  <c r="E217" i="97" s="1"/>
  <c r="I217" i="97"/>
  <c r="I218" i="97"/>
  <c r="I219" i="97"/>
  <c r="C221" i="97"/>
  <c r="E221" i="97" s="1"/>
  <c r="C40" i="98" l="1"/>
  <c r="C39" i="98"/>
  <c r="C38" i="98"/>
  <c r="C37" i="98"/>
  <c r="C36" i="98"/>
  <c r="C41" i="98"/>
  <c r="O45" i="94" l="1"/>
  <c r="P46" i="94"/>
  <c r="P47" i="94" s="1"/>
  <c r="Q46" i="94"/>
  <c r="Q47" i="94" s="1"/>
  <c r="O46" i="94"/>
  <c r="O47" i="94" s="1"/>
  <c r="V8" i="91" l="1"/>
  <c r="C34" i="98"/>
  <c r="C35" i="98"/>
  <c r="C42" i="98"/>
  <c r="C29" i="98"/>
  <c r="D29" i="98" s="1"/>
  <c r="E29" i="98" s="1"/>
  <c r="C31" i="98"/>
  <c r="C32" i="98"/>
  <c r="C33" i="98"/>
  <c r="C39" i="97" l="1"/>
  <c r="E39" i="97" s="1"/>
  <c r="D30" i="98"/>
  <c r="E30" i="98" s="1"/>
  <c r="B38" i="97"/>
  <c r="C20" i="94"/>
  <c r="C21" i="94"/>
  <c r="C19" i="94"/>
  <c r="K20" i="94"/>
  <c r="K21" i="94"/>
  <c r="K19" i="94"/>
  <c r="K12" i="94"/>
  <c r="C13" i="94"/>
  <c r="C12" i="94"/>
  <c r="C11" i="94"/>
  <c r="D31" i="98" l="1"/>
  <c r="C40" i="97"/>
  <c r="E40" i="97" s="1"/>
  <c r="E38" i="97" s="1"/>
  <c r="C52" i="97"/>
  <c r="E52" i="97" s="1"/>
  <c r="B51" i="97"/>
  <c r="L2" i="93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D32" i="98" l="1"/>
  <c r="E31" i="98"/>
  <c r="C65" i="97" s="1"/>
  <c r="E65" i="97" s="1"/>
  <c r="C53" i="97"/>
  <c r="E53" i="97" s="1"/>
  <c r="E51" i="97" s="1"/>
  <c r="B64" i="97"/>
  <c r="Q33" i="94"/>
  <c r="R33" i="94"/>
  <c r="O33" i="94"/>
  <c r="P33" i="94"/>
  <c r="G33" i="94"/>
  <c r="S33" i="94"/>
  <c r="H33" i="94" s="1"/>
  <c r="E31" i="94"/>
  <c r="D33" i="98" l="1"/>
  <c r="E32" i="98"/>
  <c r="C78" i="97" s="1"/>
  <c r="E78" i="97" s="1"/>
  <c r="C66" i="97"/>
  <c r="E66" i="97" s="1"/>
  <c r="E64" i="97" s="1"/>
  <c r="B77" i="97"/>
  <c r="E33" i="94"/>
  <c r="O37" i="94" s="1"/>
  <c r="P48" i="94"/>
  <c r="D33" i="94"/>
  <c r="P40" i="94" s="1"/>
  <c r="P41" i="94" s="1"/>
  <c r="O40" i="94" s="1"/>
  <c r="O48" i="94"/>
  <c r="F33" i="94"/>
  <c r="Q48" i="94"/>
  <c r="O42" i="94"/>
  <c r="H38" i="94" s="1"/>
  <c r="O49" i="94" l="1"/>
  <c r="O44" i="94" s="1"/>
  <c r="D34" i="98"/>
  <c r="E33" i="98"/>
  <c r="C91" i="97" s="1"/>
  <c r="E91" i="97" s="1"/>
  <c r="C79" i="97"/>
  <c r="E79" i="97" s="1"/>
  <c r="E77" i="97" s="1"/>
  <c r="B90" i="97"/>
  <c r="O36" i="94"/>
  <c r="O38" i="94"/>
  <c r="Q40" i="94"/>
  <c r="O41" i="94"/>
  <c r="H35" i="94"/>
  <c r="C5" i="93" s="1"/>
  <c r="L3" i="93" s="1"/>
  <c r="D35" i="98" l="1"/>
  <c r="D36" i="98" s="1"/>
  <c r="E34" i="98"/>
  <c r="C104" i="97" s="1"/>
  <c r="E104" i="97" s="1"/>
  <c r="B103" i="97"/>
  <c r="C92" i="97"/>
  <c r="E92" i="97" s="1"/>
  <c r="E90" i="97" s="1"/>
  <c r="H41" i="94"/>
  <c r="D38" i="93" s="1"/>
  <c r="E38" i="93" s="1"/>
  <c r="C20" i="92"/>
  <c r="E35" i="98" l="1"/>
  <c r="C117" i="97" s="1"/>
  <c r="E117" i="97" s="1"/>
  <c r="C105" i="97"/>
  <c r="E105" i="97" s="1"/>
  <c r="E103" i="97" s="1"/>
  <c r="B116" i="97"/>
  <c r="C21" i="92"/>
  <c r="C6" i="93"/>
  <c r="L4" i="93" s="1"/>
  <c r="E36" i="98" l="1"/>
  <c r="C131" i="97" s="1"/>
  <c r="E131" i="97" s="1"/>
  <c r="D37" i="98"/>
  <c r="D38" i="98" s="1"/>
  <c r="D39" i="98" s="1"/>
  <c r="D40" i="98" s="1"/>
  <c r="D41" i="98" s="1"/>
  <c r="D42" i="98" s="1"/>
  <c r="C118" i="97"/>
  <c r="E118" i="97" s="1"/>
  <c r="E116" i="97" s="1"/>
  <c r="B130" i="97"/>
  <c r="D36" i="92"/>
  <c r="D35" i="92"/>
  <c r="C132" i="97" l="1"/>
  <c r="E132" i="97" s="1"/>
  <c r="E130" i="97" s="1"/>
  <c r="E37" i="98"/>
  <c r="C145" i="97" s="1"/>
  <c r="E145" i="97" s="1"/>
  <c r="E38" i="98"/>
  <c r="B144" i="97"/>
  <c r="L24" i="93"/>
  <c r="P24" i="93" s="1"/>
  <c r="C146" i="97" l="1"/>
  <c r="E146" i="97" s="1"/>
  <c r="E144" i="97" s="1"/>
  <c r="E39" i="98"/>
  <c r="B158" i="97"/>
  <c r="C159" i="97"/>
  <c r="E159" i="97" s="1"/>
  <c r="V7" i="91"/>
  <c r="V9" i="91" l="1"/>
  <c r="C160" i="97"/>
  <c r="E160" i="97" s="1"/>
  <c r="E158" i="97" s="1"/>
  <c r="E40" i="98"/>
  <c r="C173" i="97"/>
  <c r="E173" i="97" s="1"/>
  <c r="B172" i="97"/>
  <c r="V19" i="91" l="1"/>
  <c r="V20" i="91" s="1"/>
  <c r="AA24" i="91"/>
  <c r="V12" i="91"/>
  <c r="T39" i="91" s="1"/>
  <c r="U19" i="91"/>
  <c r="C174" i="97"/>
  <c r="E174" i="97" s="1"/>
  <c r="E172" i="97" s="1"/>
  <c r="E41" i="98"/>
  <c r="C187" i="97"/>
  <c r="E187" i="97" s="1"/>
  <c r="B186" i="97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43" i="98" l="1"/>
  <c r="D43" i="98" s="1"/>
  <c r="B190" i="97"/>
  <c r="B176" i="97"/>
  <c r="B204" i="97"/>
  <c r="B218" i="97"/>
  <c r="B148" i="97"/>
  <c r="B134" i="97"/>
  <c r="B162" i="97"/>
  <c r="U30" i="91"/>
  <c r="U28" i="91"/>
  <c r="U26" i="91"/>
  <c r="C25" i="98"/>
  <c r="D25" i="98" s="1"/>
  <c r="C163" i="97" s="1"/>
  <c r="E163" i="97" s="1"/>
  <c r="U31" i="91"/>
  <c r="U27" i="91"/>
  <c r="U25" i="91"/>
  <c r="U29" i="91"/>
  <c r="C188" i="97"/>
  <c r="E188" i="97" s="1"/>
  <c r="E186" i="97" s="1"/>
  <c r="E42" i="98"/>
  <c r="C201" i="97"/>
  <c r="E201" i="97" s="1"/>
  <c r="B200" i="97"/>
  <c r="A5" i="49"/>
  <c r="T44" i="91" l="1"/>
  <c r="V25" i="91"/>
  <c r="V26" i="91" s="1"/>
  <c r="W26" i="91" s="1"/>
  <c r="K26" i="91" s="1"/>
  <c r="T43" i="91"/>
  <c r="B94" i="97"/>
  <c r="F90" i="97" s="1"/>
  <c r="G90" i="97" s="1"/>
  <c r="B81" i="97"/>
  <c r="F77" i="97" s="1"/>
  <c r="G77" i="97" s="1"/>
  <c r="F171" i="97"/>
  <c r="F185" i="97"/>
  <c r="B120" i="97"/>
  <c r="C122" i="97" s="1"/>
  <c r="E122" i="97" s="1"/>
  <c r="B55" i="97"/>
  <c r="F51" i="97" s="1"/>
  <c r="G51" i="97" s="1"/>
  <c r="B107" i="97"/>
  <c r="F107" i="97" s="1"/>
  <c r="F199" i="97"/>
  <c r="F143" i="97"/>
  <c r="B68" i="97"/>
  <c r="F64" i="97" s="1"/>
  <c r="G64" i="97" s="1"/>
  <c r="C220" i="97"/>
  <c r="E220" i="97" s="1"/>
  <c r="B42" i="97"/>
  <c r="F42" i="97" s="1"/>
  <c r="F157" i="97"/>
  <c r="F129" i="97"/>
  <c r="C202" i="97"/>
  <c r="E202" i="97" s="1"/>
  <c r="E200" i="97" s="1"/>
  <c r="E43" i="98"/>
  <c r="B214" i="97"/>
  <c r="C215" i="97"/>
  <c r="E215" i="97" s="1"/>
  <c r="C206" i="97"/>
  <c r="E206" i="97" s="1"/>
  <c r="C69" i="97"/>
  <c r="E69" i="97" s="1"/>
  <c r="C177" i="97"/>
  <c r="E177" i="97" s="1"/>
  <c r="C43" i="97"/>
  <c r="E43" i="97" s="1"/>
  <c r="C121" i="97"/>
  <c r="E121" i="97" s="1"/>
  <c r="C108" i="97"/>
  <c r="E108" i="97" s="1"/>
  <c r="C95" i="97"/>
  <c r="E95" i="97" s="1"/>
  <c r="C149" i="97"/>
  <c r="E149" i="97" s="1"/>
  <c r="C56" i="97"/>
  <c r="E56" i="97" s="1"/>
  <c r="C82" i="97"/>
  <c r="E82" i="97" s="1"/>
  <c r="C219" i="97"/>
  <c r="E219" i="97" s="1"/>
  <c r="C205" i="97"/>
  <c r="E205" i="97" s="1"/>
  <c r="C191" i="97"/>
  <c r="E191" i="97" s="1"/>
  <c r="C135" i="97"/>
  <c r="E135" i="97" s="1"/>
  <c r="B5" i="49"/>
  <c r="A7" i="49" s="1"/>
  <c r="W25" i="91" l="1"/>
  <c r="K25" i="91" s="1"/>
  <c r="F81" i="97"/>
  <c r="F55" i="97"/>
  <c r="C83" i="97"/>
  <c r="E83" i="97" s="1"/>
  <c r="E81" i="97" s="1"/>
  <c r="C44" i="97"/>
  <c r="E44" i="97" s="1"/>
  <c r="E42" i="97" s="1"/>
  <c r="G42" i="97" s="1"/>
  <c r="J42" i="97" s="1"/>
  <c r="F120" i="97"/>
  <c r="F116" i="97"/>
  <c r="G116" i="97" s="1"/>
  <c r="J118" i="97" s="1"/>
  <c r="B115" i="97"/>
  <c r="B129" i="97" s="1"/>
  <c r="B128" i="97" s="1"/>
  <c r="B102" i="97"/>
  <c r="B76" i="97"/>
  <c r="C57" i="97"/>
  <c r="E57" i="97" s="1"/>
  <c r="E55" i="97" s="1"/>
  <c r="C192" i="97"/>
  <c r="E192" i="97" s="1"/>
  <c r="E190" i="97" s="1"/>
  <c r="B63" i="97"/>
  <c r="C70" i="97"/>
  <c r="E70" i="97" s="1"/>
  <c r="E68" i="97" s="1"/>
  <c r="F103" i="97"/>
  <c r="G103" i="97" s="1"/>
  <c r="J105" i="97" s="1"/>
  <c r="C178" i="97"/>
  <c r="E178" i="97" s="1"/>
  <c r="E176" i="97" s="1"/>
  <c r="C150" i="97"/>
  <c r="E150" i="97" s="1"/>
  <c r="E148" i="97" s="1"/>
  <c r="B50" i="97"/>
  <c r="B89" i="97"/>
  <c r="C96" i="97"/>
  <c r="E96" i="97" s="1"/>
  <c r="E94" i="97" s="1"/>
  <c r="F94" i="97"/>
  <c r="C109" i="97"/>
  <c r="E109" i="97" s="1"/>
  <c r="E107" i="97" s="1"/>
  <c r="G107" i="97" s="1"/>
  <c r="J107" i="97" s="1"/>
  <c r="F68" i="97"/>
  <c r="B37" i="97"/>
  <c r="C136" i="97"/>
  <c r="E136" i="97" s="1"/>
  <c r="E134" i="97" s="1"/>
  <c r="F38" i="97"/>
  <c r="G38" i="97" s="1"/>
  <c r="J40" i="97" s="1"/>
  <c r="C164" i="97"/>
  <c r="E164" i="97" s="1"/>
  <c r="E162" i="97" s="1"/>
  <c r="C216" i="97"/>
  <c r="E216" i="97" s="1"/>
  <c r="E214" i="97" s="1"/>
  <c r="F213" i="97"/>
  <c r="J92" i="97"/>
  <c r="J79" i="97"/>
  <c r="J66" i="97"/>
  <c r="J53" i="97"/>
  <c r="E204" i="97"/>
  <c r="E120" i="97"/>
  <c r="E218" i="97"/>
  <c r="C5" i="49"/>
  <c r="V27" i="91"/>
  <c r="B7" i="49"/>
  <c r="C7" i="49" s="1"/>
  <c r="B199" i="97" l="1"/>
  <c r="F200" i="97" s="1"/>
  <c r="G200" i="97" s="1"/>
  <c r="J202" i="97" s="1"/>
  <c r="G120" i="97"/>
  <c r="J120" i="97" s="1"/>
  <c r="J122" i="97" s="1"/>
  <c r="G55" i="97"/>
  <c r="J55" i="97" s="1"/>
  <c r="J57" i="97" s="1"/>
  <c r="K57" i="97" s="1"/>
  <c r="G81" i="97"/>
  <c r="J81" i="97" s="1"/>
  <c r="J83" i="97" s="1"/>
  <c r="K79" i="97" s="1"/>
  <c r="F134" i="97"/>
  <c r="G134" i="97" s="1"/>
  <c r="J134" i="97" s="1"/>
  <c r="B171" i="97"/>
  <c r="F176" i="97" s="1"/>
  <c r="G176" i="97" s="1"/>
  <c r="B157" i="97"/>
  <c r="B156" i="97" s="1"/>
  <c r="B213" i="97"/>
  <c r="B212" i="97" s="1"/>
  <c r="B185" i="97"/>
  <c r="F190" i="97" s="1"/>
  <c r="G190" i="97" s="1"/>
  <c r="B143" i="97"/>
  <c r="F148" i="97" s="1"/>
  <c r="G148" i="97" s="1"/>
  <c r="J148" i="97" s="1"/>
  <c r="G94" i="97"/>
  <c r="J94" i="97" s="1"/>
  <c r="J96" i="97" s="1"/>
  <c r="K96" i="97" s="1"/>
  <c r="G68" i="97"/>
  <c r="J68" i="97" s="1"/>
  <c r="J70" i="97" s="1"/>
  <c r="K68" i="97" s="1"/>
  <c r="J44" i="97"/>
  <c r="K43" i="97" s="1"/>
  <c r="F130" i="97"/>
  <c r="G130" i="97" s="1"/>
  <c r="J132" i="97" s="1"/>
  <c r="J109" i="97"/>
  <c r="K105" i="97" s="1"/>
  <c r="H37" i="97"/>
  <c r="I37" i="97" s="1"/>
  <c r="H102" i="97"/>
  <c r="I102" i="97" s="1"/>
  <c r="W27" i="91"/>
  <c r="K27" i="91" s="1"/>
  <c r="V28" i="91"/>
  <c r="B198" i="97" l="1"/>
  <c r="F162" i="97"/>
  <c r="G162" i="97" s="1"/>
  <c r="J162" i="97" s="1"/>
  <c r="F204" i="97"/>
  <c r="G204" i="97" s="1"/>
  <c r="J204" i="97" s="1"/>
  <c r="J206" i="97" s="1"/>
  <c r="F172" i="97"/>
  <c r="G172" i="97" s="1"/>
  <c r="J174" i="97" s="1"/>
  <c r="F214" i="97"/>
  <c r="G214" i="97" s="1"/>
  <c r="J216" i="97" s="1"/>
  <c r="F144" i="97"/>
  <c r="G144" i="97" s="1"/>
  <c r="J146" i="97" s="1"/>
  <c r="F218" i="97"/>
  <c r="G218" i="97" s="1"/>
  <c r="J218" i="97" s="1"/>
  <c r="B170" i="97"/>
  <c r="F186" i="97"/>
  <c r="G186" i="97" s="1"/>
  <c r="J188" i="97" s="1"/>
  <c r="F158" i="97"/>
  <c r="G158" i="97" s="1"/>
  <c r="J160" i="97" s="1"/>
  <c r="H115" i="97"/>
  <c r="E157" i="97" s="1"/>
  <c r="G157" i="97" s="1"/>
  <c r="K120" i="97"/>
  <c r="H76" i="97"/>
  <c r="I76" i="97" s="1"/>
  <c r="H50" i="97"/>
  <c r="I50" i="97" s="1"/>
  <c r="B142" i="97"/>
  <c r="H63" i="97"/>
  <c r="I63" i="97" s="1"/>
  <c r="B184" i="97"/>
  <c r="H89" i="97"/>
  <c r="I89" i="97" s="1"/>
  <c r="K40" i="97"/>
  <c r="K42" i="97"/>
  <c r="K44" i="97"/>
  <c r="K41" i="97"/>
  <c r="J136" i="97"/>
  <c r="K132" i="97" s="1"/>
  <c r="K82" i="97"/>
  <c r="K107" i="97"/>
  <c r="K106" i="97"/>
  <c r="K80" i="97"/>
  <c r="K109" i="97"/>
  <c r="K83" i="97"/>
  <c r="K108" i="97"/>
  <c r="J190" i="97"/>
  <c r="J176" i="97"/>
  <c r="K95" i="97"/>
  <c r="K93" i="97"/>
  <c r="K94" i="97"/>
  <c r="K92" i="97"/>
  <c r="K54" i="97"/>
  <c r="K53" i="97"/>
  <c r="K56" i="97"/>
  <c r="K55" i="97"/>
  <c r="K81" i="97"/>
  <c r="K67" i="97"/>
  <c r="K69" i="97"/>
  <c r="K70" i="97"/>
  <c r="K66" i="97"/>
  <c r="K121" i="97"/>
  <c r="K122" i="97"/>
  <c r="K119" i="97"/>
  <c r="K118" i="97"/>
  <c r="W28" i="91"/>
  <c r="K28" i="91" s="1"/>
  <c r="V29" i="91"/>
  <c r="J164" i="97" l="1"/>
  <c r="K161" i="97" s="1"/>
  <c r="K204" i="97"/>
  <c r="J220" i="97"/>
  <c r="K217" i="97" s="1"/>
  <c r="H156" i="97"/>
  <c r="I156" i="97" s="1"/>
  <c r="E185" i="97"/>
  <c r="G185" i="97" s="1"/>
  <c r="H184" i="97" s="1"/>
  <c r="I184" i="97" s="1"/>
  <c r="E143" i="97"/>
  <c r="G143" i="97" s="1"/>
  <c r="H142" i="97" s="1"/>
  <c r="I142" i="97" s="1"/>
  <c r="E213" i="97"/>
  <c r="G213" i="97" s="1"/>
  <c r="H212" i="97" s="1"/>
  <c r="I212" i="97" s="1"/>
  <c r="J192" i="97"/>
  <c r="K191" i="97" s="1"/>
  <c r="E129" i="97"/>
  <c r="G129" i="97" s="1"/>
  <c r="H128" i="97" s="1"/>
  <c r="I128" i="97" s="1"/>
  <c r="E199" i="97"/>
  <c r="G199" i="97" s="1"/>
  <c r="H198" i="97" s="1"/>
  <c r="I198" i="97" s="1"/>
  <c r="I115" i="97"/>
  <c r="E171" i="97"/>
  <c r="G171" i="97" s="1"/>
  <c r="H170" i="97" s="1"/>
  <c r="I170" i="97" s="1"/>
  <c r="K203" i="97"/>
  <c r="K205" i="97"/>
  <c r="K202" i="97"/>
  <c r="K206" i="97"/>
  <c r="K133" i="97"/>
  <c r="K136" i="97"/>
  <c r="K135" i="97"/>
  <c r="K134" i="97"/>
  <c r="J150" i="97"/>
  <c r="J178" i="97"/>
  <c r="V30" i="91"/>
  <c r="W29" i="91"/>
  <c r="K29" i="91" s="1"/>
  <c r="K164" i="97" l="1"/>
  <c r="K163" i="97"/>
  <c r="K162" i="97"/>
  <c r="K160" i="97"/>
  <c r="K192" i="97"/>
  <c r="K188" i="97"/>
  <c r="K219" i="97"/>
  <c r="K220" i="97"/>
  <c r="K216" i="97"/>
  <c r="K218" i="97"/>
  <c r="K190" i="97"/>
  <c r="K189" i="97"/>
  <c r="K149" i="97"/>
  <c r="K150" i="97"/>
  <c r="K147" i="97"/>
  <c r="K148" i="97"/>
  <c r="K174" i="97"/>
  <c r="K175" i="97"/>
  <c r="K177" i="97"/>
  <c r="K178" i="97"/>
  <c r="K176" i="97"/>
  <c r="K146" i="97"/>
  <c r="V31" i="91"/>
  <c r="R43" i="91" s="1"/>
  <c r="W30" i="91" l="1"/>
  <c r="K30" i="91" s="1"/>
  <c r="W31" i="91" l="1"/>
  <c r="K31" i="91" s="1"/>
  <c r="U39" i="91" l="1"/>
  <c r="T48" i="91" s="1"/>
  <c r="U33" i="91"/>
  <c r="U32" i="91"/>
  <c r="U34" i="91"/>
  <c r="U35" i="91"/>
  <c r="U36" i="91"/>
  <c r="C4" i="93"/>
  <c r="B31" i="93"/>
  <c r="B38" i="93" s="1"/>
  <c r="U38" i="91"/>
  <c r="U37" i="91"/>
  <c r="T46" i="91" l="1"/>
  <c r="T47" i="91"/>
  <c r="V32" i="91"/>
  <c r="V33" i="91" s="1"/>
  <c r="T45" i="91"/>
  <c r="W32" i="91" l="1"/>
  <c r="K32" i="91" s="1"/>
  <c r="V34" i="91"/>
  <c r="W33" i="91"/>
  <c r="K33" i="91" s="1"/>
  <c r="C11" i="92" l="1"/>
  <c r="W34" i="91"/>
  <c r="K34" i="91" s="1"/>
  <c r="V35" i="91"/>
  <c r="W35" i="91" l="1"/>
  <c r="K35" i="91" s="1"/>
  <c r="V36" i="91"/>
  <c r="W36" i="91" s="1"/>
  <c r="K36" i="91" s="1"/>
  <c r="V37" i="91" l="1"/>
  <c r="W37" i="91" s="1"/>
  <c r="K37" i="91" s="1"/>
  <c r="C12" i="92"/>
  <c r="V38" i="91" l="1"/>
  <c r="W38" i="91" l="1"/>
  <c r="K38" i="91" s="1"/>
  <c r="V39" i="91"/>
  <c r="W39" i="91" s="1"/>
  <c r="R48" i="91" l="1"/>
  <c r="R45" i="91" s="1"/>
  <c r="C3" i="93"/>
  <c r="L11" i="93" s="1"/>
  <c r="B30" i="93"/>
  <c r="B39" i="93" s="1"/>
  <c r="D39" i="93" s="1"/>
  <c r="C13" i="92"/>
  <c r="D34" i="92" s="1"/>
  <c r="L16" i="93" l="1"/>
  <c r="P16" i="93" s="1"/>
  <c r="L18" i="93"/>
  <c r="P18" i="93" s="1"/>
  <c r="L22" i="93"/>
  <c r="P22" i="93" s="1"/>
  <c r="L17" i="93"/>
  <c r="P17" i="93" s="1"/>
  <c r="M15" i="93"/>
  <c r="L19" i="93"/>
  <c r="P19" i="93" s="1"/>
  <c r="L12" i="93"/>
  <c r="P12" i="93" s="1"/>
  <c r="L15" i="93"/>
  <c r="L23" i="93"/>
  <c r="P23" i="93" s="1"/>
  <c r="L20" i="93"/>
  <c r="P20" i="93" s="1"/>
  <c r="M11" i="93"/>
  <c r="P11" i="93" s="1"/>
  <c r="L21" i="93"/>
  <c r="P21" i="93" s="1"/>
  <c r="B40" i="93"/>
  <c r="D40" i="93" s="1"/>
  <c r="D33" i="92"/>
  <c r="C38" i="92" s="1"/>
  <c r="D38" i="92" s="1"/>
  <c r="C23" i="92" s="1"/>
  <c r="P15" i="93" l="1"/>
  <c r="F38" i="92"/>
  <c r="J29" i="92"/>
  <c r="N29" i="92"/>
  <c r="K29" i="92"/>
  <c r="O29" i="92"/>
  <c r="L29" i="92"/>
  <c r="F29" i="92"/>
  <c r="G29" i="92"/>
  <c r="D29" i="92"/>
  <c r="I29" i="92"/>
  <c r="E29" i="92"/>
  <c r="H29" i="92"/>
  <c r="M29" i="92"/>
  <c r="J30" i="92" l="1"/>
  <c r="G30" i="92"/>
  <c r="F30" i="92"/>
  <c r="I30" i="92"/>
  <c r="D30" i="92"/>
  <c r="H30" i="92"/>
  <c r="E30" i="92"/>
  <c r="N30" i="92"/>
  <c r="M30" i="92"/>
  <c r="L30" i="92"/>
  <c r="K30" i="92"/>
  <c r="O30" i="92"/>
  <c r="D31" i="92" l="1"/>
  <c r="J26" i="92" s="1"/>
  <c r="E3" i="93" l="1"/>
  <c r="L5" i="93" s="1"/>
  <c r="E4" i="93"/>
  <c r="L6" i="93" s="1"/>
  <c r="N10" i="93" l="1"/>
  <c r="O9" i="93"/>
  <c r="N13" i="93"/>
  <c r="L10" i="93"/>
  <c r="N14" i="93"/>
  <c r="M13" i="93"/>
  <c r="M10" i="93"/>
  <c r="M9" i="93"/>
  <c r="O13" i="93"/>
  <c r="M14" i="93"/>
  <c r="O10" i="93"/>
  <c r="L9" i="93"/>
  <c r="O14" i="93"/>
  <c r="L13" i="93"/>
  <c r="L14" i="93"/>
  <c r="N9" i="93"/>
  <c r="P10" i="93" l="1"/>
  <c r="P13" i="93"/>
  <c r="P9" i="93"/>
  <c r="P14" i="93"/>
  <c r="Q9" i="93" l="1"/>
  <c r="G4" i="93" l="1"/>
  <c r="J34" i="93"/>
  <c r="B42" i="93" l="1"/>
  <c r="B49" i="93"/>
  <c r="B67" i="93"/>
  <c r="B62" i="93"/>
  <c r="B56" i="93"/>
  <c r="B43" i="93"/>
  <c r="B50" i="93"/>
  <c r="B57" i="93"/>
  <c r="B68" i="93"/>
  <c r="B59" i="93"/>
  <c r="B41" i="93"/>
  <c r="B44" i="93"/>
  <c r="B51" i="93"/>
  <c r="B58" i="93"/>
  <c r="B69" i="93"/>
  <c r="B64" i="93"/>
  <c r="B65" i="93"/>
  <c r="B66" i="93"/>
  <c r="B45" i="93"/>
  <c r="B52" i="93"/>
  <c r="B46" i="93"/>
  <c r="B53" i="93"/>
  <c r="B63" i="93"/>
  <c r="B55" i="93"/>
  <c r="B47" i="93"/>
  <c r="B54" i="93"/>
  <c r="B48" i="93"/>
  <c r="B61" i="93"/>
  <c r="B60" i="93"/>
  <c r="B72" i="93" l="1"/>
  <c r="E70" i="93"/>
  <c r="B70" i="93"/>
  <c r="B71" i="93"/>
  <c r="B73" i="93"/>
  <c r="B74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25" authorId="0" shapeId="0" xr:uid="{18E874B9-4FEE-45C6-8E91-C34995C588C6}">
      <text>
        <r>
          <rPr>
            <sz val="9"/>
            <color indexed="81"/>
            <rFont val="Tahoma"/>
            <family val="2"/>
          </rPr>
          <t xml:space="preserve">Betzabe:
Se reporta al entero cuando es método A
</t>
        </r>
      </text>
    </comment>
    <comment ref="K38" authorId="0" shapeId="0" xr:uid="{2ABEC407-EC00-42B4-A7BA-63A100F015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<sst xmlns="http://schemas.openxmlformats.org/spreadsheetml/2006/main" count="1031" uniqueCount="577">
  <si>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</si>
  <si>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</si>
  <si>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</si>
  <si>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</si>
  <si>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</si>
  <si>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</si>
  <si>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</si>
  <si>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</si>
  <si>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</si>
  <si>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</si>
  <si>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</si>
  <si>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</si>
  <si>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</si>
  <si>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</si>
  <si>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</si>
  <si>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</si>
  <si>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SOLICITANTE</t>
  </si>
  <si>
    <t>PROYECTO</t>
  </si>
  <si>
    <t>UBICACIÓN</t>
  </si>
  <si>
    <t>N° OT</t>
  </si>
  <si>
    <t>N° CERT.</t>
  </si>
  <si>
    <t>LABORATORIO DE ENSAYO DE MATERIALES</t>
  </si>
  <si>
    <t>Nota :</t>
  </si>
  <si>
    <t>Página 1 de 1</t>
  </si>
  <si>
    <t>CANTERA / SONDAJE</t>
  </si>
  <si>
    <t>TIPO DE MUESTRA</t>
  </si>
  <si>
    <t>DATOS DE LA MUESTRA</t>
  </si>
  <si>
    <t>COD. MUESTRA</t>
  </si>
  <si>
    <t>N° MUESTRA</t>
  </si>
  <si>
    <t>FECHA RECEP.</t>
  </si>
  <si>
    <t>FECHA ENSAYO</t>
  </si>
  <si>
    <t xml:space="preserve">                 CÓDIGO</t>
  </si>
  <si>
    <t>3/4"</t>
  </si>
  <si>
    <t>3/8"</t>
  </si>
  <si>
    <t>% GRAVA</t>
  </si>
  <si>
    <t>Gruesa</t>
  </si>
  <si>
    <t>Fina</t>
  </si>
  <si>
    <t>% ARENA</t>
  </si>
  <si>
    <t>Media</t>
  </si>
  <si>
    <t>% FINO</t>
  </si>
  <si>
    <t>Datos de ensayo</t>
  </si>
  <si>
    <t>&lt; 200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</si>
  <si>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</si>
  <si>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</si>
  <si>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</si>
  <si>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</si>
  <si>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</si>
  <si>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</si>
  <si>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</si>
  <si>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</si>
  <si>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</si>
  <si>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</si>
  <si>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</si>
  <si>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</si>
  <si>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</si>
  <si>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</si>
  <si>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</si>
  <si>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</si>
  <si>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</si>
  <si>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</si>
  <si>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</si>
  <si>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</si>
  <si>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</si>
  <si>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</si>
  <si>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</si>
  <si>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</si>
  <si>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</si>
  <si>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</si>
  <si>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</si>
  <si>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</si>
  <si>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</si>
  <si>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</si>
  <si>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</si>
  <si>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</si>
  <si>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</si>
  <si>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</si>
  <si>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</si>
  <si>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</si>
  <si>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</si>
  <si>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</si>
  <si>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</si>
  <si>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</si>
  <si>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</si>
  <si>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</si>
  <si>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</si>
  <si>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</si>
  <si>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</si>
  <si>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</si>
  <si>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</si>
  <si>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</si>
  <si>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</si>
  <si>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</si>
  <si>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</si>
  <si>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A</t>
  </si>
  <si>
    <t>B</t>
  </si>
  <si>
    <t>C</t>
  </si>
  <si>
    <t>D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</si>
  <si>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</si>
  <si>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</si>
  <si>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</si>
  <si>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</si>
  <si>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</si>
  <si>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</si>
  <si>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</si>
  <si>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</si>
  <si>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</si>
  <si>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</si>
  <si>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</si>
  <si>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</si>
  <si>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</si>
  <si>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</si>
  <si>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</si>
  <si>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</si>
  <si>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</si>
  <si>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</si>
  <si>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</si>
  <si>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</si>
  <si>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</si>
  <si>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</si>
  <si>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</si>
  <si>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</si>
  <si>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</si>
  <si>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</si>
  <si>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</si>
  <si>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</si>
  <si>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</si>
  <si>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</si>
  <si>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</si>
  <si>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</si>
  <si>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</si>
  <si>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</si>
  <si>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</si>
  <si>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</si>
  <si>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</si>
  <si>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</si>
  <si>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</si>
  <si>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</si>
  <si>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</si>
  <si>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</si>
  <si>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</si>
  <si>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</si>
  <si>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</si>
  <si>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</si>
  <si>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</si>
  <si>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</si>
  <si>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</si>
  <si>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</si>
  <si>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</si>
  <si>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</si>
  <si>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</si>
  <si>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</si>
  <si>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</si>
  <si>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</si>
  <si>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</si>
  <si>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</si>
  <si>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</si>
  <si>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</si>
  <si>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</si>
  <si>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</si>
  <si>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</si>
  <si>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</si>
  <si>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</si>
  <si>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</si>
  <si>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</si>
  <si>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</si>
  <si>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</si>
  <si>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</si>
  <si>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</si>
  <si>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</si>
  <si>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</si>
  <si>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</si>
  <si>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METODO DE ENSAYO PARA DETERMINAR EL LIMITE LIQUIDO, LIMITE PLASTICO E INDICE DE PLASTICIDAD DE SUELOS</t>
  </si>
  <si>
    <t>SI</t>
  </si>
  <si>
    <t>NO</t>
  </si>
  <si>
    <t>LIMITE LIQUIDO</t>
  </si>
  <si>
    <t>LIMITE PLASTICO</t>
  </si>
  <si>
    <t>Ensayo</t>
  </si>
  <si>
    <t>Recipiente Nº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</si>
  <si>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</si>
  <si>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</si>
  <si>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</si>
  <si>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</si>
  <si>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</si>
  <si>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</si>
  <si>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</si>
  <si>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</si>
  <si>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</si>
  <si>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</si>
  <si>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</si>
  <si>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</si>
  <si>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F-LEM-P-SU-11.02</t>
  </si>
  <si>
    <t>NORMA  NTP 339.129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</si>
  <si>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</si>
  <si>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Versión : 02 (02-01-2021)</t>
  </si>
  <si>
    <t>Codigo de Balanza al 0.1g</t>
  </si>
  <si>
    <t>Variable 1</t>
  </si>
  <si>
    <t xml:space="preserve">CODIGO </t>
  </si>
  <si>
    <t>Fecha</t>
  </si>
  <si>
    <t>Correccion por Certificado de Calibración:</t>
  </si>
  <si>
    <t>Corregido</t>
  </si>
  <si>
    <t>Descripción del suelo</t>
  </si>
  <si>
    <t>Fraccion de Grava =</t>
  </si>
  <si>
    <t>Fraccionde Arena =</t>
  </si>
  <si>
    <t>F.Arena/ F. Grava =</t>
  </si>
  <si>
    <t>Fraccion de finos =</t>
  </si>
  <si>
    <t>GW-GC</t>
  </si>
  <si>
    <t>GW-GM</t>
  </si>
  <si>
    <t>GP-GC</t>
  </si>
  <si>
    <t>GP-GM</t>
  </si>
  <si>
    <t>GC-GM</t>
  </si>
  <si>
    <t>SW-SC</t>
  </si>
  <si>
    <t>SW-SM</t>
  </si>
  <si>
    <t>SP-SC</t>
  </si>
  <si>
    <t>SP-SM</t>
  </si>
  <si>
    <t>SC-SM</t>
  </si>
  <si>
    <t>CL-ML</t>
  </si>
  <si>
    <t>0L - IP&lt;4</t>
  </si>
  <si>
    <t>OL - IP&gt;4</t>
  </si>
  <si>
    <t>CH-MH</t>
  </si>
  <si>
    <t>OH &lt;4</t>
  </si>
  <si>
    <t>OH IP&gt;4</t>
  </si>
  <si>
    <t>=</t>
  </si>
  <si>
    <t>Nombre de grupo =</t>
  </si>
  <si>
    <t>% Arena  :</t>
  </si>
  <si>
    <t>% Grava  :</t>
  </si>
  <si>
    <t>Retenido en 200 =</t>
  </si>
  <si>
    <t>IP=</t>
  </si>
  <si>
    <t>LOG GOLPES</t>
  </si>
  <si>
    <t>Humedad</t>
  </si>
  <si>
    <t>Limite Liquido:</t>
  </si>
  <si>
    <t>Página 2 de 2</t>
  </si>
  <si>
    <t>No.4</t>
  </si>
  <si>
    <t>No. 10</t>
  </si>
  <si>
    <t>FECHA DE RECEPCIÓN</t>
  </si>
  <si>
    <t>FECHA DE EJECUCIÓN</t>
  </si>
  <si>
    <t>PROYECTO **</t>
  </si>
  <si>
    <t>UBICACIÓN **</t>
  </si>
  <si>
    <t>** Datos proporcionados por el cliente</t>
  </si>
  <si>
    <t>No. 20</t>
  </si>
  <si>
    <t>No. 60</t>
  </si>
  <si>
    <t>No. 140</t>
  </si>
  <si>
    <t>No. 100</t>
  </si>
  <si>
    <t>No. 200</t>
  </si>
  <si>
    <t>F-LEM-P-SU-24.02</t>
  </si>
  <si>
    <t>CANTERA/SONDAJE**</t>
  </si>
  <si>
    <t>N° MUESTRA **</t>
  </si>
  <si>
    <t xml:space="preserve">LUGAR DE ENSAYO </t>
  </si>
  <si>
    <t>Página 1 de 2</t>
  </si>
  <si>
    <t>ASTM D6913/D6913M-17</t>
  </si>
  <si>
    <t>DIRECCIÓN **</t>
  </si>
  <si>
    <t>Standard Test Methods for Particle-Size Distribution (Gradation) of Soils Using Sieve Analysis</t>
  </si>
  <si>
    <t>CÓDIGO DE LA MUESTRA</t>
  </si>
  <si>
    <t>----</t>
  </si>
  <si>
    <t>FECHA EMISIÓN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</si>
  <si>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</si>
  <si>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</si>
  <si>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</si>
  <si>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</si>
  <si>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</si>
  <si>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</si>
  <si>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</si>
  <si>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</si>
  <si>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</si>
  <si>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</si>
  <si>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</si>
  <si>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</si>
  <si>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140</t>
  </si>
  <si>
    <t>Abertura de Tamiz No. 140 (mm)</t>
  </si>
  <si>
    <t>M ret No. 140 (g)</t>
  </si>
  <si>
    <t>Tamiz No. 140</t>
  </si>
  <si>
    <t>Factor de presición No. 60</t>
  </si>
  <si>
    <t>Abertura de Tamiz No. 60 (mm)</t>
  </si>
  <si>
    <t>Tamiz No. 60</t>
  </si>
  <si>
    <t>Factor de presición No. 40</t>
  </si>
  <si>
    <t>Abertura de Tamiz No. 40 (mm)</t>
  </si>
  <si>
    <t>Tamiz No. 40</t>
  </si>
  <si>
    <t>Factor de presición No. 20</t>
  </si>
  <si>
    <t>Abertura de Tamiz No. 20 (mm)</t>
  </si>
  <si>
    <t>Tamiz No. 20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</si>
  <si>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</si>
  <si>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</si>
  <si>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</si>
  <si>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</si>
  <si>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</si>
  <si>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</si>
  <si>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</si>
  <si>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</si>
  <si>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</si>
  <si>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</si>
  <si>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</si>
  <si>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</si>
  <si>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</si>
  <si>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</si>
  <si>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</si>
  <si>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</si>
  <si>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</si>
  <si>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</si>
  <si>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</si>
  <si>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</si>
  <si>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</si>
  <si>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</si>
  <si>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</si>
  <si>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</si>
  <si>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</si>
  <si>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</si>
  <si>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</si>
  <si>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</si>
  <si>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</si>
  <si>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</si>
  <si>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CALCULOS</t>
  </si>
  <si>
    <t>TAMIZ</t>
  </si>
  <si>
    <t>Suelo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</si>
  <si>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</si>
  <si>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</si>
  <si>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</si>
  <si>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</si>
  <si>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</si>
  <si>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</si>
  <si>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</si>
  <si>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</si>
  <si>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</si>
  <si>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</si>
  <si>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Nº 200</t>
  </si>
  <si>
    <t>Nº 140</t>
  </si>
  <si>
    <t>Nº 60</t>
  </si>
  <si>
    <t>Nº 40</t>
  </si>
  <si>
    <t>Nº 20</t>
  </si>
  <si>
    <t>Nº 10</t>
  </si>
  <si>
    <t>Nº 4</t>
  </si>
  <si>
    <t>1 "</t>
  </si>
  <si>
    <t>1 1/2 "</t>
  </si>
  <si>
    <t>2 "</t>
  </si>
  <si>
    <t>Fondo</t>
  </si>
  <si>
    <t>3 "</t>
  </si>
  <si>
    <t>DATA DE ASEGURAMIENTO</t>
  </si>
  <si>
    <t>um</t>
  </si>
  <si>
    <t>M. total</t>
  </si>
  <si>
    <t>Datos del certificado</t>
  </si>
  <si>
    <t>U(x) (mm)</t>
  </si>
  <si>
    <t>Fecha de Calibracion:</t>
  </si>
  <si>
    <t>CALIBRACION TAMICES</t>
  </si>
  <si>
    <t>Busqueda de Repetibilidad de la masa</t>
  </si>
  <si>
    <t>DESV STD</t>
  </si>
  <si>
    <t>Variables</t>
  </si>
  <si>
    <t>CALIBRACION DE LA BALANZA</t>
  </si>
  <si>
    <t>Masa de suelo que  pasa a travez de un tamiz</t>
  </si>
  <si>
    <t>Nº 100</t>
  </si>
  <si>
    <t>Tamiz No. 100</t>
  </si>
  <si>
    <t>Abertura de Tamiz No. 100 (mm)</t>
  </si>
  <si>
    <t>Factor de presición No. 100</t>
  </si>
  <si>
    <t>3 in.</t>
  </si>
  <si>
    <t>2 in.</t>
  </si>
  <si>
    <t>1 in.</t>
  </si>
  <si>
    <t>1 1/2 in.</t>
  </si>
  <si>
    <t>3/4 in.</t>
  </si>
  <si>
    <t>3/8 in.</t>
  </si>
  <si>
    <t>Masa retenida en el tamiz</t>
  </si>
  <si>
    <t>Designaciòn de Tamices</t>
  </si>
  <si>
    <t>Alternativo</t>
  </si>
  <si>
    <t>(%)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</si>
  <si>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</si>
  <si>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</si>
  <si>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Metodo de Prueba</t>
  </si>
  <si>
    <t>Tamizado</t>
  </si>
  <si>
    <t>Masa seca</t>
  </si>
  <si>
    <t>Original</t>
  </si>
  <si>
    <t>(g)</t>
  </si>
  <si>
    <t>% Humedad (Wfp)</t>
  </si>
  <si>
    <t>Perdidad durante el lavado y tamizado (CPL)</t>
  </si>
  <si>
    <t>TAMIZADO COMPUESTO (FRACCIONADO)</t>
  </si>
  <si>
    <t>TAMIZADO SERIE UNICA DE TAMIZ (GLOBAL)</t>
  </si>
  <si>
    <t>Condiciones del ensayo</t>
  </si>
  <si>
    <t>Descripción de la muestra:</t>
  </si>
  <si>
    <t>Porcenteje Reten. Tamiz</t>
  </si>
  <si>
    <t>Porcentaje acum. Reten.</t>
  </si>
  <si>
    <t>Porcentaje que pasa el tamiz</t>
  </si>
  <si>
    <t>Variables:</t>
  </si>
  <si>
    <t>Fórmula:</t>
  </si>
  <si>
    <t>Equipos a utilizar:</t>
  </si>
  <si>
    <t>Balanza con resolución de lectura de 0.1g</t>
  </si>
  <si>
    <t>Tamices</t>
  </si>
  <si>
    <t>Paso 2. Definición de las variables aleatorias</t>
  </si>
  <si>
    <t>3in</t>
  </si>
  <si>
    <t>ITEM</t>
  </si>
  <si>
    <t>MES</t>
  </si>
  <si>
    <t>Porcentaje que pasa el tamiz (%)</t>
  </si>
  <si>
    <t>Nota:</t>
  </si>
  <si>
    <t>Observaciones:</t>
  </si>
  <si>
    <t>Fin del Informe</t>
  </si>
  <si>
    <t>Tamaño del tamiz separador</t>
  </si>
  <si>
    <t>Proceso de dispersión</t>
  </si>
  <si>
    <t xml:space="preserve">Se utilizó un tamiz compuesto </t>
  </si>
  <si>
    <t>Descripción del material retirado</t>
  </si>
  <si>
    <t xml:space="preserve">Se excluyó cualquier suelo o material muestra </t>
  </si>
  <si>
    <t>Método de ensayo utilizado</t>
  </si>
  <si>
    <t>Procedimiento utilizado para obtención de la muestra</t>
  </si>
  <si>
    <t>Condición de la muestra</t>
  </si>
  <si>
    <t>Forma de la particula</t>
  </si>
  <si>
    <t>TAMICES</t>
  </si>
  <si>
    <t>Masa Retenida (g)</t>
  </si>
  <si>
    <t>Retenida Acumulado (g)</t>
  </si>
  <si>
    <t xml:space="preserve">Repetib. </t>
  </si>
  <si>
    <t>M ret acumulado 3 in (g)</t>
  </si>
  <si>
    <t>M ret acumulado 2 in (g)</t>
  </si>
  <si>
    <t>M ret acumulado 1 1/2 in (g)</t>
  </si>
  <si>
    <t>M ret acumulado 1 in (g)</t>
  </si>
  <si>
    <t>M ret acumulado 3/4 in (g)</t>
  </si>
  <si>
    <t>M ret acumulado 3/8 in (g)</t>
  </si>
  <si>
    <t>M ret acumulado No. 4 (g)</t>
  </si>
  <si>
    <t>M ret acumulado No. 10 (g)</t>
  </si>
  <si>
    <t>M ret acumulado No. 20 (g)</t>
  </si>
  <si>
    <t>M ret acumulado No. 40 (g)</t>
  </si>
  <si>
    <t>M ret acumulado No. 60 (g)</t>
  </si>
  <si>
    <t>M ret acumulado No. 100 (g)</t>
  </si>
  <si>
    <t>M ret acumulado No. 200 (g)</t>
  </si>
  <si>
    <t xml:space="preserve">Corrección </t>
  </si>
  <si>
    <t>Descripcion</t>
  </si>
  <si>
    <t>REALIZADO POR</t>
  </si>
  <si>
    <t>No. 40</t>
  </si>
  <si>
    <t>Estándar (mm)</t>
  </si>
  <si>
    <t>Distribución granulométrica</t>
  </si>
  <si>
    <t>Laboratorio de Ensayo de Materiales</t>
  </si>
  <si>
    <t>Masa seca porcion gruesa (CP,Md) g</t>
  </si>
  <si>
    <t>Masa humeda porcion fina (FP,Mm) g</t>
  </si>
  <si>
    <t>total (S,Md) g</t>
  </si>
  <si>
    <t>Masa humeda (g)</t>
  </si>
  <si>
    <t>Masa Humeda g</t>
  </si>
  <si>
    <t>Masa Seca (Subs,Md) g</t>
  </si>
  <si>
    <t>Masa seca de la muestra (S,Md) g</t>
  </si>
  <si>
    <t>Masa seca subespecimen porcion fina (Subs,Md) g</t>
  </si>
  <si>
    <t>Masa Muestra Lavada subespecimen porcion fina g</t>
  </si>
  <si>
    <t>No. 4</t>
  </si>
  <si>
    <t>Porcetaje de aprobación (PR)</t>
  </si>
  <si>
    <t>SOLO PARA TAMIZADO COMPUESTO (FRACCIONADO)</t>
  </si>
  <si>
    <t>Masa seca de la porcion mas gruesa despues del lavado (CPwMd) g</t>
  </si>
  <si>
    <t>Masa seca retenida en el plato despues de tamizar la porcion mas gruesa (CP,Mrpan) g</t>
  </si>
  <si>
    <t>Porcentaje de la porcion mas gruesa perdida durante el lavado y tamizado (CPL) %</t>
  </si>
  <si>
    <t>Masa Retenida en el primer tamiz (2do CP,FCMRfirst) g</t>
  </si>
  <si>
    <r>
      <t>PERDIDA ACEPTABLE DURANTE EL LAVADO Y EL TAMIZADO   CPL=(((</t>
    </r>
    <r>
      <rPr>
        <b/>
        <sz val="8"/>
        <color rgb="FF0000FF"/>
        <rFont val="Arial"/>
        <family val="2"/>
      </rPr>
      <t>CP,Md</t>
    </r>
    <r>
      <rPr>
        <b/>
        <sz val="8"/>
        <rFont val="Arial"/>
        <family val="2"/>
      </rPr>
      <t>-</t>
    </r>
    <r>
      <rPr>
        <b/>
        <sz val="8"/>
        <color rgb="FF0000FF"/>
        <rFont val="Arial"/>
        <family val="2"/>
      </rPr>
      <t>CPw,MD</t>
    </r>
    <r>
      <rPr>
        <b/>
        <sz val="8"/>
        <rFont val="Arial"/>
        <family val="2"/>
      </rPr>
      <t>)+</t>
    </r>
    <r>
      <rPr>
        <b/>
        <sz val="8"/>
        <color rgb="FF0000FF"/>
        <rFont val="Arial"/>
        <family val="2"/>
      </rPr>
      <t>CP,Mrpan</t>
    </r>
    <r>
      <rPr>
        <b/>
        <sz val="8"/>
        <rFont val="Arial"/>
        <family val="2"/>
      </rPr>
      <t>)/</t>
    </r>
    <r>
      <rPr>
        <b/>
        <sz val="8"/>
        <color rgb="FF0000FF"/>
        <rFont val="Arial"/>
        <family val="2"/>
      </rPr>
      <t>S,Md</t>
    </r>
    <r>
      <rPr>
        <b/>
        <sz val="8"/>
        <rFont val="Arial"/>
        <family val="2"/>
      </rPr>
      <t>)</t>
    </r>
  </si>
  <si>
    <r>
      <t xml:space="preserve">2do CP,FRRfirst </t>
    </r>
    <r>
      <rPr>
        <b/>
        <sz val="8"/>
        <rFont val="Arial"/>
        <family val="2"/>
      </rPr>
      <t xml:space="preserve">= </t>
    </r>
    <r>
      <rPr>
        <b/>
        <sz val="8"/>
        <color rgb="FF0000FF"/>
        <rFont val="Arial"/>
        <family val="2"/>
      </rPr>
      <t xml:space="preserve">100 </t>
    </r>
    <r>
      <rPr>
        <b/>
        <sz val="8"/>
        <rFont val="Arial"/>
        <family val="2"/>
      </rPr>
      <t>(</t>
    </r>
    <r>
      <rPr>
        <b/>
        <sz val="8"/>
        <color rgb="FF0000FF"/>
        <rFont val="Arial"/>
        <family val="2"/>
      </rPr>
      <t xml:space="preserve">2do CP,FCMRfirst </t>
    </r>
    <r>
      <rPr>
        <b/>
        <sz val="8"/>
        <rFont val="Arial"/>
        <family val="2"/>
      </rPr>
      <t xml:space="preserve">/ </t>
    </r>
    <r>
      <rPr>
        <b/>
        <sz val="8"/>
        <color rgb="FF0000FF"/>
        <rFont val="Arial"/>
        <family val="2"/>
      </rPr>
      <t>Subs,Md</t>
    </r>
    <r>
      <rPr>
        <b/>
        <sz val="8"/>
        <rFont val="Arial"/>
        <family val="2"/>
      </rPr>
      <t>)</t>
    </r>
  </si>
  <si>
    <t>Porcentaje fraccional retenido en el primer tamiz (2do CP,FRRfirst) %</t>
  </si>
  <si>
    <t>12.6.2.4</t>
  </si>
  <si>
    <t>-</t>
  </si>
  <si>
    <t>Incertidumbre original</t>
  </si>
  <si>
    <t>% Pasa: % pasa el tamiz anterior</t>
  </si>
  <si>
    <t>Mret: Masa retenida</t>
  </si>
  <si>
    <t>Mtotal: Masa total</t>
  </si>
  <si>
    <t>RECEPCIÓN N°</t>
  </si>
  <si>
    <t>Designación de Tamices</t>
  </si>
  <si>
    <t>75 mm</t>
  </si>
  <si>
    <t>50 mm</t>
  </si>
  <si>
    <t>37.5 mm</t>
  </si>
  <si>
    <t>25.0 mm</t>
  </si>
  <si>
    <t>19.0 mm</t>
  </si>
  <si>
    <t>9.5 mm</t>
  </si>
  <si>
    <t>4.75 mm</t>
  </si>
  <si>
    <t>2.00 mm</t>
  </si>
  <si>
    <t>Estándar</t>
  </si>
  <si>
    <r>
      <t xml:space="preserve">850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</si>
  <si>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425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</si>
  <si>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250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</si>
  <si>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</si>
  <si>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106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</si>
  <si>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75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</si>
  <si>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t>CLIENTE**</t>
  </si>
  <si>
    <t>Tamaño máximo de particula (in.)</t>
  </si>
  <si>
    <t>OT N°</t>
  </si>
  <si>
    <t>REALIZADO</t>
  </si>
  <si>
    <r>
      <t>Clasificación de suelo ASTM D2487-17</t>
    </r>
    <r>
      <rPr>
        <vertAlign val="superscript"/>
        <sz val="9"/>
        <color theme="1"/>
        <rFont val="Arial"/>
        <family val="2"/>
      </rPr>
      <t>ε1</t>
    </r>
  </si>
  <si>
    <t>TM</t>
  </si>
  <si>
    <t>MASA MINIMA</t>
  </si>
  <si>
    <t>(in.)</t>
  </si>
  <si>
    <t>3/8</t>
  </si>
  <si>
    <t>N°4</t>
  </si>
  <si>
    <t>Tamaño máximo TM:</t>
  </si>
  <si>
    <t>Cantidad mínima:</t>
  </si>
  <si>
    <r>
      <t xml:space="preserve">ASTM D6913/D6913M-17 </t>
    </r>
    <r>
      <rPr>
        <b/>
        <u/>
        <sz val="10"/>
        <rFont val="Arial"/>
        <family val="2"/>
      </rPr>
      <t>(Reapproved 2025)</t>
    </r>
  </si>
  <si>
    <t>FORMATO N° F-LEM-P-SU-24.01</t>
  </si>
  <si>
    <t>MUESTRA</t>
  </si>
  <si>
    <t>No OT</t>
  </si>
  <si>
    <t xml:space="preserve">Standard Test Methods for Particle-Size Distribution (Gradation) of Soils Using Sieve Analysis  </t>
  </si>
  <si>
    <r>
      <t>ASTM D6913/D6913M-17 (</t>
    </r>
    <r>
      <rPr>
        <b/>
        <u/>
        <sz val="11"/>
        <rFont val="Arial"/>
        <family val="2"/>
      </rPr>
      <t>Reapproved 2025</t>
    </r>
    <r>
      <rPr>
        <b/>
        <sz val="11"/>
        <rFont val="Arial"/>
        <family val="2"/>
      </rPr>
      <t>)</t>
    </r>
  </si>
  <si>
    <t>MÉTODO DE PRUEBA</t>
  </si>
  <si>
    <t>DESCRIBA SI ES TURBO O ORGANICO</t>
  </si>
  <si>
    <t>Método "A"</t>
  </si>
  <si>
    <t>Tipo de muestra :</t>
  </si>
  <si>
    <t>Método "B"</t>
  </si>
  <si>
    <t>Condición de la muestra:</t>
  </si>
  <si>
    <t>Tamaño máximo de la particula, Visual (in):</t>
  </si>
  <si>
    <t>Tamiz Separador (*)</t>
  </si>
  <si>
    <t>TAMIZADO</t>
  </si>
  <si>
    <t>Forma de la particula:</t>
  </si>
  <si>
    <t>Fraccionado</t>
  </si>
  <si>
    <t>(*) si aplica tamizado compuesto</t>
  </si>
  <si>
    <t>Global</t>
  </si>
  <si>
    <t>Masa seca porcion gruesa (CP, Md) (g)</t>
  </si>
  <si>
    <t>Masa seca global (g)</t>
  </si>
  <si>
    <t>MÉTODO DE MUESTREO</t>
  </si>
  <si>
    <t>Masa humeda porcion fina (FP, Mm) (g)</t>
  </si>
  <si>
    <t>Humedad de la subespecie porcion fina</t>
  </si>
  <si>
    <t>Humedo</t>
  </si>
  <si>
    <t>Masa seca porcion fina (FP, Md) (g)</t>
  </si>
  <si>
    <t>Secado al aire</t>
  </si>
  <si>
    <t>Masa seca de la muestra (S, Md) (g)</t>
  </si>
  <si>
    <t>Masa seca (SubS ,Md) (g)</t>
  </si>
  <si>
    <t>Secado al horno</t>
  </si>
  <si>
    <t>Contenido de agua (wfp) (%)</t>
  </si>
  <si>
    <r>
      <t xml:space="preserve">PERDIDA ACEPTABLE DURANTE EL LAVADO Y EL TAMIZADO  </t>
    </r>
    <r>
      <rPr>
        <sz val="8"/>
        <rFont val="Arial"/>
        <family val="2"/>
      </rPr>
      <t xml:space="preserve"> CPL=(((CP,Md-CPw,MD)+CP,Mrpan)/S,Md)</t>
    </r>
  </si>
  <si>
    <t>CLASIF. VISUAL MUESTRA</t>
  </si>
  <si>
    <t>Masa seca de la porcion mas gruesa despues del lavado (CPwMd) (g)</t>
  </si>
  <si>
    <t>Simbolo</t>
  </si>
  <si>
    <t>Masa seca retenida en el plato despues de tamizar la porcion mas gruesa (CP, Mrpan) (g)</t>
  </si>
  <si>
    <t>Nombre</t>
  </si>
  <si>
    <t>Porcentaje de la porcion más gruesa perdida durante el lavado y tamizado (CPL) (%)</t>
  </si>
  <si>
    <t>Masa de subespecimen lavado porcion fina (g)</t>
  </si>
  <si>
    <t>Se excluyó cualquier suelo o material de la muestra</t>
  </si>
  <si>
    <t>Masa seca de la muestra (S,Md)</t>
  </si>
  <si>
    <t xml:space="preserve">El porcentaje de perdida es aceptable si el valor </t>
  </si>
  <si>
    <t>Describirlo:</t>
  </si>
  <si>
    <r>
      <t xml:space="preserve">de </t>
    </r>
    <r>
      <rPr>
        <b/>
        <sz val="8"/>
        <rFont val="Arial"/>
        <family val="2"/>
      </rPr>
      <t>CPL</t>
    </r>
    <r>
      <rPr>
        <sz val="8"/>
        <rFont val="Arial"/>
        <family val="2"/>
      </rPr>
      <t xml:space="preserve"> es menor o igual al </t>
    </r>
    <r>
      <rPr>
        <b/>
        <sz val="8"/>
        <rFont val="Arial"/>
        <family val="2"/>
      </rPr>
      <t>0.5%</t>
    </r>
  </si>
  <si>
    <t>Se encontro algun problema en la muestra</t>
  </si>
  <si>
    <t>Proceso de dipersión</t>
  </si>
  <si>
    <t>Masa retenida en el primer tamiz (g)</t>
  </si>
  <si>
    <t>Baño ultrasónico</t>
  </si>
  <si>
    <t>Aparato de agitación</t>
  </si>
  <si>
    <t>Malla</t>
  </si>
  <si>
    <t>Abertura</t>
  </si>
  <si>
    <t>Peso</t>
  </si>
  <si>
    <t>Tabla de pesos mínimos</t>
  </si>
  <si>
    <t>Tamiz</t>
  </si>
  <si>
    <t>(mm)</t>
  </si>
  <si>
    <t>3 in</t>
  </si>
  <si>
    <t>2 in</t>
  </si>
  <si>
    <t>1 1/2 in</t>
  </si>
  <si>
    <t>1 in</t>
  </si>
  <si>
    <t>3/4 in</t>
  </si>
  <si>
    <t>3/8 in</t>
  </si>
  <si>
    <r>
      <t xml:space="preserve">Fuente: Norma ASTM D6913/D6913M-17 </t>
    </r>
    <r>
      <rPr>
        <b/>
        <u/>
        <sz val="8"/>
        <rFont val="Arial"/>
        <family val="2"/>
      </rPr>
      <t>(Reapproved 2025)</t>
    </r>
  </si>
  <si>
    <t>Equipos utilizados</t>
  </si>
  <si>
    <t>Códigos</t>
  </si>
  <si>
    <t>Balanza 0.1 g</t>
  </si>
  <si>
    <t>No.40</t>
  </si>
  <si>
    <t>Horno 110ºC</t>
  </si>
  <si>
    <t>…...................................................................................................</t>
  </si>
  <si>
    <t>&lt; No. 200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</si>
  <si>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</si>
  <si>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</si>
  <si>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Av. Marañon 763, Los Olivos-Lima / Teléfono: 01 754-3070</t>
  </si>
  <si>
    <t xml:space="preserve">Manual </t>
  </si>
  <si>
    <t>CLIENTE</t>
  </si>
  <si>
    <t>F. EMISIÓN</t>
  </si>
  <si>
    <t>CANTERA/SONDAJE **</t>
  </si>
  <si>
    <t>TIPO DE MUESTRA**</t>
  </si>
  <si>
    <t>Corrección</t>
  </si>
  <si>
    <t>Ecuación</t>
  </si>
  <si>
    <t>2*RAIZ(0.00416+0.000000000243*R2)</t>
  </si>
  <si>
    <t>g</t>
  </si>
  <si>
    <t xml:space="preserve">Código </t>
  </si>
  <si>
    <t>EQP-0046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</si>
  <si>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</si>
  <si>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</si>
  <si>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</si>
  <si>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</si>
  <si>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</si>
  <si>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</si>
  <si>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</si>
  <si>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</si>
  <si>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</si>
  <si>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</si>
  <si>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</si>
  <si>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</si>
  <si>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</si>
  <si>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</si>
  <si>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09 (2026-06-12)</t>
  </si>
  <si>
    <t>Desviacion Estándar Repetibilidad (Sr)</t>
  </si>
  <si>
    <t>Desviacion Estándar Reproducibilidad (SR)</t>
  </si>
  <si>
    <t>Fecha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</si>
</sst>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1&quot;"/>
    <numFmt numFmtId="174" formatCode="&quot;CERTIFICADO N°&quot;000&quot;-20 SU11&quot;"/>
    <numFmt numFmtId="175" formatCode="000&quot;-20&quot;"/>
    <numFmt numFmtId="176" formatCode="000&quot;-SU-20&quot;"/>
    <numFmt numFmtId="177" formatCode="dd\-mm\-yy;@"/>
    <numFmt numFmtId="178" formatCode="000&quot;-SU-21&quot;"/>
    <numFmt numFmtId="179" formatCode="0.0000"/>
    <numFmt numFmtId="180" formatCode="&quot;0&quot;0"/>
    <numFmt numFmtId="181" formatCode="0.00000"/>
    <numFmt numFmtId="182" formatCode="0.000000"/>
    <numFmt numFmtId="183" formatCode="yyyy\-mm\-dd;@"/>
    <numFmt numFmtId="184" formatCode="0\ &quot;g&quot;"/>
    <numFmt numFmtId="185" formatCode="&quot;INFORME DE ENSAYO N°&quot;000&quot;-26 SU24&quot;"/>
    <numFmt numFmtId="186" formatCode="000&quot;-26&quot;"/>
    <numFmt numFmtId="187" formatCode="000&quot;-SU-26&quot;"/>
    <numFmt numFmtId="188" formatCode="&quot;Ref. Informe N°&quot;000&quot;-26 SU22&quot;"/>
    <numFmt numFmtId="189" formatCode="&quot;FORMATO F-LEM-P-SU-11.01&quot;"/>
  </numFmts>
  <fonts count="1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b/>
      <sz val="8"/>
      <color rgb="FF0000FF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sz val="9"/>
      <name val="Cambria"/>
      <family val="1"/>
      <scheme val="major"/>
    </font>
    <font>
      <i/>
      <vertAlign val="subscript"/>
      <sz val="10"/>
      <name val="Arial"/>
      <family val="2"/>
    </font>
    <font>
      <b/>
      <sz val="8"/>
      <color rgb="FF00B0F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theme="1" tint="0.14999847407452621"/>
      <name val="Arial"/>
      <family val="2"/>
    </font>
    <font>
      <sz val="6"/>
      <name val="Arial"/>
      <family val="2"/>
    </font>
    <font>
      <vertAlign val="superscript"/>
      <sz val="9"/>
      <color theme="1"/>
      <name val="Arial"/>
      <family val="2"/>
    </font>
    <font>
      <sz val="9"/>
      <name val="Calibri"/>
      <family val="2"/>
    </font>
    <font>
      <b/>
      <sz val="10"/>
      <color rgb="FF0000FF"/>
      <name val="Arial"/>
      <family val="2"/>
    </font>
    <font>
      <b/>
      <sz val="10"/>
      <color rgb="FFC0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11"/>
      <color theme="1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5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80" fillId="0" borderId="0" applyNumberFormat="0" applyFill="0" applyBorder="0" applyAlignment="0" applyProtection="0"/>
    <xf numFmtId="0" fontId="81" fillId="0" borderId="139" applyNumberFormat="0" applyFill="0" applyAlignment="0" applyProtection="0"/>
    <xf numFmtId="0" fontId="82" fillId="0" borderId="140" applyNumberFormat="0" applyFill="0" applyAlignment="0" applyProtection="0"/>
    <xf numFmtId="0" fontId="83" fillId="0" borderId="141" applyNumberFormat="0" applyFill="0" applyAlignment="0" applyProtection="0"/>
    <xf numFmtId="0" fontId="83" fillId="0" borderId="0" applyNumberFormat="0" applyFill="0" applyBorder="0" applyAlignment="0" applyProtection="0"/>
    <xf numFmtId="0" fontId="84" fillId="22" borderId="0" applyNumberFormat="0" applyBorder="0" applyAlignment="0" applyProtection="0"/>
    <xf numFmtId="0" fontId="85" fillId="23" borderId="0" applyNumberFormat="0" applyBorder="0" applyAlignment="0" applyProtection="0"/>
    <xf numFmtId="0" fontId="86" fillId="24" borderId="0" applyNumberFormat="0" applyBorder="0" applyAlignment="0" applyProtection="0"/>
    <xf numFmtId="0" fontId="87" fillId="25" borderId="142" applyNumberFormat="0" applyAlignment="0" applyProtection="0"/>
    <xf numFmtId="0" fontId="88" fillId="26" borderId="143" applyNumberFormat="0" applyAlignment="0" applyProtection="0"/>
    <xf numFmtId="0" fontId="89" fillId="26" borderId="142" applyNumberFormat="0" applyAlignment="0" applyProtection="0"/>
    <xf numFmtId="0" fontId="90" fillId="0" borderId="144" applyNumberFormat="0" applyFill="0" applyAlignment="0" applyProtection="0"/>
    <xf numFmtId="0" fontId="91" fillId="27" borderId="145" applyNumberFormat="0" applyAlignment="0" applyProtection="0"/>
    <xf numFmtId="0" fontId="92" fillId="0" borderId="0" applyNumberFormat="0" applyFill="0" applyBorder="0" applyAlignment="0" applyProtection="0"/>
    <xf numFmtId="0" fontId="79" fillId="28" borderId="146" applyNumberFormat="0" applyFont="0" applyAlignment="0" applyProtection="0"/>
    <xf numFmtId="0" fontId="93" fillId="0" borderId="0" applyNumberFormat="0" applyFill="0" applyBorder="0" applyAlignment="0" applyProtection="0"/>
    <xf numFmtId="0" fontId="94" fillId="0" borderId="147" applyNumberFormat="0" applyFill="0" applyAlignment="0" applyProtection="0"/>
    <xf numFmtId="0" fontId="9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9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9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9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9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</cellStyleXfs>
  <cellXfs count="1027">
    <xf numFmtId="0" fontId="0" fillId="0" borderId="0" xfId="0"/>
    <xf numFmtId="0" fontId="0" fillId="0" borderId="1" xfId="0" applyBorder="1"/>
    <xf numFmtId="2" fontId="10" fillId="3" borderId="1" xfId="0" applyNumberFormat="1" applyFont="1" applyFill="1" applyBorder="1" applyAlignment="1">
      <alignment vertical="center" wrapText="1"/>
    </xf>
    <xf numFmtId="10" fontId="11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2" fillId="0" borderId="1" xfId="0" applyFont="1" applyBorder="1" applyAlignment="1">
      <alignment horizontal="center"/>
    </xf>
    <xf numFmtId="0" fontId="18" fillId="0" borderId="1" xfId="0" applyFont="1" applyBorder="1"/>
    <xf numFmtId="16" fontId="18" fillId="0" borderId="1" xfId="0" applyNumberFormat="1" applyFont="1" applyBorder="1"/>
    <xf numFmtId="2" fontId="18" fillId="0" borderId="1" xfId="0" applyNumberFormat="1" applyFont="1" applyBorder="1"/>
    <xf numFmtId="2" fontId="19" fillId="3" borderId="1" xfId="0" applyNumberFormat="1" applyFont="1" applyFill="1" applyBorder="1" applyAlignment="1">
      <alignment vertical="center" wrapText="1"/>
    </xf>
    <xf numFmtId="165" fontId="12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right" vertical="center"/>
    </xf>
    <xf numFmtId="14" fontId="12" fillId="0" borderId="14" xfId="0" applyNumberFormat="1" applyFont="1" applyBorder="1" applyAlignment="1" applyProtection="1">
      <alignment horizontal="left" vertical="center"/>
      <protection hidden="1"/>
    </xf>
    <xf numFmtId="0" fontId="4" fillId="5" borderId="0" xfId="4" applyFill="1"/>
    <xf numFmtId="0" fontId="4" fillId="2" borderId="0" xfId="4" applyFill="1"/>
    <xf numFmtId="0" fontId="27" fillId="5" borderId="0" xfId="4" applyFont="1" applyFill="1"/>
    <xf numFmtId="0" fontId="27" fillId="2" borderId="0" xfId="4" applyFont="1" applyFill="1"/>
    <xf numFmtId="0" fontId="31" fillId="6" borderId="52" xfId="4" applyFont="1" applyFill="1" applyBorder="1" applyAlignment="1">
      <alignment horizontal="center" vertical="center"/>
    </xf>
    <xf numFmtId="0" fontId="31" fillId="6" borderId="53" xfId="4" applyFont="1" applyFill="1" applyBorder="1" applyAlignment="1">
      <alignment horizontal="center" vertical="center"/>
    </xf>
    <xf numFmtId="0" fontId="31" fillId="6" borderId="54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56" xfId="4" applyFont="1" applyFill="1" applyBorder="1" applyAlignment="1">
      <alignment horizontal="center" vertical="center"/>
    </xf>
    <xf numFmtId="0" fontId="28" fillId="7" borderId="0" xfId="4" applyFont="1" applyFill="1" applyAlignment="1">
      <alignment vertical="center"/>
    </xf>
    <xf numFmtId="0" fontId="33" fillId="7" borderId="57" xfId="4" applyFont="1" applyFill="1" applyBorder="1" applyAlignment="1">
      <alignment horizontal="center" vertical="center"/>
    </xf>
    <xf numFmtId="0" fontId="31" fillId="7" borderId="58" xfId="4" applyFont="1" applyFill="1" applyBorder="1" applyAlignment="1">
      <alignment horizontal="center" vertical="center"/>
    </xf>
    <xf numFmtId="0" fontId="31" fillId="7" borderId="59" xfId="4" applyFont="1" applyFill="1" applyBorder="1" applyAlignment="1">
      <alignment horizontal="center" vertical="center"/>
    </xf>
    <xf numFmtId="0" fontId="31" fillId="7" borderId="0" xfId="4" applyFont="1" applyFill="1" applyAlignment="1">
      <alignment horizontal="center" vertical="center"/>
    </xf>
    <xf numFmtId="0" fontId="31" fillId="7" borderId="60" xfId="4" applyFont="1" applyFill="1" applyBorder="1" applyAlignment="1">
      <alignment horizontal="center" vertical="center"/>
    </xf>
    <xf numFmtId="0" fontId="31" fillId="7" borderId="57" xfId="4" applyFont="1" applyFill="1" applyBorder="1" applyAlignment="1">
      <alignment horizontal="center" vertical="center"/>
    </xf>
    <xf numFmtId="0" fontId="32" fillId="7" borderId="58" xfId="4" applyFont="1" applyFill="1" applyBorder="1" applyAlignment="1">
      <alignment horizontal="center" vertical="center"/>
    </xf>
    <xf numFmtId="0" fontId="32" fillId="7" borderId="61" xfId="4" applyFont="1" applyFill="1" applyBorder="1" applyAlignment="1">
      <alignment horizontal="center" vertical="center"/>
    </xf>
    <xf numFmtId="0" fontId="32" fillId="7" borderId="0" xfId="4" applyFont="1" applyFill="1" applyAlignment="1">
      <alignment horizontal="center" vertical="center"/>
    </xf>
    <xf numFmtId="0" fontId="32" fillId="7" borderId="62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3" fillId="7" borderId="0" xfId="4" applyFont="1" applyFill="1" applyAlignment="1">
      <alignment vertical="center"/>
    </xf>
    <xf numFmtId="0" fontId="34" fillId="7" borderId="0" xfId="4" applyFont="1" applyFill="1" applyAlignment="1">
      <alignment vertical="center"/>
    </xf>
    <xf numFmtId="164" fontId="33" fillId="7" borderId="57" xfId="4" applyNumberFormat="1" applyFont="1" applyFill="1" applyBorder="1" applyAlignment="1">
      <alignment horizontal="center" vertical="center"/>
    </xf>
    <xf numFmtId="0" fontId="33" fillId="7" borderId="50" xfId="4" applyFont="1" applyFill="1" applyBorder="1" applyAlignment="1">
      <alignment vertical="center"/>
    </xf>
    <xf numFmtId="0" fontId="33" fillId="7" borderId="63" xfId="4" applyFont="1" applyFill="1" applyBorder="1" applyAlignment="1">
      <alignment horizontal="center" vertical="center"/>
    </xf>
    <xf numFmtId="0" fontId="31" fillId="7" borderId="52" xfId="4" applyFont="1" applyFill="1" applyBorder="1" applyAlignment="1">
      <alignment horizontal="center" vertical="center"/>
    </xf>
    <xf numFmtId="0" fontId="31" fillId="7" borderId="63" xfId="4" applyFont="1" applyFill="1" applyBorder="1" applyAlignment="1">
      <alignment horizontal="center" vertical="center"/>
    </xf>
    <xf numFmtId="0" fontId="31" fillId="7" borderId="50" xfId="4" applyFont="1" applyFill="1" applyBorder="1" applyAlignment="1">
      <alignment horizontal="center" vertical="center"/>
    </xf>
    <xf numFmtId="0" fontId="31" fillId="7" borderId="64" xfId="4" applyFont="1" applyFill="1" applyBorder="1" applyAlignment="1">
      <alignment horizontal="center" vertical="center"/>
    </xf>
    <xf numFmtId="0" fontId="32" fillId="7" borderId="52" xfId="4" applyFont="1" applyFill="1" applyBorder="1" applyAlignment="1">
      <alignment horizontal="center" vertical="center"/>
    </xf>
    <xf numFmtId="0" fontId="32" fillId="7" borderId="55" xfId="4" applyFont="1" applyFill="1" applyBorder="1" applyAlignment="1">
      <alignment horizontal="center" vertical="center"/>
    </xf>
    <xf numFmtId="0" fontId="32" fillId="7" borderId="50" xfId="4" applyFont="1" applyFill="1" applyBorder="1" applyAlignment="1">
      <alignment horizontal="center" vertical="center"/>
    </xf>
    <xf numFmtId="0" fontId="32" fillId="7" borderId="65" xfId="4" applyFont="1" applyFill="1" applyBorder="1" applyAlignment="1">
      <alignment horizontal="center" vertical="center"/>
    </xf>
    <xf numFmtId="0" fontId="4" fillId="8" borderId="0" xfId="4" applyFill="1" applyAlignment="1">
      <alignment vertical="center"/>
    </xf>
    <xf numFmtId="0" fontId="4" fillId="8" borderId="57" xfId="4" applyFill="1" applyBorder="1" applyAlignment="1">
      <alignment horizontal="center" vertical="center"/>
    </xf>
    <xf numFmtId="0" fontId="31" fillId="8" borderId="58" xfId="4" applyFont="1" applyFill="1" applyBorder="1" applyAlignment="1">
      <alignment horizontal="center" vertical="center"/>
    </xf>
    <xf numFmtId="0" fontId="31" fillId="8" borderId="57" xfId="4" applyFont="1" applyFill="1" applyBorder="1" applyAlignment="1">
      <alignment horizontal="center" vertical="center"/>
    </xf>
    <xf numFmtId="0" fontId="31" fillId="8" borderId="0" xfId="4" applyFont="1" applyFill="1" applyAlignment="1">
      <alignment horizontal="center" vertical="center"/>
    </xf>
    <xf numFmtId="0" fontId="31" fillId="8" borderId="60" xfId="4" applyFont="1" applyFill="1" applyBorder="1" applyAlignment="1">
      <alignment horizontal="center" vertical="center"/>
    </xf>
    <xf numFmtId="0" fontId="32" fillId="8" borderId="58" xfId="4" applyFont="1" applyFill="1" applyBorder="1" applyAlignment="1">
      <alignment horizontal="center" vertical="center"/>
    </xf>
    <xf numFmtId="0" fontId="32" fillId="8" borderId="61" xfId="4" applyFont="1" applyFill="1" applyBorder="1" applyAlignment="1">
      <alignment horizontal="center" vertical="center"/>
    </xf>
    <xf numFmtId="0" fontId="32" fillId="8" borderId="0" xfId="4" applyFont="1" applyFill="1" applyAlignment="1">
      <alignment horizontal="center" vertical="center"/>
    </xf>
    <xf numFmtId="0" fontId="32" fillId="8" borderId="62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3" fillId="8" borderId="57" xfId="4" applyFont="1" applyFill="1" applyBorder="1" applyAlignment="1">
      <alignment horizontal="center" vertical="center"/>
    </xf>
    <xf numFmtId="0" fontId="33" fillId="8" borderId="0" xfId="4" applyFont="1" applyFill="1" applyAlignment="1">
      <alignment vertical="center"/>
    </xf>
    <xf numFmtId="0" fontId="34" fillId="8" borderId="0" xfId="4" applyFont="1" applyFill="1" applyAlignment="1">
      <alignment vertical="center"/>
    </xf>
    <xf numFmtId="0" fontId="33" fillId="8" borderId="50" xfId="4" applyFont="1" applyFill="1" applyBorder="1" applyAlignment="1">
      <alignment vertical="center"/>
    </xf>
    <xf numFmtId="0" fontId="33" fillId="8" borderId="63" xfId="4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/>
    </xf>
    <xf numFmtId="0" fontId="31" fillId="8" borderId="63" xfId="4" applyFont="1" applyFill="1" applyBorder="1" applyAlignment="1">
      <alignment horizontal="center" vertical="center"/>
    </xf>
    <xf numFmtId="0" fontId="31" fillId="8" borderId="50" xfId="4" applyFont="1" applyFill="1" applyBorder="1" applyAlignment="1">
      <alignment horizontal="center" vertical="center"/>
    </xf>
    <xf numFmtId="0" fontId="31" fillId="8" borderId="64" xfId="4" applyFont="1" applyFill="1" applyBorder="1" applyAlignment="1">
      <alignment horizontal="center" vertical="center"/>
    </xf>
    <xf numFmtId="0" fontId="32" fillId="8" borderId="52" xfId="4" applyFont="1" applyFill="1" applyBorder="1" applyAlignment="1">
      <alignment horizontal="center" vertical="center"/>
    </xf>
    <xf numFmtId="0" fontId="32" fillId="8" borderId="55" xfId="4" applyFont="1" applyFill="1" applyBorder="1" applyAlignment="1">
      <alignment horizontal="center" vertical="center"/>
    </xf>
    <xf numFmtId="0" fontId="32" fillId="8" borderId="50" xfId="4" applyFont="1" applyFill="1" applyBorder="1" applyAlignment="1">
      <alignment horizontal="center" vertical="center"/>
    </xf>
    <xf numFmtId="0" fontId="32" fillId="8" borderId="65" xfId="4" applyFont="1" applyFill="1" applyBorder="1" applyAlignment="1">
      <alignment horizontal="center" vertical="center"/>
    </xf>
    <xf numFmtId="0" fontId="34" fillId="9" borderId="66" xfId="4" applyFont="1" applyFill="1" applyBorder="1" applyAlignment="1">
      <alignment vertical="center"/>
    </xf>
    <xf numFmtId="1" fontId="33" fillId="9" borderId="67" xfId="4" applyNumberFormat="1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2" fillId="9" borderId="68" xfId="4" applyFont="1" applyFill="1" applyBorder="1" applyAlignment="1">
      <alignment horizontal="center" vertical="center"/>
    </xf>
    <xf numFmtId="0" fontId="32" fillId="9" borderId="71" xfId="4" applyFont="1" applyFill="1" applyBorder="1" applyAlignment="1">
      <alignment horizontal="center" vertical="center"/>
    </xf>
    <xf numFmtId="0" fontId="32" fillId="9" borderId="66" xfId="4" applyFont="1" applyFill="1" applyBorder="1" applyAlignment="1">
      <alignment horizontal="center" vertical="center"/>
    </xf>
    <xf numFmtId="0" fontId="32" fillId="9" borderId="72" xfId="4" applyFont="1" applyFill="1" applyBorder="1" applyAlignment="1">
      <alignment horizontal="center" vertical="center"/>
    </xf>
    <xf numFmtId="0" fontId="35" fillId="5" borderId="0" xfId="4" applyFont="1" applyFill="1"/>
    <xf numFmtId="0" fontId="36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38" fillId="6" borderId="0" xfId="4" applyFont="1" applyFill="1" applyAlignment="1">
      <alignment horizontal="center"/>
    </xf>
    <xf numFmtId="0" fontId="39" fillId="0" borderId="0" xfId="4" applyFont="1" applyAlignment="1">
      <alignment horizontal="center"/>
    </xf>
    <xf numFmtId="0" fontId="38" fillId="6" borderId="0" xfId="4" applyFont="1" applyFill="1" applyAlignment="1">
      <alignment horizontal="right"/>
    </xf>
    <xf numFmtId="2" fontId="38" fillId="6" borderId="0" xfId="4" applyNumberFormat="1" applyFont="1" applyFill="1" applyAlignment="1">
      <alignment horizontal="left"/>
    </xf>
    <xf numFmtId="0" fontId="40" fillId="6" borderId="0" xfId="4" applyFont="1" applyFill="1"/>
    <xf numFmtId="0" fontId="41" fillId="10" borderId="0" xfId="4" applyFont="1" applyFill="1" applyAlignment="1">
      <alignment horizontal="center"/>
    </xf>
    <xf numFmtId="0" fontId="39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8" fillId="6" borderId="73" xfId="4" applyFont="1" applyFill="1" applyBorder="1" applyAlignment="1">
      <alignment horizontal="center" vertical="center" wrapText="1"/>
    </xf>
    <xf numFmtId="0" fontId="28" fillId="6" borderId="73" xfId="4" applyFont="1" applyFill="1" applyBorder="1" applyAlignment="1">
      <alignment horizontal="center" vertical="center"/>
    </xf>
    <xf numFmtId="0" fontId="43" fillId="0" borderId="0" xfId="4" applyFont="1"/>
    <xf numFmtId="0" fontId="45" fillId="5" borderId="19" xfId="4" applyFont="1" applyFill="1" applyBorder="1" applyAlignment="1">
      <alignment horizontal="center" vertical="center"/>
    </xf>
    <xf numFmtId="0" fontId="46" fillId="5" borderId="19" xfId="4" applyFont="1" applyFill="1" applyBorder="1" applyAlignment="1">
      <alignment vertical="center" wrapText="1"/>
    </xf>
    <xf numFmtId="0" fontId="45" fillId="5" borderId="1" xfId="4" applyFont="1" applyFill="1" applyBorder="1" applyAlignment="1">
      <alignment horizontal="center" vertical="center"/>
    </xf>
    <xf numFmtId="0" fontId="46" fillId="5" borderId="1" xfId="4" applyFont="1" applyFill="1" applyBorder="1" applyAlignment="1">
      <alignment vertical="center" wrapText="1"/>
    </xf>
    <xf numFmtId="0" fontId="46" fillId="5" borderId="1" xfId="4" applyFont="1" applyFill="1" applyBorder="1" applyAlignment="1">
      <alignment vertical="center"/>
    </xf>
    <xf numFmtId="0" fontId="46" fillId="5" borderId="1" xfId="4" applyFont="1" applyFill="1" applyBorder="1" applyAlignment="1">
      <alignment horizontal="left" vertical="center" wrapText="1"/>
    </xf>
    <xf numFmtId="0" fontId="45" fillId="5" borderId="75" xfId="4" applyFont="1" applyFill="1" applyBorder="1" applyAlignment="1">
      <alignment horizontal="center" vertical="center"/>
    </xf>
    <xf numFmtId="0" fontId="38" fillId="11" borderId="1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vertical="center" wrapText="1"/>
    </xf>
    <xf numFmtId="0" fontId="47" fillId="11" borderId="1" xfId="4" applyFont="1" applyFill="1" applyBorder="1" applyAlignment="1">
      <alignment vertical="center"/>
    </xf>
    <xf numFmtId="0" fontId="47" fillId="11" borderId="1" xfId="4" applyFont="1" applyFill="1" applyBorder="1" applyAlignment="1">
      <alignment horizontal="left" vertical="center" wrapText="1"/>
    </xf>
    <xf numFmtId="0" fontId="38" fillId="11" borderId="75" xfId="4" applyFont="1" applyFill="1" applyBorder="1" applyAlignment="1">
      <alignment horizontal="center" vertical="center"/>
    </xf>
    <xf numFmtId="0" fontId="49" fillId="13" borderId="1" xfId="4" applyFont="1" applyFill="1" applyBorder="1" applyAlignment="1">
      <alignment horizontal="center" vertical="center"/>
    </xf>
    <xf numFmtId="0" fontId="50" fillId="13" borderId="1" xfId="4" applyFont="1" applyFill="1" applyBorder="1" applyAlignment="1">
      <alignment vertical="center" wrapText="1"/>
    </xf>
    <xf numFmtId="0" fontId="50" fillId="13" borderId="89" xfId="4" applyFont="1" applyFill="1" applyBorder="1" applyAlignment="1">
      <alignment vertical="center" wrapText="1"/>
    </xf>
    <xf numFmtId="0" fontId="51" fillId="6" borderId="0" xfId="4" applyFont="1" applyFill="1" applyAlignment="1">
      <alignment vertical="center"/>
    </xf>
    <xf numFmtId="0" fontId="38" fillId="14" borderId="1" xfId="4" applyFont="1" applyFill="1" applyBorder="1" applyAlignment="1">
      <alignment horizontal="center" vertical="center"/>
    </xf>
    <xf numFmtId="0" fontId="47" fillId="14" borderId="89" xfId="4" applyFont="1" applyFill="1" applyBorder="1" applyAlignment="1">
      <alignment vertical="center" wrapText="1"/>
    </xf>
    <xf numFmtId="0" fontId="38" fillId="14" borderId="19" xfId="4" applyFont="1" applyFill="1" applyBorder="1" applyAlignment="1">
      <alignment horizontal="center" vertical="center"/>
    </xf>
    <xf numFmtId="0" fontId="38" fillId="14" borderId="90" xfId="4" applyFont="1" applyFill="1" applyBorder="1" applyAlignment="1">
      <alignment horizontal="center" vertical="center"/>
    </xf>
    <xf numFmtId="0" fontId="47" fillId="14" borderId="79" xfId="4" applyFont="1" applyFill="1" applyBorder="1" applyAlignment="1">
      <alignment vertical="center"/>
    </xf>
    <xf numFmtId="0" fontId="48" fillId="12" borderId="87" xfId="4" applyFont="1" applyFill="1" applyBorder="1"/>
    <xf numFmtId="0" fontId="48" fillId="12" borderId="92" xfId="4" applyFont="1" applyFill="1" applyBorder="1"/>
    <xf numFmtId="0" fontId="52" fillId="14" borderId="93" xfId="4" applyFont="1" applyFill="1" applyBorder="1" applyAlignment="1">
      <alignment horizontal="center"/>
    </xf>
    <xf numFmtId="0" fontId="53" fillId="14" borderId="94" xfId="4" applyFont="1" applyFill="1" applyBorder="1"/>
    <xf numFmtId="0" fontId="31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3" xfId="4" applyFont="1" applyFill="1" applyBorder="1" applyAlignment="1">
      <alignment vertical="center"/>
    </xf>
    <xf numFmtId="0" fontId="5" fillId="3" borderId="4" xfId="4" applyFont="1" applyFill="1" applyBorder="1" applyAlignment="1">
      <alignment vertical="center"/>
    </xf>
    <xf numFmtId="0" fontId="16" fillId="3" borderId="4" xfId="4" applyFont="1" applyFill="1" applyBorder="1" applyAlignment="1">
      <alignment vertical="center"/>
    </xf>
    <xf numFmtId="0" fontId="8" fillId="0" borderId="4" xfId="4" applyFont="1" applyBorder="1" applyProtection="1">
      <protection hidden="1"/>
    </xf>
    <xf numFmtId="0" fontId="8" fillId="0" borderId="5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6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7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8" xfId="4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0" fontId="12" fillId="2" borderId="0" xfId="4" applyFont="1" applyFill="1" applyAlignment="1">
      <alignment horizontal="left" vertical="center" wrapText="1"/>
    </xf>
    <xf numFmtId="17" fontId="12" fillId="2" borderId="0" xfId="4" applyNumberFormat="1" applyFont="1" applyFill="1" applyAlignment="1">
      <alignment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2" fillId="2" borderId="83" xfId="3" applyFont="1" applyFill="1" applyBorder="1" applyAlignment="1">
      <alignment vertical="center"/>
    </xf>
    <xf numFmtId="0" fontId="12" fillId="2" borderId="11" xfId="4" applyFont="1" applyFill="1" applyBorder="1" applyAlignment="1">
      <alignment horizontal="left" vertical="center" wrapText="1"/>
    </xf>
    <xf numFmtId="17" fontId="12" fillId="2" borderId="84" xfId="4" applyNumberFormat="1" applyFont="1" applyFill="1" applyBorder="1" applyAlignment="1">
      <alignment vertical="center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86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17" fillId="2" borderId="1" xfId="4" applyFont="1" applyFill="1" applyBorder="1" applyAlignment="1">
      <alignment horizontal="center" vertical="center"/>
    </xf>
    <xf numFmtId="0" fontId="8" fillId="0" borderId="15" xfId="4" applyFont="1" applyBorder="1" applyProtection="1">
      <protection hidden="1"/>
    </xf>
    <xf numFmtId="0" fontId="8" fillId="0" borderId="10" xfId="4" applyFont="1" applyBorder="1" applyProtection="1">
      <protection hidden="1"/>
    </xf>
    <xf numFmtId="0" fontId="8" fillId="0" borderId="16" xfId="4" applyFont="1" applyBorder="1" applyProtection="1">
      <protection hidden="1"/>
    </xf>
    <xf numFmtId="0" fontId="14" fillId="0" borderId="83" xfId="4" applyFont="1" applyBorder="1" applyAlignment="1">
      <alignment horizontal="center" vertical="center" wrapText="1"/>
    </xf>
    <xf numFmtId="0" fontId="14" fillId="0" borderId="84" xfId="4" applyFont="1" applyBorder="1" applyAlignment="1">
      <alignment horizontal="center" vertical="center" wrapText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86" xfId="4" applyFont="1" applyBorder="1" applyProtection="1">
      <protection hidden="1"/>
    </xf>
    <xf numFmtId="3" fontId="11" fillId="3" borderId="14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172" fontId="55" fillId="15" borderId="1" xfId="4" quotePrefix="1" applyNumberFormat="1" applyFont="1" applyFill="1" applyBorder="1" applyAlignment="1">
      <alignment horizontal="center" vertical="center" wrapText="1"/>
    </xf>
    <xf numFmtId="0" fontId="56" fillId="2" borderId="1" xfId="4" applyFont="1" applyFill="1" applyBorder="1" applyAlignment="1">
      <alignment horizontal="center" vertical="center"/>
    </xf>
    <xf numFmtId="0" fontId="56" fillId="2" borderId="77" xfId="4" applyFont="1" applyFill="1" applyBorder="1" applyAlignment="1">
      <alignment horizontal="center" vertical="center"/>
    </xf>
    <xf numFmtId="0" fontId="56" fillId="2" borderId="96" xfId="4" applyFont="1" applyFill="1" applyBorder="1" applyAlignment="1">
      <alignment horizontal="center" vertical="center"/>
    </xf>
    <xf numFmtId="172" fontId="56" fillId="3" borderId="77" xfId="4" quotePrefix="1" applyNumberFormat="1" applyFont="1" applyFill="1" applyBorder="1" applyAlignment="1">
      <alignment vertical="center"/>
    </xf>
    <xf numFmtId="0" fontId="26" fillId="2" borderId="1" xfId="4" applyFont="1" applyFill="1" applyBorder="1" applyAlignment="1">
      <alignment horizontal="center" vertical="center"/>
    </xf>
    <xf numFmtId="172" fontId="17" fillId="3" borderId="77" xfId="4" quotePrefix="1" applyNumberFormat="1" applyFont="1" applyFill="1" applyBorder="1" applyAlignment="1">
      <alignment horizontal="left" vertical="center"/>
    </xf>
    <xf numFmtId="172" fontId="17" fillId="3" borderId="97" xfId="4" quotePrefix="1" applyNumberFormat="1" applyFont="1" applyFill="1" applyBorder="1" applyAlignment="1">
      <alignment horizontal="left" vertical="center"/>
    </xf>
    <xf numFmtId="0" fontId="57" fillId="2" borderId="1" xfId="4" applyFont="1" applyFill="1" applyBorder="1" applyAlignment="1">
      <alignment horizontal="center" vertical="center"/>
    </xf>
    <xf numFmtId="0" fontId="57" fillId="2" borderId="77" xfId="4" applyFont="1" applyFill="1" applyBorder="1" applyAlignment="1">
      <alignment horizontal="center" vertical="center"/>
    </xf>
    <xf numFmtId="0" fontId="57" fillId="2" borderId="96" xfId="4" applyFont="1" applyFill="1" applyBorder="1" applyAlignment="1">
      <alignment horizontal="center" vertical="center"/>
    </xf>
    <xf numFmtId="2" fontId="21" fillId="3" borderId="14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58" fillId="2" borderId="1" xfId="4" applyFont="1" applyFill="1" applyBorder="1" applyAlignment="1">
      <alignment horizontal="center" vertical="center"/>
    </xf>
    <xf numFmtId="0" fontId="58" fillId="2" borderId="77" xfId="4" applyFont="1" applyFill="1" applyBorder="1" applyAlignment="1">
      <alignment horizontal="center" vertical="center"/>
    </xf>
    <xf numFmtId="0" fontId="59" fillId="2" borderId="1" xfId="4" applyFont="1" applyFill="1" applyBorder="1" applyAlignment="1">
      <alignment horizontal="center" vertical="center"/>
    </xf>
    <xf numFmtId="0" fontId="60" fillId="0" borderId="98" xfId="4" applyFont="1" applyBorder="1" applyProtection="1">
      <protection hidden="1"/>
    </xf>
    <xf numFmtId="0" fontId="60" fillId="0" borderId="97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4" xfId="4" applyFont="1" applyBorder="1" applyAlignment="1" applyProtection="1">
      <alignment vertical="center"/>
      <protection hidden="1"/>
    </xf>
    <xf numFmtId="0" fontId="58" fillId="2" borderId="19" xfId="4" applyFont="1" applyFill="1" applyBorder="1" applyAlignment="1">
      <alignment horizontal="center" vertical="center"/>
    </xf>
    <xf numFmtId="0" fontId="61" fillId="0" borderId="77" xfId="4" applyFont="1" applyBorder="1" applyProtection="1">
      <protection hidden="1"/>
    </xf>
    <xf numFmtId="0" fontId="61" fillId="0" borderId="97" xfId="4" applyFont="1" applyBorder="1" applyProtection="1">
      <protection hidden="1"/>
    </xf>
    <xf numFmtId="2" fontId="58" fillId="2" borderId="1" xfId="4" applyNumberFormat="1" applyFont="1" applyFill="1" applyBorder="1" applyAlignment="1">
      <alignment horizontal="center" vertical="center"/>
    </xf>
    <xf numFmtId="2" fontId="58" fillId="2" borderId="77" xfId="4" applyNumberFormat="1" applyFont="1" applyFill="1" applyBorder="1" applyAlignment="1">
      <alignment horizontal="center" vertical="center"/>
    </xf>
    <xf numFmtId="2" fontId="59" fillId="2" borderId="1" xfId="4" applyNumberFormat="1" applyFont="1" applyFill="1" applyBorder="1" applyAlignment="1">
      <alignment horizontal="center" vertical="center"/>
    </xf>
    <xf numFmtId="2" fontId="17" fillId="2" borderId="1" xfId="4" applyNumberFormat="1" applyFont="1" applyFill="1" applyBorder="1" applyAlignment="1">
      <alignment horizontal="center" vertical="center"/>
    </xf>
    <xf numFmtId="2" fontId="17" fillId="2" borderId="77" xfId="4" applyNumberFormat="1" applyFont="1" applyFill="1" applyBorder="1" applyAlignment="1">
      <alignment horizontal="center" vertical="center"/>
    </xf>
    <xf numFmtId="2" fontId="13" fillId="2" borderId="1" xfId="4" applyNumberFormat="1" applyFont="1" applyFill="1" applyBorder="1" applyAlignment="1">
      <alignment horizontal="center" vertical="center"/>
    </xf>
    <xf numFmtId="2" fontId="57" fillId="2" borderId="1" xfId="4" applyNumberFormat="1" applyFont="1" applyFill="1" applyBorder="1" applyAlignment="1">
      <alignment horizontal="center" vertical="center"/>
    </xf>
    <xf numFmtId="2" fontId="57" fillId="2" borderId="77" xfId="4" applyNumberFormat="1" applyFont="1" applyFill="1" applyBorder="1" applyAlignment="1">
      <alignment horizontal="center" vertical="center"/>
    </xf>
    <xf numFmtId="2" fontId="57" fillId="2" borderId="96" xfId="4" applyNumberFormat="1" applyFont="1" applyFill="1" applyBorder="1" applyAlignment="1">
      <alignment horizontal="center" vertical="center"/>
    </xf>
    <xf numFmtId="0" fontId="9" fillId="0" borderId="86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172" fontId="55" fillId="3" borderId="1" xfId="4" quotePrefix="1" applyNumberFormat="1" applyFont="1" applyFill="1" applyBorder="1" applyAlignment="1">
      <alignment horizontal="center" vertical="center" wrapText="1"/>
    </xf>
    <xf numFmtId="164" fontId="14" fillId="2" borderId="1" xfId="4" applyNumberFormat="1" applyFont="1" applyFill="1" applyBorder="1" applyAlignment="1">
      <alignment horizontal="center" vertical="center"/>
    </xf>
    <xf numFmtId="2" fontId="14" fillId="2" borderId="0" xfId="4" applyNumberFormat="1" applyFont="1" applyFill="1" applyAlignment="1">
      <alignment vertical="center"/>
    </xf>
    <xf numFmtId="0" fontId="17" fillId="2" borderId="20" xfId="4" applyFont="1" applyFill="1" applyBorder="1" applyAlignment="1">
      <alignment horizontal="center" vertical="center"/>
    </xf>
    <xf numFmtId="0" fontId="17" fillId="2" borderId="0" xfId="4" applyFont="1" applyFill="1" applyAlignment="1">
      <alignment vertical="center"/>
    </xf>
    <xf numFmtId="0" fontId="56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21" xfId="4" applyFont="1" applyFill="1" applyBorder="1" applyAlignment="1">
      <alignment horizontal="center" vertical="center"/>
    </xf>
    <xf numFmtId="164" fontId="17" fillId="2" borderId="21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86" xfId="4" applyFont="1" applyBorder="1" applyAlignment="1" applyProtection="1">
      <alignment horizontal="left" indent="1"/>
      <protection hidden="1"/>
    </xf>
    <xf numFmtId="0" fontId="17" fillId="2" borderId="22" xfId="4" applyFont="1" applyFill="1" applyBorder="1" applyAlignment="1">
      <alignment horizontal="center" vertical="center"/>
    </xf>
    <xf numFmtId="164" fontId="17" fillId="2" borderId="22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2" fillId="2" borderId="0" xfId="4" applyFont="1" applyFill="1" applyAlignment="1">
      <alignment vertical="center"/>
    </xf>
    <xf numFmtId="0" fontId="12" fillId="0" borderId="86" xfId="4" applyFont="1" applyBorder="1" applyAlignment="1" applyProtection="1">
      <alignment horizontal="left" vertical="center" indent="2"/>
      <protection hidden="1"/>
    </xf>
    <xf numFmtId="167" fontId="17" fillId="2" borderId="1" xfId="4" applyNumberFormat="1" applyFont="1" applyFill="1" applyBorder="1" applyAlignment="1">
      <alignment vertical="center"/>
    </xf>
    <xf numFmtId="0" fontId="12" fillId="0" borderId="15" xfId="4" applyFont="1" applyBorder="1" applyAlignment="1" applyProtection="1">
      <alignment horizontal="left" vertical="center" indent="2"/>
      <protection hidden="1"/>
    </xf>
    <xf numFmtId="0" fontId="5" fillId="0" borderId="10" xfId="4" applyFont="1" applyBorder="1" applyAlignment="1" applyProtection="1">
      <alignment vertical="center"/>
      <protection hidden="1"/>
    </xf>
    <xf numFmtId="0" fontId="9" fillId="0" borderId="10" xfId="4" applyFont="1" applyBorder="1" applyAlignment="1" applyProtection="1">
      <alignment vertical="center"/>
      <protection hidden="1"/>
    </xf>
    <xf numFmtId="0" fontId="9" fillId="0" borderId="16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173" fontId="12" fillId="2" borderId="0" xfId="4" applyNumberFormat="1" applyFont="1" applyFill="1" applyAlignment="1">
      <alignment horizontal="left" vertical="center"/>
    </xf>
    <xf numFmtId="175" fontId="12" fillId="2" borderId="0" xfId="0" applyNumberFormat="1" applyFont="1" applyFill="1" applyAlignment="1">
      <alignment horizontal="left" vertical="center"/>
    </xf>
    <xf numFmtId="176" fontId="12" fillId="0" borderId="14" xfId="0" applyNumberFormat="1" applyFont="1" applyBorder="1" applyAlignment="1" applyProtection="1">
      <alignment horizontal="left" vertical="center"/>
      <protection hidden="1"/>
    </xf>
    <xf numFmtId="0" fontId="12" fillId="3" borderId="0" xfId="4" applyFont="1" applyFill="1" applyAlignment="1" applyProtection="1">
      <alignment horizontal="left" indent="1"/>
      <protection hidden="1"/>
    </xf>
    <xf numFmtId="0" fontId="12" fillId="3" borderId="0" xfId="4" applyFont="1" applyFill="1" applyAlignment="1" applyProtection="1">
      <alignment horizontal="left" vertical="center" indent="2"/>
      <protection hidden="1"/>
    </xf>
    <xf numFmtId="0" fontId="12" fillId="3" borderId="0" xfId="4" applyFont="1" applyFill="1" applyAlignment="1" applyProtection="1">
      <alignment vertical="center"/>
      <protection hidden="1"/>
    </xf>
    <xf numFmtId="0" fontId="42" fillId="0" borderId="99" xfId="4" applyFont="1" applyBorder="1"/>
    <xf numFmtId="0" fontId="42" fillId="0" borderId="99" xfId="4" applyFont="1" applyBorder="1" applyAlignment="1">
      <alignment wrapText="1"/>
    </xf>
    <xf numFmtId="0" fontId="4" fillId="0" borderId="99" xfId="4" applyBorder="1"/>
    <xf numFmtId="0" fontId="4" fillId="16" borderId="99" xfId="4" applyFill="1" applyBorder="1" applyAlignment="1">
      <alignment horizontal="center" vertical="center"/>
    </xf>
    <xf numFmtId="2" fontId="12" fillId="0" borderId="0" xfId="0" applyNumberFormat="1" applyFont="1" applyAlignment="1" applyProtection="1">
      <alignment vertical="center"/>
      <protection hidden="1"/>
    </xf>
    <xf numFmtId="0" fontId="4" fillId="0" borderId="0" xfId="4" applyProtection="1">
      <protection hidden="1"/>
    </xf>
    <xf numFmtId="0" fontId="4" fillId="0" borderId="0" xfId="4" applyAlignment="1">
      <alignment horizontal="right"/>
    </xf>
    <xf numFmtId="2" fontId="4" fillId="0" borderId="0" xfId="4" applyNumberFormat="1" applyProtection="1">
      <protection hidden="1"/>
    </xf>
    <xf numFmtId="0" fontId="4" fillId="0" borderId="0" xfId="4" applyAlignment="1" applyProtection="1">
      <alignment horizontal="right"/>
      <protection hidden="1"/>
    </xf>
    <xf numFmtId="0" fontId="5" fillId="0" borderId="103" xfId="0" applyFont="1" applyBorder="1"/>
    <xf numFmtId="2" fontId="5" fillId="19" borderId="99" xfId="0" applyNumberFormat="1" applyFont="1" applyFill="1" applyBorder="1" applyAlignment="1">
      <alignment horizontal="center"/>
    </xf>
    <xf numFmtId="0" fontId="64" fillId="0" borderId="103" xfId="0" applyFont="1" applyBorder="1" applyAlignment="1" applyProtection="1">
      <alignment vertical="center"/>
      <protection hidden="1"/>
    </xf>
    <xf numFmtId="0" fontId="12" fillId="17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49" fontId="64" fillId="0" borderId="103" xfId="0" applyNumberFormat="1" applyFont="1" applyBorder="1" applyAlignment="1" applyProtection="1">
      <alignment vertical="center"/>
      <protection hidden="1"/>
    </xf>
    <xf numFmtId="0" fontId="64" fillId="18" borderId="0" xfId="0" applyFont="1" applyFill="1" applyAlignment="1" applyProtection="1">
      <alignment vertical="center"/>
      <protection hidden="1"/>
    </xf>
    <xf numFmtId="0" fontId="12" fillId="18" borderId="0" xfId="0" applyFont="1" applyFill="1" applyAlignment="1" applyProtection="1">
      <alignment horizontal="center" vertical="center"/>
      <protection hidden="1"/>
    </xf>
    <xf numFmtId="0" fontId="12" fillId="18" borderId="0" xfId="0" applyFont="1" applyFill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4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horizontal="center" vertical="center"/>
      <protection hidden="1"/>
    </xf>
    <xf numFmtId="2" fontId="8" fillId="4" borderId="99" xfId="4" applyNumberFormat="1" applyFont="1" applyFill="1" applyBorder="1" applyProtection="1">
      <protection hidden="1"/>
    </xf>
    <xf numFmtId="0" fontId="8" fillId="0" borderId="0" xfId="0" applyFont="1" applyProtection="1">
      <protection hidden="1"/>
    </xf>
    <xf numFmtId="0" fontId="8" fillId="4" borderId="0" xfId="0" applyFont="1" applyFill="1" applyProtection="1">
      <protection hidden="1"/>
    </xf>
    <xf numFmtId="0" fontId="8" fillId="0" borderId="99" xfId="0" applyFont="1" applyBorder="1" applyProtection="1">
      <protection hidden="1"/>
    </xf>
    <xf numFmtId="2" fontId="8" fillId="0" borderId="99" xfId="0" applyNumberFormat="1" applyFont="1" applyBorder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4" fillId="3" borderId="0" xfId="0" applyFont="1" applyFill="1"/>
    <xf numFmtId="0" fontId="4" fillId="3" borderId="97" xfId="0" applyFont="1" applyFill="1" applyBorder="1"/>
    <xf numFmtId="0" fontId="4" fillId="3" borderId="95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2" fillId="0" borderId="0" xfId="4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2" fillId="0" borderId="0" xfId="4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3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24" fillId="0" borderId="12" xfId="3" applyFont="1" applyBorder="1" applyAlignment="1">
      <alignment vertical="center"/>
    </xf>
    <xf numFmtId="0" fontId="22" fillId="0" borderId="11" xfId="3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22" fillId="0" borderId="11" xfId="3" applyFont="1" applyBorder="1" applyAlignment="1">
      <alignment horizontal="right" vertical="center"/>
    </xf>
    <xf numFmtId="17" fontId="12" fillId="0" borderId="13" xfId="0" applyNumberFormat="1" applyFont="1" applyBorder="1" applyAlignment="1">
      <alignment vertical="center"/>
    </xf>
    <xf numFmtId="0" fontId="24" fillId="0" borderId="86" xfId="3" applyFont="1" applyBorder="1" applyAlignment="1">
      <alignment vertical="center"/>
    </xf>
    <xf numFmtId="0" fontId="24" fillId="0" borderId="0" xfId="3" applyFont="1" applyAlignment="1">
      <alignment vertical="center" wrapText="1"/>
    </xf>
    <xf numFmtId="0" fontId="23" fillId="0" borderId="0" xfId="4" applyFont="1" applyAlignment="1">
      <alignment vertical="center"/>
    </xf>
    <xf numFmtId="178" fontId="12" fillId="0" borderId="14" xfId="4" applyNumberFormat="1" applyFont="1" applyBorder="1" applyAlignment="1">
      <alignment horizontal="left" vertical="center"/>
    </xf>
    <xf numFmtId="0" fontId="12" fillId="0" borderId="86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23" fillId="0" borderId="0" xfId="0" applyFont="1"/>
    <xf numFmtId="0" fontId="17" fillId="0" borderId="0" xfId="0" applyFont="1"/>
    <xf numFmtId="3" fontId="17" fillId="0" borderId="14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164" fontId="17" fillId="0" borderId="24" xfId="0" applyNumberFormat="1" applyFont="1" applyBorder="1" applyAlignment="1">
      <alignment horizontal="center" vertical="center"/>
    </xf>
    <xf numFmtId="2" fontId="57" fillId="0" borderId="14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164" fontId="17" fillId="0" borderId="26" xfId="0" applyNumberFormat="1" applyFont="1" applyBorder="1" applyAlignment="1">
      <alignment horizontal="center" vertical="center"/>
    </xf>
    <xf numFmtId="0" fontId="56" fillId="0" borderId="14" xfId="0" applyFont="1" applyBorder="1" applyAlignment="1">
      <alignment vertical="center"/>
    </xf>
    <xf numFmtId="164" fontId="17" fillId="0" borderId="27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164" fontId="17" fillId="0" borderId="28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56" fillId="0" borderId="0" xfId="0" applyFont="1"/>
    <xf numFmtId="0" fontId="1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7" fillId="0" borderId="0" xfId="3" applyFont="1" applyAlignment="1">
      <alignment horizontal="left" vertical="center" inden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5" fillId="3" borderId="99" xfId="4" applyFont="1" applyFill="1" applyBorder="1" applyAlignment="1">
      <alignment horizontal="center"/>
    </xf>
    <xf numFmtId="181" fontId="4" fillId="3" borderId="99" xfId="0" applyNumberFormat="1" applyFont="1" applyFill="1" applyBorder="1" applyAlignment="1">
      <alignment horizontal="center"/>
    </xf>
    <xf numFmtId="2" fontId="4" fillId="3" borderId="99" xfId="0" applyNumberFormat="1" applyFont="1" applyFill="1" applyBorder="1" applyAlignment="1">
      <alignment horizontal="center"/>
    </xf>
    <xf numFmtId="0" fontId="4" fillId="3" borderId="0" xfId="0" applyFont="1" applyFill="1" applyAlignment="1" applyProtection="1">
      <alignment horizontal="right" vertical="center"/>
      <protection locked="0"/>
    </xf>
    <xf numFmtId="0" fontId="4" fillId="3" borderId="0" xfId="4" applyFill="1"/>
    <xf numFmtId="0" fontId="4" fillId="3" borderId="0" xfId="4" applyFill="1" applyAlignment="1">
      <alignment horizontal="left"/>
    </xf>
    <xf numFmtId="0" fontId="4" fillId="3" borderId="99" xfId="4" applyFill="1" applyBorder="1"/>
    <xf numFmtId="0" fontId="4" fillId="3" borderId="99" xfId="4" applyFill="1" applyBorder="1" applyAlignment="1">
      <alignment horizontal="center"/>
    </xf>
    <xf numFmtId="0" fontId="73" fillId="3" borderId="0" xfId="4" applyFont="1" applyFill="1"/>
    <xf numFmtId="3" fontId="17" fillId="3" borderId="99" xfId="4" applyNumberFormat="1" applyFont="1" applyFill="1" applyBorder="1" applyAlignment="1" applyProtection="1">
      <alignment horizontal="center" vertical="center"/>
      <protection hidden="1"/>
    </xf>
    <xf numFmtId="0" fontId="4" fillId="3" borderId="99" xfId="4" quotePrefix="1" applyFill="1" applyBorder="1" applyAlignment="1" applyProtection="1">
      <alignment horizontal="center" vertical="center"/>
      <protection hidden="1"/>
    </xf>
    <xf numFmtId="182" fontId="4" fillId="3" borderId="99" xfId="4" applyNumberFormat="1" applyFill="1" applyBorder="1" applyAlignment="1" applyProtection="1">
      <alignment horizontal="center" vertical="center"/>
      <protection locked="0"/>
    </xf>
    <xf numFmtId="11" fontId="4" fillId="3" borderId="0" xfId="4" applyNumberFormat="1" applyFill="1" applyAlignment="1">
      <alignment horizontal="center"/>
    </xf>
    <xf numFmtId="0" fontId="4" fillId="3" borderId="0" xfId="4" quotePrefix="1" applyFill="1" applyAlignment="1">
      <alignment horizontal="left"/>
    </xf>
    <xf numFmtId="0" fontId="4" fillId="3" borderId="99" xfId="4" applyFill="1" applyBorder="1" applyAlignment="1">
      <alignment horizontal="center" vertical="center"/>
    </xf>
    <xf numFmtId="0" fontId="23" fillId="3" borderId="77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vertical="center"/>
    </xf>
    <xf numFmtId="0" fontId="4" fillId="3" borderId="99" xfId="1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vertical="center"/>
    </xf>
    <xf numFmtId="0" fontId="17" fillId="3" borderId="0" xfId="6" applyFont="1" applyFill="1"/>
    <xf numFmtId="0" fontId="17" fillId="3" borderId="0" xfId="0" applyFont="1" applyFill="1"/>
    <xf numFmtId="0" fontId="4" fillId="3" borderId="77" xfId="0" applyFont="1" applyFill="1" applyBorder="1" applyAlignment="1">
      <alignment vertical="center" wrapText="1"/>
    </xf>
    <xf numFmtId="0" fontId="76" fillId="20" borderId="99" xfId="0" applyFont="1" applyFill="1" applyBorder="1" applyAlignment="1">
      <alignment horizontal="center" vertical="center" wrapText="1"/>
    </xf>
    <xf numFmtId="0" fontId="17" fillId="21" borderId="107" xfId="0" applyFont="1" applyFill="1" applyBorder="1" applyAlignment="1">
      <alignment vertical="center" wrapText="1"/>
    </xf>
    <xf numFmtId="2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67" fontId="17" fillId="21" borderId="25" xfId="0" applyNumberFormat="1" applyFont="1" applyFill="1" applyBorder="1" applyAlignment="1" applyProtection="1">
      <alignment horizontal="center" vertical="center" wrapText="1"/>
      <protection hidden="1"/>
    </xf>
    <xf numFmtId="11" fontId="17" fillId="21" borderId="108" xfId="0" applyNumberFormat="1" applyFont="1" applyFill="1" applyBorder="1" applyAlignment="1" applyProtection="1">
      <alignment horizontal="center" vertical="center"/>
      <protection hidden="1"/>
    </xf>
    <xf numFmtId="0" fontId="17" fillId="3" borderId="107" xfId="0" applyFont="1" applyFill="1" applyBorder="1" applyAlignment="1">
      <alignment vertical="center" wrapText="1"/>
    </xf>
    <xf numFmtId="0" fontId="4" fillId="3" borderId="25" xfId="0" applyFont="1" applyFill="1" applyBorder="1"/>
    <xf numFmtId="2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2" fontId="17" fillId="3" borderId="25" xfId="0" applyNumberFormat="1" applyFont="1" applyFill="1" applyBorder="1" applyAlignment="1" applyProtection="1">
      <alignment horizontal="center" vertical="center"/>
      <protection hidden="1"/>
    </xf>
    <xf numFmtId="179" fontId="17" fillId="3" borderId="25" xfId="0" applyNumberFormat="1" applyFont="1" applyFill="1" applyBorder="1" applyAlignment="1" applyProtection="1">
      <alignment horizontal="center" vertical="center"/>
      <protection hidden="1"/>
    </xf>
    <xf numFmtId="0" fontId="17" fillId="3" borderId="25" xfId="6" applyFont="1" applyFill="1" applyBorder="1"/>
    <xf numFmtId="0" fontId="17" fillId="3" borderId="108" xfId="6" applyFont="1" applyFill="1" applyBorder="1"/>
    <xf numFmtId="2" fontId="17" fillId="3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3" borderId="25" xfId="0" applyFont="1" applyFill="1" applyBorder="1"/>
    <xf numFmtId="0" fontId="17" fillId="3" borderId="108" xfId="0" applyFont="1" applyFill="1" applyBorder="1"/>
    <xf numFmtId="167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167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21" borderId="109" xfId="0" applyFont="1" applyFill="1" applyBorder="1" applyAlignment="1">
      <alignment horizontal="left" vertical="center" wrapText="1"/>
    </xf>
    <xf numFmtId="2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2" fontId="17" fillId="21" borderId="110" xfId="0" applyNumberFormat="1" applyFont="1" applyFill="1" applyBorder="1" applyAlignment="1" applyProtection="1">
      <alignment vertical="center"/>
      <protection hidden="1"/>
    </xf>
    <xf numFmtId="167" fontId="17" fillId="21" borderId="110" xfId="0" applyNumberFormat="1" applyFont="1" applyFill="1" applyBorder="1" applyAlignment="1" applyProtection="1">
      <alignment horizontal="center" vertical="center"/>
      <protection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111" xfId="0" applyNumberFormat="1" applyFont="1" applyFill="1" applyBorder="1" applyAlignment="1" applyProtection="1">
      <alignment horizontal="center" vertical="center"/>
      <protection hidden="1"/>
    </xf>
    <xf numFmtId="0" fontId="17" fillId="21" borderId="112" xfId="0" applyFont="1" applyFill="1" applyBorder="1" applyAlignment="1">
      <alignment vertical="center" wrapText="1"/>
    </xf>
    <xf numFmtId="2" fontId="17" fillId="21" borderId="29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1" fontId="17" fillId="21" borderId="113" xfId="0" applyNumberFormat="1" applyFont="1" applyFill="1" applyBorder="1" applyAlignment="1" applyProtection="1">
      <alignment horizontal="center" vertical="center"/>
      <protection hidden="1"/>
    </xf>
    <xf numFmtId="0" fontId="17" fillId="3" borderId="114" xfId="0" applyFont="1" applyFill="1" applyBorder="1" applyAlignment="1">
      <alignment horizontal="center" vertical="center"/>
    </xf>
    <xf numFmtId="2" fontId="17" fillId="3" borderId="106" xfId="0" applyNumberFormat="1" applyFont="1" applyFill="1" applyBorder="1" applyAlignment="1" applyProtection="1">
      <alignment horizontal="center" vertical="center"/>
      <protection locked="0" hidden="1"/>
    </xf>
    <xf numFmtId="0" fontId="17" fillId="3" borderId="106" xfId="0" applyFont="1" applyFill="1" applyBorder="1" applyAlignment="1" applyProtection="1">
      <alignment horizontal="center" vertical="center" wrapText="1"/>
      <protection hidden="1"/>
    </xf>
    <xf numFmtId="0" fontId="17" fillId="3" borderId="106" xfId="0" applyFont="1" applyFill="1" applyBorder="1"/>
    <xf numFmtId="0" fontId="17" fillId="3" borderId="115" xfId="0" applyFont="1" applyFill="1" applyBorder="1" applyAlignment="1" applyProtection="1">
      <alignment horizontal="center" vertical="center" wrapText="1"/>
      <protection hidden="1"/>
    </xf>
    <xf numFmtId="2" fontId="4" fillId="3" borderId="117" xfId="0" applyNumberFormat="1" applyFont="1" applyFill="1" applyBorder="1" applyAlignment="1" applyProtection="1">
      <alignment horizontal="center" vertical="center" wrapText="1"/>
      <protection hidden="1"/>
    </xf>
    <xf numFmtId="2" fontId="4" fillId="3" borderId="0" xfId="0" applyNumberFormat="1" applyFont="1" applyFill="1"/>
    <xf numFmtId="0" fontId="63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22" fillId="0" borderId="30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/>
    </xf>
    <xf numFmtId="167" fontId="1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81" fontId="4" fillId="3" borderId="99" xfId="4" applyNumberFormat="1" applyFill="1" applyBorder="1" applyAlignment="1">
      <alignment horizontal="center"/>
    </xf>
    <xf numFmtId="0" fontId="0" fillId="3" borderId="0" xfId="0" applyFill="1"/>
    <xf numFmtId="0" fontId="5" fillId="3" borderId="30" xfId="0" applyFont="1" applyFill="1" applyBorder="1" applyAlignment="1">
      <alignment horizontal="center" vertical="center"/>
    </xf>
    <xf numFmtId="0" fontId="5" fillId="3" borderId="99" xfId="0" quotePrefix="1" applyFont="1" applyFill="1" applyBorder="1" applyAlignment="1" applyProtection="1">
      <alignment horizontal="center" vertical="center"/>
      <protection hidden="1"/>
    </xf>
    <xf numFmtId="0" fontId="72" fillId="3" borderId="0" xfId="4" applyFont="1" applyFill="1"/>
    <xf numFmtId="0" fontId="4" fillId="3" borderId="119" xfId="0" applyFont="1" applyFill="1" applyBorder="1"/>
    <xf numFmtId="0" fontId="4" fillId="3" borderId="103" xfId="0" applyFont="1" applyFill="1" applyBorder="1"/>
    <xf numFmtId="0" fontId="4" fillId="3" borderId="122" xfId="4" applyFill="1" applyBorder="1"/>
    <xf numFmtId="0" fontId="4" fillId="3" borderId="0" xfId="4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122" xfId="0" applyFont="1" applyFill="1" applyBorder="1"/>
    <xf numFmtId="0" fontId="4" fillId="3" borderId="104" xfId="0" applyFont="1" applyFill="1" applyBorder="1"/>
    <xf numFmtId="0" fontId="4" fillId="3" borderId="100" xfId="0" applyFont="1" applyFill="1" applyBorder="1"/>
    <xf numFmtId="0" fontId="4" fillId="3" borderId="123" xfId="0" applyFont="1" applyFill="1" applyBorder="1"/>
    <xf numFmtId="0" fontId="4" fillId="3" borderId="121" xfId="4" applyFill="1" applyBorder="1"/>
    <xf numFmtId="14" fontId="4" fillId="3" borderId="0" xfId="4" applyNumberFormat="1" applyFill="1" applyAlignment="1">
      <alignment vertical="center"/>
    </xf>
    <xf numFmtId="0" fontId="4" fillId="3" borderId="103" xfId="4" applyFill="1" applyBorder="1" applyAlignment="1">
      <alignment vertical="center"/>
    </xf>
    <xf numFmtId="0" fontId="4" fillId="3" borderId="104" xfId="0" applyFont="1" applyFill="1" applyBorder="1" applyAlignment="1" applyProtection="1">
      <alignment horizontal="right" vertical="center"/>
      <protection locked="0"/>
    </xf>
    <xf numFmtId="0" fontId="4" fillId="3" borderId="99" xfId="0" applyFont="1" applyFill="1" applyBorder="1" applyAlignment="1" applyProtection="1">
      <alignment horizontal="center"/>
      <protection locked="0"/>
    </xf>
    <xf numFmtId="0" fontId="72" fillId="3" borderId="120" xfId="4" applyFont="1" applyFill="1" applyBorder="1"/>
    <xf numFmtId="164" fontId="4" fillId="3" borderId="99" xfId="0" applyNumberFormat="1" applyFont="1" applyFill="1" applyBorder="1" applyAlignment="1">
      <alignment horizontal="center" vertical="center"/>
    </xf>
    <xf numFmtId="0" fontId="24" fillId="0" borderId="118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56" fillId="0" borderId="118" xfId="0" applyFont="1" applyBorder="1" applyAlignment="1">
      <alignment horizontal="center" vertical="center" wrapText="1"/>
    </xf>
    <xf numFmtId="0" fontId="22" fillId="0" borderId="118" xfId="3" applyFont="1" applyBorder="1" applyAlignment="1">
      <alignment horizontal="center" vertical="center"/>
    </xf>
    <xf numFmtId="0" fontId="17" fillId="0" borderId="118" xfId="0" applyFont="1" applyBorder="1"/>
    <xf numFmtId="0" fontId="12" fillId="0" borderId="35" xfId="0" applyFont="1" applyBorder="1" applyAlignment="1">
      <alignment horizontal="left" vertical="center"/>
    </xf>
    <xf numFmtId="0" fontId="17" fillId="0" borderId="0" xfId="0" applyFont="1" applyAlignment="1" applyProtection="1">
      <alignment vertical="center"/>
      <protection locked="0"/>
    </xf>
    <xf numFmtId="1" fontId="22" fillId="0" borderId="0" xfId="0" applyNumberFormat="1" applyFont="1" applyAlignment="1">
      <alignment horizontal="left" vertical="center"/>
    </xf>
    <xf numFmtId="0" fontId="57" fillId="0" borderId="0" xfId="6" applyFont="1" applyAlignment="1">
      <alignment horizontal="left" vertical="center"/>
    </xf>
    <xf numFmtId="1" fontId="22" fillId="0" borderId="0" xfId="0" applyNumberFormat="1" applyFont="1" applyAlignment="1" applyProtection="1">
      <alignment horizontal="left" vertical="center"/>
      <protection locked="0"/>
    </xf>
    <xf numFmtId="0" fontId="12" fillId="0" borderId="0" xfId="3" applyFont="1" applyAlignment="1">
      <alignment horizontal="left" vertical="center"/>
    </xf>
    <xf numFmtId="0" fontId="5" fillId="0" borderId="0" xfId="4" applyFont="1" applyAlignment="1">
      <alignment vertical="center"/>
    </xf>
    <xf numFmtId="0" fontId="57" fillId="0" borderId="0" xfId="6" quotePrefix="1" applyFont="1" applyAlignment="1">
      <alignment horizontal="left" vertical="center"/>
    </xf>
    <xf numFmtId="0" fontId="57" fillId="0" borderId="0" xfId="6" quotePrefix="1" applyFont="1" applyAlignment="1">
      <alignment vertical="center" wrapText="1"/>
    </xf>
    <xf numFmtId="2" fontId="17" fillId="0" borderId="0" xfId="0" applyNumberFormat="1" applyFont="1" applyAlignment="1">
      <alignment vertical="center"/>
    </xf>
    <xf numFmtId="164" fontId="74" fillId="3" borderId="99" xfId="4" applyNumberFormat="1" applyFont="1" applyFill="1" applyBorder="1" applyAlignment="1" applyProtection="1">
      <alignment horizontal="center"/>
      <protection locked="0"/>
    </xf>
    <xf numFmtId="181" fontId="4" fillId="3" borderId="90" xfId="4" applyNumberFormat="1" applyFill="1" applyBorder="1" applyAlignment="1">
      <alignment horizontal="center"/>
    </xf>
    <xf numFmtId="2" fontId="4" fillId="3" borderId="131" xfId="0" applyNumberFormat="1" applyFont="1" applyFill="1" applyBorder="1" applyAlignment="1">
      <alignment horizontal="center"/>
    </xf>
    <xf numFmtId="164" fontId="4" fillId="3" borderId="132" xfId="0" applyNumberFormat="1" applyFont="1" applyFill="1" applyBorder="1" applyAlignment="1">
      <alignment horizontal="center" vertical="center"/>
    </xf>
    <xf numFmtId="2" fontId="4" fillId="3" borderId="132" xfId="0" applyNumberFormat="1" applyFont="1" applyFill="1" applyBorder="1" applyAlignment="1">
      <alignment horizontal="center"/>
    </xf>
    <xf numFmtId="181" fontId="4" fillId="3" borderId="133" xfId="4" applyNumberFormat="1" applyFill="1" applyBorder="1" applyAlignment="1">
      <alignment horizontal="center"/>
    </xf>
    <xf numFmtId="0" fontId="4" fillId="3" borderId="134" xfId="0" applyFont="1" applyFill="1" applyBorder="1" applyAlignment="1" applyProtection="1">
      <alignment horizontal="center" vertical="center"/>
      <protection locked="0"/>
    </xf>
    <xf numFmtId="181" fontId="4" fillId="3" borderId="135" xfId="4" applyNumberFormat="1" applyFill="1" applyBorder="1" applyAlignment="1">
      <alignment horizontal="center"/>
    </xf>
    <xf numFmtId="0" fontId="4" fillId="3" borderId="124" xfId="0" applyFont="1" applyFill="1" applyBorder="1" applyAlignment="1" applyProtection="1">
      <alignment horizontal="center" vertical="center"/>
      <protection locked="0"/>
    </xf>
    <xf numFmtId="164" fontId="4" fillId="3" borderId="125" xfId="0" applyNumberFormat="1" applyFont="1" applyFill="1" applyBorder="1" applyAlignment="1">
      <alignment horizontal="center" vertical="center"/>
    </xf>
    <xf numFmtId="2" fontId="4" fillId="3" borderId="125" xfId="0" applyNumberFormat="1" applyFont="1" applyFill="1" applyBorder="1" applyAlignment="1">
      <alignment horizontal="center"/>
    </xf>
    <xf numFmtId="181" fontId="4" fillId="3" borderId="126" xfId="4" applyNumberFormat="1" applyFill="1" applyBorder="1" applyAlignment="1">
      <alignment horizontal="center"/>
    </xf>
    <xf numFmtId="0" fontId="4" fillId="3" borderId="131" xfId="0" applyFont="1" applyFill="1" applyBorder="1" applyAlignment="1" applyProtection="1">
      <alignment horizontal="center" vertical="center"/>
      <protection locked="0"/>
    </xf>
    <xf numFmtId="164" fontId="0" fillId="3" borderId="99" xfId="0" applyNumberFormat="1" applyFill="1" applyBorder="1" applyAlignment="1">
      <alignment horizontal="center"/>
    </xf>
    <xf numFmtId="164" fontId="0" fillId="3" borderId="132" xfId="0" applyNumberFormat="1" applyFill="1" applyBorder="1" applyAlignment="1">
      <alignment horizontal="center"/>
    </xf>
    <xf numFmtId="164" fontId="0" fillId="3" borderId="125" xfId="0" applyNumberFormat="1" applyFill="1" applyBorder="1" applyAlignment="1">
      <alignment horizontal="center"/>
    </xf>
    <xf numFmtId="0" fontId="56" fillId="3" borderId="90" xfId="0" applyFont="1" applyFill="1" applyBorder="1" applyAlignment="1">
      <alignment horizontal="center"/>
    </xf>
    <xf numFmtId="0" fontId="4" fillId="3" borderId="120" xfId="0" applyFont="1" applyFill="1" applyBorder="1"/>
    <xf numFmtId="0" fontId="4" fillId="3" borderId="121" xfId="0" applyFont="1" applyFill="1" applyBorder="1"/>
    <xf numFmtId="0" fontId="4" fillId="3" borderId="135" xfId="4" applyFill="1" applyBorder="1" applyAlignment="1">
      <alignment horizontal="center"/>
    </xf>
    <xf numFmtId="0" fontId="17" fillId="3" borderId="107" xfId="4" applyFont="1" applyFill="1" applyBorder="1" applyAlignment="1">
      <alignment horizontal="left" vertical="center"/>
    </xf>
    <xf numFmtId="167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79" fontId="56" fillId="3" borderId="116" xfId="0" applyNumberFormat="1" applyFont="1" applyFill="1" applyBorder="1" applyAlignment="1" applyProtection="1">
      <alignment horizontal="center" vertical="center"/>
      <protection hidden="1"/>
    </xf>
    <xf numFmtId="164" fontId="17" fillId="21" borderId="107" xfId="4" applyNumberFormat="1" applyFont="1" applyFill="1" applyBorder="1" applyAlignment="1" applyProtection="1">
      <alignment horizontal="left" vertical="center"/>
      <protection locked="0" hidden="1"/>
    </xf>
    <xf numFmtId="0" fontId="17" fillId="21" borderId="107" xfId="4" applyFont="1" applyFill="1" applyBorder="1" applyAlignment="1">
      <alignment vertical="center" wrapText="1"/>
    </xf>
    <xf numFmtId="0" fontId="17" fillId="3" borderId="0" xfId="4" applyFont="1" applyFill="1" applyAlignment="1" applyProtection="1">
      <alignment horizontal="left" vertical="center" indent="1"/>
      <protection hidden="1"/>
    </xf>
    <xf numFmtId="11" fontId="17" fillId="3" borderId="0" xfId="4" applyNumberFormat="1" applyFont="1" applyFill="1" applyAlignment="1" applyProtection="1">
      <alignment vertical="center"/>
      <protection hidden="1"/>
    </xf>
    <xf numFmtId="10" fontId="4" fillId="3" borderId="0" xfId="0" applyNumberFormat="1" applyFont="1" applyFill="1"/>
    <xf numFmtId="179" fontId="17" fillId="3" borderId="0" xfId="4" applyNumberFormat="1" applyFont="1" applyFill="1" applyAlignment="1" applyProtection="1">
      <alignment vertical="center"/>
      <protection hidden="1"/>
    </xf>
    <xf numFmtId="0" fontId="17" fillId="3" borderId="99" xfId="4" applyFont="1" applyFill="1" applyBorder="1" applyAlignment="1" applyProtection="1">
      <alignment horizontal="left" vertical="center" indent="1"/>
      <protection hidden="1"/>
    </xf>
    <xf numFmtId="11" fontId="17" fillId="3" borderId="99" xfId="4" applyNumberFormat="1" applyFont="1" applyFill="1" applyBorder="1" applyAlignment="1" applyProtection="1">
      <alignment vertical="center"/>
      <protection hidden="1"/>
    </xf>
    <xf numFmtId="10" fontId="4" fillId="3" borderId="99" xfId="0" applyNumberFormat="1" applyFont="1" applyFill="1" applyBorder="1"/>
    <xf numFmtId="179" fontId="17" fillId="3" borderId="99" xfId="4" applyNumberFormat="1" applyFont="1" applyFill="1" applyBorder="1" applyAlignment="1" applyProtection="1">
      <alignment vertical="center"/>
      <protection hidden="1"/>
    </xf>
    <xf numFmtId="179" fontId="4" fillId="3" borderId="0" xfId="0" applyNumberFormat="1" applyFont="1" applyFill="1" applyAlignment="1" applyProtection="1">
      <alignment horizontal="center" vertical="center"/>
      <protection hidden="1"/>
    </xf>
    <xf numFmtId="2" fontId="4" fillId="3" borderId="0" xfId="0" applyNumberFormat="1" applyFont="1" applyFill="1" applyAlignment="1" applyProtection="1">
      <alignment horizontal="center" vertical="center" wrapText="1"/>
      <protection hidden="1"/>
    </xf>
    <xf numFmtId="0" fontId="17" fillId="0" borderId="136" xfId="4" applyFont="1" applyBorder="1" applyAlignment="1">
      <alignment vertical="center" wrapText="1"/>
    </xf>
    <xf numFmtId="1" fontId="17" fillId="0" borderId="137" xfId="4" applyNumberFormat="1" applyFont="1" applyBorder="1" applyAlignment="1" applyProtection="1">
      <alignment horizontal="center" vertical="center"/>
      <protection locked="0" hidden="1"/>
    </xf>
    <xf numFmtId="2" fontId="17" fillId="0" borderId="137" xfId="4" applyNumberFormat="1" applyFont="1" applyBorder="1" applyAlignment="1" applyProtection="1">
      <alignment horizontal="center" vertical="center"/>
      <protection locked="0" hidden="1"/>
    </xf>
    <xf numFmtId="0" fontId="17" fillId="0" borderId="137" xfId="4" applyFont="1" applyBorder="1" applyAlignment="1" applyProtection="1">
      <alignment horizontal="center" vertical="center" wrapText="1"/>
      <protection hidden="1"/>
    </xf>
    <xf numFmtId="179" fontId="17" fillId="0" borderId="137" xfId="4" applyNumberFormat="1" applyFont="1" applyBorder="1" applyAlignment="1" applyProtection="1">
      <alignment horizontal="center" vertical="center" wrapText="1"/>
      <protection hidden="1"/>
    </xf>
    <xf numFmtId="167" fontId="17" fillId="0" borderId="137" xfId="4" applyNumberFormat="1" applyFont="1" applyBorder="1" applyAlignment="1">
      <alignment horizontal="center" vertical="center"/>
    </xf>
    <xf numFmtId="11" fontId="17" fillId="0" borderId="138" xfId="4" applyNumberFormat="1" applyFont="1" applyBorder="1" applyAlignment="1">
      <alignment horizontal="center" vertical="center"/>
    </xf>
    <xf numFmtId="0" fontId="72" fillId="3" borderId="0" xfId="4" applyFont="1" applyFill="1" applyAlignment="1">
      <alignment horizontal="center"/>
    </xf>
    <xf numFmtId="0" fontId="12" fillId="0" borderId="0" xfId="0" applyFont="1" applyProtection="1">
      <protection locked="0"/>
    </xf>
    <xf numFmtId="0" fontId="22" fillId="0" borderId="77" xfId="4" applyFont="1" applyBorder="1" applyAlignment="1">
      <alignment vertical="center"/>
    </xf>
    <xf numFmtId="0" fontId="22" fillId="0" borderId="95" xfId="4" applyFont="1" applyBorder="1" applyAlignment="1">
      <alignment vertical="center"/>
    </xf>
    <xf numFmtId="0" fontId="22" fillId="0" borderId="97" xfId="4" applyFont="1" applyBorder="1" applyAlignment="1">
      <alignment vertical="center"/>
    </xf>
    <xf numFmtId="0" fontId="12" fillId="0" borderId="13" xfId="4" applyFont="1" applyBorder="1" applyAlignment="1">
      <alignment horizontal="center" vertical="center"/>
    </xf>
    <xf numFmtId="0" fontId="12" fillId="0" borderId="77" xfId="4" applyFont="1" applyBorder="1" applyAlignment="1">
      <alignment vertical="center"/>
    </xf>
    <xf numFmtId="0" fontId="12" fillId="0" borderId="105" xfId="4" applyFont="1" applyBorder="1" applyAlignment="1">
      <alignment vertical="center"/>
    </xf>
    <xf numFmtId="0" fontId="22" fillId="0" borderId="0" xfId="3" applyFont="1"/>
    <xf numFmtId="0" fontId="12" fillId="0" borderId="95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22" xfId="4" applyFont="1" applyBorder="1" applyAlignment="1">
      <alignment vertic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2" fillId="0" borderId="95" xfId="0" applyFont="1" applyBorder="1" applyAlignment="1">
      <alignment vertical="center"/>
    </xf>
    <xf numFmtId="0" fontId="67" fillId="0" borderId="10" xfId="4" applyFont="1" applyBorder="1"/>
    <xf numFmtId="0" fontId="67" fillId="0" borderId="0" xfId="4" applyFont="1"/>
    <xf numFmtId="0" fontId="12" fillId="0" borderId="95" xfId="0" applyFont="1" applyBorder="1" applyAlignment="1">
      <alignment vertical="center"/>
    </xf>
    <xf numFmtId="0" fontId="12" fillId="0" borderId="0" xfId="3" applyFont="1" applyAlignment="1">
      <alignment horizontal="right" vertical="center"/>
    </xf>
    <xf numFmtId="0" fontId="12" fillId="0" borderId="95" xfId="4" applyFont="1" applyBorder="1" applyAlignment="1">
      <alignment vertical="center"/>
    </xf>
    <xf numFmtId="0" fontId="12" fillId="0" borderId="77" xfId="4" applyFont="1" applyBorder="1" applyAlignment="1">
      <alignment horizontal="left" vertical="center"/>
    </xf>
    <xf numFmtId="0" fontId="12" fillId="0" borderId="95" xfId="4" applyFont="1" applyBorder="1" applyAlignment="1">
      <alignment horizontal="left" vertical="center" wrapText="1"/>
    </xf>
    <xf numFmtId="0" fontId="12" fillId="0" borderId="15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0" xfId="3" applyFont="1" applyBorder="1" applyAlignment="1">
      <alignment horizontal="center" vertical="center"/>
    </xf>
    <xf numFmtId="0" fontId="12" fillId="0" borderId="10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12" fillId="0" borderId="0" xfId="4" applyFont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 vertical="center"/>
    </xf>
    <xf numFmtId="164" fontId="12" fillId="0" borderId="99" xfId="0" applyNumberFormat="1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/>
    </xf>
    <xf numFmtId="167" fontId="12" fillId="0" borderId="99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65" fillId="0" borderId="0" xfId="0" quotePrefix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0" xfId="0" quotePrefix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/>
    <xf numFmtId="0" fontId="68" fillId="0" borderId="0" xfId="6" applyFont="1" applyAlignment="1">
      <alignment vertical="center"/>
    </xf>
    <xf numFmtId="164" fontId="22" fillId="0" borderId="99" xfId="4" applyNumberFormat="1" applyFont="1" applyBorder="1" applyAlignment="1">
      <alignment horizontal="center" vertical="center"/>
    </xf>
    <xf numFmtId="164" fontId="12" fillId="0" borderId="99" xfId="4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105" xfId="4" applyNumberFormat="1" applyFont="1" applyBorder="1" applyAlignment="1">
      <alignment horizontal="center" vertical="center"/>
    </xf>
    <xf numFmtId="164" fontId="78" fillId="0" borderId="99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left" vertical="center"/>
    </xf>
    <xf numFmtId="0" fontId="63" fillId="21" borderId="1" xfId="0" applyFont="1" applyFill="1" applyBorder="1" applyAlignment="1" applyProtection="1">
      <alignment vertical="center"/>
      <protection locked="0"/>
    </xf>
    <xf numFmtId="164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3" fillId="21" borderId="99" xfId="0" applyFont="1" applyFill="1" applyBorder="1" applyAlignment="1" applyProtection="1">
      <alignment horizontal="center" vertical="center"/>
      <protection locked="0"/>
    </xf>
    <xf numFmtId="179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" fontId="12" fillId="0" borderId="9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7" fillId="21" borderId="25" xfId="4" quotePrefix="1" applyNumberFormat="1" applyFont="1" applyFill="1" applyBorder="1" applyAlignment="1" applyProtection="1">
      <alignment horizontal="center" vertical="center"/>
      <protection locked="0" hidden="1"/>
    </xf>
    <xf numFmtId="2" fontId="4" fillId="0" borderId="90" xfId="0" applyNumberFormat="1" applyFont="1" applyBorder="1" applyAlignment="1">
      <alignment horizontal="center"/>
    </xf>
    <xf numFmtId="0" fontId="12" fillId="0" borderId="10" xfId="3" applyFont="1" applyBorder="1" applyAlignment="1">
      <alignment horizontal="right" vertical="center"/>
    </xf>
    <xf numFmtId="0" fontId="23" fillId="0" borderId="10" xfId="0" applyFont="1" applyBorder="1" applyAlignment="1">
      <alignment vertical="center"/>
    </xf>
    <xf numFmtId="177" fontId="12" fillId="0" borderId="16" xfId="0" applyNumberFormat="1" applyFont="1" applyBorder="1" applyAlignment="1" applyProtection="1">
      <alignment horizontal="left" vertical="center"/>
      <protection locked="0"/>
    </xf>
    <xf numFmtId="177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9" fillId="0" borderId="83" xfId="0" applyFont="1" applyBorder="1" applyAlignment="1">
      <alignment vertical="center"/>
    </xf>
    <xf numFmtId="0" fontId="69" fillId="0" borderId="118" xfId="0" applyFont="1" applyBorder="1" applyAlignment="1">
      <alignment vertical="center"/>
    </xf>
    <xf numFmtId="0" fontId="17" fillId="0" borderId="84" xfId="0" applyFont="1" applyBorder="1"/>
    <xf numFmtId="0" fontId="57" fillId="0" borderId="86" xfId="6" applyFont="1" applyBorder="1" applyAlignment="1">
      <alignment horizontal="left" vertical="center" indent="1"/>
    </xf>
    <xf numFmtId="0" fontId="17" fillId="0" borderId="14" xfId="0" applyFont="1" applyBorder="1" applyAlignment="1" applyProtection="1">
      <alignment vertical="center"/>
      <protection locked="0"/>
    </xf>
    <xf numFmtId="0" fontId="57" fillId="0" borderId="0" xfId="6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57" fillId="0" borderId="86" xfId="6" applyFont="1" applyBorder="1" applyAlignment="1">
      <alignment horizontal="left" vertical="center"/>
    </xf>
    <xf numFmtId="2" fontId="17" fillId="0" borderId="14" xfId="0" applyNumberFormat="1" applyFont="1" applyBorder="1" applyAlignment="1">
      <alignment vertical="center"/>
    </xf>
    <xf numFmtId="0" fontId="69" fillId="0" borderId="86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/>
    <xf numFmtId="0" fontId="17" fillId="0" borderId="10" xfId="0" applyFont="1" applyBorder="1" applyAlignment="1">
      <alignment horizontal="left" vertical="center"/>
    </xf>
    <xf numFmtId="0" fontId="68" fillId="0" borderId="10" xfId="6" applyFont="1" applyBorder="1" applyAlignment="1">
      <alignment horizontal="center" vertical="center"/>
    </xf>
    <xf numFmtId="0" fontId="68" fillId="0" borderId="16" xfId="6" applyFont="1" applyBorder="1" applyAlignment="1">
      <alignment horizontal="center" vertical="center"/>
    </xf>
    <xf numFmtId="0" fontId="12" fillId="0" borderId="0" xfId="3" applyFont="1" applyAlignment="1" applyProtection="1">
      <alignment horizontal="left" vertical="center"/>
      <protection locked="0"/>
    </xf>
    <xf numFmtId="0" fontId="12" fillId="0" borderId="77" xfId="3" applyFont="1" applyBorder="1" applyAlignment="1">
      <alignment horizontal="right" vertical="center"/>
    </xf>
    <xf numFmtId="0" fontId="12" fillId="0" borderId="99" xfId="4" applyFont="1" applyBorder="1" applyAlignment="1">
      <alignment horizontal="center" vertical="center"/>
    </xf>
    <xf numFmtId="0" fontId="4" fillId="0" borderId="84" xfId="0" applyFont="1" applyBorder="1"/>
    <xf numFmtId="0" fontId="17" fillId="0" borderId="14" xfId="0" applyFont="1" applyBorder="1" applyAlignment="1">
      <alignment horizontal="center"/>
    </xf>
    <xf numFmtId="0" fontId="97" fillId="0" borderId="0" xfId="0" applyFont="1" applyAlignment="1">
      <alignment vertical="center"/>
    </xf>
    <xf numFmtId="0" fontId="23" fillId="0" borderId="77" xfId="4" applyFont="1" applyBorder="1" applyProtection="1">
      <protection locked="0"/>
    </xf>
    <xf numFmtId="0" fontId="4" fillId="0" borderId="95" xfId="0" applyFont="1" applyBorder="1"/>
    <xf numFmtId="0" fontId="23" fillId="0" borderId="97" xfId="0" applyFont="1" applyBorder="1" applyProtection="1">
      <protection locked="0"/>
    </xf>
    <xf numFmtId="0" fontId="23" fillId="0" borderId="83" xfId="4" applyFont="1" applyBorder="1"/>
    <xf numFmtId="0" fontId="23" fillId="0" borderId="95" xfId="0" applyFont="1" applyBorder="1" applyProtection="1">
      <protection locked="0"/>
    </xf>
    <xf numFmtId="0" fontId="4" fillId="0" borderId="0" xfId="0" applyFont="1" applyProtection="1">
      <protection locked="0"/>
    </xf>
    <xf numFmtId="2" fontId="5" fillId="0" borderId="83" xfId="0" applyNumberFormat="1" applyFont="1" applyBorder="1" applyAlignment="1">
      <alignment horizontal="left" vertical="center"/>
    </xf>
    <xf numFmtId="0" fontId="4" fillId="0" borderId="118" xfId="0" applyFont="1" applyBorder="1" applyAlignment="1">
      <alignment horizontal="center"/>
    </xf>
    <xf numFmtId="2" fontId="17" fillId="0" borderId="86" xfId="0" applyNumberFormat="1" applyFont="1" applyBorder="1" applyAlignment="1">
      <alignment horizontal="left" vertical="center"/>
    </xf>
    <xf numFmtId="0" fontId="17" fillId="0" borderId="86" xfId="0" applyFont="1" applyBorder="1" applyAlignment="1">
      <alignment vertical="center"/>
    </xf>
    <xf numFmtId="0" fontId="17" fillId="0" borderId="86" xfId="0" applyFont="1" applyBorder="1"/>
    <xf numFmtId="0" fontId="17" fillId="0" borderId="15" xfId="0" applyFont="1" applyBorder="1" applyAlignment="1">
      <alignment horizontal="left" vertical="center"/>
    </xf>
    <xf numFmtId="164" fontId="4" fillId="0" borderId="0" xfId="0" applyNumberFormat="1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23" fillId="0" borderId="99" xfId="0" applyFont="1" applyBorder="1" applyProtection="1">
      <protection locked="0"/>
    </xf>
    <xf numFmtId="0" fontId="23" fillId="0" borderId="10" xfId="0" applyFont="1" applyBorder="1" applyProtection="1">
      <protection locked="0"/>
    </xf>
    <xf numFmtId="0" fontId="23" fillId="0" borderId="10" xfId="0" applyFont="1" applyBorder="1"/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0" fontId="98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96" fillId="0" borderId="0" xfId="0" applyFont="1" applyProtection="1">
      <protection locked="0"/>
    </xf>
    <xf numFmtId="0" fontId="98" fillId="0" borderId="0" xfId="0" applyFont="1" applyAlignment="1" applyProtection="1">
      <alignment horizontal="center"/>
      <protection locked="0"/>
    </xf>
    <xf numFmtId="164" fontId="98" fillId="0" borderId="0" xfId="0" applyNumberFormat="1" applyFont="1" applyAlignment="1" applyProtection="1">
      <alignment horizontal="center"/>
      <protection locked="0"/>
    </xf>
    <xf numFmtId="0" fontId="99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23" fillId="0" borderId="0" xfId="4" applyFont="1" applyProtection="1">
      <protection locked="0"/>
    </xf>
    <xf numFmtId="0" fontId="23" fillId="0" borderId="0" xfId="4" applyFont="1"/>
    <xf numFmtId="0" fontId="4" fillId="3" borderId="99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164" fontId="17" fillId="3" borderId="106" xfId="4" applyNumberFormat="1" applyFont="1" applyFill="1" applyBorder="1" applyAlignment="1" applyProtection="1">
      <alignment horizontal="center" vertical="center"/>
      <protection locked="0"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77" xfId="4" applyFont="1" applyBorder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12" fillId="0" borderId="148" xfId="4" applyFont="1" applyBorder="1" applyAlignment="1">
      <alignment vertical="center"/>
    </xf>
    <xf numFmtId="164" fontId="12" fillId="0" borderId="148" xfId="4" applyNumberFormat="1" applyFont="1" applyBorder="1" applyAlignment="1">
      <alignment horizontal="center" vertical="center"/>
    </xf>
    <xf numFmtId="0" fontId="63" fillId="21" borderId="22" xfId="0" applyFont="1" applyFill="1" applyBorder="1" applyAlignment="1" applyProtection="1">
      <alignment horizontal="center" vertical="center"/>
      <protection locked="0"/>
    </xf>
    <xf numFmtId="0" fontId="12" fillId="0" borderId="149" xfId="4" applyFont="1" applyBorder="1" applyAlignment="1">
      <alignment vertical="center"/>
    </xf>
    <xf numFmtId="0" fontId="23" fillId="0" borderId="150" xfId="0" applyFont="1" applyBorder="1" applyProtection="1">
      <protection locked="0"/>
    </xf>
    <xf numFmtId="164" fontId="12" fillId="0" borderId="151" xfId="4" applyNumberFormat="1" applyFont="1" applyBorder="1" applyAlignment="1">
      <alignment horizontal="center" vertical="center"/>
    </xf>
    <xf numFmtId="0" fontId="12" fillId="0" borderId="152" xfId="4" applyFont="1" applyBorder="1" applyAlignment="1">
      <alignment vertical="center"/>
    </xf>
    <xf numFmtId="0" fontId="23" fillId="0" borderId="153" xfId="0" applyFont="1" applyBorder="1" applyProtection="1">
      <protection locked="0"/>
    </xf>
    <xf numFmtId="164" fontId="12" fillId="0" borderId="154" xfId="4" applyNumberFormat="1" applyFont="1" applyBorder="1" applyAlignment="1">
      <alignment horizontal="center" vertical="center"/>
    </xf>
    <xf numFmtId="0" fontId="63" fillId="0" borderId="77" xfId="4" applyFont="1" applyBorder="1" applyAlignment="1">
      <alignment vertical="center"/>
    </xf>
    <xf numFmtId="0" fontId="12" fillId="0" borderId="97" xfId="4" applyFont="1" applyBorder="1" applyAlignment="1">
      <alignment horizontal="center" vertical="center"/>
    </xf>
    <xf numFmtId="0" fontId="63" fillId="0" borderId="153" xfId="0" applyFont="1" applyBorder="1" applyAlignment="1" applyProtection="1">
      <alignment horizontal="center" vertical="center"/>
      <protection locked="0"/>
    </xf>
    <xf numFmtId="0" fontId="17" fillId="3" borderId="0" xfId="4" applyFont="1" applyFill="1" applyAlignment="1">
      <alignment horizontal="right" vertical="center"/>
    </xf>
    <xf numFmtId="0" fontId="17" fillId="3" borderId="0" xfId="4" applyFont="1" applyFill="1" applyAlignment="1">
      <alignment horizontal="left" vertical="center"/>
    </xf>
    <xf numFmtId="0" fontId="17" fillId="3" borderId="0" xfId="4" applyFont="1" applyFill="1" applyAlignment="1">
      <alignment horizontal="left" vertical="center" indent="1"/>
    </xf>
    <xf numFmtId="0" fontId="73" fillId="3" borderId="0" xfId="4" applyFont="1" applyFill="1" applyAlignment="1">
      <alignment vertical="center"/>
    </xf>
    <xf numFmtId="0" fontId="4" fillId="3" borderId="0" xfId="4" applyFill="1" applyAlignment="1">
      <alignment horizontal="left" vertical="center" indent="1"/>
    </xf>
    <xf numFmtId="1" fontId="17" fillId="0" borderId="105" xfId="0" applyNumberFormat="1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6" fillId="3" borderId="0" xfId="0" applyFont="1" applyFill="1" applyAlignment="1">
      <alignment vertical="center"/>
    </xf>
    <xf numFmtId="164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2" fontId="17" fillId="3" borderId="0" xfId="0" applyNumberFormat="1" applyFont="1" applyFill="1" applyAlignment="1">
      <alignment vertical="center"/>
    </xf>
    <xf numFmtId="167" fontId="17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56" fillId="0" borderId="83" xfId="0" applyFont="1" applyBorder="1" applyAlignment="1">
      <alignment horizontal="center" vertical="center" wrapText="1"/>
    </xf>
    <xf numFmtId="0" fontId="56" fillId="0" borderId="118" xfId="0" applyFont="1" applyBorder="1" applyAlignment="1">
      <alignment vertical="center" wrapText="1"/>
    </xf>
    <xf numFmtId="0" fontId="56" fillId="0" borderId="84" xfId="0" applyFont="1" applyBorder="1" applyAlignment="1">
      <alignment horizontal="center" vertical="center" wrapText="1"/>
    </xf>
    <xf numFmtId="0" fontId="56" fillId="3" borderId="86" xfId="0" applyFont="1" applyFill="1" applyBorder="1" applyAlignment="1">
      <alignment vertical="center"/>
    </xf>
    <xf numFmtId="3" fontId="17" fillId="0" borderId="0" xfId="0" applyNumberFormat="1" applyFont="1" applyAlignment="1">
      <alignment vertical="center" wrapText="1"/>
    </xf>
    <xf numFmtId="0" fontId="17" fillId="3" borderId="86" xfId="0" applyFont="1" applyFill="1" applyBorder="1" applyAlignment="1">
      <alignment vertical="center"/>
    </xf>
    <xf numFmtId="166" fontId="57" fillId="0" borderId="0" xfId="0" applyNumberFormat="1" applyFont="1" applyAlignment="1">
      <alignment vertical="center" wrapText="1"/>
    </xf>
    <xf numFmtId="12" fontId="17" fillId="3" borderId="86" xfId="0" applyNumberFormat="1" applyFont="1" applyFill="1" applyBorder="1" applyAlignment="1">
      <alignment vertical="center"/>
    </xf>
    <xf numFmtId="164" fontId="5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0" fontId="17" fillId="0" borderId="86" xfId="0" applyFont="1" applyBorder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7" fillId="0" borderId="155" xfId="0" applyFont="1" applyBorder="1" applyAlignment="1">
      <alignment horizontal="left" vertical="center" indent="2"/>
    </xf>
    <xf numFmtId="0" fontId="17" fillId="0" borderId="156" xfId="0" applyFont="1" applyBorder="1" applyAlignment="1">
      <alignment horizontal="left" vertical="center" indent="2"/>
    </xf>
    <xf numFmtId="0" fontId="56" fillId="0" borderId="156" xfId="0" applyFont="1" applyBorder="1" applyAlignment="1">
      <alignment vertical="center"/>
    </xf>
    <xf numFmtId="0" fontId="56" fillId="0" borderId="157" xfId="0" applyFont="1" applyBorder="1" applyAlignment="1">
      <alignment vertical="center"/>
    </xf>
    <xf numFmtId="164" fontId="12" fillId="21" borderId="99" xfId="0" applyNumberFormat="1" applyFont="1" applyFill="1" applyBorder="1" applyAlignment="1">
      <alignment horizontal="center" vertical="center"/>
    </xf>
    <xf numFmtId="14" fontId="0" fillId="3" borderId="0" xfId="0" applyNumberFormat="1" applyFill="1"/>
    <xf numFmtId="0" fontId="74" fillId="3" borderId="99" xfId="4" applyFont="1" applyFill="1" applyBorder="1" applyAlignment="1" applyProtection="1">
      <alignment horizontal="center" vertical="center"/>
      <protection locked="0"/>
    </xf>
    <xf numFmtId="177" fontId="74" fillId="3" borderId="99" xfId="4" applyNumberFormat="1" applyFont="1" applyFill="1" applyBorder="1" applyAlignment="1" applyProtection="1">
      <alignment horizontal="center" vertical="center"/>
      <protection locked="0"/>
    </xf>
    <xf numFmtId="183" fontId="12" fillId="0" borderId="0" xfId="4" applyNumberFormat="1" applyFont="1" applyAlignment="1" applyProtection="1">
      <alignment horizontal="left" vertical="center"/>
      <protection locked="0"/>
    </xf>
    <xf numFmtId="183" fontId="12" fillId="0" borderId="14" xfId="4" applyNumberFormat="1" applyFont="1" applyBorder="1" applyAlignment="1" applyProtection="1">
      <alignment horizontal="left" vertical="center"/>
      <protection locked="0"/>
    </xf>
    <xf numFmtId="0" fontId="23" fillId="0" borderId="90" xfId="0" applyFont="1" applyBorder="1" applyProtection="1">
      <protection locked="0"/>
    </xf>
    <xf numFmtId="0" fontId="17" fillId="0" borderId="75" xfId="0" applyFont="1" applyBorder="1" applyAlignment="1">
      <alignment horizontal="center"/>
    </xf>
    <xf numFmtId="0" fontId="17" fillId="0" borderId="75" xfId="0" applyFont="1" applyBorder="1" applyAlignment="1">
      <alignment horizontal="center" vertical="center"/>
    </xf>
    <xf numFmtId="11" fontId="4" fillId="3" borderId="75" xfId="4" applyNumberFormat="1" applyFill="1" applyBorder="1" applyAlignment="1">
      <alignment horizontal="center"/>
    </xf>
    <xf numFmtId="14" fontId="17" fillId="0" borderId="148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12" fontId="4" fillId="3" borderId="99" xfId="0" applyNumberFormat="1" applyFont="1" applyFill="1" applyBorder="1" applyAlignment="1">
      <alignment horizontal="center" vertical="center" wrapText="1"/>
    </xf>
    <xf numFmtId="0" fontId="4" fillId="3" borderId="99" xfId="0" quotePrefix="1" applyFont="1" applyFill="1" applyBorder="1" applyAlignment="1">
      <alignment horizontal="center" vertical="center" wrapText="1"/>
    </xf>
    <xf numFmtId="0" fontId="5" fillId="0" borderId="99" xfId="4" applyFont="1" applyBorder="1" applyAlignment="1">
      <alignment horizontal="left" vertical="center"/>
    </xf>
    <xf numFmtId="12" fontId="102" fillId="21" borderId="99" xfId="0" applyNumberFormat="1" applyFont="1" applyFill="1" applyBorder="1" applyAlignment="1" applyProtection="1">
      <alignment horizontal="center" vertical="center"/>
      <protection locked="0"/>
    </xf>
    <xf numFmtId="184" fontId="4" fillId="3" borderId="99" xfId="0" applyNumberFormat="1" applyFont="1" applyFill="1" applyBorder="1" applyAlignment="1">
      <alignment horizontal="center" vertical="center"/>
    </xf>
    <xf numFmtId="0" fontId="103" fillId="3" borderId="99" xfId="0" applyFont="1" applyFill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1" fontId="56" fillId="3" borderId="0" xfId="4" applyNumberFormat="1" applyFont="1" applyFill="1" applyAlignment="1">
      <alignment horizontal="center"/>
    </xf>
    <xf numFmtId="14" fontId="56" fillId="0" borderId="16" xfId="0" applyNumberFormat="1" applyFont="1" applyBorder="1" applyAlignment="1">
      <alignment horizontal="center" vertical="center"/>
    </xf>
    <xf numFmtId="166" fontId="63" fillId="21" borderId="99" xfId="0" applyNumberFormat="1" applyFont="1" applyFill="1" applyBorder="1" applyAlignment="1" applyProtection="1">
      <alignment horizontal="center" vertical="center"/>
      <protection locked="0"/>
    </xf>
    <xf numFmtId="186" fontId="12" fillId="0" borderId="0" xfId="0" applyNumberFormat="1" applyFont="1" applyAlignment="1" applyProtection="1">
      <alignment horizontal="left" vertical="center"/>
      <protection locked="0"/>
    </xf>
    <xf numFmtId="187" fontId="12" fillId="0" borderId="14" xfId="4" applyNumberFormat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3" fillId="0" borderId="4" xfId="0" applyFont="1" applyBorder="1" applyProtection="1">
      <protection hidden="1"/>
    </xf>
    <xf numFmtId="0" fontId="23" fillId="0" borderId="5" xfId="0" applyFont="1" applyBorder="1" applyProtection="1">
      <protection hidden="1"/>
    </xf>
    <xf numFmtId="0" fontId="23" fillId="0" borderId="0" xfId="0" applyFont="1" applyProtection="1">
      <protection hidden="1"/>
    </xf>
    <xf numFmtId="0" fontId="5" fillId="0" borderId="6" xfId="0" applyFont="1" applyBorder="1" applyAlignment="1">
      <alignment vertical="center"/>
    </xf>
    <xf numFmtId="0" fontId="23" fillId="0" borderId="7" xfId="0" applyFont="1" applyBorder="1" applyProtection="1">
      <protection hidden="1"/>
    </xf>
    <xf numFmtId="0" fontId="97" fillId="0" borderId="8" xfId="0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0" fontId="97" fillId="0" borderId="9" xfId="0" applyFont="1" applyBorder="1" applyAlignment="1">
      <alignment vertical="center"/>
    </xf>
    <xf numFmtId="0" fontId="22" fillId="0" borderId="99" xfId="3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" fillId="0" borderId="0" xfId="0" applyFont="1" applyProtection="1">
      <protection hidden="1"/>
    </xf>
    <xf numFmtId="0" fontId="12" fillId="0" borderId="99" xfId="3" applyFont="1" applyBorder="1" applyAlignment="1">
      <alignment vertical="center"/>
    </xf>
    <xf numFmtId="17" fontId="12" fillId="0" borderId="0" xfId="0" applyNumberFormat="1" applyFont="1" applyAlignment="1">
      <alignment vertical="center"/>
    </xf>
    <xf numFmtId="0" fontId="104" fillId="0" borderId="0" xfId="3" applyFont="1" applyAlignment="1">
      <alignment vertical="center"/>
    </xf>
    <xf numFmtId="0" fontId="104" fillId="0" borderId="0" xfId="0" applyFont="1" applyAlignment="1">
      <alignment vertical="center"/>
    </xf>
    <xf numFmtId="0" fontId="23" fillId="0" borderId="0" xfId="0" applyFont="1" applyAlignment="1" applyProtection="1">
      <alignment vertical="center"/>
      <protection hidden="1"/>
    </xf>
    <xf numFmtId="0" fontId="104" fillId="0" borderId="99" xfId="3" applyFont="1" applyBorder="1" applyAlignment="1">
      <alignment vertical="center"/>
    </xf>
    <xf numFmtId="0" fontId="12" fillId="0" borderId="77" xfId="3" applyFont="1" applyBorder="1" applyAlignment="1">
      <alignment horizontal="left" vertical="center"/>
    </xf>
    <xf numFmtId="0" fontId="23" fillId="0" borderId="95" xfId="0" applyFont="1" applyBorder="1" applyProtection="1">
      <protection hidden="1"/>
    </xf>
    <xf numFmtId="0" fontId="23" fillId="0" borderId="97" xfId="0" applyFont="1" applyBorder="1" applyProtection="1">
      <protection hidden="1"/>
    </xf>
    <xf numFmtId="0" fontId="17" fillId="0" borderId="148" xfId="0" applyFont="1" applyBorder="1" applyAlignment="1" applyProtection="1">
      <alignment horizontal="center" vertical="center"/>
      <protection hidden="1"/>
    </xf>
    <xf numFmtId="0" fontId="104" fillId="0" borderId="0" xfId="0" applyFont="1" applyProtection="1">
      <protection hidden="1"/>
    </xf>
    <xf numFmtId="0" fontId="17" fillId="0" borderId="99" xfId="0" applyFont="1" applyBorder="1" applyAlignment="1" applyProtection="1">
      <alignment horizontal="center" vertical="center"/>
      <protection hidden="1"/>
    </xf>
    <xf numFmtId="12" fontId="17" fillId="0" borderId="99" xfId="0" applyNumberFormat="1" applyFont="1" applyBorder="1" applyAlignment="1">
      <alignment horizontal="center" vertical="center"/>
    </xf>
    <xf numFmtId="0" fontId="12" fillId="0" borderId="155" xfId="3" applyFont="1" applyBorder="1" applyAlignment="1">
      <alignment horizontal="left" vertical="center"/>
    </xf>
    <xf numFmtId="0" fontId="23" fillId="0" borderId="156" xfId="0" applyFont="1" applyBorder="1" applyProtection="1">
      <protection hidden="1"/>
    </xf>
    <xf numFmtId="0" fontId="17" fillId="0" borderId="99" xfId="0" applyFont="1" applyBorder="1" applyAlignment="1">
      <alignment horizontal="center" vertical="center"/>
    </xf>
    <xf numFmtId="0" fontId="12" fillId="0" borderId="77" xfId="0" applyFont="1" applyBorder="1" applyAlignment="1">
      <alignment vertical="center"/>
    </xf>
    <xf numFmtId="0" fontId="57" fillId="0" borderId="99" xfId="0" applyFont="1" applyBorder="1" applyAlignment="1">
      <alignment horizontal="center" vertical="center"/>
    </xf>
    <xf numFmtId="0" fontId="23" fillId="0" borderId="118" xfId="0" applyFont="1" applyBorder="1" applyProtection="1">
      <protection hidden="1"/>
    </xf>
    <xf numFmtId="0" fontId="22" fillId="0" borderId="14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0" fontId="12" fillId="0" borderId="99" xfId="3" applyFont="1" applyBorder="1" applyAlignment="1">
      <alignment horizontal="left" vertical="center"/>
    </xf>
    <xf numFmtId="0" fontId="24" fillId="0" borderId="77" xfId="0" applyFont="1" applyBorder="1" applyAlignment="1">
      <alignment vertical="center"/>
    </xf>
    <xf numFmtId="0" fontId="104" fillId="0" borderId="77" xfId="3" applyFont="1" applyBorder="1" applyAlignment="1">
      <alignment vertical="center"/>
    </xf>
    <xf numFmtId="0" fontId="104" fillId="0" borderId="97" xfId="3" applyFont="1" applyBorder="1" applyAlignment="1">
      <alignment vertical="center"/>
    </xf>
    <xf numFmtId="0" fontId="23" fillId="0" borderId="97" xfId="0" applyFont="1" applyBorder="1" applyAlignment="1" applyProtection="1">
      <alignment vertical="center"/>
      <protection hidden="1"/>
    </xf>
    <xf numFmtId="14" fontId="17" fillId="0" borderId="99" xfId="0" applyNumberFormat="1" applyFont="1" applyBorder="1" applyAlignment="1" applyProtection="1">
      <alignment horizontal="center" vertical="center"/>
      <protection hidden="1"/>
    </xf>
    <xf numFmtId="0" fontId="56" fillId="0" borderId="0" xfId="0" applyFont="1" applyAlignment="1">
      <alignment vertical="center" wrapText="1"/>
    </xf>
    <xf numFmtId="14" fontId="12" fillId="0" borderId="0" xfId="0" applyNumberFormat="1" applyFont="1" applyAlignment="1" applyProtection="1">
      <alignment horizontal="left" vertical="center"/>
      <protection hidden="1"/>
    </xf>
    <xf numFmtId="0" fontId="12" fillId="0" borderId="95" xfId="3" applyFont="1" applyBorder="1" applyAlignment="1">
      <alignment horizontal="left" vertical="center"/>
    </xf>
    <xf numFmtId="0" fontId="22" fillId="0" borderId="77" xfId="0" applyFont="1" applyBorder="1" applyAlignment="1">
      <alignment vertical="center"/>
    </xf>
    <xf numFmtId="0" fontId="105" fillId="0" borderId="77" xfId="3" applyFont="1" applyBorder="1" applyAlignment="1">
      <alignment vertical="center"/>
    </xf>
    <xf numFmtId="0" fontId="105" fillId="0" borderId="95" xfId="3" applyFont="1" applyBorder="1" applyAlignment="1">
      <alignment vertical="center"/>
    </xf>
    <xf numFmtId="0" fontId="105" fillId="0" borderId="97" xfId="3" applyFont="1" applyBorder="1" applyAlignment="1">
      <alignment vertical="center"/>
    </xf>
    <xf numFmtId="0" fontId="12" fillId="0" borderId="95" xfId="4" applyFont="1" applyBorder="1" applyAlignment="1">
      <alignment horizontal="left" vertical="center"/>
    </xf>
    <xf numFmtId="0" fontId="12" fillId="0" borderId="83" xfId="3" applyFont="1" applyBorder="1" applyAlignment="1">
      <alignment horizontal="left" vertical="center"/>
    </xf>
    <xf numFmtId="0" fontId="12" fillId="0" borderId="83" xfId="3" applyFont="1" applyBorder="1" applyAlignment="1">
      <alignment vertical="center"/>
    </xf>
    <xf numFmtId="0" fontId="12" fillId="0" borderId="84" xfId="3" applyFont="1" applyBorder="1" applyAlignment="1">
      <alignment vertical="center"/>
    </xf>
    <xf numFmtId="0" fontId="12" fillId="0" borderId="83" xfId="0" applyFont="1" applyBorder="1" applyProtection="1">
      <protection hidden="1"/>
    </xf>
    <xf numFmtId="0" fontId="23" fillId="0" borderId="84" xfId="0" applyFont="1" applyBorder="1" applyProtection="1">
      <protection hidden="1"/>
    </xf>
    <xf numFmtId="0" fontId="12" fillId="0" borderId="155" xfId="3" applyFont="1" applyBorder="1" applyAlignment="1">
      <alignment vertical="center"/>
    </xf>
    <xf numFmtId="0" fontId="12" fillId="0" borderId="157" xfId="3" applyFont="1" applyBorder="1" applyAlignment="1">
      <alignment vertical="center" wrapText="1"/>
    </xf>
    <xf numFmtId="0" fontId="23" fillId="0" borderId="155" xfId="0" applyFont="1" applyBorder="1" applyProtection="1">
      <protection hidden="1"/>
    </xf>
    <xf numFmtId="0" fontId="106" fillId="0" borderId="157" xfId="0" applyFont="1" applyBorder="1" applyProtection="1">
      <protection hidden="1"/>
    </xf>
    <xf numFmtId="172" fontId="57" fillId="0" borderId="0" xfId="0" quotePrefix="1" applyNumberFormat="1" applyFont="1" applyAlignment="1">
      <alignment horizontal="center" vertical="center" wrapText="1"/>
    </xf>
    <xf numFmtId="0" fontId="12" fillId="0" borderId="118" xfId="3" applyFont="1" applyBorder="1" applyAlignment="1">
      <alignment vertical="center"/>
    </xf>
    <xf numFmtId="0" fontId="12" fillId="0" borderId="86" xfId="0" applyFont="1" applyBorder="1" applyProtection="1">
      <protection hidden="1"/>
    </xf>
    <xf numFmtId="0" fontId="106" fillId="0" borderId="14" xfId="0" applyFont="1" applyBorder="1" applyProtection="1">
      <protection hidden="1"/>
    </xf>
    <xf numFmtId="0" fontId="12" fillId="3" borderId="77" xfId="3" applyFont="1" applyFill="1" applyBorder="1" applyAlignment="1">
      <alignment horizontal="center" vertical="center"/>
    </xf>
    <xf numFmtId="0" fontId="17" fillId="0" borderId="99" xfId="3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148" xfId="0" applyFont="1" applyBorder="1" applyAlignment="1">
      <alignment horizontal="center" vertical="center"/>
    </xf>
    <xf numFmtId="0" fontId="72" fillId="0" borderId="0" xfId="0" applyFont="1" applyAlignment="1" applyProtection="1">
      <alignment horizontal="center"/>
      <protection hidden="1"/>
    </xf>
    <xf numFmtId="0" fontId="4" fillId="0" borderId="0" xfId="4" applyAlignment="1">
      <alignment vertical="center"/>
    </xf>
    <xf numFmtId="0" fontId="12" fillId="0" borderId="99" xfId="0" applyFont="1" applyBorder="1" applyAlignment="1" applyProtection="1">
      <alignment horizontal="center" vertical="center"/>
      <protection hidden="1"/>
    </xf>
    <xf numFmtId="2" fontId="12" fillId="0" borderId="99" xfId="0" applyNumberFormat="1" applyFont="1" applyBorder="1" applyAlignment="1" applyProtection="1">
      <alignment horizontal="center" vertical="center"/>
      <protection hidden="1"/>
    </xf>
    <xf numFmtId="0" fontId="107" fillId="0" borderId="77" xfId="0" applyFont="1" applyBorder="1" applyAlignment="1">
      <alignment vertical="center"/>
    </xf>
    <xf numFmtId="0" fontId="58" fillId="0" borderId="97" xfId="0" applyFont="1" applyBorder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2" fontId="12" fillId="0" borderId="0" xfId="0" applyNumberFormat="1" applyFont="1" applyAlignment="1" applyProtection="1">
      <alignment horizontal="center" vertical="center"/>
      <protection hidden="1"/>
    </xf>
    <xf numFmtId="0" fontId="10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top"/>
      <protection hidden="1"/>
    </xf>
    <xf numFmtId="167" fontId="12" fillId="0" borderId="99" xfId="0" applyNumberFormat="1" applyFont="1" applyBorder="1" applyAlignment="1" applyProtection="1">
      <alignment horizontal="center" vertical="center"/>
      <protection hidden="1"/>
    </xf>
    <xf numFmtId="0" fontId="58" fillId="0" borderId="97" xfId="0" applyFont="1" applyBorder="1" applyAlignment="1">
      <alignment horizontal="center" vertical="center"/>
    </xf>
    <xf numFmtId="0" fontId="12" fillId="0" borderId="77" xfId="0" applyFont="1" applyBorder="1" applyAlignment="1" applyProtection="1">
      <alignment horizontal="left" vertical="center"/>
      <protection hidden="1"/>
    </xf>
    <xf numFmtId="0" fontId="12" fillId="0" borderId="97" xfId="0" applyFont="1" applyBorder="1" applyAlignment="1" applyProtection="1">
      <alignment horizontal="center" vertical="center"/>
      <protection hidden="1"/>
    </xf>
    <xf numFmtId="0" fontId="12" fillId="0" borderId="99" xfId="0" quotePrefix="1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hidden="1"/>
    </xf>
    <xf numFmtId="0" fontId="17" fillId="0" borderId="0" xfId="4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0" xfId="0" applyFont="1" applyProtection="1">
      <protection hidden="1"/>
    </xf>
    <xf numFmtId="0" fontId="12" fillId="0" borderId="0" xfId="3" applyFont="1" applyAlignment="1">
      <alignment horizontal="left" vertical="center" indent="1"/>
    </xf>
    <xf numFmtId="0" fontId="4" fillId="0" borderId="0" xfId="0" applyFont="1"/>
    <xf numFmtId="12" fontId="12" fillId="0" borderId="0" xfId="0" applyNumberFormat="1" applyFont="1" applyAlignment="1">
      <alignment horizontal="left" vertical="center"/>
    </xf>
    <xf numFmtId="0" fontId="5" fillId="0" borderId="0" xfId="0" applyFont="1" applyProtection="1">
      <protection hidden="1"/>
    </xf>
    <xf numFmtId="0" fontId="4" fillId="0" borderId="90" xfId="0" applyFont="1" applyBorder="1" applyAlignment="1">
      <alignment horizontal="left" indent="1"/>
    </xf>
    <xf numFmtId="0" fontId="4" fillId="0" borderId="75" xfId="0" applyFont="1" applyBorder="1" applyAlignment="1">
      <alignment horizontal="left" indent="1"/>
    </xf>
    <xf numFmtId="0" fontId="5" fillId="0" borderId="0" xfId="0" applyFont="1" applyAlignment="1">
      <alignment horizontal="right"/>
    </xf>
    <xf numFmtId="0" fontId="0" fillId="0" borderId="75" xfId="0" applyBorder="1" applyAlignment="1">
      <alignment horizontal="left" indent="1"/>
    </xf>
    <xf numFmtId="16" fontId="0" fillId="0" borderId="75" xfId="0" applyNumberFormat="1" applyBorder="1" applyAlignment="1">
      <alignment horizontal="left" indent="1"/>
    </xf>
    <xf numFmtId="0" fontId="12" fillId="0" borderId="75" xfId="3" applyFont="1" applyBorder="1" applyAlignment="1">
      <alignment horizontal="left" vertical="center" indent="1"/>
    </xf>
    <xf numFmtId="0" fontId="12" fillId="0" borderId="148" xfId="3" applyFont="1" applyBorder="1" applyAlignment="1">
      <alignment horizontal="left" vertical="center" indent="1"/>
    </xf>
    <xf numFmtId="0" fontId="22" fillId="0" borderId="0" xfId="3" applyFont="1" applyAlignment="1">
      <alignment horizontal="right" vertical="center" wrapText="1"/>
    </xf>
    <xf numFmtId="0" fontId="5" fillId="3" borderId="0" xfId="4" applyFont="1" applyFill="1" applyAlignment="1">
      <alignment horizontal="left"/>
    </xf>
    <xf numFmtId="0" fontId="5" fillId="3" borderId="0" xfId="4" applyFont="1" applyFill="1"/>
    <xf numFmtId="183" fontId="4" fillId="3" borderId="0" xfId="4" applyNumberFormat="1" applyFill="1" applyAlignment="1">
      <alignment horizontal="center" vertical="center"/>
    </xf>
    <xf numFmtId="0" fontId="96" fillId="3" borderId="99" xfId="10" applyFont="1" applyFill="1" applyBorder="1" applyAlignment="1">
      <alignment horizontal="center" vertical="center"/>
    </xf>
    <xf numFmtId="180" fontId="96" fillId="3" borderId="99" xfId="10" quotePrefix="1" applyNumberFormat="1" applyFont="1" applyFill="1" applyBorder="1" applyAlignment="1">
      <alignment horizontal="center" vertical="center"/>
    </xf>
    <xf numFmtId="183" fontId="96" fillId="3" borderId="99" xfId="1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57" fillId="0" borderId="156" xfId="6" quotePrefix="1" applyFont="1" applyBorder="1" applyAlignment="1" applyProtection="1">
      <alignment horizontal="left"/>
      <protection locked="0"/>
    </xf>
    <xf numFmtId="0" fontId="23" fillId="0" borderId="156" xfId="0" applyFont="1" applyBorder="1" applyProtection="1">
      <protection locked="0"/>
    </xf>
    <xf numFmtId="179" fontId="0" fillId="3" borderId="99" xfId="0" applyNumberFormat="1" applyFill="1" applyBorder="1" applyAlignment="1">
      <alignment horizontal="center"/>
    </xf>
    <xf numFmtId="179" fontId="4" fillId="3" borderId="99" xfId="0" applyNumberFormat="1" applyFont="1" applyFill="1" applyBorder="1" applyAlignment="1">
      <alignment horizontal="center" vertical="center"/>
    </xf>
    <xf numFmtId="0" fontId="12" fillId="0" borderId="99" xfId="3" applyFont="1" applyBorder="1" applyAlignment="1">
      <alignment horizontal="center" vertical="center" wrapText="1"/>
    </xf>
    <xf numFmtId="0" fontId="12" fillId="0" borderId="77" xfId="3" applyFont="1" applyBorder="1" applyAlignment="1">
      <alignment horizontal="center" vertical="center"/>
    </xf>
    <xf numFmtId="0" fontId="12" fillId="0" borderId="97" xfId="3" applyFont="1" applyBorder="1" applyAlignment="1">
      <alignment horizontal="center" vertical="center"/>
    </xf>
    <xf numFmtId="0" fontId="17" fillId="0" borderId="0" xfId="1" applyFont="1" applyFill="1" applyBorder="1" applyAlignment="1" applyProtection="1">
      <alignment horizontal="center" vertical="center" wrapText="1"/>
    </xf>
    <xf numFmtId="0" fontId="22" fillId="0" borderId="77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56" fillId="0" borderId="77" xfId="0" applyFont="1" applyBorder="1" applyAlignment="1" applyProtection="1">
      <alignment horizontal="center" vertical="center"/>
      <protection hidden="1"/>
    </xf>
    <xf numFmtId="0" fontId="56" fillId="0" borderId="97" xfId="0" applyFont="1" applyBorder="1" applyAlignment="1" applyProtection="1">
      <alignment horizontal="center" vertical="center"/>
      <protection hidden="1"/>
    </xf>
    <xf numFmtId="0" fontId="17" fillId="0" borderId="77" xfId="0" applyFont="1" applyBorder="1" applyAlignment="1" applyProtection="1">
      <alignment horizontal="center" vertical="center"/>
      <protection locked="0"/>
    </xf>
    <xf numFmtId="0" fontId="17" fillId="0" borderId="97" xfId="0" applyFont="1" applyBorder="1" applyAlignment="1" applyProtection="1">
      <alignment horizontal="center" vertical="center"/>
      <protection locked="0"/>
    </xf>
    <xf numFmtId="0" fontId="22" fillId="0" borderId="0" xfId="3" applyFont="1" applyAlignment="1">
      <alignment horizontal="center" vertical="center"/>
    </xf>
    <xf numFmtId="0" fontId="105" fillId="0" borderId="77" xfId="3" applyFont="1" applyBorder="1" applyAlignment="1">
      <alignment horizontal="center" vertical="center" wrapText="1"/>
    </xf>
    <xf numFmtId="0" fontId="105" fillId="0" borderId="95" xfId="3" applyFont="1" applyBorder="1" applyAlignment="1">
      <alignment horizontal="center" vertical="center" wrapText="1"/>
    </xf>
    <xf numFmtId="0" fontId="105" fillId="0" borderId="97" xfId="3" applyFont="1" applyBorder="1" applyAlignment="1">
      <alignment horizontal="center" vertical="center" wrapText="1"/>
    </xf>
    <xf numFmtId="0" fontId="22" fillId="0" borderId="77" xfId="0" applyFont="1" applyBorder="1" applyAlignment="1" applyProtection="1">
      <alignment horizontal="center" vertical="center"/>
      <protection hidden="1"/>
    </xf>
    <xf numFmtId="0" fontId="22" fillId="0" borderId="95" xfId="0" applyFont="1" applyBorder="1" applyAlignment="1" applyProtection="1">
      <alignment horizontal="center" vertical="center"/>
      <protection hidden="1"/>
    </xf>
    <xf numFmtId="0" fontId="22" fillId="0" borderId="97" xfId="0" applyFont="1" applyBorder="1" applyAlignment="1" applyProtection="1">
      <alignment horizontal="center" vertical="center"/>
      <protection hidden="1"/>
    </xf>
    <xf numFmtId="0" fontId="23" fillId="0" borderId="83" xfId="0" applyFont="1" applyBorder="1" applyAlignment="1" applyProtection="1">
      <alignment horizontal="center" wrapText="1"/>
      <protection hidden="1"/>
    </xf>
    <xf numFmtId="0" fontId="23" fillId="0" borderId="84" xfId="0" applyFont="1" applyBorder="1" applyAlignment="1" applyProtection="1">
      <alignment horizontal="center" wrapText="1"/>
      <protection hidden="1"/>
    </xf>
    <xf numFmtId="0" fontId="23" fillId="0" borderId="155" xfId="0" applyFont="1" applyBorder="1" applyAlignment="1" applyProtection="1">
      <alignment horizontal="center" wrapText="1"/>
      <protection hidden="1"/>
    </xf>
    <xf numFmtId="0" fontId="23" fillId="0" borderId="157" xfId="0" applyFont="1" applyBorder="1" applyAlignment="1" applyProtection="1">
      <alignment horizontal="center" wrapText="1"/>
      <protection hidden="1"/>
    </xf>
    <xf numFmtId="0" fontId="17" fillId="0" borderId="77" xfId="0" applyFont="1" applyBorder="1" applyAlignment="1" applyProtection="1">
      <alignment horizontal="center" vertical="center"/>
      <protection hidden="1"/>
    </xf>
    <xf numFmtId="0" fontId="17" fillId="0" borderId="97" xfId="0" applyFont="1" applyBorder="1" applyAlignment="1" applyProtection="1">
      <alignment horizontal="center" vertical="center"/>
      <protection hidden="1"/>
    </xf>
    <xf numFmtId="0" fontId="23" fillId="0" borderId="77" xfId="0" applyFont="1" applyBorder="1" applyAlignment="1" applyProtection="1">
      <alignment horizontal="center"/>
      <protection hidden="1"/>
    </xf>
    <xf numFmtId="0" fontId="23" fillId="0" borderId="97" xfId="0" applyFont="1" applyBorder="1" applyAlignment="1" applyProtection="1">
      <alignment horizontal="center"/>
      <protection hidden="1"/>
    </xf>
    <xf numFmtId="0" fontId="22" fillId="0" borderId="95" xfId="0" applyFont="1" applyBorder="1" applyAlignment="1">
      <alignment horizontal="center" vertical="center"/>
    </xf>
    <xf numFmtId="0" fontId="105" fillId="0" borderId="77" xfId="3" applyFont="1" applyBorder="1" applyAlignment="1">
      <alignment horizontal="center" vertical="center"/>
    </xf>
    <xf numFmtId="0" fontId="105" fillId="0" borderId="95" xfId="3" applyFont="1" applyBorder="1" applyAlignment="1">
      <alignment horizontal="center" vertical="center"/>
    </xf>
    <xf numFmtId="0" fontId="105" fillId="0" borderId="97" xfId="3" applyFont="1" applyBorder="1" applyAlignment="1">
      <alignment horizontal="center" vertical="center"/>
    </xf>
    <xf numFmtId="0" fontId="17" fillId="0" borderId="99" xfId="0" applyFont="1" applyBorder="1" applyAlignment="1" applyProtection="1">
      <alignment horizontal="center" vertical="center"/>
      <protection hidden="1"/>
    </xf>
    <xf numFmtId="0" fontId="12" fillId="0" borderId="83" xfId="3" applyFont="1" applyBorder="1" applyAlignment="1">
      <alignment horizontal="left" vertical="center" wrapText="1"/>
    </xf>
    <xf numFmtId="0" fontId="12" fillId="0" borderId="84" xfId="3" applyFont="1" applyBorder="1" applyAlignment="1">
      <alignment horizontal="left" vertical="center" wrapText="1"/>
    </xf>
    <xf numFmtId="0" fontId="12" fillId="0" borderId="155" xfId="3" applyFont="1" applyBorder="1" applyAlignment="1">
      <alignment horizontal="left" vertical="center" wrapText="1"/>
    </xf>
    <xf numFmtId="0" fontId="12" fillId="0" borderId="157" xfId="3" applyFont="1" applyBorder="1" applyAlignment="1">
      <alignment horizontal="left" vertical="center" wrapText="1"/>
    </xf>
    <xf numFmtId="0" fontId="17" fillId="0" borderId="77" xfId="3" applyFont="1" applyBorder="1" applyAlignment="1">
      <alignment horizontal="center" vertical="center"/>
    </xf>
    <xf numFmtId="0" fontId="17" fillId="0" borderId="97" xfId="3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89" fontId="25" fillId="0" borderId="0" xfId="0" applyNumberFormat="1" applyFont="1" applyAlignment="1" applyProtection="1">
      <alignment horizontal="center"/>
      <protection hidden="1"/>
    </xf>
    <xf numFmtId="0" fontId="22" fillId="0" borderId="77" xfId="3" applyFont="1" applyBorder="1" applyAlignment="1">
      <alignment horizontal="center" vertical="center"/>
    </xf>
    <xf numFmtId="0" fontId="22" fillId="0" borderId="97" xfId="3" applyFont="1" applyBorder="1" applyAlignment="1">
      <alignment horizontal="center" vertical="center"/>
    </xf>
    <xf numFmtId="0" fontId="97" fillId="0" borderId="83" xfId="0" applyFont="1" applyBorder="1" applyAlignment="1" applyProtection="1">
      <alignment horizontal="center" vertical="center" wrapText="1"/>
      <protection hidden="1"/>
    </xf>
    <xf numFmtId="0" fontId="97" fillId="0" borderId="118" xfId="0" applyFont="1" applyBorder="1" applyAlignment="1" applyProtection="1">
      <alignment horizontal="center" vertical="center" wrapText="1"/>
      <protection hidden="1"/>
    </xf>
    <xf numFmtId="0" fontId="97" fillId="0" borderId="84" xfId="0" applyFont="1" applyBorder="1" applyAlignment="1" applyProtection="1">
      <alignment horizontal="center" vertical="center" wrapText="1"/>
      <protection hidden="1"/>
    </xf>
    <xf numFmtId="0" fontId="97" fillId="0" borderId="155" xfId="0" applyFont="1" applyBorder="1" applyAlignment="1" applyProtection="1">
      <alignment horizontal="center" vertical="center" wrapText="1"/>
      <protection hidden="1"/>
    </xf>
    <xf numFmtId="0" fontId="97" fillId="0" borderId="156" xfId="0" applyFont="1" applyBorder="1" applyAlignment="1" applyProtection="1">
      <alignment horizontal="center" vertical="center" wrapText="1"/>
      <protection hidden="1"/>
    </xf>
    <xf numFmtId="0" fontId="97" fillId="0" borderId="157" xfId="0" applyFont="1" applyBorder="1" applyAlignment="1" applyProtection="1">
      <alignment horizontal="center" vertical="center" wrapText="1"/>
      <protection hidden="1"/>
    </xf>
    <xf numFmtId="0" fontId="24" fillId="0" borderId="77" xfId="0" applyFont="1" applyBorder="1" applyAlignment="1">
      <alignment horizontal="center" vertical="center"/>
    </xf>
    <xf numFmtId="0" fontId="24" fillId="0" borderId="95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17" fillId="0" borderId="162" xfId="0" applyFont="1" applyBorder="1" applyAlignment="1">
      <alignment horizontal="center" vertical="center"/>
    </xf>
    <xf numFmtId="0" fontId="17" fillId="0" borderId="163" xfId="0" applyFont="1" applyBorder="1" applyAlignment="1">
      <alignment horizontal="center" vertical="center"/>
    </xf>
    <xf numFmtId="0" fontId="17" fillId="0" borderId="158" xfId="0" applyFont="1" applyBorder="1" applyAlignment="1">
      <alignment horizontal="center" vertical="center"/>
    </xf>
    <xf numFmtId="0" fontId="17" fillId="0" borderId="159" xfId="0" applyFont="1" applyBorder="1" applyAlignment="1">
      <alignment horizontal="center" vertical="center"/>
    </xf>
    <xf numFmtId="0" fontId="17" fillId="0" borderId="160" xfId="0" applyFont="1" applyBorder="1" applyAlignment="1">
      <alignment horizontal="center" vertical="center"/>
    </xf>
    <xf numFmtId="0" fontId="17" fillId="0" borderId="99" xfId="0" quotePrefix="1" applyFont="1" applyBorder="1" applyAlignment="1" applyProtection="1">
      <alignment horizontal="center" vertical="center"/>
      <protection locked="0"/>
    </xf>
    <xf numFmtId="0" fontId="17" fillId="0" borderId="99" xfId="0" applyFont="1" applyBorder="1" applyAlignment="1" applyProtection="1">
      <alignment horizontal="center" vertical="center"/>
      <protection locked="0"/>
    </xf>
    <xf numFmtId="0" fontId="17" fillId="0" borderId="77" xfId="0" applyFont="1" applyBorder="1" applyAlignment="1" applyProtection="1">
      <alignment horizontal="center"/>
      <protection locked="0"/>
    </xf>
    <xf numFmtId="0" fontId="17" fillId="0" borderId="95" xfId="0" applyFont="1" applyBorder="1" applyAlignment="1" applyProtection="1">
      <alignment horizontal="center"/>
      <protection locked="0"/>
    </xf>
    <xf numFmtId="0" fontId="17" fillId="0" borderId="97" xfId="0" applyFont="1" applyBorder="1" applyAlignment="1" applyProtection="1">
      <alignment horizontal="center"/>
      <protection locked="0"/>
    </xf>
    <xf numFmtId="167" fontId="17" fillId="0" borderId="158" xfId="0" applyNumberFormat="1" applyFont="1" applyBorder="1" applyAlignment="1">
      <alignment horizontal="center" vertical="center"/>
    </xf>
    <xf numFmtId="167" fontId="17" fillId="0" borderId="160" xfId="0" applyNumberFormat="1" applyFont="1" applyBorder="1" applyAlignment="1">
      <alignment horizontal="center" vertical="center"/>
    </xf>
    <xf numFmtId="0" fontId="57" fillId="0" borderId="0" xfId="6" quotePrefix="1" applyFont="1" applyAlignment="1">
      <alignment horizontal="left" vertical="center" wrapText="1"/>
    </xf>
    <xf numFmtId="12" fontId="17" fillId="0" borderId="99" xfId="0" quotePrefix="1" applyNumberFormat="1" applyFont="1" applyBorder="1" applyAlignment="1" applyProtection="1">
      <alignment horizontal="center" vertical="center"/>
      <protection locked="0"/>
    </xf>
    <xf numFmtId="0" fontId="17" fillId="0" borderId="0" xfId="6" quotePrefix="1" applyFont="1" applyAlignment="1">
      <alignment horizontal="left" vertical="center" wrapText="1"/>
    </xf>
    <xf numFmtId="0" fontId="17" fillId="0" borderId="0" xfId="6" quotePrefix="1" applyFont="1" applyAlignment="1">
      <alignment horizontal="left" vertical="center"/>
    </xf>
    <xf numFmtId="0" fontId="22" fillId="0" borderId="77" xfId="4" applyFont="1" applyBorder="1" applyAlignment="1">
      <alignment horizontal="center" vertical="center"/>
    </xf>
    <xf numFmtId="0" fontId="22" fillId="0" borderId="95" xfId="4" applyFont="1" applyBorder="1" applyAlignment="1">
      <alignment horizontal="center" vertical="center"/>
    </xf>
    <xf numFmtId="0" fontId="22" fillId="0" borderId="97" xfId="4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 wrapText="1"/>
    </xf>
    <xf numFmtId="0" fontId="22" fillId="0" borderId="9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5" xfId="0" applyFont="1" applyBorder="1" applyAlignment="1">
      <alignment horizontal="center" vertical="center" wrapText="1"/>
    </xf>
    <xf numFmtId="0" fontId="5" fillId="0" borderId="156" xfId="0" applyFont="1" applyBorder="1" applyAlignment="1">
      <alignment horizontal="center" vertical="center" wrapText="1"/>
    </xf>
    <xf numFmtId="0" fontId="5" fillId="0" borderId="157" xfId="0" applyFont="1" applyBorder="1" applyAlignment="1">
      <alignment horizontal="center" vertical="center" wrapText="1"/>
    </xf>
    <xf numFmtId="185" fontId="25" fillId="0" borderId="0" xfId="4" applyNumberFormat="1" applyFont="1" applyAlignment="1" applyProtection="1">
      <alignment horizontal="center"/>
      <protection locked="0"/>
    </xf>
    <xf numFmtId="0" fontId="22" fillId="0" borderId="95" xfId="0" applyFont="1" applyBorder="1" applyAlignment="1">
      <alignment horizontal="center" vertical="center" wrapText="1"/>
    </xf>
    <xf numFmtId="0" fontId="12" fillId="0" borderId="0" xfId="3" applyFont="1" applyAlignment="1" applyProtection="1">
      <alignment horizontal="left" wrapText="1"/>
      <protection locked="0"/>
    </xf>
    <xf numFmtId="167" fontId="17" fillId="0" borderId="161" xfId="0" applyNumberFormat="1" applyFont="1" applyBorder="1" applyAlignment="1">
      <alignment horizontal="center" vertical="center"/>
    </xf>
    <xf numFmtId="167" fontId="17" fillId="0" borderId="163" xfId="0" applyNumberFormat="1" applyFont="1" applyBorder="1" applyAlignment="1">
      <alignment horizontal="center" vertical="center"/>
    </xf>
    <xf numFmtId="164" fontId="17" fillId="0" borderId="161" xfId="0" applyNumberFormat="1" applyFont="1" applyBorder="1" applyAlignment="1">
      <alignment horizontal="center" vertical="center"/>
    </xf>
    <xf numFmtId="164" fontId="17" fillId="0" borderId="163" xfId="0" applyNumberFormat="1" applyFont="1" applyBorder="1" applyAlignment="1">
      <alignment horizontal="center" vertical="center"/>
    </xf>
    <xf numFmtId="2" fontId="17" fillId="0" borderId="161" xfId="0" applyNumberFormat="1" applyFont="1" applyBorder="1" applyAlignment="1">
      <alignment horizontal="center" vertical="center"/>
    </xf>
    <xf numFmtId="2" fontId="17" fillId="0" borderId="163" xfId="0" applyNumberFormat="1" applyFont="1" applyBorder="1" applyAlignment="1">
      <alignment horizontal="center" vertical="center"/>
    </xf>
    <xf numFmtId="0" fontId="22" fillId="0" borderId="77" xfId="4" applyFont="1" applyBorder="1" applyAlignment="1" applyProtection="1">
      <alignment horizontal="center" vertical="center"/>
      <protection locked="0"/>
    </xf>
    <xf numFmtId="0" fontId="22" fillId="0" borderId="95" xfId="4" applyFont="1" applyBorder="1" applyAlignment="1" applyProtection="1">
      <alignment horizontal="center" vertical="center"/>
      <protection locked="0"/>
    </xf>
    <xf numFmtId="0" fontId="22" fillId="0" borderId="97" xfId="4" applyFont="1" applyBorder="1" applyAlignment="1" applyProtection="1">
      <alignment horizontal="center" vertical="center"/>
      <protection locked="0"/>
    </xf>
    <xf numFmtId="0" fontId="56" fillId="0" borderId="90" xfId="0" applyFont="1" applyBorder="1" applyAlignment="1">
      <alignment horizontal="center" vertical="center" wrapText="1"/>
    </xf>
    <xf numFmtId="0" fontId="56" fillId="0" borderId="148" xfId="0" applyFont="1" applyBorder="1" applyAlignment="1">
      <alignment horizontal="center" vertical="center" wrapText="1"/>
    </xf>
    <xf numFmtId="0" fontId="56" fillId="0" borderId="77" xfId="0" applyFont="1" applyBorder="1" applyAlignment="1">
      <alignment horizontal="center" vertical="center"/>
    </xf>
    <xf numFmtId="0" fontId="56" fillId="0" borderId="97" xfId="0" applyFont="1" applyBorder="1" applyAlignment="1">
      <alignment horizontal="center" vertical="center"/>
    </xf>
    <xf numFmtId="1" fontId="17" fillId="0" borderId="164" xfId="0" applyNumberFormat="1" applyFont="1" applyBorder="1" applyAlignment="1">
      <alignment horizontal="center" vertical="center"/>
    </xf>
    <xf numFmtId="1" fontId="17" fillId="0" borderId="165" xfId="0" applyNumberFormat="1" applyFont="1" applyBorder="1" applyAlignment="1">
      <alignment horizontal="center" vertical="center"/>
    </xf>
    <xf numFmtId="1" fontId="17" fillId="0" borderId="161" xfId="0" applyNumberFormat="1" applyFont="1" applyBorder="1" applyAlignment="1">
      <alignment horizontal="center" vertical="center"/>
    </xf>
    <xf numFmtId="1" fontId="17" fillId="0" borderId="163" xfId="0" applyNumberFormat="1" applyFont="1" applyBorder="1" applyAlignment="1">
      <alignment horizontal="center" vertical="center"/>
    </xf>
    <xf numFmtId="0" fontId="56" fillId="0" borderId="95" xfId="0" applyFont="1" applyBorder="1" applyAlignment="1">
      <alignment horizontal="center" vertical="center"/>
    </xf>
    <xf numFmtId="0" fontId="17" fillId="0" borderId="164" xfId="0" applyFont="1" applyBorder="1" applyAlignment="1">
      <alignment horizontal="center" vertical="center"/>
    </xf>
    <xf numFmtId="0" fontId="17" fillId="0" borderId="166" xfId="0" applyFont="1" applyBorder="1" applyAlignment="1">
      <alignment horizontal="center" vertical="center"/>
    </xf>
    <xf numFmtId="0" fontId="17" fillId="0" borderId="165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29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164" fontId="17" fillId="0" borderId="37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188" fontId="17" fillId="0" borderId="86" xfId="0" applyNumberFormat="1" applyFont="1" applyBorder="1" applyAlignment="1" applyProtection="1">
      <alignment horizontal="center" vertical="center"/>
      <protection locked="0"/>
    </xf>
    <xf numFmtId="188" fontId="17" fillId="0" borderId="0" xfId="0" applyNumberFormat="1" applyFont="1" applyAlignment="1" applyProtection="1">
      <alignment horizontal="center" vertical="center"/>
      <protection locked="0"/>
    </xf>
    <xf numFmtId="188" fontId="17" fillId="0" borderId="14" xfId="0" applyNumberFormat="1" applyFont="1" applyBorder="1" applyAlignment="1" applyProtection="1">
      <alignment horizontal="center" vertical="center"/>
      <protection locked="0"/>
    </xf>
    <xf numFmtId="12" fontId="17" fillId="0" borderId="161" xfId="0" applyNumberFormat="1" applyFont="1" applyBorder="1" applyAlignment="1">
      <alignment horizontal="center" vertical="center"/>
    </xf>
    <xf numFmtId="12" fontId="17" fillId="0" borderId="162" xfId="0" applyNumberFormat="1" applyFont="1" applyBorder="1" applyAlignment="1">
      <alignment horizontal="center" vertical="center"/>
    </xf>
    <xf numFmtId="12" fontId="17" fillId="0" borderId="163" xfId="0" applyNumberFormat="1" applyFont="1" applyBorder="1" applyAlignment="1">
      <alignment horizontal="center" vertical="center"/>
    </xf>
    <xf numFmtId="183" fontId="4" fillId="3" borderId="77" xfId="4" applyNumberFormat="1" applyFill="1" applyBorder="1" applyAlignment="1">
      <alignment horizontal="center" vertical="center"/>
    </xf>
    <xf numFmtId="183" fontId="4" fillId="3" borderId="9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23" fillId="20" borderId="77" xfId="9" applyFont="1" applyFill="1" applyBorder="1" applyAlignment="1">
      <alignment horizontal="center" vertical="center" wrapText="1"/>
    </xf>
    <xf numFmtId="0" fontId="23" fillId="20" borderId="95" xfId="9" applyFont="1" applyFill="1" applyBorder="1" applyAlignment="1">
      <alignment horizontal="center" vertical="center" wrapText="1"/>
    </xf>
    <xf numFmtId="0" fontId="23" fillId="20" borderId="97" xfId="9" applyFont="1" applyFill="1" applyBorder="1" applyAlignment="1">
      <alignment horizontal="center" vertical="center" wrapText="1"/>
    </xf>
    <xf numFmtId="0" fontId="23" fillId="3" borderId="83" xfId="10" applyFont="1" applyFill="1" applyBorder="1" applyAlignment="1">
      <alignment horizontal="center"/>
    </xf>
    <xf numFmtId="0" fontId="23" fillId="3" borderId="84" xfId="10" applyFont="1" applyFill="1" applyBorder="1" applyAlignment="1">
      <alignment horizontal="center"/>
    </xf>
    <xf numFmtId="0" fontId="23" fillId="3" borderId="86" xfId="10" applyFont="1" applyFill="1" applyBorder="1" applyAlignment="1">
      <alignment horizontal="center"/>
    </xf>
    <xf numFmtId="0" fontId="23" fillId="3" borderId="14" xfId="10" applyFont="1" applyFill="1" applyBorder="1" applyAlignment="1">
      <alignment horizontal="center"/>
    </xf>
    <xf numFmtId="0" fontId="23" fillId="3" borderId="15" xfId="10" applyFont="1" applyFill="1" applyBorder="1" applyAlignment="1">
      <alignment horizontal="center"/>
    </xf>
    <xf numFmtId="0" fontId="23" fillId="3" borderId="16" xfId="10" applyFont="1" applyFill="1" applyBorder="1" applyAlignment="1">
      <alignment horizontal="center"/>
    </xf>
    <xf numFmtId="0" fontId="16" fillId="3" borderId="83" xfId="10" applyFont="1" applyFill="1" applyBorder="1" applyAlignment="1">
      <alignment horizontal="center" vertical="center" wrapText="1"/>
    </xf>
    <xf numFmtId="0" fontId="16" fillId="3" borderId="118" xfId="10" applyFont="1" applyFill="1" applyBorder="1" applyAlignment="1">
      <alignment horizontal="center" vertical="center" wrapText="1"/>
    </xf>
    <xf numFmtId="0" fontId="16" fillId="3" borderId="84" xfId="10" applyFont="1" applyFill="1" applyBorder="1" applyAlignment="1">
      <alignment horizontal="center" vertical="center" wrapText="1"/>
    </xf>
    <xf numFmtId="0" fontId="16" fillId="3" borderId="86" xfId="10" applyFont="1" applyFill="1" applyBorder="1" applyAlignment="1">
      <alignment horizontal="center" vertical="center" wrapText="1"/>
    </xf>
    <xf numFmtId="0" fontId="16" fillId="3" borderId="0" xfId="10" applyFont="1" applyFill="1" applyAlignment="1">
      <alignment horizontal="center" vertical="center" wrapText="1"/>
    </xf>
    <xf numFmtId="0" fontId="16" fillId="3" borderId="14" xfId="10" applyFont="1" applyFill="1" applyBorder="1" applyAlignment="1">
      <alignment horizontal="center" vertical="center" wrapText="1"/>
    </xf>
    <xf numFmtId="0" fontId="16" fillId="3" borderId="15" xfId="10" applyFont="1" applyFill="1" applyBorder="1" applyAlignment="1">
      <alignment horizontal="center" vertical="center" wrapText="1"/>
    </xf>
    <xf numFmtId="0" fontId="16" fillId="3" borderId="10" xfId="10" applyFont="1" applyFill="1" applyBorder="1" applyAlignment="1">
      <alignment horizontal="center" vertical="center" wrapText="1"/>
    </xf>
    <xf numFmtId="0" fontId="16" fillId="3" borderId="16" xfId="10" applyFont="1" applyFill="1" applyBorder="1" applyAlignment="1">
      <alignment horizontal="center" vertical="center" wrapText="1"/>
    </xf>
    <xf numFmtId="0" fontId="96" fillId="0" borderId="77" xfId="0" applyFont="1" applyBorder="1" applyAlignment="1">
      <alignment horizontal="center" vertical="center"/>
    </xf>
    <xf numFmtId="0" fontId="96" fillId="0" borderId="97" xfId="0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83" fontId="96" fillId="0" borderId="77" xfId="0" applyNumberFormat="1" applyFont="1" applyBorder="1" applyAlignment="1">
      <alignment horizontal="center" vertical="center"/>
    </xf>
    <xf numFmtId="183" fontId="96" fillId="0" borderId="97" xfId="0" applyNumberFormat="1" applyFont="1" applyBorder="1" applyAlignment="1">
      <alignment horizontal="center" vertical="center"/>
    </xf>
    <xf numFmtId="0" fontId="72" fillId="3" borderId="77" xfId="4" applyFont="1" applyFill="1" applyBorder="1" applyAlignment="1">
      <alignment horizontal="center"/>
    </xf>
    <xf numFmtId="0" fontId="72" fillId="3" borderId="95" xfId="4" applyFont="1" applyFill="1" applyBorder="1" applyAlignment="1">
      <alignment horizontal="center"/>
    </xf>
    <xf numFmtId="0" fontId="72" fillId="3" borderId="97" xfId="4" applyFont="1" applyFill="1" applyBorder="1" applyAlignment="1">
      <alignment horizontal="center"/>
    </xf>
    <xf numFmtId="0" fontId="56" fillId="3" borderId="119" xfId="0" applyFont="1" applyFill="1" applyBorder="1" applyAlignment="1">
      <alignment horizontal="center" vertical="center"/>
    </xf>
    <xf numFmtId="0" fontId="56" fillId="3" borderId="104" xfId="0" applyFont="1" applyFill="1" applyBorder="1" applyAlignment="1">
      <alignment horizontal="center" vertical="center"/>
    </xf>
    <xf numFmtId="0" fontId="56" fillId="3" borderId="127" xfId="0" applyFont="1" applyFill="1" applyBorder="1" applyAlignment="1">
      <alignment horizontal="center" vertical="center" wrapText="1"/>
    </xf>
    <xf numFmtId="0" fontId="56" fillId="3" borderId="129" xfId="0" applyFont="1" applyFill="1" applyBorder="1" applyAlignment="1">
      <alignment horizontal="center" vertical="center" wrapText="1"/>
    </xf>
    <xf numFmtId="0" fontId="56" fillId="3" borderId="128" xfId="0" applyFont="1" applyFill="1" applyBorder="1" applyAlignment="1">
      <alignment horizontal="center" vertical="center" wrapText="1"/>
    </xf>
    <xf numFmtId="0" fontId="56" fillId="3" borderId="130" xfId="0" applyFont="1" applyFill="1" applyBorder="1" applyAlignment="1">
      <alignment horizontal="center" vertical="center" wrapText="1"/>
    </xf>
    <xf numFmtId="172" fontId="55" fillId="3" borderId="77" xfId="4" quotePrefix="1" applyNumberFormat="1" applyFont="1" applyFill="1" applyBorder="1" applyAlignment="1">
      <alignment horizontal="center" vertical="center" wrapText="1"/>
    </xf>
    <xf numFmtId="172" fontId="55" fillId="3" borderId="95" xfId="4" quotePrefix="1" applyNumberFormat="1" applyFont="1" applyFill="1" applyBorder="1" applyAlignment="1">
      <alignment horizontal="center" vertical="center" wrapText="1"/>
    </xf>
    <xf numFmtId="172" fontId="55" fillId="3" borderId="97" xfId="4" quotePrefix="1" applyNumberFormat="1" applyFont="1" applyFill="1" applyBorder="1" applyAlignment="1">
      <alignment horizontal="center" vertical="center" wrapText="1"/>
    </xf>
    <xf numFmtId="172" fontId="56" fillId="3" borderId="77" xfId="4" quotePrefix="1" applyNumberFormat="1" applyFont="1" applyFill="1" applyBorder="1" applyAlignment="1">
      <alignment horizontal="left" vertical="center"/>
    </xf>
    <xf numFmtId="172" fontId="56" fillId="3" borderId="97" xfId="4" quotePrefix="1" applyNumberFormat="1" applyFont="1" applyFill="1" applyBorder="1" applyAlignment="1">
      <alignment horizontal="left" vertical="center"/>
    </xf>
    <xf numFmtId="3" fontId="11" fillId="3" borderId="0" xfId="4" applyNumberFormat="1" applyFont="1" applyFill="1" applyAlignment="1">
      <alignment horizontal="center" vertical="center" wrapText="1"/>
    </xf>
    <xf numFmtId="166" fontId="21" fillId="3" borderId="0" xfId="4" applyNumberFormat="1" applyFont="1" applyFill="1" applyAlignment="1">
      <alignment horizontal="center" vertical="center" wrapText="1"/>
    </xf>
    <xf numFmtId="0" fontId="17" fillId="0" borderId="0" xfId="1" applyFont="1" applyBorder="1" applyAlignment="1" applyProtection="1">
      <alignment horizontal="center" vertical="center" wrapText="1"/>
    </xf>
    <xf numFmtId="0" fontId="5" fillId="0" borderId="83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84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16" xfId="4" applyFont="1" applyBorder="1" applyAlignment="1" applyProtection="1">
      <alignment horizontal="center" vertical="center" wrapText="1"/>
      <protection hidden="1"/>
    </xf>
    <xf numFmtId="0" fontId="24" fillId="2" borderId="86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4" xfId="3" applyFont="1" applyFill="1" applyBorder="1" applyAlignment="1">
      <alignment horizontal="left" vertical="center" wrapText="1"/>
    </xf>
    <xf numFmtId="0" fontId="14" fillId="0" borderId="11" xfId="4" applyFont="1" applyBorder="1" applyAlignment="1">
      <alignment horizontal="center" vertical="center" wrapText="1"/>
    </xf>
    <xf numFmtId="172" fontId="54" fillId="3" borderId="77" xfId="4" quotePrefix="1" applyNumberFormat="1" applyFont="1" applyFill="1" applyBorder="1" applyAlignment="1">
      <alignment horizontal="center" vertical="center" wrapText="1"/>
    </xf>
    <xf numFmtId="172" fontId="54" fillId="3" borderId="95" xfId="4" quotePrefix="1" applyNumberFormat="1" applyFont="1" applyFill="1" applyBorder="1" applyAlignment="1">
      <alignment horizontal="center" vertical="center" wrapText="1"/>
    </xf>
    <xf numFmtId="172" fontId="54" fillId="3" borderId="96" xfId="4" quotePrefix="1" applyNumberFormat="1" applyFont="1" applyFill="1" applyBorder="1" applyAlignment="1">
      <alignment horizontal="center" vertical="center" wrapText="1"/>
    </xf>
    <xf numFmtId="172" fontId="54" fillId="3" borderId="1" xfId="4" quotePrefix="1" applyNumberFormat="1" applyFont="1" applyFill="1" applyBorder="1" applyAlignment="1">
      <alignment horizontal="center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4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5" fillId="19" borderId="101" xfId="0" applyFont="1" applyFill="1" applyBorder="1" applyAlignment="1">
      <alignment horizontal="center" vertical="center" wrapText="1"/>
    </xf>
    <xf numFmtId="0" fontId="5" fillId="19" borderId="102" xfId="0" applyFont="1" applyFill="1" applyBorder="1" applyAlignment="1">
      <alignment horizontal="center" vertical="center" wrapText="1"/>
    </xf>
    <xf numFmtId="0" fontId="47" fillId="11" borderId="79" xfId="4" applyFont="1" applyFill="1" applyBorder="1" applyAlignment="1">
      <alignment horizontal="left" vertical="center" wrapText="1"/>
    </xf>
    <xf numFmtId="0" fontId="47" fillId="11" borderId="80" xfId="4" applyFont="1" applyFill="1" applyBorder="1" applyAlignment="1">
      <alignment horizontal="left" vertical="center" wrapText="1"/>
    </xf>
    <xf numFmtId="0" fontId="33" fillId="12" borderId="82" xfId="4" applyFont="1" applyFill="1" applyBorder="1" applyAlignment="1">
      <alignment horizontal="center" vertical="center" textRotation="90" wrapText="1"/>
    </xf>
    <xf numFmtId="0" fontId="33" fillId="12" borderId="74" xfId="4" applyFont="1" applyFill="1" applyBorder="1" applyAlignment="1">
      <alignment horizontal="center" vertical="center" textRotation="90" wrapText="1"/>
    </xf>
    <xf numFmtId="0" fontId="33" fillId="12" borderId="91" xfId="4" applyFont="1" applyFill="1" applyBorder="1" applyAlignment="1">
      <alignment horizontal="center" vertical="center" textRotation="90" wrapText="1"/>
    </xf>
    <xf numFmtId="0" fontId="48" fillId="12" borderId="83" xfId="4" applyFont="1" applyFill="1" applyBorder="1" applyAlignment="1">
      <alignment horizontal="center" vertical="center" textRotation="90" wrapText="1"/>
    </xf>
    <xf numFmtId="0" fontId="48" fillId="12" borderId="84" xfId="4" applyFont="1" applyFill="1" applyBorder="1" applyAlignment="1">
      <alignment horizontal="center" vertical="center" textRotation="90" wrapText="1"/>
    </xf>
    <xf numFmtId="0" fontId="48" fillId="12" borderId="86" xfId="4" applyFont="1" applyFill="1" applyBorder="1" applyAlignment="1">
      <alignment horizontal="center" vertical="center" textRotation="90" wrapText="1"/>
    </xf>
    <xf numFmtId="0" fontId="48" fillId="12" borderId="14" xfId="4" applyFont="1" applyFill="1" applyBorder="1" applyAlignment="1">
      <alignment horizontal="center" vertical="center" textRotation="90" wrapText="1"/>
    </xf>
    <xf numFmtId="0" fontId="48" fillId="12" borderId="15" xfId="4" applyFont="1" applyFill="1" applyBorder="1" applyAlignment="1">
      <alignment horizontal="center" vertical="center" textRotation="90" wrapText="1"/>
    </xf>
    <xf numFmtId="0" fontId="48" fillId="12" borderId="16" xfId="4" applyFont="1" applyFill="1" applyBorder="1" applyAlignment="1">
      <alignment horizontal="center" vertical="center" textRotation="90" wrapText="1"/>
    </xf>
    <xf numFmtId="0" fontId="50" fillId="13" borderId="83" xfId="4" applyFont="1" applyFill="1" applyBorder="1" applyAlignment="1">
      <alignment horizontal="left" vertical="center" wrapText="1"/>
    </xf>
    <xf numFmtId="0" fontId="50" fillId="13" borderId="85" xfId="4" applyFont="1" applyFill="1" applyBorder="1" applyAlignment="1">
      <alignment horizontal="left" vertical="center" wrapText="1"/>
    </xf>
    <xf numFmtId="0" fontId="50" fillId="13" borderId="87" xfId="4" applyFont="1" applyFill="1" applyBorder="1" applyAlignment="1">
      <alignment horizontal="left" vertical="center" wrapText="1"/>
    </xf>
    <xf numFmtId="0" fontId="50" fillId="13" borderId="88" xfId="4" applyFont="1" applyFill="1" applyBorder="1" applyAlignment="1">
      <alignment horizontal="left" vertical="center" wrapText="1"/>
    </xf>
    <xf numFmtId="0" fontId="48" fillId="12" borderId="0" xfId="4" applyFont="1" applyFill="1" applyAlignment="1">
      <alignment horizontal="center" vertical="center" textRotation="90" wrapText="1"/>
    </xf>
    <xf numFmtId="0" fontId="48" fillId="12" borderId="10" xfId="4" applyFont="1" applyFill="1" applyBorder="1" applyAlignment="1">
      <alignment horizontal="center" vertical="center" textRotation="90" wrapText="1"/>
    </xf>
    <xf numFmtId="0" fontId="38" fillId="6" borderId="0" xfId="4" applyFont="1" applyFill="1" applyAlignment="1">
      <alignment horizontal="center"/>
    </xf>
    <xf numFmtId="0" fontId="34" fillId="6" borderId="73" xfId="4" applyFont="1" applyFill="1" applyBorder="1" applyAlignment="1">
      <alignment horizontal="center" vertical="center"/>
    </xf>
    <xf numFmtId="0" fontId="28" fillId="6" borderId="73" xfId="4" applyFont="1" applyFill="1" applyBorder="1" applyAlignment="1">
      <alignment horizontal="center" vertical="center" wrapText="1"/>
    </xf>
    <xf numFmtId="0" fontId="42" fillId="0" borderId="99" xfId="4" applyFont="1" applyBorder="1" applyAlignment="1">
      <alignment horizontal="center" wrapText="1"/>
    </xf>
    <xf numFmtId="0" fontId="31" fillId="7" borderId="74" xfId="4" applyFont="1" applyFill="1" applyBorder="1" applyAlignment="1">
      <alignment horizontal="center" vertical="center" textRotation="90" wrapText="1"/>
    </xf>
    <xf numFmtId="0" fontId="31" fillId="7" borderId="81" xfId="4" applyFont="1" applyFill="1" applyBorder="1" applyAlignment="1">
      <alignment horizontal="center" vertical="center" textRotation="90" wrapText="1"/>
    </xf>
    <xf numFmtId="0" fontId="44" fillId="7" borderId="75" xfId="4" applyFont="1" applyFill="1" applyBorder="1" applyAlignment="1">
      <alignment horizontal="center" vertical="center" textRotation="90" wrapText="1"/>
    </xf>
    <xf numFmtId="0" fontId="44" fillId="7" borderId="19" xfId="4" applyFont="1" applyFill="1" applyBorder="1" applyAlignment="1">
      <alignment horizontal="center" vertical="center" textRotation="90" wrapText="1"/>
    </xf>
    <xf numFmtId="0" fontId="44" fillId="7" borderId="0" xfId="4" applyFont="1" applyFill="1" applyAlignment="1">
      <alignment horizontal="center" vertical="center" textRotation="90" wrapText="1"/>
    </xf>
    <xf numFmtId="0" fontId="46" fillId="5" borderId="15" xfId="4" applyFont="1" applyFill="1" applyBorder="1" applyAlignment="1">
      <alignment horizontal="center" vertical="center" wrapText="1"/>
    </xf>
    <xf numFmtId="0" fontId="46" fillId="5" borderId="76" xfId="4" applyFont="1" applyFill="1" applyBorder="1" applyAlignment="1">
      <alignment horizontal="center" vertical="center" wrapText="1"/>
    </xf>
    <xf numFmtId="0" fontId="46" fillId="5" borderId="77" xfId="4" applyFont="1" applyFill="1" applyBorder="1" applyAlignment="1">
      <alignment horizontal="center" vertical="center" wrapText="1"/>
    </xf>
    <xf numFmtId="0" fontId="46" fillId="5" borderId="78" xfId="4" applyFont="1" applyFill="1" applyBorder="1" applyAlignment="1">
      <alignment horizontal="center" vertical="center" wrapText="1"/>
    </xf>
    <xf numFmtId="0" fontId="46" fillId="5" borderId="79" xfId="4" applyFont="1" applyFill="1" applyBorder="1" applyAlignment="1">
      <alignment horizontal="left" vertical="center" wrapText="1"/>
    </xf>
    <xf numFmtId="0" fontId="46" fillId="5" borderId="80" xfId="4" applyFont="1" applyFill="1" applyBorder="1" applyAlignment="1">
      <alignment horizontal="left" vertical="center" wrapText="1"/>
    </xf>
    <xf numFmtId="0" fontId="47" fillId="11" borderId="77" xfId="4" applyFont="1" applyFill="1" applyBorder="1" applyAlignment="1">
      <alignment horizontal="center" vertical="center" wrapText="1"/>
    </xf>
    <xf numFmtId="0" fontId="47" fillId="11" borderId="78" xfId="4" applyFont="1" applyFill="1" applyBorder="1" applyAlignment="1">
      <alignment horizontal="center" vertical="center" wrapText="1"/>
    </xf>
    <xf numFmtId="0" fontId="31" fillId="9" borderId="68" xfId="4" applyFont="1" applyFill="1" applyBorder="1" applyAlignment="1">
      <alignment horizontal="center" vertical="center"/>
    </xf>
    <xf numFmtId="0" fontId="31" fillId="9" borderId="69" xfId="4" applyFont="1" applyFill="1" applyBorder="1" applyAlignment="1">
      <alignment horizontal="center" vertical="center"/>
    </xf>
    <xf numFmtId="0" fontId="31" fillId="9" borderId="70" xfId="4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7" fillId="2" borderId="17" xfId="4" applyFont="1" applyFill="1" applyBorder="1" applyAlignment="1">
      <alignment horizontal="center"/>
    </xf>
    <xf numFmtId="0" fontId="37" fillId="2" borderId="18" xfId="4" applyFont="1" applyFill="1" applyBorder="1" applyAlignment="1">
      <alignment horizontal="center"/>
    </xf>
    <xf numFmtId="0" fontId="28" fillId="6" borderId="39" xfId="4" applyFont="1" applyFill="1" applyBorder="1" applyAlignment="1">
      <alignment horizontal="center" vertical="center" wrapText="1"/>
    </xf>
    <xf numFmtId="0" fontId="28" fillId="6" borderId="40" xfId="4" applyFont="1" applyFill="1" applyBorder="1" applyAlignment="1">
      <alignment horizontal="center" vertical="center" wrapText="1"/>
    </xf>
    <xf numFmtId="0" fontId="29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/>
    </xf>
    <xf numFmtId="0" fontId="30" fillId="6" borderId="41" xfId="4" applyFont="1" applyFill="1" applyBorder="1" applyAlignment="1">
      <alignment horizontal="center" vertical="center"/>
    </xf>
    <xf numFmtId="0" fontId="28" fillId="6" borderId="42" xfId="4" applyFont="1" applyFill="1" applyBorder="1" applyAlignment="1">
      <alignment horizontal="center" vertical="center" wrapText="1"/>
    </xf>
    <xf numFmtId="0" fontId="28" fillId="6" borderId="43" xfId="4" applyFont="1" applyFill="1" applyBorder="1" applyAlignment="1">
      <alignment horizontal="center" vertical="center"/>
    </xf>
    <xf numFmtId="0" fontId="28" fillId="6" borderId="50" xfId="4" applyFont="1" applyFill="1" applyBorder="1" applyAlignment="1">
      <alignment horizontal="center" vertical="center"/>
    </xf>
    <xf numFmtId="0" fontId="28" fillId="6" borderId="51" xfId="4" applyFont="1" applyFill="1" applyBorder="1" applyAlignment="1">
      <alignment horizontal="center" vertical="center"/>
    </xf>
    <xf numFmtId="0" fontId="31" fillId="6" borderId="44" xfId="4" applyFont="1" applyFill="1" applyBorder="1" applyAlignment="1">
      <alignment horizontal="center" vertical="center"/>
    </xf>
    <xf numFmtId="0" fontId="31" fillId="6" borderId="45" xfId="4" applyFont="1" applyFill="1" applyBorder="1" applyAlignment="1">
      <alignment horizontal="center" vertical="center"/>
    </xf>
    <xf numFmtId="0" fontId="31" fillId="6" borderId="42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1" fillId="6" borderId="46" xfId="4" applyFont="1" applyFill="1" applyBorder="1" applyAlignment="1">
      <alignment horizontal="center" vertical="center"/>
    </xf>
    <xf numFmtId="0" fontId="32" fillId="6" borderId="47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48" xfId="4" applyFont="1" applyFill="1" applyBorder="1" applyAlignment="1">
      <alignment horizontal="center" vertical="center"/>
    </xf>
    <xf numFmtId="0" fontId="32" fillId="6" borderId="55" xfId="4" applyFont="1" applyFill="1" applyBorder="1" applyAlignment="1">
      <alignment horizontal="center" vertical="center"/>
    </xf>
    <xf numFmtId="0" fontId="32" fillId="6" borderId="42" xfId="4" applyFont="1" applyFill="1" applyBorder="1" applyAlignment="1">
      <alignment horizontal="center" vertical="center"/>
    </xf>
    <xf numFmtId="0" fontId="32" fillId="6" borderId="50" xfId="4" applyFont="1" applyFill="1" applyBorder="1" applyAlignment="1">
      <alignment horizontal="center" vertical="center"/>
    </xf>
    <xf numFmtId="0" fontId="32" fillId="6" borderId="44" xfId="4" applyFont="1" applyFill="1" applyBorder="1" applyAlignment="1">
      <alignment horizontal="center" vertical="center"/>
    </xf>
    <xf numFmtId="0" fontId="32" fillId="6" borderId="49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52">
    <cellStyle name="20% - Énfasis1" xfId="29" builtinId="30" customBuiltin="1"/>
    <cellStyle name="20% - Énfasis2" xfId="33" builtinId="34" customBuiltin="1"/>
    <cellStyle name="20% - Énfasis3" xfId="37" builtinId="38" customBuiltin="1"/>
    <cellStyle name="20% - Énfasis4" xfId="41" builtinId="42" customBuiltin="1"/>
    <cellStyle name="20% - Énfasis5" xfId="45" builtinId="46" customBuiltin="1"/>
    <cellStyle name="20% - Énfasis6" xfId="49" builtinId="50" customBuiltin="1"/>
    <cellStyle name="40% - Énfasis1" xfId="30" builtinId="31" customBuiltin="1"/>
    <cellStyle name="40% - Énfasis2" xfId="34" builtinId="35" customBuiltin="1"/>
    <cellStyle name="40% - Énfasis3" xfId="38" builtinId="39" customBuiltin="1"/>
    <cellStyle name="40% - Énfasis4" xfId="42" builtinId="43" customBuiltin="1"/>
    <cellStyle name="40% - Énfasis5" xfId="46" builtinId="47" customBuiltin="1"/>
    <cellStyle name="40% - Énfasis6" xfId="50" builtinId="51" customBuiltin="1"/>
    <cellStyle name="60% - Énfasis1" xfId="31" builtinId="32" customBuiltin="1"/>
    <cellStyle name="60% - Énfasis2" xfId="35" builtinId="36" customBuiltin="1"/>
    <cellStyle name="60% - Énfasis3" xfId="39" builtinId="40" customBuiltin="1"/>
    <cellStyle name="60% - Énfasis4" xfId="43" builtinId="44" customBuiltin="1"/>
    <cellStyle name="60% - Énfasis5" xfId="47" builtinId="48" customBuiltin="1"/>
    <cellStyle name="60% - Énfasis6" xfId="51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8" builtinId="29" customBuiltin="1"/>
    <cellStyle name="Énfasis2" xfId="32" builtinId="33" customBuiltin="1"/>
    <cellStyle name="Énfasis3" xfId="36" builtinId="37" customBuiltin="1"/>
    <cellStyle name="Énfasis4" xfId="40" builtinId="41" customBuiltin="1"/>
    <cellStyle name="Énfasis5" xfId="44" builtinId="45" customBuiltin="1"/>
    <cellStyle name="Énfasis6" xfId="48" builtinId="49" customBuiltin="1"/>
    <cellStyle name="Entrada" xfId="19" builtinId="20" customBuiltin="1"/>
    <cellStyle name="Hipervínculo" xfId="1" builtinId="8"/>
    <cellStyle name="Incorrecto" xfId="17" builtinId="27" customBuiltin="1"/>
    <cellStyle name="Neutral" xfId="18" builtinId="28" customBuiltin="1"/>
    <cellStyle name="Normal" xfId="0" builtinId="0"/>
    <cellStyle name="Normal 2" xfId="4" xr:uid="{00000000-0005-0000-0000-000023000000}"/>
    <cellStyle name="Normal 2 2" xfId="6" xr:uid="{00000000-0005-0000-0000-000024000000}"/>
    <cellStyle name="Normal 3" xfId="7" xr:uid="{00000000-0005-0000-0000-000025000000}"/>
    <cellStyle name="Normal 4" xfId="2" xr:uid="{00000000-0005-0000-0000-000026000000}"/>
    <cellStyle name="Normal 5" xfId="5" xr:uid="{00000000-0005-0000-0000-000027000000}"/>
    <cellStyle name="Normal 5 4" xfId="8" xr:uid="{00000000-0005-0000-0000-000028000000}"/>
    <cellStyle name="Normal 6" xfId="10" xr:uid="{00000000-0005-0000-0000-000029000000}"/>
    <cellStyle name="Normal_ENSAYOS" xfId="3" xr:uid="{00000000-0005-0000-0000-00002A000000}"/>
    <cellStyle name="Normal_Produc. 07-09-99 2" xfId="9" xr:uid="{00000000-0005-0000-0000-00002B000000}"/>
    <cellStyle name="Notas" xfId="25" builtinId="10" customBuiltin="1"/>
    <cellStyle name="Salida" xfId="20" builtinId="21" customBuiltin="1"/>
    <cellStyle name="Texto de advertencia" xfId="24" builtinId="11" customBuiltin="1"/>
    <cellStyle name="Texto explicativo" xfId="26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7" builtinId="25" customBuiltin="1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58936851898606024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A.Granul!$F$19</c:f>
              <c:strCache>
                <c:ptCount val="1"/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A.Granul!$R$25:$R$38</c:f>
              <c:numCache>
                <c:formatCode>General</c:formatCode>
                <c:ptCount val="14"/>
                <c:pt idx="0">
                  <c:v>75</c:v>
                </c:pt>
                <c:pt idx="1">
                  <c:v>50</c:v>
                </c:pt>
                <c:pt idx="2">
                  <c:v>37.5</c:v>
                </c:pt>
                <c:pt idx="3">
                  <c:v>25</c:v>
                </c:pt>
                <c:pt idx="4" formatCode="0.0">
                  <c:v>19</c:v>
                </c:pt>
                <c:pt idx="5">
                  <c:v>9.5</c:v>
                </c:pt>
                <c:pt idx="6">
                  <c:v>4.75</c:v>
                </c:pt>
                <c:pt idx="7">
                  <c:v>2</c:v>
                </c:pt>
                <c:pt idx="8" formatCode="0.000">
                  <c:v>0.85</c:v>
                </c:pt>
                <c:pt idx="9">
                  <c:v>0.42499999999999999</c:v>
                </c:pt>
                <c:pt idx="10" formatCode="0.000">
                  <c:v>0.25</c:v>
                </c:pt>
                <c:pt idx="11" formatCode="0.000">
                  <c:v>0.15</c:v>
                </c:pt>
                <c:pt idx="12">
                  <c:v>0.106</c:v>
                </c:pt>
                <c:pt idx="13">
                  <c:v>7.4999999999999997E-2</c:v>
                </c:pt>
              </c:numCache>
            </c:numRef>
          </c:xVal>
          <c:yVal>
            <c:numRef>
              <c:f>A.Granul!$W$25:$W$38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4928"/>
        <c:axId val="128847232"/>
      </c:scatterChart>
      <c:valAx>
        <c:axId val="12884492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2771171364844018"/>
              <c:y val="0.93168048184543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7232"/>
        <c:crosses val="autoZero"/>
        <c:crossBetween val="midCat"/>
      </c:valAx>
      <c:valAx>
        <c:axId val="1288472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Porcentaje que pasa el tamiz (%)</a:t>
                </a:r>
              </a:p>
            </c:rich>
          </c:tx>
          <c:layout>
            <c:manualLayout>
              <c:xMode val="edge"/>
              <c:yMode val="edge"/>
              <c:x val="2.2521968882550033E-2"/>
              <c:y val="0.1996571606532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492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Incertidumbre!$I$40:$I$43</c:f>
              <c:strCache>
                <c:ptCount val="4"/>
                <c:pt idx="0">
                  <c:v>M ret acumulado 3 in (g)</c:v>
                </c:pt>
                <c:pt idx="1">
                  <c:v>Abertura de Tamiz  3 in (mm)</c:v>
                </c:pt>
                <c:pt idx="2">
                  <c:v>M total (g)</c:v>
                </c:pt>
                <c:pt idx="3">
                  <c:v>Factor de presición 3 in</c:v>
                </c:pt>
              </c:strCache>
            </c:strRef>
          </c:cat>
          <c:val>
            <c:numRef>
              <c:f>Incertidumbre!$K$40:$K$43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848-A339-947C1560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97536"/>
        <c:axId val="130499328"/>
      </c:barChart>
      <c:catAx>
        <c:axId val="1304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499328"/>
        <c:crosses val="autoZero"/>
        <c:auto val="1"/>
        <c:lblAlgn val="ctr"/>
        <c:lblOffset val="100"/>
        <c:noMultiLvlLbl val="0"/>
      </c:catAx>
      <c:valAx>
        <c:axId val="1304993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49753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2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Incertidumbre!$I$53:$I$56</c:f>
              <c:strCache>
                <c:ptCount val="4"/>
                <c:pt idx="0">
                  <c:v>M ret acumulado 2 in (g)</c:v>
                </c:pt>
                <c:pt idx="1">
                  <c:v>Abertura de Tamiz  2 in (mm)</c:v>
                </c:pt>
                <c:pt idx="2">
                  <c:v>M total (g)</c:v>
                </c:pt>
                <c:pt idx="3">
                  <c:v>Factor de presición 2 in</c:v>
                </c:pt>
              </c:strCache>
            </c:strRef>
          </c:cat>
          <c:val>
            <c:numRef>
              <c:f>Incertidumbre!$K$53:$K$56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556-A73C-ED0CED51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45152"/>
        <c:axId val="130546688"/>
      </c:barChart>
      <c:catAx>
        <c:axId val="13054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546688"/>
        <c:crosses val="autoZero"/>
        <c:auto val="1"/>
        <c:lblAlgn val="ctr"/>
        <c:lblOffset val="100"/>
        <c:noMultiLvlLbl val="0"/>
      </c:catAx>
      <c:valAx>
        <c:axId val="13054668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5451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de Tamiz 1 1/2  in</a:t>
            </a:r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Incertidumbre!$I$66:$I$69</c:f>
              <c:strCache>
                <c:ptCount val="4"/>
                <c:pt idx="0">
                  <c:v>M ret acumulado 1 1/2 in (g)</c:v>
                </c:pt>
                <c:pt idx="1">
                  <c:v>Abertura de Tamiz 1 1/2 in (mm)</c:v>
                </c:pt>
                <c:pt idx="2">
                  <c:v>M total (g)</c:v>
                </c:pt>
                <c:pt idx="3">
                  <c:v>Factor de presición 1 1/2 in</c:v>
                </c:pt>
              </c:strCache>
            </c:strRef>
          </c:cat>
          <c:val>
            <c:numRef>
              <c:f>Incertidumbre!$K$66:$K$69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A-4648-BC5F-757C30F8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68192"/>
        <c:axId val="130569728"/>
      </c:barChart>
      <c:catAx>
        <c:axId val="13056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9728"/>
        <c:crosses val="autoZero"/>
        <c:auto val="1"/>
        <c:lblAlgn val="ctr"/>
        <c:lblOffset val="100"/>
        <c:noMultiLvlLbl val="0"/>
      </c:catAx>
      <c:valAx>
        <c:axId val="1305697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81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1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Incertidumbre!$I$79:$I$82</c:f>
              <c:strCache>
                <c:ptCount val="4"/>
                <c:pt idx="0">
                  <c:v>M ret acumulado 1 in (g)</c:v>
                </c:pt>
                <c:pt idx="1">
                  <c:v>Abertura de Tamiz 1 in (mm)</c:v>
                </c:pt>
                <c:pt idx="2">
                  <c:v>M total (g)</c:v>
                </c:pt>
                <c:pt idx="3">
                  <c:v>Factor de presición 1 in</c:v>
                </c:pt>
              </c:strCache>
            </c:strRef>
          </c:cat>
          <c:val>
            <c:numRef>
              <c:f>Incertidumbre!$K$79:$K$82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48B7-8371-9CF221A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07360"/>
        <c:axId val="130744320"/>
      </c:barChart>
      <c:catAx>
        <c:axId val="13060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744320"/>
        <c:crosses val="autoZero"/>
        <c:auto val="1"/>
        <c:lblAlgn val="ctr"/>
        <c:lblOffset val="100"/>
        <c:noMultiLvlLbl val="0"/>
      </c:catAx>
      <c:valAx>
        <c:axId val="130744320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60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3/4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Incertidumbre!$I$92:$I$95</c:f>
              <c:strCache>
                <c:ptCount val="4"/>
                <c:pt idx="0">
                  <c:v>M ret acumulado 3/4 in (g)</c:v>
                </c:pt>
                <c:pt idx="1">
                  <c:v>Abertura de Tamiz 3/4 in (mm)</c:v>
                </c:pt>
                <c:pt idx="2">
                  <c:v>M total (g)</c:v>
                </c:pt>
                <c:pt idx="3">
                  <c:v>Factor de presición 3/4 in</c:v>
                </c:pt>
              </c:strCache>
            </c:strRef>
          </c:cat>
          <c:val>
            <c:numRef>
              <c:f>Incertidumbre!$K$92:$K$95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079-9A69-2AE506D1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02432"/>
        <c:axId val="130803968"/>
      </c:barChart>
      <c:catAx>
        <c:axId val="1308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803968"/>
        <c:crosses val="autoZero"/>
        <c:auto val="1"/>
        <c:lblAlgn val="ctr"/>
        <c:lblOffset val="100"/>
        <c:noMultiLvlLbl val="0"/>
      </c:catAx>
      <c:valAx>
        <c:axId val="13080396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024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3/8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Incertidumbre!$I$105:$I$108</c:f>
              <c:strCache>
                <c:ptCount val="4"/>
                <c:pt idx="0">
                  <c:v>M ret acumulado 3/8 in (g)</c:v>
                </c:pt>
                <c:pt idx="1">
                  <c:v>Abertura de Tamiz 3/8 in (mm)</c:v>
                </c:pt>
                <c:pt idx="2">
                  <c:v>M total (g)</c:v>
                </c:pt>
                <c:pt idx="3">
                  <c:v>Factor de presición 3/8 in</c:v>
                </c:pt>
              </c:strCache>
            </c:strRef>
          </c:cat>
          <c:val>
            <c:numRef>
              <c:f>Incertidumbre!$K$105:$K$108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911-9508-6725B439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90752"/>
        <c:axId val="130904832"/>
      </c:barChart>
      <c:catAx>
        <c:axId val="1308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04832"/>
        <c:crosses val="autoZero"/>
        <c:auto val="1"/>
        <c:lblAlgn val="ctr"/>
        <c:lblOffset val="100"/>
        <c:noMultiLvlLbl val="0"/>
      </c:catAx>
      <c:valAx>
        <c:axId val="13090483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907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No.4 </a:t>
            </a:r>
            <a:endParaRPr lang="en-US" sz="1050" b="1" u="sng"/>
          </a:p>
        </c:rich>
      </c:tx>
      <c:layout>
        <c:manualLayout>
          <c:xMode val="edge"/>
          <c:yMode val="edge"/>
          <c:x val="0.20683741743672815"/>
          <c:y val="5.106397148117679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Incertidumbre!$I$118:$I$121</c:f>
              <c:strCache>
                <c:ptCount val="4"/>
                <c:pt idx="0">
                  <c:v>M ret acumulado No. 4 (g)</c:v>
                </c:pt>
                <c:pt idx="1">
                  <c:v>Abertura de Tamiz No. 4 (mm)</c:v>
                </c:pt>
                <c:pt idx="2">
                  <c:v>M total (g)</c:v>
                </c:pt>
                <c:pt idx="3">
                  <c:v>Factor de presición No. 4</c:v>
                </c:pt>
              </c:strCache>
            </c:strRef>
          </c:cat>
          <c:val>
            <c:numRef>
              <c:f>Incertidumbre!$K$118:$K$121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B4C-A1A8-FFC1B109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46560"/>
        <c:axId val="130948096"/>
      </c:barChart>
      <c:catAx>
        <c:axId val="13094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48096"/>
        <c:crosses val="autoZero"/>
        <c:auto val="1"/>
        <c:lblAlgn val="ctr"/>
        <c:lblOffset val="100"/>
        <c:noMultiLvlLbl val="0"/>
      </c:catAx>
      <c:valAx>
        <c:axId val="130948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9465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10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Incertidumbre!$I$132:$I$135</c:f>
              <c:strCache>
                <c:ptCount val="4"/>
                <c:pt idx="0">
                  <c:v>M ret acumulado No. 10 (g)</c:v>
                </c:pt>
                <c:pt idx="1">
                  <c:v>Abertura de Tamiz No. 10 (mm)</c:v>
                </c:pt>
                <c:pt idx="2">
                  <c:v>M total (g)</c:v>
                </c:pt>
                <c:pt idx="3">
                  <c:v>Factor de presición No. 10</c:v>
                </c:pt>
              </c:strCache>
            </c:strRef>
          </c:cat>
          <c:val>
            <c:numRef>
              <c:f>Incertidumbre!$K$132:$K$135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FCE-AAD2-91A2D5D4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1040"/>
        <c:axId val="131032576"/>
      </c:barChart>
      <c:catAx>
        <c:axId val="13103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32576"/>
        <c:crosses val="autoZero"/>
        <c:auto val="1"/>
        <c:lblAlgn val="ctr"/>
        <c:lblOffset val="100"/>
        <c:noMultiLvlLbl val="0"/>
      </c:catAx>
      <c:valAx>
        <c:axId val="13103257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3104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Incertidumbre!$I$146:$I$149</c:f>
              <c:strCache>
                <c:ptCount val="4"/>
                <c:pt idx="0">
                  <c:v>M ret acumulado No. 20 (g)</c:v>
                </c:pt>
                <c:pt idx="1">
                  <c:v>Abertura de Tamiz No. 20 (mm)</c:v>
                </c:pt>
                <c:pt idx="2">
                  <c:v>M total (g)</c:v>
                </c:pt>
                <c:pt idx="3">
                  <c:v>Factor de presición No. 20</c:v>
                </c:pt>
              </c:strCache>
            </c:strRef>
          </c:cat>
          <c:val>
            <c:numRef>
              <c:f>Incertidumbre!$K$146:$K$149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9-42D0-A130-65611509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62016"/>
        <c:axId val="131076096"/>
      </c:barChart>
      <c:catAx>
        <c:axId val="13106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76096"/>
        <c:crosses val="autoZero"/>
        <c:auto val="1"/>
        <c:lblAlgn val="ctr"/>
        <c:lblOffset val="100"/>
        <c:noMultiLvlLbl val="0"/>
      </c:catAx>
      <c:valAx>
        <c:axId val="131076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620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Incertidumbre!$I$160:$I$163</c:f>
              <c:strCache>
                <c:ptCount val="4"/>
                <c:pt idx="0">
                  <c:v>M ret acumulado No. 40 (g)</c:v>
                </c:pt>
                <c:pt idx="1">
                  <c:v>Abertura de Tamiz No. 40 (mm)</c:v>
                </c:pt>
                <c:pt idx="2">
                  <c:v>M total (g)</c:v>
                </c:pt>
                <c:pt idx="3">
                  <c:v>Factor de presición No. 40</c:v>
                </c:pt>
              </c:strCache>
            </c:strRef>
          </c:cat>
          <c:val>
            <c:numRef>
              <c:f>Incertidumbre!$K$160:$K$163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71A-BAEE-7A2255A1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13728"/>
        <c:axId val="131115264"/>
      </c:barChart>
      <c:catAx>
        <c:axId val="13111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115264"/>
        <c:crosses val="autoZero"/>
        <c:auto val="1"/>
        <c:lblAlgn val="ctr"/>
        <c:lblOffset val="100"/>
        <c:noMultiLvlLbl val="0"/>
      </c:catAx>
      <c:valAx>
        <c:axId val="13111526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1137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60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Incertidumbre!$I$174:$I$177</c:f>
              <c:strCache>
                <c:ptCount val="4"/>
                <c:pt idx="0">
                  <c:v>M ret acumulado No. 60 (g)</c:v>
                </c:pt>
                <c:pt idx="1">
                  <c:v>Abertura de Tamiz No. 60 (mm)</c:v>
                </c:pt>
                <c:pt idx="2">
                  <c:v>M total (g)</c:v>
                </c:pt>
                <c:pt idx="3">
                  <c:v>Factor de presición No. 60</c:v>
                </c:pt>
              </c:strCache>
            </c:strRef>
          </c:cat>
          <c:val>
            <c:numRef>
              <c:f>Incertidumbre!$K$174:$K$177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4D9B-ABC1-D7A261DD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3968"/>
        <c:axId val="131289856"/>
      </c:barChart>
      <c:catAx>
        <c:axId val="13128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289856"/>
        <c:crosses val="autoZero"/>
        <c:auto val="1"/>
        <c:lblAlgn val="ctr"/>
        <c:lblOffset val="100"/>
        <c:noMultiLvlLbl val="0"/>
      </c:catAx>
      <c:valAx>
        <c:axId val="131289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2839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Incertidumbre!$I$188:$I$191</c:f>
              <c:strCache>
                <c:ptCount val="4"/>
                <c:pt idx="0">
                  <c:v>M ret acumulado No. 100 (g)</c:v>
                </c:pt>
                <c:pt idx="1">
                  <c:v>Abertura de Tamiz No. 100 (mm)</c:v>
                </c:pt>
                <c:pt idx="2">
                  <c:v>M total (g)</c:v>
                </c:pt>
                <c:pt idx="3">
                  <c:v>Factor de presición No. 100</c:v>
                </c:pt>
              </c:strCache>
            </c:strRef>
          </c:cat>
          <c:val>
            <c:numRef>
              <c:f>Incertidumbre!$K$188:$K$191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74-834D-192FC8A4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07008"/>
        <c:axId val="131308544"/>
      </c:barChart>
      <c:catAx>
        <c:axId val="13130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308544"/>
        <c:crosses val="autoZero"/>
        <c:auto val="1"/>
        <c:lblAlgn val="ctr"/>
        <c:lblOffset val="100"/>
        <c:noMultiLvlLbl val="0"/>
      </c:catAx>
      <c:valAx>
        <c:axId val="1313085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307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Incertidumbre!$I$216:$I$219</c:f>
              <c:strCache>
                <c:ptCount val="4"/>
                <c:pt idx="0">
                  <c:v>M ret acumulado No. 200 (g)</c:v>
                </c:pt>
                <c:pt idx="1">
                  <c:v>Abertura de Tamiz No. 200 (mm)</c:v>
                </c:pt>
                <c:pt idx="2">
                  <c:v>M total (g)</c:v>
                </c:pt>
                <c:pt idx="3">
                  <c:v>Factor de presición No. 200</c:v>
                </c:pt>
              </c:strCache>
            </c:strRef>
          </c:cat>
          <c:val>
            <c:numRef>
              <c:f>Incertidumbre!$K$216:$K$219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736-9D4F-8DFCAA1C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07872"/>
        <c:axId val="131409408"/>
      </c:barChart>
      <c:catAx>
        <c:axId val="1314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09408"/>
        <c:crosses val="autoZero"/>
        <c:auto val="1"/>
        <c:lblAlgn val="ctr"/>
        <c:lblOffset val="100"/>
        <c:noMultiLvlLbl val="0"/>
      </c:catAx>
      <c:valAx>
        <c:axId val="13140940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0787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354595134563406"/>
          <c:y val="0.1880970625798212"/>
          <c:w val="0.45097837583734868"/>
          <c:h val="0.70435936887199446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Incertidumbre!$I$202:$I$205</c:f>
              <c:strCache>
                <c:ptCount val="4"/>
                <c:pt idx="0">
                  <c:v>M ret No. 140 (g)</c:v>
                </c:pt>
                <c:pt idx="1">
                  <c:v>Abertura de Tamiz No. 140 (mm)</c:v>
                </c:pt>
                <c:pt idx="2">
                  <c:v>M total (g)</c:v>
                </c:pt>
                <c:pt idx="3">
                  <c:v>Factor de presición No. 140</c:v>
                </c:pt>
              </c:strCache>
            </c:strRef>
          </c:cat>
          <c:val>
            <c:numRef>
              <c:f>Incertidumbre!$K$202:$K$205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5-4BF1-A1CF-CD2859EC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2944"/>
        <c:axId val="131448832"/>
      </c:barChart>
      <c:catAx>
        <c:axId val="13144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48832"/>
        <c:crosses val="autoZero"/>
        <c:auto val="1"/>
        <c:lblAlgn val="ctr"/>
        <c:lblOffset val="100"/>
        <c:noMultiLvlLbl val="0"/>
      </c:catAx>
      <c:valAx>
        <c:axId val="131448832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42944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F-42C2-8AB1-F804893492E5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9F-42C2-8AB1-F8048934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5824"/>
        <c:axId val="131648128"/>
      </c:scatterChart>
      <c:valAx>
        <c:axId val="13164582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8128"/>
        <c:crosses val="autoZero"/>
        <c:crossBetween val="midCat"/>
        <c:majorUnit val="10"/>
        <c:minorUnit val="10"/>
      </c:valAx>
      <c:valAx>
        <c:axId val="131648128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582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1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image" Target="../media/image10.png"/><Relationship Id="rId2" Type="http://schemas.openxmlformats.org/officeDocument/2006/relationships/chart" Target="../charts/chart3.xml"/><Relationship Id="rId16" Type="http://schemas.openxmlformats.org/officeDocument/2006/relationships/image" Target="../media/image9.png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8.png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64</xdr:row>
      <xdr:rowOff>7620</xdr:rowOff>
    </xdr:from>
    <xdr:to>
      <xdr:col>11</xdr:col>
      <xdr:colOff>19050</xdr:colOff>
      <xdr:row>64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682DD3B-62DB-4883-ACF9-1DEA7A91BA37}"/>
            </a:ext>
          </a:extLst>
        </xdr:cNvPr>
        <xdr:cNvCxnSpPr>
          <a:cxnSpLocks noChangeShapeType="1"/>
        </xdr:cNvCxnSpPr>
      </xdr:nvCxnSpPr>
      <xdr:spPr bwMode="auto">
        <a:xfrm flipV="1">
          <a:off x="64770" y="12342495"/>
          <a:ext cx="73361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6</xdr:col>
      <xdr:colOff>233648</xdr:colOff>
      <xdr:row>33</xdr:row>
      <xdr:rowOff>142875</xdr:rowOff>
    </xdr:from>
    <xdr:ext cx="1357027" cy="295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14:m>
                <m:oMath xmlns:m="http://schemas.openxmlformats.org/officeDocument/2006/math">
                  <m:r>
                    <a:rPr lang="es-PE" sz="900" i="1">
                      <a:latin typeface="Cambria Math" panose="02040503050406030204" pitchFamily="18" charset="0"/>
                    </a:rPr>
                    <m:t>=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𝐶𝑃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,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𝑀𝑑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s-MX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𝐹𝑃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𝑀𝑚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f>
                            <m:fPr>
                              <m:ctrlPr>
                                <a:rPr lang="es-MX" sz="9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𝑤𝑓𝑝</m:t>
                              </m:r>
                            </m:num>
                            <m:den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100</m:t>
                              </m:r>
                            </m:den>
                          </m:f>
                        </m:den>
                      </m:f>
                    </m:e>
                  </m:d>
                </m:oMath>
              </a14:m>
              <a:endParaRPr lang="es-PE" sz="9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:r>
                <a:rPr lang="es-PE" sz="900" i="0">
                  <a:latin typeface="Cambria Math" panose="02040503050406030204" pitchFamily="18" charset="0"/>
                </a:rPr>
                <a:t>=</a:t>
              </a:r>
              <a:r>
                <a:rPr lang="es-MX" sz="900" b="0" i="0">
                  <a:latin typeface="Cambria Math" panose="02040503050406030204" pitchFamily="18" charset="0"/>
                </a:rPr>
                <a:t>𝐶𝑃,𝑀𝑑+((𝐹𝑃,𝑀𝑚)/(1+𝑤𝑓𝑝/100))</a:t>
              </a:r>
              <a:endParaRPr lang="es-PE" sz="900"/>
            </a:p>
          </xdr:txBody>
        </xdr:sp>
      </mc:Fallback>
    </mc:AlternateContent>
    <xdr:clientData/>
  </xdr:oneCellAnchor>
  <xdr:twoCellAnchor>
    <xdr:from>
      <xdr:col>5</xdr:col>
      <xdr:colOff>76201</xdr:colOff>
      <xdr:row>55</xdr:row>
      <xdr:rowOff>83821</xdr:rowOff>
    </xdr:from>
    <xdr:to>
      <xdr:col>7</xdr:col>
      <xdr:colOff>1040130</xdr:colOff>
      <xdr:row>60</xdr:row>
      <xdr:rowOff>0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E1B9D5FA-E1CB-429B-8CC5-29A6648917C1}"/>
            </a:ext>
          </a:extLst>
        </xdr:cNvPr>
        <xdr:cNvSpPr txBox="1"/>
      </xdr:nvSpPr>
      <xdr:spPr>
        <a:xfrm>
          <a:off x="2638426" y="11037571"/>
          <a:ext cx="2154554" cy="6305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1076325</xdr:colOff>
      <xdr:row>55</xdr:row>
      <xdr:rowOff>85725</xdr:rowOff>
    </xdr:from>
    <xdr:to>
      <xdr:col>10</xdr:col>
      <xdr:colOff>904875</xdr:colOff>
      <xdr:row>60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33D8DB9F-2860-43A4-BA24-17414F91CD17}"/>
            </a:ext>
          </a:extLst>
        </xdr:cNvPr>
        <xdr:cNvSpPr txBox="1"/>
      </xdr:nvSpPr>
      <xdr:spPr>
        <a:xfrm>
          <a:off x="4829175" y="11039475"/>
          <a:ext cx="247650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476250</xdr:colOff>
      <xdr:row>0</xdr:row>
      <xdr:rowOff>76200</xdr:rowOff>
    </xdr:from>
    <xdr:to>
      <xdr:col>7</xdr:col>
      <xdr:colOff>400050</xdr:colOff>
      <xdr:row>4</xdr:row>
      <xdr:rowOff>93065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72F8315-0DAC-4DC4-A94A-EE7008BB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6200"/>
          <a:ext cx="1114425" cy="66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571501</xdr:colOff>
      <xdr:row>40</xdr:row>
      <xdr:rowOff>47625</xdr:rowOff>
    </xdr:from>
    <xdr:to>
      <xdr:col>10</xdr:col>
      <xdr:colOff>190500</xdr:colOff>
      <xdr:row>48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D6321E-11E2-4166-A824-AAC887A5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6" y="7477125"/>
          <a:ext cx="3457574" cy="1857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114300</xdr:rowOff>
    </xdr:from>
    <xdr:to>
      <xdr:col>13</xdr:col>
      <xdr:colOff>763905</xdr:colOff>
      <xdr:row>55</xdr:row>
      <xdr:rowOff>84043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29540" y="6669741"/>
          <a:ext cx="6041203" cy="2659155"/>
        </a:xfrm>
        <a:prstGeom prst="roundRect">
          <a:avLst>
            <a:gd name="adj" fmla="val 16667"/>
          </a:avLst>
        </a:prstGeom>
        <a:noFill/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106680</xdr:colOff>
      <xdr:row>39</xdr:row>
      <xdr:rowOff>114298</xdr:rowOff>
    </xdr:from>
    <xdr:to>
      <xdr:col>13</xdr:col>
      <xdr:colOff>719044</xdr:colOff>
      <xdr:row>54</xdr:row>
      <xdr:rowOff>114299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890868</xdr:colOff>
      <xdr:row>42</xdr:row>
      <xdr:rowOff>57697</xdr:rowOff>
    </xdr:from>
    <xdr:to>
      <xdr:col>11</xdr:col>
      <xdr:colOff>336175</xdr:colOff>
      <xdr:row>43</xdr:row>
      <xdr:rowOff>82565</xdr:rowOff>
    </xdr:to>
    <xdr:sp macro="" textlink="">
      <xdr:nvSpPr>
        <xdr:cNvPr id="9" name="Texto 6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5143500" y="7655285"/>
          <a:ext cx="560293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19.00 mm</a:t>
          </a:r>
        </a:p>
      </xdr:txBody>
    </xdr:sp>
    <xdr:clientData/>
  </xdr:twoCellAnchor>
  <xdr:twoCellAnchor>
    <xdr:from>
      <xdr:col>9</xdr:col>
      <xdr:colOff>717105</xdr:colOff>
      <xdr:row>42</xdr:row>
      <xdr:rowOff>57697</xdr:rowOff>
    </xdr:from>
    <xdr:to>
      <xdr:col>10</xdr:col>
      <xdr:colOff>658022</xdr:colOff>
      <xdr:row>43</xdr:row>
      <xdr:rowOff>82565</xdr:rowOff>
    </xdr:to>
    <xdr:sp macro="" textlink="">
      <xdr:nvSpPr>
        <xdr:cNvPr id="10" name="Texto 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212047" y="7597101"/>
          <a:ext cx="695590" cy="15675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4.75 mm</a:t>
          </a:r>
        </a:p>
      </xdr:txBody>
    </xdr:sp>
    <xdr:clientData/>
  </xdr:twoCellAnchor>
  <xdr:twoCellAnchor>
    <xdr:from>
      <xdr:col>8</xdr:col>
      <xdr:colOff>499192</xdr:colOff>
      <xdr:row>42</xdr:row>
      <xdr:rowOff>57697</xdr:rowOff>
    </xdr:from>
    <xdr:to>
      <xdr:col>9</xdr:col>
      <xdr:colOff>313765</xdr:colOff>
      <xdr:row>43</xdr:row>
      <xdr:rowOff>82565</xdr:rowOff>
    </xdr:to>
    <xdr:sp macro="" textlink="">
      <xdr:nvSpPr>
        <xdr:cNvPr id="11" name="Texto 6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351089" y="7655285"/>
          <a:ext cx="464514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2.00 mm</a:t>
          </a:r>
        </a:p>
      </xdr:txBody>
    </xdr:sp>
    <xdr:clientData/>
  </xdr:twoCellAnchor>
  <xdr:twoCellAnchor>
    <xdr:from>
      <xdr:col>7</xdr:col>
      <xdr:colOff>172022</xdr:colOff>
      <xdr:row>42</xdr:row>
      <xdr:rowOff>48497</xdr:rowOff>
    </xdr:from>
    <xdr:to>
      <xdr:col>8</xdr:col>
      <xdr:colOff>579181</xdr:colOff>
      <xdr:row>43</xdr:row>
      <xdr:rowOff>82566</xdr:rowOff>
    </xdr:to>
    <xdr:sp macro="" textlink="">
      <xdr:nvSpPr>
        <xdr:cNvPr id="12" name="Texto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633868" y="7587901"/>
          <a:ext cx="795486" cy="1659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425 µm</a:t>
          </a:r>
        </a:p>
      </xdr:txBody>
    </xdr:sp>
    <xdr:clientData/>
  </xdr:twoCellAnchor>
  <xdr:twoCellAnchor>
    <xdr:from>
      <xdr:col>5</xdr:col>
      <xdr:colOff>83319</xdr:colOff>
      <xdr:row>42</xdr:row>
      <xdr:rowOff>57697</xdr:rowOff>
    </xdr:from>
    <xdr:to>
      <xdr:col>6</xdr:col>
      <xdr:colOff>394148</xdr:colOff>
      <xdr:row>43</xdr:row>
      <xdr:rowOff>100966</xdr:rowOff>
    </xdr:to>
    <xdr:sp macro="" textlink="">
      <xdr:nvSpPr>
        <xdr:cNvPr id="13" name="Texto 5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673261" y="7597101"/>
          <a:ext cx="603906" cy="1751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 µm</a:t>
          </a:r>
        </a:p>
      </xdr:txBody>
    </xdr:sp>
    <xdr:clientData/>
  </xdr:twoCellAnchor>
  <xdr:twoCellAnchor>
    <xdr:from>
      <xdr:col>0</xdr:col>
      <xdr:colOff>720091</xdr:colOff>
      <xdr:row>42</xdr:row>
      <xdr:rowOff>39297</xdr:rowOff>
    </xdr:from>
    <xdr:to>
      <xdr:col>13</xdr:col>
      <xdr:colOff>305922</xdr:colOff>
      <xdr:row>42</xdr:row>
      <xdr:rowOff>39297</xdr:rowOff>
    </xdr:to>
    <xdr:sp macro="" textlink="">
      <xdr:nvSpPr>
        <xdr:cNvPr id="24" name="Line 4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720091" y="7632083"/>
          <a:ext cx="56478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720091</xdr:colOff>
      <xdr:row>40</xdr:row>
      <xdr:rowOff>126661</xdr:rowOff>
    </xdr:from>
    <xdr:to>
      <xdr:col>13</xdr:col>
      <xdr:colOff>305922</xdr:colOff>
      <xdr:row>42</xdr:row>
      <xdr:rowOff>43961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0A4CF31-5FDE-4D65-8FCD-03AEC1E4D7E2}"/>
            </a:ext>
          </a:extLst>
        </xdr:cNvPr>
        <xdr:cNvGrpSpPr/>
      </xdr:nvGrpSpPr>
      <xdr:grpSpPr>
        <a:xfrm>
          <a:off x="720091" y="7441861"/>
          <a:ext cx="5615156" cy="241150"/>
          <a:chOff x="720091" y="7392875"/>
          <a:chExt cx="5647813" cy="243872"/>
        </a:xfrm>
      </xdr:grpSpPr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31130" y="7433311"/>
            <a:ext cx="1821167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98712" y="7433311"/>
            <a:ext cx="2518828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sp macro="" textlink="">
        <xdr:nvSpPr>
          <xdr:cNvPr id="25" name="Line 4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720091" y="7392875"/>
            <a:ext cx="56478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6" name="Line 4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724622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7" name="Line 4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992295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0" name="Line 4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527150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2" name="Line 4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6362797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589" y="7434083"/>
            <a:ext cx="1245053" cy="165507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</xdr:grpSp>
    <xdr:clientData/>
  </xdr:twoCellAnchor>
  <xdr:twoCellAnchor>
    <xdr:from>
      <xdr:col>12</xdr:col>
      <xdr:colOff>1</xdr:colOff>
      <xdr:row>42</xdr:row>
      <xdr:rowOff>57697</xdr:rowOff>
    </xdr:from>
    <xdr:to>
      <xdr:col>13</xdr:col>
      <xdr:colOff>390530</xdr:colOff>
      <xdr:row>43</xdr:row>
      <xdr:rowOff>82565</xdr:rowOff>
    </xdr:to>
    <xdr:sp macro="" textlink="">
      <xdr:nvSpPr>
        <xdr:cNvPr id="23" name="Texto 6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6017560" y="7655285"/>
          <a:ext cx="496985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75.00 mm</a:t>
          </a:r>
        </a:p>
      </xdr:txBody>
    </xdr:sp>
    <xdr:clientData/>
  </xdr:twoCellAnchor>
  <xdr:twoCellAnchor>
    <xdr:from>
      <xdr:col>6</xdr:col>
      <xdr:colOff>84369</xdr:colOff>
      <xdr:row>39</xdr:row>
      <xdr:rowOff>38100</xdr:rowOff>
    </xdr:from>
    <xdr:to>
      <xdr:col>10</xdr:col>
      <xdr:colOff>693152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955351" y="7113814"/>
          <a:ext cx="2976426" cy="15376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DE GRANULOMETRICA</a:t>
          </a:r>
        </a:p>
      </xdr:txBody>
    </xdr:sp>
    <xdr:clientData/>
  </xdr:twoCellAnchor>
  <xdr:twoCellAnchor editAs="oneCell">
    <xdr:from>
      <xdr:col>8</xdr:col>
      <xdr:colOff>277802</xdr:colOff>
      <xdr:row>87</xdr:row>
      <xdr:rowOff>360681</xdr:rowOff>
    </xdr:from>
    <xdr:to>
      <xdr:col>10</xdr:col>
      <xdr:colOff>226419</xdr:colOff>
      <xdr:row>91</xdr:row>
      <xdr:rowOff>171956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E3681C8-32D7-4716-B8E7-250D386F0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58162" y="16659861"/>
          <a:ext cx="1388797" cy="1060955"/>
        </a:xfrm>
        <a:prstGeom prst="rect">
          <a:avLst/>
        </a:prstGeom>
      </xdr:spPr>
    </xdr:pic>
    <xdr:clientData/>
  </xdr:twoCellAnchor>
  <xdr:twoCellAnchor>
    <xdr:from>
      <xdr:col>11</xdr:col>
      <xdr:colOff>437803</xdr:colOff>
      <xdr:row>87</xdr:row>
      <xdr:rowOff>381000</xdr:rowOff>
    </xdr:from>
    <xdr:to>
      <xdr:col>13</xdr:col>
      <xdr:colOff>826741</xdr:colOff>
      <xdr:row>92</xdr:row>
      <xdr:rowOff>68580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13FCA8EE-D598-4283-95C7-49CDCCBBAC7E}"/>
            </a:ext>
          </a:extLst>
        </xdr:cNvPr>
        <xdr:cNvSpPr/>
      </xdr:nvSpPr>
      <xdr:spPr bwMode="auto">
        <a:xfrm>
          <a:off x="5901343" y="16680180"/>
          <a:ext cx="1120458" cy="111252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221300</xdr:colOff>
      <xdr:row>56</xdr:row>
      <xdr:rowOff>63187</xdr:rowOff>
    </xdr:from>
    <xdr:to>
      <xdr:col>11</xdr:col>
      <xdr:colOff>467415</xdr:colOff>
      <xdr:row>62</xdr:row>
      <xdr:rowOff>1780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BC167E0-A20D-4D97-9CF3-68D742B00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420238" y="9627875"/>
          <a:ext cx="1357365" cy="1081593"/>
        </a:xfrm>
        <a:prstGeom prst="rect">
          <a:avLst/>
        </a:prstGeom>
      </xdr:spPr>
    </xdr:pic>
    <xdr:clientData/>
  </xdr:twoCellAnchor>
  <xdr:twoCellAnchor editAs="oneCell">
    <xdr:from>
      <xdr:col>10</xdr:col>
      <xdr:colOff>283928</xdr:colOff>
      <xdr:row>87</xdr:row>
      <xdr:rowOff>276639</xdr:rowOff>
    </xdr:from>
    <xdr:to>
      <xdr:col>11</xdr:col>
      <xdr:colOff>234948</xdr:colOff>
      <xdr:row>91</xdr:row>
      <xdr:rowOff>129058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62CAE2B-9C88-44EE-985E-D701576BC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604468" y="16575819"/>
          <a:ext cx="1094020" cy="110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528775</xdr:colOff>
      <xdr:row>56</xdr:row>
      <xdr:rowOff>45004</xdr:rowOff>
    </xdr:from>
    <xdr:to>
      <xdr:col>13</xdr:col>
      <xdr:colOff>899310</xdr:colOff>
      <xdr:row>61</xdr:row>
      <xdr:rowOff>60425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52ECDA-D2BA-46EC-97AC-23FFE926E1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838963" y="9609692"/>
          <a:ext cx="1084910" cy="109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378017</xdr:colOff>
      <xdr:row>4</xdr:row>
      <xdr:rowOff>176037</xdr:rowOff>
    </xdr:from>
    <xdr:to>
      <xdr:col>37</xdr:col>
      <xdr:colOff>3015</xdr:colOff>
      <xdr:row>17</xdr:row>
      <xdr:rowOff>60535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750BD-7CCF-48F9-B347-ED6438ECE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12137" y="648477"/>
          <a:ext cx="4627528" cy="2559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304800</xdr:colOff>
      <xdr:row>23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708026</xdr:colOff>
      <xdr:row>37</xdr:row>
      <xdr:rowOff>122766</xdr:rowOff>
    </xdr:from>
    <xdr:to>
      <xdr:col>11</xdr:col>
      <xdr:colOff>465667</xdr:colOff>
      <xdr:row>45</xdr:row>
      <xdr:rowOff>45508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647701</xdr:colOff>
      <xdr:row>51</xdr:row>
      <xdr:rowOff>4234</xdr:rowOff>
    </xdr:from>
    <xdr:to>
      <xdr:col>11</xdr:col>
      <xdr:colOff>195792</xdr:colOff>
      <xdr:row>59</xdr:row>
      <xdr:rowOff>42333</xdr:rowOff>
    </xdr:to>
    <xdr:graphicFrame macro="">
      <xdr:nvGraphicFramePr>
        <xdr:cNvPr id="32" name="4 Gráfic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627593</xdr:colOff>
      <xdr:row>64</xdr:row>
      <xdr:rowOff>88900</xdr:rowOff>
    </xdr:from>
    <xdr:to>
      <xdr:col>11</xdr:col>
      <xdr:colOff>251884</xdr:colOff>
      <xdr:row>72</xdr:row>
      <xdr:rowOff>222250</xdr:rowOff>
    </xdr:to>
    <xdr:graphicFrame macro="">
      <xdr:nvGraphicFramePr>
        <xdr:cNvPr id="33" name="4 Gráfic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564091</xdr:colOff>
      <xdr:row>76</xdr:row>
      <xdr:rowOff>256117</xdr:rowOff>
    </xdr:from>
    <xdr:to>
      <xdr:col>11</xdr:col>
      <xdr:colOff>274107</xdr:colOff>
      <xdr:row>85</xdr:row>
      <xdr:rowOff>160867</xdr:rowOff>
    </xdr:to>
    <xdr:graphicFrame macro="">
      <xdr:nvGraphicFramePr>
        <xdr:cNvPr id="34" name="4 Gráfic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543982</xdr:colOff>
      <xdr:row>89</xdr:row>
      <xdr:rowOff>222249</xdr:rowOff>
    </xdr:from>
    <xdr:to>
      <xdr:col>11</xdr:col>
      <xdr:colOff>252940</xdr:colOff>
      <xdr:row>98</xdr:row>
      <xdr:rowOff>126999</xdr:rowOff>
    </xdr:to>
    <xdr:graphicFrame macro="">
      <xdr:nvGraphicFramePr>
        <xdr:cNvPr id="35" name="4 Gráfic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573617</xdr:colOff>
      <xdr:row>103</xdr:row>
      <xdr:rowOff>20108</xdr:rowOff>
    </xdr:from>
    <xdr:to>
      <xdr:col>11</xdr:col>
      <xdr:colOff>283633</xdr:colOff>
      <xdr:row>111</xdr:row>
      <xdr:rowOff>210608</xdr:rowOff>
    </xdr:to>
    <xdr:graphicFrame macro="">
      <xdr:nvGraphicFramePr>
        <xdr:cNvPr id="36" name="4 Gráfic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656165</xdr:colOff>
      <xdr:row>115</xdr:row>
      <xdr:rowOff>262468</xdr:rowOff>
    </xdr:from>
    <xdr:to>
      <xdr:col>11</xdr:col>
      <xdr:colOff>365123</xdr:colOff>
      <xdr:row>124</xdr:row>
      <xdr:rowOff>243418</xdr:rowOff>
    </xdr:to>
    <xdr:graphicFrame macro="">
      <xdr:nvGraphicFramePr>
        <xdr:cNvPr id="37" name="4 Gráfic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662516</xdr:colOff>
      <xdr:row>129</xdr:row>
      <xdr:rowOff>214842</xdr:rowOff>
    </xdr:from>
    <xdr:to>
      <xdr:col>11</xdr:col>
      <xdr:colOff>372532</xdr:colOff>
      <xdr:row>138</xdr:row>
      <xdr:rowOff>148167</xdr:rowOff>
    </xdr:to>
    <xdr:graphicFrame macro="">
      <xdr:nvGraphicFramePr>
        <xdr:cNvPr id="38" name="4 Gráfic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574675</xdr:colOff>
      <xdr:row>143</xdr:row>
      <xdr:rowOff>244476</xdr:rowOff>
    </xdr:from>
    <xdr:to>
      <xdr:col>11</xdr:col>
      <xdr:colOff>283633</xdr:colOff>
      <xdr:row>152</xdr:row>
      <xdr:rowOff>158751</xdr:rowOff>
    </xdr:to>
    <xdr:graphicFrame macro="">
      <xdr:nvGraphicFramePr>
        <xdr:cNvPr id="39" name="4 Gráfic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406399</xdr:colOff>
      <xdr:row>157</xdr:row>
      <xdr:rowOff>104775</xdr:rowOff>
    </xdr:from>
    <xdr:to>
      <xdr:col>11</xdr:col>
      <xdr:colOff>116415</xdr:colOff>
      <xdr:row>166</xdr:row>
      <xdr:rowOff>9525</xdr:rowOff>
    </xdr:to>
    <xdr:graphicFrame macro="">
      <xdr:nvGraphicFramePr>
        <xdr:cNvPr id="40" name="4 Gráfic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568325</xdr:colOff>
      <xdr:row>171</xdr:row>
      <xdr:rowOff>75142</xdr:rowOff>
    </xdr:from>
    <xdr:to>
      <xdr:col>11</xdr:col>
      <xdr:colOff>277283</xdr:colOff>
      <xdr:row>179</xdr:row>
      <xdr:rowOff>275167</xdr:rowOff>
    </xdr:to>
    <xdr:graphicFrame macro="">
      <xdr:nvGraphicFramePr>
        <xdr:cNvPr id="41" name="4 Gráfic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438150</xdr:colOff>
      <xdr:row>185</xdr:row>
      <xdr:rowOff>125941</xdr:rowOff>
    </xdr:from>
    <xdr:to>
      <xdr:col>11</xdr:col>
      <xdr:colOff>147108</xdr:colOff>
      <xdr:row>194</xdr:row>
      <xdr:rowOff>30691</xdr:rowOff>
    </xdr:to>
    <xdr:graphicFrame macro="">
      <xdr:nvGraphicFramePr>
        <xdr:cNvPr id="42" name="4 Gráfic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460375</xdr:colOff>
      <xdr:row>213</xdr:row>
      <xdr:rowOff>150284</xdr:rowOff>
    </xdr:from>
    <xdr:to>
      <xdr:col>11</xdr:col>
      <xdr:colOff>170391</xdr:colOff>
      <xdr:row>222</xdr:row>
      <xdr:rowOff>55034</xdr:rowOff>
    </xdr:to>
    <xdr:graphicFrame macro="">
      <xdr:nvGraphicFramePr>
        <xdr:cNvPr id="43" name="4 Gráfic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631824</xdr:colOff>
      <xdr:row>199</xdr:row>
      <xdr:rowOff>96308</xdr:rowOff>
    </xdr:from>
    <xdr:to>
      <xdr:col>11</xdr:col>
      <xdr:colOff>341840</xdr:colOff>
      <xdr:row>208</xdr:row>
      <xdr:rowOff>10583</xdr:rowOff>
    </xdr:to>
    <xdr:graphicFrame macro="">
      <xdr:nvGraphicFramePr>
        <xdr:cNvPr id="44" name="4 Gráfic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</xdr:col>
      <xdr:colOff>24342</xdr:colOff>
      <xdr:row>11</xdr:row>
      <xdr:rowOff>91019</xdr:rowOff>
    </xdr:from>
    <xdr:to>
      <xdr:col>8</xdr:col>
      <xdr:colOff>582083</xdr:colOff>
      <xdr:row>15</xdr:row>
      <xdr:rowOff>10583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37"/>
        <a:stretch/>
      </xdr:blipFill>
      <xdr:spPr bwMode="auto">
        <a:xfrm>
          <a:off x="5485342" y="2758019"/>
          <a:ext cx="2102908" cy="61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74082</xdr:colOff>
      <xdr:row>24</xdr:row>
      <xdr:rowOff>84666</xdr:rowOff>
    </xdr:from>
    <xdr:to>
      <xdr:col>3</xdr:col>
      <xdr:colOff>725282</xdr:colOff>
      <xdr:row>31</xdr:row>
      <xdr:rowOff>190500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2" t="3488" r="3509" b="6064"/>
        <a:stretch/>
      </xdr:blipFill>
      <xdr:spPr bwMode="auto">
        <a:xfrm>
          <a:off x="74082" y="5164666"/>
          <a:ext cx="3805033" cy="183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15</xdr:row>
      <xdr:rowOff>169332</xdr:rowOff>
    </xdr:from>
    <xdr:to>
      <xdr:col>8</xdr:col>
      <xdr:colOff>768474</xdr:colOff>
      <xdr:row>18</xdr:row>
      <xdr:rowOff>84668</xdr:rowOff>
    </xdr:to>
    <xdr:pic>
      <xdr:nvPicPr>
        <xdr:cNvPr id="46" name="Imagen 2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9"/>
        <a:stretch/>
      </xdr:blipFill>
      <xdr:spPr bwMode="auto">
        <a:xfrm>
          <a:off x="5556250" y="3534832"/>
          <a:ext cx="2218391" cy="48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677334</xdr:colOff>
      <xdr:row>0</xdr:row>
      <xdr:rowOff>42333</xdr:rowOff>
    </xdr:from>
    <xdr:to>
      <xdr:col>1</xdr:col>
      <xdr:colOff>24308</xdr:colOff>
      <xdr:row>3</xdr:row>
      <xdr:rowOff>138669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A1DB41C-9CA4-4EA7-A413-EFC68767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4" y="42333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47</xdr:row>
      <xdr:rowOff>0</xdr:rowOff>
    </xdr:from>
    <xdr:to>
      <xdr:col>34</xdr:col>
      <xdr:colOff>447675</xdr:colOff>
      <xdr:row>58</xdr:row>
      <xdr:rowOff>160020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3725" y="14230350"/>
          <a:ext cx="4086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</xdr:row>
      <xdr:rowOff>38100</xdr:rowOff>
    </xdr:from>
    <xdr:to>
      <xdr:col>7</xdr:col>
      <xdr:colOff>447675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93421C-80B9-4FFD-83A6-37C0E975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61950"/>
          <a:ext cx="581025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48</xdr:row>
      <xdr:rowOff>169545</xdr:rowOff>
    </xdr:from>
    <xdr:to>
      <xdr:col>10</xdr:col>
      <xdr:colOff>866775</xdr:colOff>
      <xdr:row>48</xdr:row>
      <xdr:rowOff>169545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7620" y="10637520"/>
          <a:ext cx="66313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470610</xdr:colOff>
      <xdr:row>25</xdr:row>
      <xdr:rowOff>60775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512770" y="52347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6</xdr:col>
      <xdr:colOff>38100</xdr:colOff>
      <xdr:row>25</xdr:row>
      <xdr:rowOff>60960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00500" y="52349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2</xdr:col>
      <xdr:colOff>327660</xdr:colOff>
      <xdr:row>0</xdr:row>
      <xdr:rowOff>45720</xdr:rowOff>
    </xdr:from>
    <xdr:to>
      <xdr:col>7</xdr:col>
      <xdr:colOff>331470</xdr:colOff>
      <xdr:row>4</xdr:row>
      <xdr:rowOff>169545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84960" y="45720"/>
          <a:ext cx="3348990" cy="916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D21-D8C3-4D15-A974-96B5B103E5AF}">
  <dimension ref="A1:U67"/>
  <sheetViews>
    <sheetView showGridLines="0" topLeftCell="A43" zoomScaleNormal="100" zoomScaleSheetLayoutView="100" workbookViewId="0">
      <selection activeCell="O50" sqref="O50"/>
    </sheetView>
  </sheetViews>
  <sheetFormatPr baseColWidth="10" defaultColWidth="10.28515625" defaultRowHeight="14.25" x14ac:dyDescent="0.2"/>
  <cols>
    <col min="1" max="1" width="11.28515625" style="673" customWidth="1"/>
    <col min="2" max="2" width="2" style="673" customWidth="1"/>
    <col min="3" max="3" width="11.42578125" style="673" customWidth="1"/>
    <col min="4" max="4" width="1.140625" style="673" customWidth="1"/>
    <col min="5" max="5" width="12.5703125" style="673" customWidth="1"/>
    <col min="6" max="6" width="9.28515625" style="673" customWidth="1"/>
    <col min="7" max="7" width="8.5703125" style="673" customWidth="1"/>
    <col min="8" max="8" width="17.5703125" style="673" customWidth="1"/>
    <col min="9" max="9" width="1" style="673" customWidth="1"/>
    <col min="10" max="10" width="21.140625" style="673" customWidth="1"/>
    <col min="11" max="11" width="14.7109375" style="673" customWidth="1"/>
    <col min="12" max="12" width="6.42578125" style="673" customWidth="1"/>
    <col min="13" max="13" width="8" style="673" customWidth="1"/>
    <col min="14" max="15" width="10.7109375" style="673" customWidth="1"/>
    <col min="16" max="16384" width="10.28515625" style="673"/>
  </cols>
  <sheetData>
    <row r="1" spans="1:21" ht="12.75" customHeight="1" thickTop="1" x14ac:dyDescent="0.2">
      <c r="A1" s="668"/>
      <c r="B1" s="669"/>
      <c r="C1" s="669"/>
      <c r="D1" s="670"/>
      <c r="E1" s="670"/>
      <c r="F1" s="670"/>
      <c r="G1" s="670"/>
      <c r="H1" s="670"/>
      <c r="I1" s="671"/>
      <c r="J1" s="671"/>
      <c r="K1" s="672"/>
    </row>
    <row r="2" spans="1:21" ht="12.75" customHeight="1" x14ac:dyDescent="0.2">
      <c r="A2" s="674"/>
      <c r="B2" s="285"/>
      <c r="C2" s="285"/>
      <c r="D2" s="286"/>
      <c r="E2" s="286"/>
      <c r="F2" s="286"/>
      <c r="G2" s="286"/>
      <c r="H2" s="286"/>
      <c r="K2" s="675"/>
      <c r="N2" s="291" t="s">
        <v>549</v>
      </c>
      <c r="O2" s="757"/>
    </row>
    <row r="3" spans="1:21" ht="12.75" customHeight="1" x14ac:dyDescent="0.2">
      <c r="A3" s="674"/>
      <c r="B3" s="285"/>
      <c r="C3" s="285"/>
      <c r="D3" s="286"/>
      <c r="E3" s="286"/>
      <c r="F3" s="286"/>
      <c r="G3" s="286"/>
      <c r="H3" s="286"/>
      <c r="K3" s="675"/>
      <c r="N3" s="291" t="s">
        <v>249</v>
      </c>
      <c r="O3" s="758"/>
    </row>
    <row r="4" spans="1:21" ht="12.75" customHeight="1" x14ac:dyDescent="0.2">
      <c r="A4" s="674"/>
      <c r="B4" s="285"/>
      <c r="C4" s="285"/>
      <c r="D4" s="286"/>
      <c r="E4" s="286"/>
      <c r="F4" s="286"/>
      <c r="G4" s="286"/>
      <c r="H4" s="286"/>
      <c r="K4" s="675"/>
      <c r="N4" s="291" t="s">
        <v>235</v>
      </c>
      <c r="O4" s="758"/>
    </row>
    <row r="5" spans="1:21" ht="12.75" customHeight="1" thickBot="1" x14ac:dyDescent="0.25">
      <c r="A5" s="676"/>
      <c r="B5" s="677"/>
      <c r="C5" s="677"/>
      <c r="D5" s="677"/>
      <c r="E5" s="677"/>
      <c r="F5" s="677"/>
      <c r="G5" s="677"/>
      <c r="H5" s="677"/>
      <c r="I5" s="677"/>
      <c r="J5" s="677"/>
      <c r="K5" s="678"/>
      <c r="M5"/>
      <c r="N5" s="291" t="s">
        <v>236</v>
      </c>
      <c r="O5" s="758"/>
    </row>
    <row r="6" spans="1:21" ht="8.25" customHeight="1" thickTop="1" x14ac:dyDescent="0.2">
      <c r="A6" s="564"/>
      <c r="B6" s="564"/>
      <c r="C6" s="564"/>
      <c r="D6" s="564"/>
      <c r="E6" s="564"/>
      <c r="F6" s="564"/>
      <c r="G6" s="564"/>
      <c r="H6" s="564"/>
      <c r="I6" s="564"/>
      <c r="J6" s="564"/>
      <c r="K6" s="564"/>
      <c r="N6" s="759"/>
      <c r="O6" s="760"/>
    </row>
    <row r="7" spans="1:21" ht="15.95" customHeight="1" x14ac:dyDescent="0.2">
      <c r="A7" s="814" t="s">
        <v>21</v>
      </c>
      <c r="B7" s="814"/>
      <c r="C7" s="814"/>
      <c r="D7" s="814"/>
      <c r="E7" s="814"/>
      <c r="F7" s="814"/>
      <c r="G7" s="814"/>
      <c r="H7" s="814"/>
      <c r="I7" s="814"/>
      <c r="J7" s="814"/>
      <c r="K7" s="814"/>
      <c r="N7" s="291" t="s">
        <v>447</v>
      </c>
      <c r="O7" s="760"/>
    </row>
    <row r="8" spans="1:21" ht="15.95" customHeight="1" x14ac:dyDescent="0.25">
      <c r="A8" s="815" t="s">
        <v>477</v>
      </c>
      <c r="B8" s="815"/>
      <c r="C8" s="815"/>
      <c r="D8" s="815"/>
      <c r="E8" s="815"/>
      <c r="F8" s="815"/>
      <c r="G8" s="815"/>
      <c r="H8" s="815"/>
      <c r="I8" s="815"/>
      <c r="J8" s="815"/>
      <c r="K8" s="815"/>
      <c r="N8" s="291" t="s">
        <v>550</v>
      </c>
      <c r="O8" s="761"/>
    </row>
    <row r="9" spans="1:21" ht="9.6" customHeight="1" x14ac:dyDescent="0.2">
      <c r="A9" s="534"/>
      <c r="B9" s="534"/>
      <c r="C9" s="534"/>
      <c r="D9" s="534"/>
      <c r="E9" s="534"/>
      <c r="F9" s="534"/>
      <c r="G9" s="534"/>
      <c r="H9" s="534"/>
      <c r="I9" s="534"/>
      <c r="J9" s="534"/>
      <c r="K9" s="534"/>
      <c r="N9" s="291" t="s">
        <v>466</v>
      </c>
      <c r="O9" s="760"/>
    </row>
    <row r="10" spans="1:21" ht="20.45" customHeight="1" x14ac:dyDescent="0.2">
      <c r="B10" s="485"/>
      <c r="C10" s="485"/>
      <c r="D10" s="816" t="s">
        <v>478</v>
      </c>
      <c r="E10" s="817"/>
      <c r="F10" s="816" t="s">
        <v>479</v>
      </c>
      <c r="G10" s="817"/>
      <c r="H10" s="816" t="s">
        <v>30</v>
      </c>
      <c r="I10" s="817"/>
      <c r="J10" s="679" t="s">
        <v>467</v>
      </c>
      <c r="K10" s="680"/>
      <c r="L10" s="681"/>
      <c r="M10" s="681"/>
      <c r="N10" s="759"/>
      <c r="O10" s="760"/>
    </row>
    <row r="11" spans="1:21" ht="15.95" customHeight="1" x14ac:dyDescent="0.2">
      <c r="A11" s="485"/>
      <c r="B11" s="485"/>
      <c r="C11" s="485"/>
      <c r="D11" s="779"/>
      <c r="E11" s="780"/>
      <c r="F11" s="779"/>
      <c r="G11" s="780"/>
      <c r="H11" s="779"/>
      <c r="I11" s="780"/>
      <c r="J11" s="682" t="inlineStr">
        <is>
          <t>-</t>
        </is>
      </c>
      <c r="K11" s="386"/>
      <c r="L11" s="681"/>
      <c r="M11" s="681"/>
      <c r="N11" s="291" t="s">
        <v>251</v>
      </c>
      <c r="O11" s="760"/>
    </row>
    <row r="12" spans="1:21" ht="11.45" customHeight="1" x14ac:dyDescent="0.2">
      <c r="A12" s="485"/>
      <c r="B12" s="288"/>
      <c r="C12" s="292"/>
      <c r="D12" s="292"/>
      <c r="E12" s="292"/>
      <c r="F12" s="292"/>
      <c r="G12" s="292"/>
      <c r="H12" s="292"/>
      <c r="I12" s="291"/>
      <c r="J12" s="288"/>
      <c r="K12" s="683"/>
      <c r="L12" s="681"/>
      <c r="M12" s="681"/>
      <c r="N12" s="291" t="s">
        <v>233</v>
      </c>
      <c r="O12" s="761"/>
    </row>
    <row r="13" spans="1:21" ht="15.75" customHeight="1" x14ac:dyDescent="0.2">
      <c r="A13" s="818" t="s">
        <v>480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20"/>
      <c r="L13" s="681"/>
      <c r="M13" s="681"/>
      <c r="N13" s="291" t="s">
        <v>234</v>
      </c>
      <c r="O13" s="761"/>
    </row>
    <row r="14" spans="1:21" ht="15.75" customHeight="1" x14ac:dyDescent="0.2">
      <c r="A14" s="821" t="s">
        <v>481</v>
      </c>
      <c r="B14" s="822"/>
      <c r="C14" s="822"/>
      <c r="D14" s="822"/>
      <c r="E14" s="822"/>
      <c r="F14" s="822"/>
      <c r="G14" s="822"/>
      <c r="H14" s="822"/>
      <c r="I14" s="822"/>
      <c r="J14" s="822"/>
      <c r="K14" s="823"/>
      <c r="L14" s="681"/>
      <c r="M14" s="681"/>
      <c r="N14" s="759"/>
      <c r="O14" s="760"/>
    </row>
    <row r="15" spans="1:21" ht="8.25" customHeight="1" x14ac:dyDescent="0.2">
      <c r="M15" s="684"/>
      <c r="N15" s="291" t="s">
        <v>551</v>
      </c>
      <c r="O15" s="762"/>
      <c r="P15" s="684"/>
      <c r="Q15" s="684"/>
      <c r="R15" s="684"/>
      <c r="S15" s="684"/>
      <c r="T15" s="684"/>
      <c r="U15" s="684"/>
    </row>
    <row r="16" spans="1:21" ht="15.75" customHeight="1" x14ac:dyDescent="0.2">
      <c r="A16" s="804" t="s">
        <v>482</v>
      </c>
      <c r="B16" s="805"/>
      <c r="C16" s="806"/>
      <c r="E16" s="824" t="s">
        <v>372</v>
      </c>
      <c r="F16" s="825"/>
      <c r="G16" s="825"/>
      <c r="H16" s="826"/>
      <c r="J16" s="804" t="s">
        <v>483</v>
      </c>
      <c r="K16" s="806"/>
      <c r="M16" s="684"/>
      <c r="N16" s="291" t="s">
        <v>245</v>
      </c>
      <c r="O16" s="762"/>
      <c r="P16" s="684"/>
      <c r="R16" s="685"/>
      <c r="S16" s="684"/>
      <c r="T16" s="686"/>
      <c r="U16" s="686"/>
    </row>
    <row r="17" spans="1:21" ht="15.75" customHeight="1" x14ac:dyDescent="0.2">
      <c r="A17" s="687" t="s">
        <v>484</v>
      </c>
      <c r="B17" s="799"/>
      <c r="C17" s="800"/>
      <c r="E17" s="688" t="s">
        <v>485</v>
      </c>
      <c r="F17" s="689"/>
      <c r="G17" s="690"/>
      <c r="H17" s="691"/>
      <c r="J17" s="812"/>
      <c r="K17" s="813"/>
      <c r="M17" s="684"/>
      <c r="N17" s="291" t="s">
        <v>552</v>
      </c>
      <c r="O17" s="763"/>
      <c r="P17" s="684"/>
      <c r="R17" s="685"/>
      <c r="S17" s="684"/>
      <c r="T17" s="686"/>
      <c r="U17" s="686"/>
    </row>
    <row r="18" spans="1:21" ht="15.75" customHeight="1" x14ac:dyDescent="0.2">
      <c r="A18" s="687" t="s">
        <v>486</v>
      </c>
      <c r="B18" s="799"/>
      <c r="C18" s="800"/>
      <c r="E18" s="688" t="s">
        <v>487</v>
      </c>
      <c r="F18" s="689"/>
      <c r="G18" s="690"/>
      <c r="H18" s="693"/>
      <c r="M18" s="684"/>
      <c r="N18" s="692"/>
      <c r="O18" s="685"/>
      <c r="P18" s="684"/>
      <c r="R18" s="685"/>
      <c r="S18" s="684"/>
      <c r="T18" s="686"/>
      <c r="U18" s="686"/>
    </row>
    <row r="19" spans="1:21" ht="15.75" customHeight="1" x14ac:dyDescent="0.2">
      <c r="E19" s="688" t="s">
        <v>488</v>
      </c>
      <c r="F19" s="689"/>
      <c r="G19" s="690"/>
      <c r="H19" s="694"/>
      <c r="J19" s="782" t="s">
        <v>489</v>
      </c>
      <c r="K19" s="783"/>
      <c r="M19" s="684"/>
      <c r="N19" s="692"/>
      <c r="O19" s="685"/>
      <c r="P19" s="684"/>
      <c r="R19" s="685"/>
      <c r="S19" s="684"/>
      <c r="T19" s="686"/>
      <c r="U19" s="686"/>
    </row>
    <row r="20" spans="1:21" ht="15.75" customHeight="1" x14ac:dyDescent="0.2">
      <c r="A20" s="789" t="s">
        <v>490</v>
      </c>
      <c r="B20" s="790"/>
      <c r="C20" s="791"/>
      <c r="E20" s="695" t="s">
        <v>491</v>
      </c>
      <c r="F20" s="696"/>
      <c r="G20" s="696"/>
      <c r="H20" s="697"/>
      <c r="J20" s="698" t="s">
        <v>431</v>
      </c>
      <c r="K20" s="699"/>
      <c r="M20" s="684"/>
      <c r="N20" s="692"/>
      <c r="O20" s="685"/>
      <c r="P20" s="684"/>
      <c r="R20" s="685"/>
      <c r="S20" s="684"/>
      <c r="T20" s="686"/>
      <c r="U20" s="686"/>
    </row>
    <row r="21" spans="1:21" ht="15.75" customHeight="1" x14ac:dyDescent="0.2">
      <c r="A21" s="687" t="s">
        <v>492</v>
      </c>
      <c r="B21" s="801"/>
      <c r="C21" s="802"/>
      <c r="E21" s="700"/>
      <c r="F21" s="700"/>
      <c r="G21" s="700"/>
      <c r="H21" s="700"/>
      <c r="J21" s="386" t="s">
        <v>493</v>
      </c>
      <c r="M21" s="684"/>
      <c r="N21" s="692"/>
      <c r="O21" s="685"/>
      <c r="P21" s="684"/>
      <c r="R21" s="685"/>
      <c r="S21" s="684"/>
      <c r="T21" s="686"/>
      <c r="U21" s="686"/>
    </row>
    <row r="22" spans="1:21" ht="15.75" customHeight="1" x14ac:dyDescent="0.2">
      <c r="A22" s="687" t="s">
        <v>494</v>
      </c>
      <c r="B22" s="801"/>
      <c r="C22" s="802"/>
      <c r="E22" s="782" t="s">
        <v>369</v>
      </c>
      <c r="F22" s="803"/>
      <c r="G22" s="803"/>
      <c r="H22" s="783"/>
      <c r="I22" s="701"/>
      <c r="J22" s="486" t="s">
        <v>370</v>
      </c>
      <c r="K22" s="702"/>
      <c r="M22" s="684"/>
      <c r="N22" s="692"/>
      <c r="O22" s="685"/>
      <c r="P22" s="684"/>
      <c r="R22" s="685"/>
      <c r="S22" s="684"/>
      <c r="T22" s="686"/>
      <c r="U22" s="686"/>
    </row>
    <row r="23" spans="1:21" ht="15.75" customHeight="1" x14ac:dyDescent="0.2">
      <c r="E23" s="688" t="s">
        <v>495</v>
      </c>
      <c r="F23" s="689"/>
      <c r="G23" s="690"/>
      <c r="H23" s="693"/>
      <c r="J23" s="703" t="s">
        <v>496</v>
      </c>
      <c r="K23" s="693"/>
      <c r="M23" s="684"/>
      <c r="N23" s="692"/>
      <c r="O23" s="685"/>
      <c r="P23" s="684"/>
      <c r="R23" s="685"/>
      <c r="S23" s="684"/>
      <c r="T23" s="686"/>
      <c r="U23" s="686"/>
    </row>
    <row r="24" spans="1:21" ht="15.75" customHeight="1" x14ac:dyDescent="0.2">
      <c r="A24" s="804" t="s">
        <v>497</v>
      </c>
      <c r="B24" s="805"/>
      <c r="C24" s="806"/>
      <c r="E24" s="688" t="s">
        <v>498</v>
      </c>
      <c r="F24" s="689"/>
      <c r="G24" s="690"/>
      <c r="H24" s="693"/>
      <c r="J24" s="704" t="s">
        <v>499</v>
      </c>
      <c r="K24" s="703"/>
      <c r="M24" s="684"/>
      <c r="N24" s="692"/>
      <c r="O24" s="685"/>
      <c r="P24" s="684"/>
      <c r="R24" s="685"/>
      <c r="S24" s="684"/>
      <c r="T24" s="686"/>
      <c r="U24" s="686"/>
    </row>
    <row r="25" spans="1:21" ht="15.75" customHeight="1" x14ac:dyDescent="0.2">
      <c r="A25" s="705" t="s">
        <v>500</v>
      </c>
      <c r="B25" s="706"/>
      <c r="C25" s="693"/>
      <c r="E25" s="688" t="s">
        <v>501</v>
      </c>
      <c r="F25" s="689"/>
      <c r="G25" s="690"/>
      <c r="H25" s="693"/>
      <c r="J25" s="688" t="s">
        <v>425</v>
      </c>
      <c r="K25" s="693"/>
      <c r="M25" s="684"/>
      <c r="N25" s="692"/>
      <c r="O25" s="685"/>
      <c r="P25" s="684"/>
      <c r="R25" s="685"/>
      <c r="S25" s="684"/>
      <c r="T25" s="686"/>
      <c r="U25" s="686"/>
    </row>
    <row r="26" spans="1:21" ht="15.75" customHeight="1" x14ac:dyDescent="0.2">
      <c r="A26" s="705" t="s">
        <v>502</v>
      </c>
      <c r="B26" s="707"/>
      <c r="C26" s="693"/>
      <c r="E26" s="688" t="s">
        <v>503</v>
      </c>
      <c r="F26" s="689"/>
      <c r="G26" s="690"/>
      <c r="H26" s="693"/>
      <c r="J26" s="688" t="s">
        <v>504</v>
      </c>
      <c r="K26" s="693"/>
      <c r="M26" s="684"/>
      <c r="N26" s="692"/>
      <c r="O26" s="685"/>
      <c r="P26" s="684"/>
      <c r="R26" s="685"/>
      <c r="S26" s="684"/>
      <c r="T26" s="686"/>
      <c r="U26" s="686"/>
    </row>
    <row r="27" spans="1:21" ht="15.75" customHeight="1" x14ac:dyDescent="0.2">
      <c r="A27" s="705" t="s">
        <v>505</v>
      </c>
      <c r="B27" s="707"/>
      <c r="C27" s="708"/>
      <c r="I27" s="709"/>
      <c r="J27" s="688" t="s">
        <v>506</v>
      </c>
      <c r="K27" s="693"/>
      <c r="M27" s="684"/>
      <c r="N27" s="692"/>
      <c r="O27" s="685"/>
      <c r="P27" s="684"/>
      <c r="R27" s="685"/>
      <c r="S27" s="684"/>
      <c r="T27" s="686"/>
      <c r="U27" s="686"/>
    </row>
    <row r="28" spans="1:21" ht="3.75" customHeight="1" x14ac:dyDescent="0.2">
      <c r="A28" s="684"/>
      <c r="B28" s="686"/>
      <c r="C28" s="710"/>
      <c r="I28" s="709"/>
      <c r="J28" s="711"/>
      <c r="M28" s="684"/>
      <c r="N28" s="692"/>
      <c r="O28" s="685"/>
      <c r="P28" s="684"/>
      <c r="R28" s="685"/>
      <c r="S28" s="684"/>
      <c r="T28" s="686"/>
      <c r="U28" s="686"/>
    </row>
    <row r="29" spans="1:21" ht="15.75" customHeight="1" x14ac:dyDescent="0.2">
      <c r="E29" s="712" t="s">
        <v>507</v>
      </c>
      <c r="F29" s="486"/>
      <c r="G29" s="486"/>
      <c r="H29" s="486"/>
      <c r="I29" s="486"/>
      <c r="J29" s="486"/>
      <c r="K29" s="702"/>
      <c r="M29" s="684"/>
      <c r="N29" s="692"/>
      <c r="O29" s="685"/>
      <c r="P29" s="684"/>
      <c r="R29" s="685"/>
      <c r="S29" s="684"/>
      <c r="T29" s="686"/>
      <c r="U29" s="686"/>
    </row>
    <row r="30" spans="1:21" ht="15.75" customHeight="1" x14ac:dyDescent="0.2">
      <c r="A30" s="713" t="s">
        <v>508</v>
      </c>
      <c r="B30" s="714"/>
      <c r="C30" s="715"/>
      <c r="E30" s="688" t="s">
        <v>509</v>
      </c>
      <c r="F30" s="716"/>
      <c r="G30" s="689"/>
      <c r="H30" s="689"/>
      <c r="I30" s="689"/>
      <c r="J30" s="690"/>
      <c r="K30" s="693"/>
      <c r="M30" s="684"/>
      <c r="N30" s="692"/>
      <c r="O30" s="685"/>
      <c r="P30" s="684"/>
      <c r="R30" s="685"/>
      <c r="S30" s="684"/>
      <c r="T30" s="686"/>
      <c r="U30" s="686"/>
    </row>
    <row r="31" spans="1:21" ht="15.75" customHeight="1" x14ac:dyDescent="0.2">
      <c r="A31" s="705" t="s">
        <v>510</v>
      </c>
      <c r="B31" s="807"/>
      <c r="C31" s="807"/>
      <c r="E31" s="688" t="s">
        <v>511</v>
      </c>
      <c r="F31" s="716"/>
      <c r="G31" s="689"/>
      <c r="H31" s="689"/>
      <c r="I31" s="689"/>
      <c r="J31" s="690"/>
      <c r="K31" s="693"/>
      <c r="M31" s="684"/>
      <c r="N31" s="692"/>
      <c r="O31" s="685"/>
      <c r="P31" s="684"/>
      <c r="R31" s="685"/>
      <c r="S31" s="684"/>
      <c r="T31" s="686"/>
      <c r="U31" s="686"/>
    </row>
    <row r="32" spans="1:21" ht="15.75" customHeight="1" x14ac:dyDescent="0.2">
      <c r="A32" s="705" t="s">
        <v>512</v>
      </c>
      <c r="B32" s="807"/>
      <c r="C32" s="807"/>
      <c r="E32" s="688" t="s">
        <v>513</v>
      </c>
      <c r="F32" s="716"/>
      <c r="G32" s="689"/>
      <c r="H32" s="689"/>
      <c r="I32" s="689"/>
      <c r="J32" s="690"/>
      <c r="K32" s="693"/>
      <c r="M32" s="684"/>
      <c r="N32" s="692"/>
      <c r="O32" s="685"/>
      <c r="P32" s="684"/>
      <c r="R32" s="685"/>
      <c r="S32" s="684"/>
      <c r="T32" s="686"/>
      <c r="U32" s="686"/>
    </row>
    <row r="33" spans="1:21" ht="15.75" customHeight="1" x14ac:dyDescent="0.2">
      <c r="E33" s="688" t="s">
        <v>514</v>
      </c>
      <c r="F33" s="689"/>
      <c r="G33" s="689"/>
      <c r="H33" s="689"/>
      <c r="I33" s="689"/>
      <c r="J33" s="690"/>
      <c r="K33" s="693"/>
      <c r="M33" s="684"/>
      <c r="N33" s="692"/>
      <c r="O33" s="685"/>
      <c r="P33" s="684"/>
      <c r="R33" s="685"/>
      <c r="S33" s="684"/>
      <c r="T33" s="686"/>
      <c r="U33" s="686"/>
    </row>
    <row r="34" spans="1:21" ht="21" customHeight="1" x14ac:dyDescent="0.2">
      <c r="A34" s="789" t="s">
        <v>515</v>
      </c>
      <c r="B34" s="790"/>
      <c r="C34" s="791"/>
      <c r="E34" s="808" t="s">
        <v>516</v>
      </c>
      <c r="F34" s="809"/>
      <c r="G34" s="795"/>
      <c r="H34" s="796"/>
      <c r="I34" s="717"/>
      <c r="J34" s="718" t="s">
        <v>517</v>
      </c>
      <c r="K34" s="719"/>
      <c r="M34" s="684"/>
      <c r="N34" s="692"/>
      <c r="O34" s="685"/>
      <c r="R34" s="685"/>
      <c r="S34" s="684"/>
      <c r="T34" s="686"/>
      <c r="U34" s="686"/>
    </row>
    <row r="35" spans="1:21" ht="15.75" customHeight="1" x14ac:dyDescent="0.2">
      <c r="A35" s="720" t="s">
        <v>518</v>
      </c>
      <c r="B35" s="700"/>
      <c r="C35" s="721"/>
      <c r="E35" s="810"/>
      <c r="F35" s="811"/>
      <c r="G35" s="797"/>
      <c r="H35" s="798"/>
      <c r="J35" s="722" t="s">
        <v>519</v>
      </c>
      <c r="K35" s="723"/>
      <c r="M35" s="684"/>
      <c r="N35" s="692"/>
      <c r="O35" s="685"/>
      <c r="R35" s="685"/>
      <c r="S35" s="684"/>
      <c r="T35" s="686"/>
      <c r="U35" s="686"/>
    </row>
    <row r="36" spans="1:21" ht="11.25" customHeight="1" x14ac:dyDescent="0.2">
      <c r="A36" s="724"/>
      <c r="B36" s="696"/>
      <c r="C36" s="725"/>
      <c r="I36" s="726"/>
      <c r="J36" s="727"/>
      <c r="K36" s="727"/>
      <c r="L36" s="681"/>
      <c r="P36" s="684"/>
    </row>
    <row r="37" spans="1:21" ht="19.5" customHeight="1" x14ac:dyDescent="0.2">
      <c r="A37" s="789" t="s">
        <v>520</v>
      </c>
      <c r="B37" s="790"/>
      <c r="C37" s="791"/>
      <c r="E37" s="792" t="s">
        <v>521</v>
      </c>
      <c r="F37" s="793"/>
      <c r="G37" s="793"/>
      <c r="H37" s="793"/>
      <c r="I37" s="794"/>
      <c r="K37" s="778" t="s">
        <v>522</v>
      </c>
      <c r="L37" s="681"/>
    </row>
    <row r="38" spans="1:21" ht="15.75" customHeight="1" x14ac:dyDescent="0.2">
      <c r="A38" s="728" t="s">
        <v>518</v>
      </c>
      <c r="C38" s="729"/>
      <c r="E38" s="730" t="s">
        <v>548</v>
      </c>
      <c r="F38" s="779" t="s">
        <v>523</v>
      </c>
      <c r="G38" s="780"/>
      <c r="H38" s="779" t="s">
        <v>524</v>
      </c>
      <c r="I38" s="780"/>
      <c r="K38" s="778"/>
      <c r="L38" s="681"/>
    </row>
    <row r="39" spans="1:21" ht="16.5" customHeight="1" x14ac:dyDescent="0.2">
      <c r="A39" s="724"/>
      <c r="B39" s="696"/>
      <c r="C39" s="725"/>
      <c r="I39" s="726"/>
      <c r="J39" s="416"/>
      <c r="K39" s="731"/>
      <c r="L39" s="681"/>
    </row>
    <row r="40" spans="1:21" ht="18.75" customHeight="1" x14ac:dyDescent="0.2">
      <c r="A40" s="732" t="s">
        <v>525</v>
      </c>
      <c r="C40" s="733" t="s">
        <v>526</v>
      </c>
      <c r="D40" s="782" t="s">
        <v>527</v>
      </c>
      <c r="E40" s="783"/>
      <c r="I40" s="734" t="s">
        <v>528</v>
      </c>
      <c r="L40" s="681"/>
    </row>
    <row r="41" spans="1:21" ht="18.75" customHeight="1" x14ac:dyDescent="0.2">
      <c r="A41" s="732" t="s">
        <v>529</v>
      </c>
      <c r="C41" s="733" t="s">
        <v>530</v>
      </c>
      <c r="D41" s="782" t="s">
        <v>366</v>
      </c>
      <c r="E41" s="783"/>
      <c r="J41" s="735"/>
      <c r="L41" s="681"/>
    </row>
    <row r="42" spans="1:21" ht="18.75" customHeight="1" x14ac:dyDescent="0.2">
      <c r="A42" s="736" t="s">
        <v>531</v>
      </c>
      <c r="C42" s="737">
        <v>75</v>
      </c>
      <c r="D42" s="738"/>
      <c r="E42" s="739"/>
      <c r="F42" s="726"/>
      <c r="G42" s="386"/>
      <c r="H42" s="735"/>
      <c r="J42" s="735"/>
      <c r="K42" s="740"/>
      <c r="L42" s="681"/>
    </row>
    <row r="43" spans="1:21" ht="18.75" customHeight="1" x14ac:dyDescent="0.2">
      <c r="A43" s="736" t="s">
        <v>532</v>
      </c>
      <c r="C43" s="737">
        <v>50</v>
      </c>
      <c r="D43" s="738"/>
      <c r="E43" s="739"/>
    </row>
    <row r="44" spans="1:21" ht="18.75" customHeight="1" x14ac:dyDescent="0.2">
      <c r="A44" s="736" t="s">
        <v>533</v>
      </c>
      <c r="C44" s="737">
        <v>37.5</v>
      </c>
      <c r="D44" s="738"/>
      <c r="E44" s="739"/>
    </row>
    <row r="45" spans="1:21" ht="18.75" customHeight="1" x14ac:dyDescent="0.2">
      <c r="A45" s="736" t="s">
        <v>534</v>
      </c>
      <c r="C45" s="737">
        <v>25</v>
      </c>
      <c r="D45" s="738"/>
      <c r="E45" s="739"/>
      <c r="L45" s="681"/>
      <c r="M45" s="681"/>
    </row>
    <row r="46" spans="1:21" ht="18.75" customHeight="1" x14ac:dyDescent="0.2">
      <c r="A46" s="736" t="s">
        <v>535</v>
      </c>
      <c r="C46" s="737">
        <v>19</v>
      </c>
      <c r="D46" s="738"/>
      <c r="E46" s="739"/>
      <c r="L46" s="681"/>
      <c r="M46" s="681"/>
    </row>
    <row r="47" spans="1:21" ht="18.75" customHeight="1" x14ac:dyDescent="0.2">
      <c r="A47" s="736" t="s">
        <v>536</v>
      </c>
      <c r="C47" s="737">
        <v>9.5</v>
      </c>
      <c r="D47" s="738"/>
      <c r="E47" s="739"/>
      <c r="L47" s="681"/>
    </row>
    <row r="48" spans="1:21" ht="18.75" customHeight="1" x14ac:dyDescent="0.2">
      <c r="A48" s="736" t="s">
        <v>431</v>
      </c>
      <c r="C48" s="737">
        <v>4.75</v>
      </c>
      <c r="D48" s="738"/>
      <c r="E48" s="739"/>
      <c r="L48" s="681"/>
      <c r="M48" s="681"/>
    </row>
    <row r="49" spans="1:18" ht="15" customHeight="1" x14ac:dyDescent="0.2">
      <c r="A49" s="266"/>
      <c r="C49" s="741"/>
      <c r="D49" s="742"/>
      <c r="E49" s="742"/>
      <c r="G49" s="743" t="s">
        <v>537</v>
      </c>
      <c r="L49" s="681"/>
      <c r="M49" s="681"/>
    </row>
    <row r="50" spans="1:18" ht="18.75" customHeight="1" x14ac:dyDescent="0.2">
      <c r="A50" s="388" t="s">
        <v>232</v>
      </c>
      <c r="C50" s="744">
        <v>2</v>
      </c>
      <c r="D50" s="738"/>
      <c r="E50" s="745"/>
      <c r="G50" s="784" t="s">
        <v>538</v>
      </c>
      <c r="H50" s="785"/>
      <c r="I50" s="784" t="s">
        <v>539</v>
      </c>
      <c r="J50" s="785"/>
      <c r="L50" s="681"/>
      <c r="M50" s="681"/>
    </row>
    <row r="51" spans="1:18" ht="18.75" customHeight="1" x14ac:dyDescent="0.2">
      <c r="A51" s="388" t="s">
        <v>238</v>
      </c>
      <c r="C51" s="744">
        <v>0.85</v>
      </c>
      <c r="D51" s="738"/>
      <c r="E51" s="745"/>
      <c r="G51" s="746" t="s">
        <v>540</v>
      </c>
      <c r="H51" s="747"/>
      <c r="I51" s="786"/>
      <c r="J51" s="787"/>
      <c r="L51" s="681"/>
      <c r="M51" s="681"/>
    </row>
    <row r="52" spans="1:18" ht="18.75" customHeight="1" x14ac:dyDescent="0.2">
      <c r="A52" s="388" t="s">
        <v>541</v>
      </c>
      <c r="C52" s="744">
        <v>0.42499999999999999</v>
      </c>
      <c r="D52" s="738"/>
      <c r="E52" s="745"/>
      <c r="G52" s="746" t="s">
        <v>542</v>
      </c>
      <c r="H52" s="747"/>
      <c r="I52" s="786"/>
      <c r="J52" s="787"/>
      <c r="L52" s="681"/>
      <c r="M52" s="681"/>
    </row>
    <row r="53" spans="1:18" ht="18.75" customHeight="1" x14ac:dyDescent="0.2">
      <c r="A53" s="388" t="s">
        <v>239</v>
      </c>
      <c r="C53" s="744">
        <v>0.25</v>
      </c>
      <c r="D53" s="738"/>
      <c r="E53" s="745"/>
      <c r="L53" s="681"/>
      <c r="M53" s="681"/>
    </row>
    <row r="54" spans="1:18" ht="18.75" customHeight="1" x14ac:dyDescent="0.2">
      <c r="A54" s="388" t="s">
        <v>241</v>
      </c>
      <c r="C54" s="744">
        <v>0.15</v>
      </c>
      <c r="D54" s="738"/>
      <c r="E54" s="745"/>
      <c r="G54" s="740" t="s">
        <v>387</v>
      </c>
    </row>
    <row r="55" spans="1:18" ht="18.75" customHeight="1" x14ac:dyDescent="0.2">
      <c r="A55" s="388" t="s">
        <v>240</v>
      </c>
      <c r="C55" s="744">
        <v>0.106</v>
      </c>
      <c r="D55" s="738"/>
      <c r="E55" s="745"/>
      <c r="G55" s="673" t="s">
        <v>543</v>
      </c>
    </row>
    <row r="56" spans="1:18" ht="18.75" customHeight="1" x14ac:dyDescent="0.2">
      <c r="A56" s="388" t="s">
        <v>242</v>
      </c>
      <c r="C56" s="744">
        <v>7.4999999999999997E-2</v>
      </c>
      <c r="D56" s="738"/>
      <c r="E56" s="745"/>
      <c r="H56" s="686"/>
      <c r="I56" s="686"/>
      <c r="J56" s="686"/>
      <c r="K56" s="686"/>
      <c r="L56" s="681"/>
      <c r="M56" s="681"/>
    </row>
    <row r="57" spans="1:18" ht="18.75" customHeight="1" x14ac:dyDescent="0.2">
      <c r="A57" s="388" t="s">
        <v>544</v>
      </c>
      <c r="C57" s="748" t="s">
        <v>262</v>
      </c>
      <c r="D57" s="738"/>
      <c r="E57" s="745"/>
      <c r="G57" s="749"/>
      <c r="H57" s="750"/>
      <c r="I57" s="686"/>
      <c r="J57" s="686"/>
      <c r="K57" s="686"/>
      <c r="L57" s="681"/>
      <c r="M57" s="681"/>
      <c r="O57" s="751"/>
      <c r="P57" s="752"/>
      <c r="Q57" s="752"/>
      <c r="R57" s="752"/>
    </row>
    <row r="58" spans="1:18" ht="3.75" customHeight="1" x14ac:dyDescent="0.2">
      <c r="O58" s="753"/>
      <c r="P58" s="754"/>
      <c r="R58" s="749"/>
    </row>
    <row r="59" spans="1:18" ht="9" customHeight="1" x14ac:dyDescent="0.2">
      <c r="L59" s="681"/>
      <c r="M59" s="681"/>
      <c r="O59" s="753"/>
      <c r="P59" s="754"/>
      <c r="R59" s="755"/>
    </row>
    <row r="60" spans="1:18" ht="6" customHeight="1" x14ac:dyDescent="0.2">
      <c r="A60" s="756"/>
      <c r="B60" s="740"/>
      <c r="C60" s="740"/>
      <c r="D60" s="740"/>
      <c r="E60" s="740"/>
      <c r="F60" s="740"/>
      <c r="G60" s="740"/>
      <c r="H60" s="740"/>
      <c r="I60" s="740"/>
      <c r="J60" s="740"/>
      <c r="K60" s="740"/>
      <c r="L60" s="681"/>
      <c r="M60" s="681"/>
    </row>
    <row r="61" spans="1:18" ht="15.95" customHeight="1" x14ac:dyDescent="0.2">
      <c r="A61" s="260" t="s">
        <v>23</v>
      </c>
      <c r="B61" s="740"/>
      <c r="C61" s="740"/>
      <c r="D61" s="740"/>
      <c r="E61" s="740"/>
      <c r="F61" s="740"/>
      <c r="G61" s="740"/>
      <c r="H61" s="740"/>
      <c r="I61" s="740"/>
      <c r="J61" s="740"/>
      <c r="K61" s="740"/>
      <c r="L61" s="681"/>
      <c r="M61" s="681"/>
    </row>
    <row r="62" spans="1:18" ht="15.95" customHeight="1" x14ac:dyDescent="0.2">
      <c r="A62" s="425" t="s">
        <v>545</v>
      </c>
      <c r="B62" s="485"/>
      <c r="C62" s="485"/>
      <c r="D62" s="485"/>
      <c r="E62" s="788"/>
      <c r="F62" s="788"/>
      <c r="G62" s="788"/>
      <c r="H62" s="788"/>
      <c r="I62" s="788"/>
      <c r="J62" s="788"/>
      <c r="K62" s="740"/>
      <c r="L62" s="681"/>
      <c r="M62" s="681"/>
    </row>
    <row r="63" spans="1:18" ht="1.1499999999999999" customHeight="1" x14ac:dyDescent="0.2">
      <c r="B63" s="740"/>
      <c r="C63" s="740"/>
      <c r="D63" s="740"/>
      <c r="E63" s="740"/>
      <c r="F63" s="740"/>
      <c r="G63" s="740"/>
      <c r="H63" s="740"/>
      <c r="I63" s="740"/>
      <c r="J63" s="740"/>
      <c r="K63" s="740"/>
      <c r="L63" s="681"/>
      <c r="M63" s="681"/>
    </row>
    <row r="64" spans="1:18" ht="12" customHeight="1" x14ac:dyDescent="0.2">
      <c r="D64" s="260"/>
      <c r="F64" s="260" t="s">
        <v>546</v>
      </c>
      <c r="G64" s="260"/>
    </row>
    <row r="65" spans="1:11" ht="30.75" customHeight="1" x14ac:dyDescent="0.2">
      <c r="A65" s="781" t="s">
        <v>547</v>
      </c>
      <c r="B65" s="781"/>
      <c r="C65" s="781"/>
      <c r="D65" s="781"/>
      <c r="E65" s="781"/>
      <c r="F65" s="781"/>
      <c r="G65" s="781"/>
      <c r="H65" s="781"/>
      <c r="I65" s="781"/>
      <c r="J65" s="781"/>
      <c r="K65" s="781"/>
    </row>
    <row r="66" spans="1:11" ht="15.95" customHeight="1" x14ac:dyDescent="0.2"/>
    <row r="67" spans="1:11" ht="15.95" customHeight="1" x14ac:dyDescent="0.2"/>
  </sheetData>
  <sheetProtection algorithmName="SHA-512" hashValue="mqr63IQ4uQSmuncQM74KKqreM+dJvBPMH/ZdDqLebBarXv1cvTyz63VMrZPdfVOpcKJhhuXCDbf46NC8PIfxYQ==" saltValue="L8E06HI4mJ1F5rF2xz8KsQ==" spinCount="100000" sheet="1" objects="1" scenarios="1"/>
  <protectedRanges>
    <protectedRange sqref="C12" name="Rango3_3_1_1_1_1_1_1_1_1"/>
    <protectedRange sqref="C10:C11 C62" name="Rango3_3_1_1_1_1_1_2_1"/>
  </protectedRanges>
  <mergeCells count="41">
    <mergeCell ref="B17:C17"/>
    <mergeCell ref="J17:K17"/>
    <mergeCell ref="A7:K7"/>
    <mergeCell ref="A8:K8"/>
    <mergeCell ref="D10:E10"/>
    <mergeCell ref="F10:G10"/>
    <mergeCell ref="H10:I10"/>
    <mergeCell ref="D11:E11"/>
    <mergeCell ref="F11:G11"/>
    <mergeCell ref="H11:I11"/>
    <mergeCell ref="A13:K13"/>
    <mergeCell ref="A14:K14"/>
    <mergeCell ref="A16:C16"/>
    <mergeCell ref="E16:H16"/>
    <mergeCell ref="J16:K16"/>
    <mergeCell ref="G34:H35"/>
    <mergeCell ref="B18:C18"/>
    <mergeCell ref="J19:K19"/>
    <mergeCell ref="A20:C20"/>
    <mergeCell ref="B21:C21"/>
    <mergeCell ref="B22:C22"/>
    <mergeCell ref="E22:H22"/>
    <mergeCell ref="A24:C24"/>
    <mergeCell ref="B31:C31"/>
    <mergeCell ref="B32:C32"/>
    <mergeCell ref="A34:C34"/>
    <mergeCell ref="E34:F35"/>
    <mergeCell ref="K37:K38"/>
    <mergeCell ref="F38:G38"/>
    <mergeCell ref="H38:I38"/>
    <mergeCell ref="A65:K65"/>
    <mergeCell ref="D41:E41"/>
    <mergeCell ref="G50:H50"/>
    <mergeCell ref="I50:J50"/>
    <mergeCell ref="I51:J51"/>
    <mergeCell ref="I52:J52"/>
    <mergeCell ref="E62:G62"/>
    <mergeCell ref="H62:J62"/>
    <mergeCell ref="D40:E40"/>
    <mergeCell ref="A37:C37"/>
    <mergeCell ref="E37:I37"/>
  </mergeCells>
  <printOptions horizontalCentered="1" verticalCentered="1"/>
  <pageMargins left="0" right="0" top="0.39370078740157483" bottom="0" header="0" footer="0"/>
  <pageSetup paperSize="9" scale="7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0"/>
  </sheetPr>
  <dimension ref="A1:AF94"/>
  <sheetViews>
    <sheetView showGridLines="0" tabSelected="1" topLeftCell="A4" zoomScaleNormal="100" zoomScaleSheetLayoutView="120" workbookViewId="0">
      <selection activeCell="N27" sqref="N27"/>
    </sheetView>
  </sheetViews>
  <sheetFormatPr baseColWidth="10" defaultColWidth="10.28515625" defaultRowHeight="14.25" x14ac:dyDescent="0.2"/>
  <cols>
    <col min="1" max="1" width="10.85546875" style="284" customWidth="1"/>
    <col min="2" max="2" width="1.7109375" style="284" customWidth="1"/>
    <col min="3" max="3" width="5.7109375" style="284" customWidth="1"/>
    <col min="4" max="4" width="1.42578125" style="284" customWidth="1"/>
    <col min="5" max="5" width="3.28515625" style="284" customWidth="1"/>
    <col min="6" max="6" width="4.42578125" style="284" customWidth="1"/>
    <col min="7" max="7" width="8.7109375" style="284" customWidth="1"/>
    <col min="8" max="8" width="5.85546875" style="284" customWidth="1"/>
    <col min="9" max="9" width="9.7109375" style="284" customWidth="1"/>
    <col min="10" max="10" width="11.28515625" style="284" customWidth="1"/>
    <col min="11" max="11" width="16.7109375" style="284" customWidth="1"/>
    <col min="12" max="12" width="9.7109375" style="284" customWidth="1"/>
    <col min="13" max="13" width="1" style="284" customWidth="1"/>
    <col min="14" max="14" width="13.5703125" style="284" customWidth="1"/>
    <col min="15" max="15" width="6.42578125" style="284" customWidth="1"/>
    <col min="16" max="16" width="8" style="284" customWidth="1"/>
    <col min="17" max="19" width="14.7109375" style="284" customWidth="1"/>
    <col min="20" max="20" width="15.5703125" style="284" customWidth="1"/>
    <col min="21" max="22" width="14.7109375" style="284" customWidth="1"/>
    <col min="23" max="23" width="13.42578125" style="284" customWidth="1"/>
    <col min="24" max="24" width="17.7109375" style="284" customWidth="1"/>
    <col min="25" max="25" width="19" style="284" customWidth="1"/>
    <col min="26" max="27" width="11.42578125" style="284" customWidth="1"/>
    <col min="28" max="29" width="10.7109375" style="284" customWidth="1"/>
    <col min="30" max="30" width="12.42578125" style="284" customWidth="1"/>
    <col min="31" max="32" width="10.7109375" style="284" customWidth="1"/>
    <col min="33" max="16384" width="10.28515625" style="284"/>
  </cols>
  <sheetData>
    <row r="1" spans="1:30" ht="4.5" customHeight="1" x14ac:dyDescent="0.2">
      <c r="A1" s="285"/>
      <c r="B1" s="285"/>
      <c r="C1" s="285"/>
      <c r="D1" s="285"/>
      <c r="E1" s="285"/>
      <c r="F1" s="285"/>
      <c r="G1" s="286"/>
      <c r="H1" s="286"/>
      <c r="I1" s="286"/>
      <c r="J1" s="286"/>
      <c r="K1" s="286"/>
      <c r="L1" s="305"/>
      <c r="M1" s="305"/>
      <c r="N1" s="305"/>
      <c r="Q1" s="473"/>
      <c r="R1" s="473"/>
      <c r="S1" s="473"/>
      <c r="T1" s="473"/>
      <c r="U1" s="473"/>
      <c r="V1" s="473"/>
      <c r="W1" s="473"/>
      <c r="X1" s="473"/>
      <c r="Y1" s="473"/>
      <c r="Z1" s="473"/>
    </row>
    <row r="2" spans="1:30" ht="15.75" customHeight="1" x14ac:dyDescent="0.2">
      <c r="A2" s="285"/>
      <c r="B2" s="285"/>
      <c r="C2" s="285"/>
      <c r="D2" s="285"/>
      <c r="E2" s="285"/>
      <c r="F2" s="285"/>
      <c r="G2" s="286"/>
      <c r="H2" s="286"/>
      <c r="I2" s="286"/>
      <c r="J2" s="286"/>
      <c r="K2" s="286"/>
      <c r="L2" s="305"/>
      <c r="M2" s="305"/>
      <c r="N2" s="305"/>
      <c r="Q2" s="323" t="s">
        <v>362</v>
      </c>
      <c r="R2" s="529" t="inlineStr">
        <is>
          <t>-</t>
        </is>
      </c>
      <c r="S2" s="385"/>
      <c r="T2" s="279"/>
      <c r="U2" s="279"/>
    </row>
    <row r="3" spans="1:30" ht="15.75" customHeight="1" x14ac:dyDescent="0.2">
      <c r="A3" s="285"/>
      <c r="B3" s="285"/>
      <c r="C3" s="285"/>
      <c r="D3" s="285"/>
      <c r="E3" s="285"/>
      <c r="F3" s="285"/>
      <c r="G3" s="286"/>
      <c r="H3" s="286"/>
      <c r="I3" s="286"/>
      <c r="J3" s="286"/>
      <c r="K3" s="286"/>
      <c r="L3" s="305"/>
      <c r="M3" s="305"/>
      <c r="N3" s="305"/>
      <c r="Q3" s="323" t="s">
        <v>363</v>
      </c>
      <c r="R3" s="529" t="inlineStr">
        <is>
          <t>-</t>
        </is>
      </c>
      <c r="S3" s="385"/>
      <c r="U3" s="560" t="s">
        <v>467</v>
      </c>
      <c r="V3" s="540" t="inlineStr">
        <is>
          <t>-</t>
        </is>
      </c>
      <c r="W3" s="284">
        <f>+FORMATO!J11</f>
        <v>0</v>
      </c>
    </row>
    <row r="4" spans="1:30" ht="2.25" customHeight="1" x14ac:dyDescent="0.2">
      <c r="A4" s="285"/>
      <c r="B4" s="285"/>
      <c r="C4" s="285"/>
      <c r="D4" s="285"/>
      <c r="E4" s="285"/>
      <c r="F4" s="285"/>
      <c r="G4" s="286"/>
      <c r="H4" s="286"/>
      <c r="I4" s="286"/>
      <c r="J4" s="286"/>
      <c r="K4" s="286"/>
      <c r="L4" s="305"/>
      <c r="M4" s="305"/>
      <c r="N4" s="305"/>
      <c r="S4" s="385"/>
      <c r="T4" s="279"/>
      <c r="U4" s="279"/>
    </row>
    <row r="5" spans="1:30" ht="15.75" customHeight="1" x14ac:dyDescent="0.2">
      <c r="A5" s="564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564"/>
      <c r="Q5" s="844" t="s">
        <v>369</v>
      </c>
      <c r="R5" s="845"/>
      <c r="S5" s="845"/>
      <c r="T5" s="845"/>
      <c r="U5" s="845"/>
      <c r="V5" s="846"/>
      <c r="X5" s="474" t="s">
        <v>370</v>
      </c>
      <c r="Y5" s="475"/>
      <c r="Z5" s="476"/>
      <c r="AC5" s="654" t="s">
        <v>469</v>
      </c>
      <c r="AD5" s="654" t="s">
        <v>470</v>
      </c>
    </row>
    <row r="6" spans="1:30" ht="12.75" customHeight="1" x14ac:dyDescent="0.2">
      <c r="A6" s="564"/>
      <c r="B6" s="564"/>
      <c r="C6" s="564"/>
      <c r="D6" s="564"/>
      <c r="E6" s="564"/>
      <c r="F6" s="564"/>
      <c r="G6" s="564"/>
      <c r="H6" s="564"/>
      <c r="I6" s="564"/>
      <c r="J6" s="564"/>
      <c r="K6" s="564"/>
      <c r="L6" s="564"/>
      <c r="M6" s="564"/>
      <c r="N6" s="564"/>
      <c r="Q6" s="565"/>
      <c r="R6" s="566" t="s">
        <v>416</v>
      </c>
      <c r="S6" s="567" t="s">
        <v>85</v>
      </c>
      <c r="T6" s="561" t="s">
        <v>425</v>
      </c>
      <c r="U6" s="561" t="s">
        <v>199</v>
      </c>
      <c r="V6" s="561" t="s">
        <v>364</v>
      </c>
      <c r="X6" s="568"/>
      <c r="Y6" s="561" t="s">
        <v>365</v>
      </c>
      <c r="Z6" s="477" t="s">
        <v>199</v>
      </c>
      <c r="AA6" s="279"/>
      <c r="AB6" s="279"/>
      <c r="AC6" s="654" t="s">
        <v>471</v>
      </c>
      <c r="AD6" s="654" t="s">
        <v>366</v>
      </c>
    </row>
    <row r="7" spans="1:30" ht="15.95" customHeight="1" x14ac:dyDescent="0.2">
      <c r="A7" s="814" t="s">
        <v>21</v>
      </c>
      <c r="B7" s="814"/>
      <c r="C7" s="814"/>
      <c r="D7" s="814"/>
      <c r="E7" s="814"/>
      <c r="F7" s="814"/>
      <c r="G7" s="814"/>
      <c r="H7" s="814"/>
      <c r="I7" s="814"/>
      <c r="J7" s="814"/>
      <c r="K7" s="814"/>
      <c r="L7" s="814"/>
      <c r="M7" s="814"/>
      <c r="N7" s="814"/>
      <c r="Q7" s="478" t="s">
        <v>422</v>
      </c>
      <c r="R7" s="569"/>
      <c r="S7" s="567"/>
      <c r="T7" s="530">
        <f>+FORMATO!H23</f>
        <v>0</v>
      </c>
      <c r="U7" s="524">
        <f>T7+(T7*$Z$14)</f>
        <v>0</v>
      </c>
      <c r="V7" s="502">
        <f>U7</f>
        <v>0</v>
      </c>
      <c r="X7" s="479" t="s">
        <v>426</v>
      </c>
      <c r="Y7" s="602">
        <f>+IF(R3="Global",FORMATO!K23,FORMATO!K25)</f>
        <v>0</v>
      </c>
      <c r="Z7" s="526">
        <f>Y7+($Z$14*Y7)</f>
        <v>0</v>
      </c>
      <c r="AA7" s="279"/>
      <c r="AB7" s="279"/>
      <c r="AC7" s="655">
        <v>3</v>
      </c>
      <c r="AD7" s="655">
        <v>70000</v>
      </c>
    </row>
    <row r="8" spans="1:30" ht="15.95" customHeight="1" x14ac:dyDescent="0.25">
      <c r="A8" s="856">
        <v>0</v>
      </c>
      <c r="B8" s="856"/>
      <c r="C8" s="856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856"/>
      <c r="Q8" s="478" t="s">
        <v>423</v>
      </c>
      <c r="R8" s="569"/>
      <c r="S8" s="567"/>
      <c r="T8" s="531">
        <f>+FORMATO!H24</f>
        <v>0</v>
      </c>
      <c r="U8" s="524">
        <f>T8+(T8*$Z$14)</f>
        <v>0</v>
      </c>
      <c r="V8" s="502" t="e">
        <f>U8/(1+Z9/100)</f>
        <v>#DIV/0!</v>
      </c>
      <c r="X8" s="483" t="s">
        <v>427</v>
      </c>
      <c r="Y8" s="602">
        <f>+IF(R3="Global",FORMATO!K23,FORMATO!K26)</f>
        <v>0</v>
      </c>
      <c r="Z8" s="484">
        <f>Y8+($Z$14*Y8)</f>
        <v>0</v>
      </c>
      <c r="AA8" s="279"/>
      <c r="AB8" s="279"/>
      <c r="AC8" s="594">
        <v>2</v>
      </c>
      <c r="AD8" s="655">
        <v>25000</v>
      </c>
    </row>
    <row r="9" spans="1:30" ht="29.25" customHeight="1" x14ac:dyDescent="0.2">
      <c r="A9" s="480" t="s">
        <v>464</v>
      </c>
      <c r="B9" s="287" t="s">
        <v>0</v>
      </c>
      <c r="C9" s="858">
        <f>+FORMATO!O2</f>
        <v>0</v>
      </c>
      <c r="D9" s="858"/>
      <c r="E9" s="858"/>
      <c r="F9" s="858"/>
      <c r="G9" s="858"/>
      <c r="H9" s="858"/>
      <c r="I9" s="858"/>
      <c r="J9" s="858"/>
      <c r="K9" s="858"/>
      <c r="L9" s="289" t="s">
        <v>31</v>
      </c>
      <c r="M9" s="290" t="s">
        <v>0</v>
      </c>
      <c r="N9" s="293" t="s">
        <v>243</v>
      </c>
      <c r="Q9" s="478" t="s">
        <v>424</v>
      </c>
      <c r="R9" s="569"/>
      <c r="S9" s="569"/>
      <c r="T9" s="481"/>
      <c r="U9" s="482"/>
      <c r="V9" s="525" t="e">
        <f>SUM(V7:V8)</f>
        <v>#DIV/0!</v>
      </c>
      <c r="X9" s="600" t="s">
        <v>367</v>
      </c>
      <c r="Y9" s="601"/>
      <c r="Z9" s="601" t="e">
        <f>((Z7-Z8)/Z8)*100</f>
        <v>#DIV/0!</v>
      </c>
      <c r="AA9" s="279"/>
      <c r="AB9" s="279"/>
      <c r="AC9" s="656">
        <v>1.5</v>
      </c>
      <c r="AD9" s="655">
        <v>10000</v>
      </c>
    </row>
    <row r="10" spans="1:30" ht="17.45" customHeight="1" x14ac:dyDescent="0.2">
      <c r="A10" s="485" t="s">
        <v>249</v>
      </c>
      <c r="B10" s="288" t="s">
        <v>0</v>
      </c>
      <c r="C10" s="858">
        <f>+FORMATO!O3</f>
        <v>0</v>
      </c>
      <c r="D10" s="858"/>
      <c r="E10" s="858"/>
      <c r="F10" s="858"/>
      <c r="G10" s="858"/>
      <c r="H10" s="858"/>
      <c r="I10" s="858"/>
      <c r="J10" s="858"/>
      <c r="K10" s="858"/>
      <c r="L10" s="764" t="s">
        <v>447</v>
      </c>
      <c r="M10" s="288" t="s">
        <v>0</v>
      </c>
      <c r="N10" s="666">
        <f>+FORMATO!O7</f>
        <v>0</v>
      </c>
      <c r="O10" s="570"/>
      <c r="P10" s="570"/>
      <c r="Y10" s="279"/>
      <c r="AC10" s="594">
        <v>1</v>
      </c>
      <c r="AD10" s="655">
        <v>3000</v>
      </c>
    </row>
    <row r="11" spans="1:30" ht="15.95" customHeight="1" x14ac:dyDescent="0.2">
      <c r="A11" s="485" t="s">
        <v>235</v>
      </c>
      <c r="B11" s="288" t="s">
        <v>0</v>
      </c>
      <c r="C11" s="858">
        <f>+FORMATO!O4</f>
        <v>0</v>
      </c>
      <c r="D11" s="858"/>
      <c r="E11" s="858"/>
      <c r="F11" s="858"/>
      <c r="G11" s="858"/>
      <c r="H11" s="858"/>
      <c r="I11" s="858"/>
      <c r="J11" s="858"/>
      <c r="K11" s="858"/>
      <c r="L11" s="291" t="s">
        <v>466</v>
      </c>
      <c r="M11" s="288" t="s">
        <v>0</v>
      </c>
      <c r="N11" s="666">
        <f>+FORMATO!O9</f>
        <v>0</v>
      </c>
      <c r="O11" s="570"/>
      <c r="P11" s="570"/>
      <c r="Q11" s="847" t="s">
        <v>40</v>
      </c>
      <c r="R11" s="857"/>
      <c r="S11" s="857"/>
      <c r="T11" s="857"/>
      <c r="U11" s="857"/>
      <c r="V11" s="848"/>
      <c r="X11" s="571" t="s">
        <v>198</v>
      </c>
      <c r="Y11" s="572"/>
      <c r="Z11" s="562"/>
      <c r="AA11" s="649"/>
      <c r="AC11" s="656">
        <v>0.75</v>
      </c>
      <c r="AD11" s="655">
        <v>1300</v>
      </c>
    </row>
    <row r="12" spans="1:30" ht="18.600000000000001" customHeight="1" x14ac:dyDescent="0.2">
      <c r="A12" s="485" t="s">
        <v>236</v>
      </c>
      <c r="B12" s="288" t="s">
        <v>0</v>
      </c>
      <c r="C12" s="858">
        <f>+FORMATO!O5</f>
        <v>0</v>
      </c>
      <c r="D12" s="858"/>
      <c r="E12" s="858"/>
      <c r="F12" s="858"/>
      <c r="G12" s="858"/>
      <c r="H12" s="858"/>
      <c r="I12" s="858"/>
      <c r="J12" s="858"/>
      <c r="K12" s="858"/>
      <c r="L12" s="764" t="s">
        <v>253</v>
      </c>
      <c r="M12" s="288" t="s">
        <v>0</v>
      </c>
      <c r="N12" s="647">
        <f>+FORMATO!O8</f>
        <v>0</v>
      </c>
      <c r="O12" s="570"/>
      <c r="P12" s="570"/>
      <c r="Q12" s="478" t="s">
        <v>428</v>
      </c>
      <c r="R12" s="486"/>
      <c r="S12" s="486"/>
      <c r="T12" s="569"/>
      <c r="U12" s="567"/>
      <c r="V12" s="502" t="b">
        <f>IF(R3="Global",Z8,IF(R3="Fraccionada",V9))</f>
        <v>0</v>
      </c>
      <c r="X12" s="573" t="s">
        <v>194</v>
      </c>
      <c r="Y12" s="319"/>
      <c r="Z12" s="563" t="s">
        <v>195</v>
      </c>
      <c r="AA12" s="650"/>
      <c r="AC12" s="657" t="s">
        <v>472</v>
      </c>
      <c r="AD12" s="655">
        <v>200</v>
      </c>
    </row>
    <row r="13" spans="1:30" ht="14.25" customHeight="1" x14ac:dyDescent="0.2">
      <c r="A13" s="487" t="s">
        <v>237</v>
      </c>
      <c r="B13" s="488"/>
      <c r="C13" s="488"/>
      <c r="D13" s="288"/>
      <c r="E13" s="288"/>
      <c r="F13" s="280"/>
      <c r="G13" s="281"/>
      <c r="H13" s="281"/>
      <c r="I13" s="281"/>
      <c r="J13" s="281"/>
      <c r="K13" s="292"/>
      <c r="L13" s="291"/>
      <c r="M13" s="288"/>
      <c r="N13" s="282"/>
      <c r="O13" s="570"/>
      <c r="P13" s="570"/>
      <c r="Q13" s="478" t="s">
        <v>429</v>
      </c>
      <c r="R13" s="489"/>
      <c r="S13" s="489"/>
      <c r="T13" s="569"/>
      <c r="U13" s="567"/>
      <c r="V13" s="502" t="b">
        <f>IF(R3="Global","--",IF(R3="Fraccionada",Z8))</f>
        <v>0</v>
      </c>
      <c r="X13" s="574" t="s">
        <v>196</v>
      </c>
      <c r="Y13" s="306"/>
      <c r="Z13" s="662" t="str">
        <f>+Balanza!B11</f>
        <v>EQP-0046</v>
      </c>
      <c r="AA13" s="651"/>
      <c r="AC13" s="594" t="s">
        <v>473</v>
      </c>
      <c r="AD13" s="655">
        <v>200</v>
      </c>
    </row>
    <row r="14" spans="1:30" ht="15.75" customHeight="1" x14ac:dyDescent="0.2">
      <c r="A14" s="849" t="s">
        <v>250</v>
      </c>
      <c r="B14" s="850"/>
      <c r="C14" s="850"/>
      <c r="D14" s="851"/>
      <c r="E14" s="850"/>
      <c r="F14" s="851"/>
      <c r="G14" s="851"/>
      <c r="H14" s="851"/>
      <c r="I14" s="851"/>
      <c r="J14" s="851"/>
      <c r="K14" s="851"/>
      <c r="L14" s="851"/>
      <c r="M14" s="851"/>
      <c r="N14" s="852"/>
      <c r="O14" s="570"/>
      <c r="P14" s="570"/>
      <c r="Q14" s="478" t="s">
        <v>430</v>
      </c>
      <c r="R14" s="489"/>
      <c r="S14" s="489"/>
      <c r="T14" s="569"/>
      <c r="U14" s="567"/>
      <c r="V14" s="531">
        <f>+FORMATO!K33</f>
        <v>0</v>
      </c>
      <c r="X14" s="575" t="s">
        <v>415</v>
      </c>
      <c r="Y14" s="306"/>
      <c r="Z14" s="663">
        <f>+Balanza!B7</f>
        <v>-3.2899999999999998E-6</v>
      </c>
      <c r="AA14" s="652"/>
      <c r="AC14" s="594" t="s">
        <v>442</v>
      </c>
      <c r="AD14" s="655" t="s">
        <v>442</v>
      </c>
    </row>
    <row r="15" spans="1:30" ht="15.75" customHeight="1" x14ac:dyDescent="0.2">
      <c r="A15" s="853" t="s">
        <v>476</v>
      </c>
      <c r="B15" s="854"/>
      <c r="C15" s="854"/>
      <c r="D15" s="854"/>
      <c r="E15" s="854"/>
      <c r="F15" s="854"/>
      <c r="G15" s="854"/>
      <c r="H15" s="854"/>
      <c r="I15" s="854"/>
      <c r="J15" s="854"/>
      <c r="K15" s="854"/>
      <c r="L15" s="854"/>
      <c r="M15" s="854"/>
      <c r="N15" s="855"/>
      <c r="O15" s="570"/>
      <c r="P15" s="570"/>
      <c r="V15" s="386"/>
      <c r="X15" s="576" t="s">
        <v>197</v>
      </c>
      <c r="Y15" s="555"/>
      <c r="Z15" s="664">
        <f>+Balanza!C12</f>
        <v>46132</v>
      </c>
      <c r="AA15" s="653"/>
      <c r="AB15" s="577"/>
    </row>
    <row r="16" spans="1:30" ht="10.5" customHeight="1" x14ac:dyDescent="0.2">
      <c r="A16" s="294"/>
      <c r="B16" s="414"/>
      <c r="C16" s="414"/>
      <c r="D16" s="295"/>
      <c r="E16" s="418"/>
      <c r="F16" s="296"/>
      <c r="G16" s="296"/>
      <c r="H16" s="296"/>
      <c r="I16" s="296"/>
      <c r="J16" s="296"/>
      <c r="K16" s="296"/>
      <c r="L16" s="297"/>
      <c r="M16" s="295"/>
      <c r="N16" s="298"/>
      <c r="O16" s="570"/>
      <c r="P16" s="570"/>
      <c r="Q16" s="847" t="s">
        <v>438</v>
      </c>
      <c r="R16" s="857"/>
      <c r="S16" s="857"/>
      <c r="T16" s="857"/>
      <c r="U16" s="857"/>
      <c r="V16" s="848"/>
      <c r="W16" s="578"/>
    </row>
    <row r="17" spans="1:32" ht="15.75" customHeight="1" x14ac:dyDescent="0.2">
      <c r="A17" s="299" t="s">
        <v>26</v>
      </c>
      <c r="B17" s="415"/>
      <c r="C17" s="415"/>
      <c r="D17" s="300"/>
      <c r="E17" s="300"/>
      <c r="F17" s="300"/>
      <c r="G17" s="300"/>
      <c r="H17" s="300"/>
      <c r="I17" s="300"/>
      <c r="J17" s="300"/>
      <c r="K17" s="300"/>
      <c r="L17" s="490"/>
      <c r="M17" s="301"/>
      <c r="N17" s="302"/>
      <c r="P17" s="570"/>
      <c r="Q17" s="478" t="s">
        <v>434</v>
      </c>
      <c r="R17" s="491"/>
      <c r="S17" s="569"/>
      <c r="T17" s="567"/>
      <c r="U17" s="530">
        <f>+T7</f>
        <v>0</v>
      </c>
      <c r="V17" s="523">
        <f>U17+(U17*$Z$14)</f>
        <v>0</v>
      </c>
      <c r="X17" s="865" t="s">
        <v>433</v>
      </c>
      <c r="Y17" s="866"/>
      <c r="Z17" s="866"/>
      <c r="AA17" s="867"/>
      <c r="AB17" s="599" t="s">
        <v>441</v>
      </c>
    </row>
    <row r="18" spans="1:32" ht="15.75" customHeight="1" x14ac:dyDescent="0.2">
      <c r="A18" s="303" t="s">
        <v>244</v>
      </c>
      <c r="B18" s="416"/>
      <c r="C18" s="416"/>
      <c r="D18" s="304" t="s">
        <v>0</v>
      </c>
      <c r="E18" s="559">
        <f>+FORMATO!O15</f>
        <v>0</v>
      </c>
      <c r="F18" s="279"/>
      <c r="G18" s="283"/>
      <c r="I18" s="279"/>
      <c r="J18" s="279"/>
      <c r="K18" s="305"/>
      <c r="L18" s="490" t="s">
        <v>251</v>
      </c>
      <c r="M18" s="301" t="s">
        <v>0</v>
      </c>
      <c r="N18" s="667">
        <f>+FORMATO!O11</f>
        <v>0</v>
      </c>
      <c r="P18" s="570"/>
      <c r="Q18" s="492" t="s">
        <v>435</v>
      </c>
      <c r="R18" s="493"/>
      <c r="S18" s="569"/>
      <c r="T18" s="567"/>
      <c r="U18" s="530">
        <v>0</v>
      </c>
      <c r="V18" s="523">
        <f>U18+(U18*$Z$14)</f>
        <v>0</v>
      </c>
      <c r="X18" s="609" t="s">
        <v>439</v>
      </c>
      <c r="Y18" s="567"/>
      <c r="Z18" s="610" t="s">
        <v>365</v>
      </c>
      <c r="AA18" s="561" t="s">
        <v>199</v>
      </c>
    </row>
    <row r="19" spans="1:32" ht="15.75" customHeight="1" x14ac:dyDescent="0.2">
      <c r="A19" s="303" t="s">
        <v>245</v>
      </c>
      <c r="B19" s="416"/>
      <c r="C19" s="416"/>
      <c r="D19" s="304" t="s">
        <v>0</v>
      </c>
      <c r="E19" s="559">
        <f>+FORMATO!O16</f>
        <v>0</v>
      </c>
      <c r="F19" s="279"/>
      <c r="G19" s="283"/>
      <c r="I19" s="279"/>
      <c r="J19" s="279"/>
      <c r="K19" s="305"/>
      <c r="L19" s="490" t="s">
        <v>233</v>
      </c>
      <c r="M19" s="301" t="s">
        <v>0</v>
      </c>
      <c r="N19" s="648">
        <f>+FORMATO!O12</f>
        <v>0</v>
      </c>
      <c r="P19" s="570"/>
      <c r="Q19" s="492" t="s">
        <v>436</v>
      </c>
      <c r="R19" s="493"/>
      <c r="S19" s="569"/>
      <c r="T19" s="567"/>
      <c r="U19" s="524" t="e">
        <f>100*(((V7-V17)+V18)/V9)</f>
        <v>#DIV/0!</v>
      </c>
      <c r="V19" s="524" t="e">
        <f>100*(((V7-V17)+V18)/V9)</f>
        <v>#DIV/0!</v>
      </c>
      <c r="X19" s="606" t="s">
        <v>437</v>
      </c>
      <c r="Y19" s="607"/>
      <c r="Z19" s="611">
        <v>0</v>
      </c>
      <c r="AA19" s="608">
        <f>Z19-($Z$14*Z19)</f>
        <v>0</v>
      </c>
    </row>
    <row r="20" spans="1:32" ht="15.75" customHeight="1" x14ac:dyDescent="0.2">
      <c r="A20" s="303" t="s">
        <v>25</v>
      </c>
      <c r="B20" s="416"/>
      <c r="C20" s="416"/>
      <c r="D20" s="304" t="s">
        <v>0</v>
      </c>
      <c r="E20" s="559">
        <f>+FORMATO!O17</f>
        <v>0</v>
      </c>
      <c r="F20" s="279"/>
      <c r="G20" s="283"/>
      <c r="I20" s="279"/>
      <c r="J20" s="279"/>
      <c r="K20" s="305"/>
      <c r="L20" s="490" t="s">
        <v>234</v>
      </c>
      <c r="M20" s="301" t="s">
        <v>0</v>
      </c>
      <c r="N20" s="648">
        <f>+FORMATO!O13</f>
        <v>0</v>
      </c>
      <c r="O20" s="284">
        <f>+FORMATO!H11</f>
        <v>0</v>
      </c>
      <c r="P20" s="570"/>
      <c r="Q20" s="492" t="s">
        <v>368</v>
      </c>
      <c r="R20" s="493"/>
      <c r="S20" s="569"/>
      <c r="T20" s="567"/>
      <c r="U20" s="579"/>
      <c r="V20" s="527" t="e">
        <f>IF(V19&lt;0.5,"Cumple","No Cumple")</f>
        <v>#DIV/0!</v>
      </c>
      <c r="X20" s="603" t="s">
        <v>440</v>
      </c>
      <c r="Y20" s="604"/>
      <c r="Z20" s="604"/>
      <c r="AA20" s="605" t="e">
        <f>100*(AA19/Z8)</f>
        <v>#DIV/0!</v>
      </c>
    </row>
    <row r="21" spans="1:32" ht="15.75" customHeight="1" x14ac:dyDescent="0.2">
      <c r="A21" s="494" t="s">
        <v>246</v>
      </c>
      <c r="B21" s="495"/>
      <c r="C21" s="495"/>
      <c r="D21" s="496" t="s">
        <v>0</v>
      </c>
      <c r="E21" s="528" t="s">
        <v>421</v>
      </c>
      <c r="F21" s="497"/>
      <c r="G21" s="580"/>
      <c r="H21" s="580"/>
      <c r="I21" s="580"/>
      <c r="J21" s="580"/>
      <c r="K21" s="581"/>
      <c r="L21" s="537" t="s">
        <v>417</v>
      </c>
      <c r="M21" s="538" t="s">
        <v>0</v>
      </c>
      <c r="N21" s="539" t="str">
        <f>+V3</f>
        <v>-</v>
      </c>
      <c r="P21" s="570"/>
      <c r="X21" s="598" t="s">
        <v>432</v>
      </c>
      <c r="Y21" s="569"/>
      <c r="Z21" s="567"/>
      <c r="AA21" s="527" t="e">
        <f>IF(AA20&lt;2,"Cumple","No Cumple")</f>
        <v>#DIV/0!</v>
      </c>
    </row>
    <row r="22" spans="1:32" ht="10.15" customHeight="1" x14ac:dyDescent="0.2">
      <c r="A22" s="627"/>
      <c r="B22" s="417"/>
      <c r="C22" s="417"/>
      <c r="D22" s="419"/>
      <c r="E22" s="419"/>
      <c r="F22" s="419"/>
      <c r="G22" s="419"/>
      <c r="H22" s="419"/>
      <c r="I22" s="419"/>
      <c r="J22" s="419"/>
      <c r="K22" s="419"/>
      <c r="L22" s="628"/>
      <c r="M22" s="628"/>
      <c r="N22" s="629"/>
      <c r="O22" s="570"/>
      <c r="P22" s="582"/>
    </row>
    <row r="23" spans="1:32" ht="31.9" customHeight="1" x14ac:dyDescent="0.2">
      <c r="A23" s="630"/>
      <c r="B23" s="621"/>
      <c r="C23" s="621"/>
      <c r="D23" s="621"/>
      <c r="E23" s="870" t="s">
        <v>448</v>
      </c>
      <c r="F23" s="876"/>
      <c r="G23" s="876"/>
      <c r="H23" s="876"/>
      <c r="I23" s="876"/>
      <c r="J23" s="871"/>
      <c r="K23" s="868" t="s">
        <v>385</v>
      </c>
      <c r="L23" s="621"/>
      <c r="M23" s="631"/>
      <c r="N23" s="307"/>
      <c r="O23" s="570"/>
      <c r="P23" s="583"/>
      <c r="Q23" s="847" t="s">
        <v>357</v>
      </c>
      <c r="R23" s="848"/>
      <c r="S23" s="387" t="s">
        <v>356</v>
      </c>
      <c r="T23" s="498" t="s">
        <v>199</v>
      </c>
      <c r="U23" s="387" t="s">
        <v>373</v>
      </c>
      <c r="V23" s="387" t="s">
        <v>374</v>
      </c>
      <c r="W23" s="387" t="s">
        <v>375</v>
      </c>
      <c r="X23" s="499"/>
      <c r="Y23" s="658" t="s">
        <v>474</v>
      </c>
      <c r="Z23" s="659">
        <v>3</v>
      </c>
      <c r="AC23" s="584"/>
      <c r="AD23" s="584"/>
      <c r="AE23" s="584"/>
      <c r="AF23" s="500"/>
    </row>
    <row r="24" spans="1:32" ht="18.600000000000001" customHeight="1" x14ac:dyDescent="0.2">
      <c r="A24" s="630"/>
      <c r="B24" s="621"/>
      <c r="C24" s="621"/>
      <c r="D24" s="621"/>
      <c r="E24" s="870" t="s">
        <v>358</v>
      </c>
      <c r="F24" s="876"/>
      <c r="G24" s="876"/>
      <c r="H24" s="871"/>
      <c r="I24" s="870" t="s">
        <v>457</v>
      </c>
      <c r="J24" s="871"/>
      <c r="K24" s="869"/>
      <c r="L24" s="621"/>
      <c r="M24" s="631"/>
      <c r="N24" s="307"/>
      <c r="O24" s="570"/>
      <c r="P24" s="585"/>
      <c r="Q24" s="501" t="s">
        <v>358</v>
      </c>
      <c r="R24" s="501" t="s">
        <v>419</v>
      </c>
      <c r="S24" s="501" t="s">
        <v>366</v>
      </c>
      <c r="T24" s="501" t="s">
        <v>366</v>
      </c>
      <c r="U24" s="501" t="s">
        <v>359</v>
      </c>
      <c r="V24" s="501" t="s">
        <v>359</v>
      </c>
      <c r="W24" s="501" t="s">
        <v>359</v>
      </c>
      <c r="X24" s="499"/>
      <c r="Y24" s="658" t="s">
        <v>475</v>
      </c>
      <c r="Z24" s="660">
        <f>+INDEX(AC7:AD14,MATCH(Z23,AC7:AC14,0),2)</f>
        <v>70000</v>
      </c>
      <c r="AA24" s="661" t="e">
        <f>+IF((V9)&gt;Z24,"Cumple","No Cumple")</f>
        <v>#DIV/0!</v>
      </c>
      <c r="AC24" s="584"/>
      <c r="AD24" s="584"/>
      <c r="AE24" s="584"/>
      <c r="AF24" s="500"/>
    </row>
    <row r="25" spans="1:32" ht="13.15" customHeight="1" x14ac:dyDescent="0.2">
      <c r="A25" s="632"/>
      <c r="B25" s="623"/>
      <c r="C25" s="623"/>
      <c r="D25" s="623"/>
      <c r="E25" s="877" t="s">
        <v>350</v>
      </c>
      <c r="F25" s="878"/>
      <c r="G25" s="878"/>
      <c r="H25" s="879"/>
      <c r="I25" s="872" t="s">
        <v>449</v>
      </c>
      <c r="J25" s="873"/>
      <c r="K25" s="617" t="e">
        <f>IF($I$66="Método A",FIXED(($W$25),0),FIXED(($W$25),1))</f>
        <v>#DIV/0!</v>
      </c>
      <c r="L25" s="622"/>
      <c r="M25" s="633"/>
      <c r="N25" s="310"/>
      <c r="O25" s="586"/>
      <c r="P25" s="585"/>
      <c r="Q25" s="388" t="s">
        <v>350</v>
      </c>
      <c r="R25" s="388">
        <v>75</v>
      </c>
      <c r="S25" s="665">
        <f>+FORMATO!E42</f>
        <v>0</v>
      </c>
      <c r="T25" s="523">
        <f>S25+(S25*$Z$14)</f>
        <v>0</v>
      </c>
      <c r="U25" s="502" t="e">
        <f t="shared" ref="U25:U31" si="0">T25/$V$12*100</f>
        <v>#DIV/0!</v>
      </c>
      <c r="V25" s="502" t="e">
        <f>U25</f>
        <v>#DIV/0!</v>
      </c>
      <c r="W25" s="533" t="e">
        <f t="shared" ref="W25" si="1">100-V25</f>
        <v>#DIV/0!</v>
      </c>
      <c r="X25" s="503"/>
      <c r="AC25" s="584"/>
      <c r="AD25" s="584"/>
      <c r="AE25" s="584"/>
      <c r="AF25" s="500"/>
    </row>
    <row r="26" spans="1:32" ht="13.15" customHeight="1" x14ac:dyDescent="0.2">
      <c r="A26" s="632"/>
      <c r="B26" s="623"/>
      <c r="C26" s="623"/>
      <c r="D26" s="623"/>
      <c r="E26" s="827" t="s">
        <v>351</v>
      </c>
      <c r="F26" s="828"/>
      <c r="G26" s="828"/>
      <c r="H26" s="829"/>
      <c r="I26" s="874" t="s">
        <v>450</v>
      </c>
      <c r="J26" s="875"/>
      <c r="K26" s="618" t="e">
        <f>IF($I$66="Método A",FIXED(($W$26),0),FIXED(($W$26),1))</f>
        <v>#DIV/0!</v>
      </c>
      <c r="L26" s="622"/>
      <c r="M26" s="620"/>
      <c r="N26" s="313"/>
      <c r="O26" s="570"/>
      <c r="P26" s="570"/>
      <c r="Q26" s="388" t="s">
        <v>351</v>
      </c>
      <c r="R26" s="388">
        <v>50</v>
      </c>
      <c r="S26" s="665">
        <f>+FORMATO!E43</f>
        <v>0</v>
      </c>
      <c r="T26" s="523">
        <f t="shared" ref="T26:T38" si="2">S26+(S26*$Z$14)</f>
        <v>0</v>
      </c>
      <c r="U26" s="502" t="e">
        <f t="shared" si="0"/>
        <v>#DIV/0!</v>
      </c>
      <c r="V26" s="502" t="e">
        <f>+V25+U26</f>
        <v>#DIV/0!</v>
      </c>
      <c r="W26" s="533" t="e">
        <f t="shared" ref="W26:W35" si="3">100-V26</f>
        <v>#DIV/0!</v>
      </c>
      <c r="X26" s="503"/>
      <c r="AC26" s="584"/>
      <c r="AD26" s="584"/>
      <c r="AE26" s="584"/>
      <c r="AF26" s="500"/>
    </row>
    <row r="27" spans="1:32" ht="13.15" customHeight="1" x14ac:dyDescent="0.2">
      <c r="A27" s="634"/>
      <c r="B27" s="624"/>
      <c r="C27" s="624"/>
      <c r="D27" s="624"/>
      <c r="E27" s="897" t="s">
        <v>353</v>
      </c>
      <c r="F27" s="898"/>
      <c r="G27" s="898"/>
      <c r="H27" s="899"/>
      <c r="I27" s="861" t="s">
        <v>451</v>
      </c>
      <c r="J27" s="862"/>
      <c r="K27" s="618" t="e">
        <f>IF($I$66="Método A",FIXED(($W$27),0),FIXED(($W$27),1))</f>
        <v>#DIV/0!</v>
      </c>
      <c r="L27" s="622"/>
      <c r="M27" s="620"/>
      <c r="N27" s="313"/>
      <c r="O27" s="570"/>
      <c r="P27" s="570"/>
      <c r="Q27" s="388" t="s">
        <v>353</v>
      </c>
      <c r="R27" s="388">
        <v>37.5</v>
      </c>
      <c r="S27" s="665">
        <f>+FORMATO!E44</f>
        <v>0</v>
      </c>
      <c r="T27" s="523">
        <f t="shared" si="2"/>
        <v>0</v>
      </c>
      <c r="U27" s="502" t="e">
        <f t="shared" si="0"/>
        <v>#DIV/0!</v>
      </c>
      <c r="V27" s="502" t="e">
        <f t="shared" ref="V27:V29" si="4">+V26+U27</f>
        <v>#DIV/0!</v>
      </c>
      <c r="W27" s="533" t="e">
        <f t="shared" si="3"/>
        <v>#DIV/0!</v>
      </c>
      <c r="X27" s="503"/>
      <c r="AC27" s="584"/>
      <c r="AD27" s="584"/>
      <c r="AE27" s="584"/>
      <c r="AF27" s="500"/>
    </row>
    <row r="28" spans="1:32" ht="13.15" customHeight="1" x14ac:dyDescent="0.2">
      <c r="A28" s="632"/>
      <c r="B28" s="623"/>
      <c r="C28" s="623"/>
      <c r="D28" s="623"/>
      <c r="E28" s="827" t="s">
        <v>352</v>
      </c>
      <c r="F28" s="828"/>
      <c r="G28" s="828"/>
      <c r="H28" s="829"/>
      <c r="I28" s="861" t="s">
        <v>452</v>
      </c>
      <c r="J28" s="862"/>
      <c r="K28" s="618" t="e">
        <f>IF($I$66="Método A",FIXED(($W$28),0),FIXED(($W$28),1))</f>
        <v>#DIV/0!</v>
      </c>
      <c r="L28" s="622"/>
      <c r="M28" s="620"/>
      <c r="N28" s="313"/>
      <c r="O28" s="570"/>
      <c r="P28" s="570"/>
      <c r="Q28" s="388" t="s">
        <v>352</v>
      </c>
      <c r="R28" s="388">
        <v>25</v>
      </c>
      <c r="S28" s="665">
        <f>+FORMATO!E45</f>
        <v>0</v>
      </c>
      <c r="T28" s="523">
        <f t="shared" si="2"/>
        <v>0</v>
      </c>
      <c r="U28" s="502" t="e">
        <f t="shared" si="0"/>
        <v>#DIV/0!</v>
      </c>
      <c r="V28" s="502" t="e">
        <f t="shared" si="4"/>
        <v>#DIV/0!</v>
      </c>
      <c r="W28" s="533" t="e">
        <f t="shared" si="3"/>
        <v>#DIV/0!</v>
      </c>
      <c r="X28" s="503"/>
      <c r="AC28" s="584"/>
      <c r="AD28" s="584"/>
      <c r="AE28" s="584"/>
      <c r="AF28" s="500"/>
    </row>
    <row r="29" spans="1:32" ht="13.15" customHeight="1" x14ac:dyDescent="0.2">
      <c r="A29" s="632"/>
      <c r="B29" s="623"/>
      <c r="C29" s="623"/>
      <c r="D29" s="623"/>
      <c r="E29" s="827" t="s">
        <v>354</v>
      </c>
      <c r="F29" s="828"/>
      <c r="G29" s="828"/>
      <c r="H29" s="829"/>
      <c r="I29" s="861" t="s">
        <v>453</v>
      </c>
      <c r="J29" s="862"/>
      <c r="K29" s="618" t="e">
        <f>IF($I$66="Método A",FIXED(($W$29),0),FIXED(($W$29),1))</f>
        <v>#DIV/0!</v>
      </c>
      <c r="L29" s="622"/>
      <c r="M29" s="620"/>
      <c r="N29" s="313"/>
      <c r="O29" s="570"/>
      <c r="P29" s="570"/>
      <c r="Q29" s="388" t="s">
        <v>354</v>
      </c>
      <c r="R29" s="502">
        <v>19</v>
      </c>
      <c r="S29" s="665">
        <f>+FORMATO!E46</f>
        <v>0</v>
      </c>
      <c r="T29" s="523">
        <f t="shared" si="2"/>
        <v>0</v>
      </c>
      <c r="U29" s="502" t="e">
        <f t="shared" si="0"/>
        <v>#DIV/0!</v>
      </c>
      <c r="V29" s="502" t="e">
        <f t="shared" si="4"/>
        <v>#DIV/0!</v>
      </c>
      <c r="W29" s="533" t="e">
        <f t="shared" si="3"/>
        <v>#DIV/0!</v>
      </c>
      <c r="X29" s="503"/>
      <c r="AC29" s="584"/>
      <c r="AD29" s="584"/>
      <c r="AE29" s="584"/>
      <c r="AF29" s="500"/>
    </row>
    <row r="30" spans="1:32" ht="13.15" customHeight="1" x14ac:dyDescent="0.2">
      <c r="A30" s="632"/>
      <c r="B30" s="623"/>
      <c r="C30" s="623"/>
      <c r="D30" s="623"/>
      <c r="E30" s="827" t="s">
        <v>355</v>
      </c>
      <c r="F30" s="828"/>
      <c r="G30" s="828"/>
      <c r="H30" s="829"/>
      <c r="I30" s="861" t="s">
        <v>454</v>
      </c>
      <c r="J30" s="862"/>
      <c r="K30" s="618" t="e">
        <f>IF($I$66="Método A",FIXED(($W$30),0),FIXED(($W$30),1))</f>
        <v>#DIV/0!</v>
      </c>
      <c r="L30" s="622"/>
      <c r="M30" s="620"/>
      <c r="N30" s="313"/>
      <c r="O30" s="570"/>
      <c r="P30" s="570"/>
      <c r="Q30" s="388" t="s">
        <v>355</v>
      </c>
      <c r="R30" s="388">
        <v>9.5</v>
      </c>
      <c r="S30" s="665">
        <f>+FORMATO!E47</f>
        <v>0</v>
      </c>
      <c r="T30" s="523">
        <f t="shared" si="2"/>
        <v>0</v>
      </c>
      <c r="U30" s="502" t="e">
        <f t="shared" si="0"/>
        <v>#DIV/0!</v>
      </c>
      <c r="V30" s="502" t="e">
        <f t="shared" ref="V30:V39" si="5">+V29+U30</f>
        <v>#DIV/0!</v>
      </c>
      <c r="W30" s="533" t="e">
        <f t="shared" si="3"/>
        <v>#DIV/0!</v>
      </c>
      <c r="X30" s="504"/>
      <c r="AC30" s="584"/>
      <c r="AD30" s="584"/>
      <c r="AE30" s="584"/>
      <c r="AF30" s="500"/>
    </row>
    <row r="31" spans="1:32" ht="13.15" customHeight="1" x14ac:dyDescent="0.2">
      <c r="A31" s="632"/>
      <c r="B31" s="623"/>
      <c r="C31" s="623"/>
      <c r="D31" s="623"/>
      <c r="E31" s="827" t="s">
        <v>231</v>
      </c>
      <c r="F31" s="828"/>
      <c r="G31" s="828"/>
      <c r="H31" s="829"/>
      <c r="I31" s="863" t="s">
        <v>455</v>
      </c>
      <c r="J31" s="864"/>
      <c r="K31" s="618" t="e">
        <f>IF($I$66="Método A",FIXED(($W$31),0),FIXED(($W$31),1))</f>
        <v>#DIV/0!</v>
      </c>
      <c r="L31" s="305"/>
      <c r="M31" s="620"/>
      <c r="N31" s="313"/>
      <c r="O31" s="570"/>
      <c r="P31" s="570"/>
      <c r="Q31" s="388" t="s">
        <v>231</v>
      </c>
      <c r="R31" s="388">
        <v>4.75</v>
      </c>
      <c r="S31" s="665">
        <f>+FORMATO!E48</f>
        <v>0</v>
      </c>
      <c r="T31" s="523">
        <f t="shared" si="2"/>
        <v>0</v>
      </c>
      <c r="U31" s="502" t="e">
        <f t="shared" si="0"/>
        <v>#DIV/0!</v>
      </c>
      <c r="V31" s="643" t="e">
        <f t="shared" si="5"/>
        <v>#DIV/0!</v>
      </c>
      <c r="W31" s="533" t="e">
        <f t="shared" si="3"/>
        <v>#DIV/0!</v>
      </c>
      <c r="X31" s="504"/>
      <c r="Y31" s="584"/>
      <c r="Z31" s="584"/>
      <c r="AA31" s="584"/>
      <c r="AB31" s="500"/>
      <c r="AC31" s="584"/>
      <c r="AD31" s="584"/>
      <c r="AE31" s="584"/>
      <c r="AF31" s="500"/>
    </row>
    <row r="32" spans="1:32" ht="13.15" customHeight="1" x14ac:dyDescent="0.2">
      <c r="A32" s="632"/>
      <c r="B32" s="623"/>
      <c r="C32" s="623"/>
      <c r="D32" s="623"/>
      <c r="E32" s="827" t="s">
        <v>232</v>
      </c>
      <c r="F32" s="828"/>
      <c r="G32" s="828"/>
      <c r="H32" s="829"/>
      <c r="I32" s="863" t="s">
        <v>456</v>
      </c>
      <c r="J32" s="864"/>
      <c r="K32" s="618" t="e">
        <f>IF($I$66="Método A",FIXED(($W$32),0),FIXED(($W$32),1))</f>
        <v>#DIV/0!</v>
      </c>
      <c r="L32" s="635"/>
      <c r="M32" s="620"/>
      <c r="N32" s="313"/>
      <c r="O32" s="570"/>
      <c r="P32" s="570"/>
      <c r="Q32" s="388" t="s">
        <v>232</v>
      </c>
      <c r="R32" s="388">
        <v>2</v>
      </c>
      <c r="S32" s="665">
        <f>+FORMATO!E50</f>
        <v>0</v>
      </c>
      <c r="T32" s="523">
        <f t="shared" si="2"/>
        <v>0</v>
      </c>
      <c r="U32" s="502" t="b">
        <f t="shared" ref="U32:U39" si="6">IF($R$3="Fraccionada",T32*$W$31/V$13,IF($R$3="Global",T32/$V$12*100))</f>
        <v>0</v>
      </c>
      <c r="V32" s="502" t="e">
        <f t="shared" si="5"/>
        <v>#DIV/0!</v>
      </c>
      <c r="W32" s="533" t="e">
        <f t="shared" si="3"/>
        <v>#DIV/0!</v>
      </c>
      <c r="X32" s="504"/>
      <c r="Y32" s="584"/>
      <c r="Z32" s="584"/>
      <c r="AA32" s="584"/>
      <c r="AB32" s="500"/>
      <c r="AC32" s="584"/>
      <c r="AD32" s="584"/>
      <c r="AE32" s="584"/>
      <c r="AF32" s="500"/>
    </row>
    <row r="33" spans="1:31" ht="13.15" customHeight="1" x14ac:dyDescent="0.2">
      <c r="A33" s="632"/>
      <c r="B33" s="623"/>
      <c r="C33" s="623"/>
      <c r="D33" s="623"/>
      <c r="E33" s="827" t="s">
        <v>238</v>
      </c>
      <c r="F33" s="828"/>
      <c r="G33" s="828"/>
      <c r="H33" s="829"/>
      <c r="I33" s="859" t="s">
        <v>458</v>
      </c>
      <c r="J33" s="860"/>
      <c r="K33" s="618" t="e">
        <f>IF($I$66="Método A",FIXED(($W$33),0),FIXED(($W$33),1))</f>
        <v>#DIV/0!</v>
      </c>
      <c r="L33" s="635"/>
      <c r="M33" s="620"/>
      <c r="N33" s="313"/>
      <c r="O33" s="570"/>
      <c r="P33" s="570"/>
      <c r="Q33" s="388" t="s">
        <v>238</v>
      </c>
      <c r="R33" s="505">
        <v>0.85</v>
      </c>
      <c r="S33" s="665">
        <f>+FORMATO!E51</f>
        <v>0</v>
      </c>
      <c r="T33" s="523">
        <f t="shared" si="2"/>
        <v>0</v>
      </c>
      <c r="U33" s="502" t="b">
        <f t="shared" si="6"/>
        <v>0</v>
      </c>
      <c r="V33" s="502" t="e">
        <f t="shared" si="5"/>
        <v>#DIV/0!</v>
      </c>
      <c r="W33" s="533" t="e">
        <f t="shared" si="3"/>
        <v>#DIV/0!</v>
      </c>
      <c r="X33" s="504"/>
    </row>
    <row r="34" spans="1:31" ht="13.15" customHeight="1" x14ac:dyDescent="0.2">
      <c r="A34" s="632"/>
      <c r="B34" s="623"/>
      <c r="C34" s="623"/>
      <c r="D34" s="623"/>
      <c r="E34" s="827" t="s">
        <v>418</v>
      </c>
      <c r="F34" s="828"/>
      <c r="G34" s="828"/>
      <c r="H34" s="829"/>
      <c r="I34" s="859" t="s">
        <v>459</v>
      </c>
      <c r="J34" s="860"/>
      <c r="K34" s="618" t="e">
        <f>IF($I$66="Método A",FIXED(($W$34),0),FIXED(($W$34),1))</f>
        <v>#DIV/0!</v>
      </c>
      <c r="L34" s="636"/>
      <c r="M34" s="620"/>
      <c r="N34" s="313"/>
      <c r="O34" s="570"/>
      <c r="P34" s="570"/>
      <c r="Q34" s="388" t="s">
        <v>418</v>
      </c>
      <c r="R34" s="388">
        <v>0.42499999999999999</v>
      </c>
      <c r="S34" s="665">
        <f>+FORMATO!E52</f>
        <v>0</v>
      </c>
      <c r="T34" s="523">
        <f t="shared" si="2"/>
        <v>0</v>
      </c>
      <c r="U34" s="502" t="b">
        <f t="shared" si="6"/>
        <v>0</v>
      </c>
      <c r="V34" s="643" t="e">
        <f t="shared" si="5"/>
        <v>#DIV/0!</v>
      </c>
      <c r="W34" s="533" t="e">
        <f t="shared" si="3"/>
        <v>#DIV/0!</v>
      </c>
      <c r="X34" s="504"/>
      <c r="Z34" s="584"/>
      <c r="AA34" s="587"/>
      <c r="AD34" s="584"/>
      <c r="AE34" s="588"/>
    </row>
    <row r="35" spans="1:31" ht="13.15" customHeight="1" x14ac:dyDescent="0.2">
      <c r="A35" s="632"/>
      <c r="B35" s="623"/>
      <c r="C35" s="623"/>
      <c r="D35" s="623"/>
      <c r="E35" s="827" t="s">
        <v>239</v>
      </c>
      <c r="F35" s="828"/>
      <c r="G35" s="828"/>
      <c r="H35" s="829"/>
      <c r="I35" s="859" t="s">
        <v>460</v>
      </c>
      <c r="J35" s="860"/>
      <c r="K35" s="618" t="e">
        <f>IF($I$66="Método A",FIXED(($W$35),0),FIXED(($W$35),1))</f>
        <v>#DIV/0!</v>
      </c>
      <c r="L35" s="636"/>
      <c r="M35" s="620"/>
      <c r="N35" s="313"/>
      <c r="O35" s="570"/>
      <c r="P35" s="570"/>
      <c r="Q35" s="388" t="s">
        <v>239</v>
      </c>
      <c r="R35" s="505">
        <v>0.25</v>
      </c>
      <c r="S35" s="665">
        <f>+FORMATO!E53</f>
        <v>0</v>
      </c>
      <c r="T35" s="523">
        <f t="shared" si="2"/>
        <v>0</v>
      </c>
      <c r="U35" s="502" t="b">
        <f t="shared" si="6"/>
        <v>0</v>
      </c>
      <c r="V35" s="502" t="e">
        <f t="shared" si="5"/>
        <v>#DIV/0!</v>
      </c>
      <c r="W35" s="533" t="e">
        <f t="shared" si="3"/>
        <v>#DIV/0!</v>
      </c>
      <c r="X35" s="506"/>
      <c r="Z35" s="584"/>
      <c r="AA35" s="587"/>
      <c r="AD35" s="584"/>
      <c r="AE35" s="587"/>
    </row>
    <row r="36" spans="1:31" ht="13.15" customHeight="1" x14ac:dyDescent="0.2">
      <c r="A36" s="632"/>
      <c r="B36" s="623"/>
      <c r="C36" s="623"/>
      <c r="D36" s="623"/>
      <c r="E36" s="827" t="s">
        <v>241</v>
      </c>
      <c r="F36" s="828"/>
      <c r="G36" s="828"/>
      <c r="H36" s="829"/>
      <c r="I36" s="859" t="s">
        <v>461</v>
      </c>
      <c r="J36" s="860"/>
      <c r="K36" s="618" t="e">
        <f>IF($I$66="Método A",FIXED(($W$36),0),FIXED(($W$36),1))</f>
        <v>#DIV/0!</v>
      </c>
      <c r="L36" s="305"/>
      <c r="M36" s="620"/>
      <c r="N36" s="313"/>
      <c r="O36" s="570"/>
      <c r="P36" s="570"/>
      <c r="Q36" s="388" t="s">
        <v>241</v>
      </c>
      <c r="R36" s="505">
        <v>0.15</v>
      </c>
      <c r="S36" s="665">
        <f>+FORMATO!E54</f>
        <v>0</v>
      </c>
      <c r="T36" s="523">
        <f t="shared" si="2"/>
        <v>0</v>
      </c>
      <c r="U36" s="502" t="b">
        <f t="shared" si="6"/>
        <v>0</v>
      </c>
      <c r="V36" s="502" t="e">
        <f t="shared" si="5"/>
        <v>#DIV/0!</v>
      </c>
      <c r="W36" s="533" t="e">
        <f t="shared" ref="W36:W38" si="7">100-V36</f>
        <v>#DIV/0!</v>
      </c>
      <c r="X36" s="504"/>
      <c r="Y36" s="507"/>
      <c r="Z36" s="508"/>
      <c r="AA36" s="513"/>
    </row>
    <row r="37" spans="1:31" ht="13.15" customHeight="1" x14ac:dyDescent="0.2">
      <c r="A37" s="632"/>
      <c r="B37" s="623"/>
      <c r="C37" s="623"/>
      <c r="D37" s="623"/>
      <c r="E37" s="827" t="s">
        <v>240</v>
      </c>
      <c r="F37" s="828"/>
      <c r="G37" s="828"/>
      <c r="H37" s="829"/>
      <c r="I37" s="859" t="s">
        <v>462</v>
      </c>
      <c r="J37" s="860"/>
      <c r="K37" s="618" t="e">
        <f>IF($I$66="Método A",FIXED(($W$37),0),FIXED(($W$37),1))</f>
        <v>#DIV/0!</v>
      </c>
      <c r="L37" s="635"/>
      <c r="M37" s="620"/>
      <c r="N37" s="313"/>
      <c r="O37" s="570"/>
      <c r="P37" s="570"/>
      <c r="Q37" s="388" t="s">
        <v>240</v>
      </c>
      <c r="R37" s="388">
        <v>0.106</v>
      </c>
      <c r="S37" s="665">
        <f>+FORMATO!E55</f>
        <v>0</v>
      </c>
      <c r="T37" s="523">
        <f t="shared" si="2"/>
        <v>0</v>
      </c>
      <c r="U37" s="502" t="b">
        <f t="shared" si="6"/>
        <v>0</v>
      </c>
      <c r="V37" s="502" t="e">
        <f t="shared" si="5"/>
        <v>#DIV/0!</v>
      </c>
      <c r="W37" s="533" t="e">
        <f t="shared" si="7"/>
        <v>#DIV/0!</v>
      </c>
      <c r="X37" s="504"/>
      <c r="Y37" s="507"/>
      <c r="Z37" s="508"/>
      <c r="AA37" s="589"/>
    </row>
    <row r="38" spans="1:31" ht="13.15" customHeight="1" x14ac:dyDescent="0.2">
      <c r="A38" s="632"/>
      <c r="B38" s="623"/>
      <c r="C38" s="623"/>
      <c r="D38" s="623"/>
      <c r="E38" s="830" t="s">
        <v>242</v>
      </c>
      <c r="F38" s="831"/>
      <c r="G38" s="831"/>
      <c r="H38" s="832"/>
      <c r="I38" s="838" t="s">
        <v>463</v>
      </c>
      <c r="J38" s="839"/>
      <c r="K38" s="317" t="e">
        <f>IF($I$66="Método A",FIXED(($W$38),0),FIXED(($W$38),1))</f>
        <v>#DIV/0!</v>
      </c>
      <c r="L38" s="635"/>
      <c r="M38" s="620"/>
      <c r="N38" s="313"/>
      <c r="O38" s="570"/>
      <c r="P38" s="570"/>
      <c r="Q38" s="388" t="s">
        <v>242</v>
      </c>
      <c r="R38" s="388">
        <v>7.4999999999999997E-2</v>
      </c>
      <c r="S38" s="665">
        <f>+FORMATO!E56</f>
        <v>0</v>
      </c>
      <c r="T38" s="523">
        <f t="shared" si="2"/>
        <v>0</v>
      </c>
      <c r="U38" s="502" t="b">
        <f t="shared" si="6"/>
        <v>0</v>
      </c>
      <c r="V38" s="502" t="e">
        <f t="shared" si="5"/>
        <v>#DIV/0!</v>
      </c>
      <c r="W38" s="533" t="e">
        <f t="shared" si="7"/>
        <v>#DIV/0!</v>
      </c>
      <c r="X38" s="506"/>
      <c r="Y38" s="509"/>
      <c r="Z38" s="391"/>
      <c r="AA38" s="513"/>
      <c r="AC38" s="584"/>
      <c r="AD38" s="587"/>
    </row>
    <row r="39" spans="1:31" ht="12.6" customHeight="1" x14ac:dyDescent="0.2">
      <c r="A39" s="637"/>
      <c r="B39" s="638"/>
      <c r="C39" s="638"/>
      <c r="D39" s="306"/>
      <c r="E39" s="306"/>
      <c r="F39" s="306"/>
      <c r="G39" s="306"/>
      <c r="H39" s="306"/>
      <c r="I39" s="306"/>
      <c r="J39" s="620"/>
      <c r="K39" s="620"/>
      <c r="L39" s="620"/>
      <c r="M39" s="620"/>
      <c r="N39" s="313"/>
      <c r="O39" s="570"/>
      <c r="P39" s="570"/>
      <c r="Q39" s="388" t="s">
        <v>41</v>
      </c>
      <c r="R39" s="388">
        <v>0.01</v>
      </c>
      <c r="S39" s="665">
        <f>+FORMATO!E57</f>
        <v>0</v>
      </c>
      <c r="T39" s="523" t="b">
        <f>IF(R3="Fraccionada",(V13-(SUM(T32:T38))),IF(R3="Global",(V12-SUM(T25:T38))))</f>
        <v>0</v>
      </c>
      <c r="U39" s="502" t="b">
        <f t="shared" si="6"/>
        <v>0</v>
      </c>
      <c r="V39" s="502" t="e">
        <f t="shared" si="5"/>
        <v>#DIV/0!</v>
      </c>
      <c r="W39" s="533" t="e">
        <f>100-V39</f>
        <v>#DIV/0!</v>
      </c>
      <c r="X39" s="510"/>
      <c r="Y39" s="511"/>
      <c r="Z39" s="512"/>
      <c r="AA39" s="513"/>
      <c r="AB39" s="513"/>
      <c r="AC39" s="513"/>
      <c r="AD39" s="513"/>
    </row>
    <row r="40" spans="1:31" ht="12.75" customHeight="1" x14ac:dyDescent="0.2">
      <c r="A40" s="637"/>
      <c r="B40" s="638"/>
      <c r="C40" s="638"/>
      <c r="D40" s="306"/>
      <c r="E40" s="306"/>
      <c r="F40" s="306"/>
      <c r="G40" s="306"/>
      <c r="H40" s="306"/>
      <c r="I40" s="306"/>
      <c r="J40" s="620"/>
      <c r="K40" s="620"/>
      <c r="L40" s="620"/>
      <c r="M40" s="620"/>
      <c r="N40" s="313"/>
      <c r="O40" s="570"/>
      <c r="P40" s="570"/>
      <c r="AA40" s="513"/>
      <c r="AB40" s="513"/>
      <c r="AC40" s="513"/>
      <c r="AD40" s="513"/>
    </row>
    <row r="41" spans="1:31" ht="13.15" customHeight="1" x14ac:dyDescent="0.2">
      <c r="A41" s="637"/>
      <c r="B41" s="638"/>
      <c r="C41" s="638"/>
      <c r="D41" s="306"/>
      <c r="E41" s="306"/>
      <c r="F41" s="306"/>
      <c r="G41" s="306"/>
      <c r="H41" s="306"/>
      <c r="I41" s="306"/>
      <c r="J41" s="620"/>
      <c r="K41" s="620"/>
      <c r="L41" s="620"/>
      <c r="M41" s="620"/>
      <c r="N41" s="313"/>
      <c r="O41" s="570"/>
      <c r="P41" s="570"/>
      <c r="Q41" s="880" t="s">
        <v>420</v>
      </c>
      <c r="R41" s="881"/>
      <c r="S41" s="881"/>
      <c r="T41" s="882"/>
      <c r="AA41" s="513"/>
      <c r="AB41" s="513"/>
      <c r="AC41" s="513"/>
      <c r="AD41" s="513"/>
    </row>
    <row r="42" spans="1:31" ht="13.15" customHeight="1" x14ac:dyDescent="0.2">
      <c r="A42" s="637"/>
      <c r="B42" s="638"/>
      <c r="C42" s="638"/>
      <c r="D42" s="306"/>
      <c r="E42" s="306"/>
      <c r="F42" s="306"/>
      <c r="G42" s="306"/>
      <c r="H42" s="306"/>
      <c r="I42" s="306"/>
      <c r="J42" s="620"/>
      <c r="K42" s="620"/>
      <c r="L42" s="620"/>
      <c r="M42" s="620"/>
      <c r="N42" s="313"/>
      <c r="O42" s="570"/>
      <c r="P42" s="570"/>
      <c r="Q42" s="883"/>
      <c r="R42" s="884"/>
      <c r="S42" s="884"/>
      <c r="T42" s="885"/>
      <c r="U42" s="620"/>
      <c r="V42" s="620"/>
      <c r="AA42" s="513"/>
      <c r="AB42" s="513"/>
      <c r="AC42" s="513"/>
      <c r="AD42" s="513"/>
    </row>
    <row r="43" spans="1:31" ht="10.5" customHeight="1" x14ac:dyDescent="0.2">
      <c r="A43" s="637"/>
      <c r="B43" s="638"/>
      <c r="C43" s="638"/>
      <c r="D43" s="306"/>
      <c r="E43" s="306"/>
      <c r="F43" s="306"/>
      <c r="G43" s="306"/>
      <c r="H43" s="306"/>
      <c r="I43" s="306"/>
      <c r="J43" s="620"/>
      <c r="K43" s="620"/>
      <c r="L43" s="620"/>
      <c r="M43" s="620"/>
      <c r="N43" s="313"/>
      <c r="O43" s="570"/>
      <c r="P43" s="570"/>
      <c r="Q43" s="886" t="s">
        <v>34</v>
      </c>
      <c r="R43" s="888" t="e">
        <f>$V$31</f>
        <v>#DIV/0!</v>
      </c>
      <c r="S43" s="308" t="s">
        <v>35</v>
      </c>
      <c r="T43" s="309" t="e">
        <f>SUM($U$25:$U$29)</f>
        <v>#DIV/0!</v>
      </c>
      <c r="U43" s="620"/>
      <c r="V43" s="620"/>
      <c r="AA43" s="513"/>
      <c r="AB43" s="513"/>
      <c r="AC43" s="577"/>
      <c r="AD43" s="513"/>
    </row>
    <row r="44" spans="1:31" ht="13.15" customHeight="1" x14ac:dyDescent="0.2">
      <c r="A44" s="637"/>
      <c r="B44" s="638"/>
      <c r="C44" s="638"/>
      <c r="D44" s="306"/>
      <c r="E44" s="306"/>
      <c r="F44" s="306"/>
      <c r="G44" s="306"/>
      <c r="H44" s="306"/>
      <c r="I44" s="306"/>
      <c r="J44" s="620"/>
      <c r="K44" s="620"/>
      <c r="L44" s="620"/>
      <c r="M44" s="620"/>
      <c r="N44" s="313"/>
      <c r="O44" s="570"/>
      <c r="P44" s="570"/>
      <c r="Q44" s="887"/>
      <c r="R44" s="889"/>
      <c r="S44" s="311" t="s">
        <v>36</v>
      </c>
      <c r="T44" s="312" t="e">
        <f>SUM($U$30:$U$31)</f>
        <v>#DIV/0!</v>
      </c>
      <c r="U44" s="626"/>
      <c r="V44" s="626"/>
      <c r="Y44" s="279"/>
      <c r="Z44" s="279"/>
      <c r="AA44" s="513"/>
      <c r="AB44" s="513"/>
      <c r="AC44" s="577"/>
      <c r="AD44" s="590"/>
    </row>
    <row r="45" spans="1:31" ht="8.25" customHeight="1" x14ac:dyDescent="0.2">
      <c r="A45" s="637"/>
      <c r="B45" s="638"/>
      <c r="C45" s="638"/>
      <c r="D45" s="306"/>
      <c r="E45" s="306"/>
      <c r="F45" s="306"/>
      <c r="G45" s="306"/>
      <c r="H45" s="306"/>
      <c r="I45" s="306"/>
      <c r="J45" s="620"/>
      <c r="K45" s="620"/>
      <c r="L45" s="620"/>
      <c r="M45" s="620"/>
      <c r="N45" s="313"/>
      <c r="O45" s="570"/>
      <c r="P45" s="570"/>
      <c r="Q45" s="890" t="s">
        <v>37</v>
      </c>
      <c r="R45" s="892" t="e">
        <f>100-(R43+R48)</f>
        <v>#DIV/0!</v>
      </c>
      <c r="S45" s="311" t="s">
        <v>35</v>
      </c>
      <c r="T45" s="312">
        <f>SUM($U$32:$U$32)</f>
        <v>0</v>
      </c>
      <c r="U45" s="626"/>
      <c r="V45" s="626"/>
      <c r="W45" s="513"/>
      <c r="Y45" s="513"/>
      <c r="Z45" s="279"/>
      <c r="AA45" s="513"/>
      <c r="AB45" s="513"/>
      <c r="AC45" s="577"/>
      <c r="AD45" s="513"/>
    </row>
    <row r="46" spans="1:31" ht="10.5" customHeight="1" x14ac:dyDescent="0.2">
      <c r="A46" s="637"/>
      <c r="B46" s="638"/>
      <c r="C46" s="638"/>
      <c r="D46" s="306"/>
      <c r="E46" s="306"/>
      <c r="F46" s="306"/>
      <c r="G46" s="306"/>
      <c r="H46" s="306"/>
      <c r="I46" s="306"/>
      <c r="J46" s="620"/>
      <c r="K46" s="620"/>
      <c r="L46" s="620"/>
      <c r="M46" s="620"/>
      <c r="N46" s="313"/>
      <c r="O46" s="570"/>
      <c r="P46" s="570"/>
      <c r="Q46" s="891"/>
      <c r="R46" s="893"/>
      <c r="S46" s="311" t="s">
        <v>38</v>
      </c>
      <c r="T46" s="312">
        <f>SUM($U$33:$U$35)</f>
        <v>0</v>
      </c>
      <c r="U46" s="619"/>
      <c r="V46" s="619"/>
      <c r="Y46" s="279"/>
      <c r="Z46" s="279"/>
      <c r="AA46" s="513"/>
      <c r="AB46" s="513"/>
      <c r="AC46" s="591"/>
      <c r="AD46" s="513"/>
    </row>
    <row r="47" spans="1:31" ht="13.15" customHeight="1" x14ac:dyDescent="0.2">
      <c r="A47" s="637"/>
      <c r="B47" s="638"/>
      <c r="C47" s="638"/>
      <c r="D47" s="306"/>
      <c r="E47" s="306"/>
      <c r="F47" s="306"/>
      <c r="G47" s="306"/>
      <c r="H47" s="306"/>
      <c r="I47" s="306"/>
      <c r="J47" s="620"/>
      <c r="K47" s="620"/>
      <c r="L47" s="620"/>
      <c r="M47" s="620"/>
      <c r="N47" s="313"/>
      <c r="O47" s="570"/>
      <c r="P47" s="570"/>
      <c r="Q47" s="887"/>
      <c r="R47" s="889"/>
      <c r="S47" s="311" t="s">
        <v>36</v>
      </c>
      <c r="T47" s="312">
        <f>SUM($U$36:$U$38)</f>
        <v>0</v>
      </c>
      <c r="U47" s="626"/>
      <c r="V47" s="626"/>
      <c r="AB47" s="513"/>
      <c r="AC47" s="591"/>
      <c r="AD47" s="513"/>
    </row>
    <row r="48" spans="1:31" ht="13.15" customHeight="1" x14ac:dyDescent="0.2">
      <c r="A48" s="637"/>
      <c r="B48" s="638"/>
      <c r="C48" s="638"/>
      <c r="D48" s="306"/>
      <c r="E48" s="306"/>
      <c r="F48" s="306"/>
      <c r="G48" s="306"/>
      <c r="H48" s="306"/>
      <c r="I48" s="306"/>
      <c r="J48" s="620"/>
      <c r="K48" s="620"/>
      <c r="L48" s="620"/>
      <c r="M48" s="620"/>
      <c r="N48" s="313"/>
      <c r="O48" s="570"/>
      <c r="P48" s="570"/>
      <c r="Q48" s="420" t="s">
        <v>39</v>
      </c>
      <c r="R48" s="314" t="e">
        <f>$W$38</f>
        <v>#DIV/0!</v>
      </c>
      <c r="S48" s="315"/>
      <c r="T48" s="316" t="b">
        <f>$U$39</f>
        <v>0</v>
      </c>
      <c r="U48" s="619"/>
      <c r="V48" s="619"/>
      <c r="W48" s="279"/>
      <c r="AB48" s="513"/>
      <c r="AC48" s="513"/>
      <c r="AD48" s="513"/>
    </row>
    <row r="49" spans="1:30" ht="12" customHeight="1" x14ac:dyDescent="0.2">
      <c r="A49" s="637"/>
      <c r="B49" s="638"/>
      <c r="C49" s="638"/>
      <c r="D49" s="306"/>
      <c r="E49" s="306"/>
      <c r="F49" s="306"/>
      <c r="G49" s="306"/>
      <c r="H49" s="306"/>
      <c r="I49" s="306"/>
      <c r="J49" s="620"/>
      <c r="K49" s="620"/>
      <c r="L49" s="620"/>
      <c r="M49" s="620"/>
      <c r="N49" s="313"/>
      <c r="O49" s="570"/>
      <c r="P49" s="570"/>
      <c r="Q49" s="319"/>
      <c r="R49" s="319"/>
      <c r="S49" s="319"/>
      <c r="T49" s="319"/>
      <c r="U49" s="619"/>
      <c r="V49" s="619"/>
      <c r="W49" s="279"/>
      <c r="AB49" s="513"/>
      <c r="AC49" s="513"/>
      <c r="AD49" s="513"/>
    </row>
    <row r="50" spans="1:30" ht="13.15" customHeight="1" x14ac:dyDescent="0.2">
      <c r="A50" s="637"/>
      <c r="B50" s="638"/>
      <c r="C50" s="638"/>
      <c r="D50" s="306"/>
      <c r="E50" s="306"/>
      <c r="F50" s="306"/>
      <c r="G50" s="306"/>
      <c r="H50" s="306"/>
      <c r="I50" s="306"/>
      <c r="J50" s="620"/>
      <c r="K50" s="620"/>
      <c r="L50" s="620"/>
      <c r="M50" s="620"/>
      <c r="N50" s="313"/>
      <c r="O50" s="570"/>
      <c r="P50" s="570"/>
      <c r="Q50" s="319"/>
      <c r="R50" s="319"/>
      <c r="S50" s="319"/>
      <c r="T50" s="319"/>
      <c r="U50" s="429"/>
      <c r="V50" s="429"/>
      <c r="W50" s="279"/>
      <c r="AB50" s="513"/>
      <c r="AC50" s="513"/>
      <c r="AD50" s="513"/>
    </row>
    <row r="51" spans="1:30" ht="13.15" customHeight="1" x14ac:dyDescent="0.2">
      <c r="A51" s="637"/>
      <c r="B51" s="638"/>
      <c r="C51" s="638"/>
      <c r="D51" s="306"/>
      <c r="E51" s="306"/>
      <c r="F51" s="306"/>
      <c r="G51" s="306"/>
      <c r="H51" s="306"/>
      <c r="I51" s="306"/>
      <c r="J51" s="620"/>
      <c r="K51" s="620"/>
      <c r="L51" s="620"/>
      <c r="M51" s="620"/>
      <c r="N51" s="313"/>
      <c r="O51" s="570"/>
      <c r="P51" s="570"/>
      <c r="Q51" s="319"/>
      <c r="R51" s="319"/>
      <c r="S51" s="319"/>
      <c r="T51" s="319"/>
      <c r="U51" s="429"/>
      <c r="V51" s="429"/>
      <c r="W51" s="279"/>
      <c r="X51" s="390"/>
      <c r="Y51" s="516"/>
      <c r="Z51" s="279"/>
      <c r="AA51" s="513"/>
      <c r="AB51" s="513"/>
      <c r="AC51" s="513"/>
      <c r="AD51" s="513"/>
    </row>
    <row r="52" spans="1:30" ht="13.15" customHeight="1" x14ac:dyDescent="0.2">
      <c r="A52" s="637"/>
      <c r="B52" s="638"/>
      <c r="C52" s="638"/>
      <c r="D52" s="306"/>
      <c r="E52" s="306"/>
      <c r="F52" s="306"/>
      <c r="G52" s="306"/>
      <c r="H52" s="306"/>
      <c r="I52" s="306"/>
      <c r="J52" s="620"/>
      <c r="K52" s="620"/>
      <c r="L52" s="620"/>
      <c r="M52" s="620"/>
      <c r="N52" s="313"/>
      <c r="O52" s="570"/>
      <c r="P52" s="570"/>
      <c r="Q52" s="319"/>
      <c r="R52" s="319"/>
      <c r="S52" s="319"/>
      <c r="T52" s="319"/>
      <c r="U52" s="625"/>
      <c r="V52" s="625"/>
      <c r="W52" s="279"/>
      <c r="X52" s="390"/>
      <c r="Y52" s="516"/>
      <c r="Z52" s="279"/>
      <c r="AA52" s="513"/>
      <c r="AB52" s="513"/>
      <c r="AC52" s="513"/>
      <c r="AD52" s="513"/>
    </row>
    <row r="53" spans="1:30" ht="13.15" customHeight="1" x14ac:dyDescent="0.2">
      <c r="A53" s="637"/>
      <c r="B53" s="638"/>
      <c r="C53" s="638"/>
      <c r="D53" s="306"/>
      <c r="E53" s="306"/>
      <c r="F53" s="306"/>
      <c r="G53" s="306"/>
      <c r="H53" s="306"/>
      <c r="I53" s="306"/>
      <c r="J53" s="620"/>
      <c r="K53" s="620"/>
      <c r="L53" s="620"/>
      <c r="M53" s="620"/>
      <c r="N53" s="313"/>
      <c r="O53" s="570"/>
      <c r="P53" s="570"/>
      <c r="Q53" s="319"/>
      <c r="R53" s="319"/>
      <c r="S53" s="319"/>
      <c r="T53" s="319"/>
      <c r="U53" s="625"/>
      <c r="V53" s="625"/>
      <c r="W53" s="279"/>
      <c r="X53" s="390"/>
      <c r="Y53" s="516"/>
      <c r="Z53" s="279"/>
      <c r="AA53" s="513"/>
      <c r="AB53" s="513"/>
      <c r="AC53" s="513"/>
      <c r="AD53" s="513"/>
    </row>
    <row r="54" spans="1:30" ht="9.75" customHeight="1" x14ac:dyDescent="0.2">
      <c r="A54" s="637"/>
      <c r="B54" s="638"/>
      <c r="C54" s="638"/>
      <c r="D54" s="306"/>
      <c r="E54" s="306"/>
      <c r="F54" s="306"/>
      <c r="G54" s="306"/>
      <c r="H54" s="306"/>
      <c r="I54" s="306"/>
      <c r="J54" s="620"/>
      <c r="K54" s="620"/>
      <c r="L54" s="620"/>
      <c r="M54" s="620"/>
      <c r="N54" s="313"/>
      <c r="O54" s="570"/>
      <c r="P54" s="570"/>
      <c r="Q54" s="319"/>
      <c r="R54" s="319"/>
      <c r="S54" s="319"/>
      <c r="T54" s="319"/>
      <c r="U54" s="625"/>
      <c r="V54" s="625"/>
      <c r="W54" s="279"/>
      <c r="X54" s="390"/>
      <c r="Y54" s="516"/>
      <c r="Z54" s="279"/>
      <c r="AA54" s="513"/>
      <c r="AB54" s="513"/>
      <c r="AC54" s="513"/>
      <c r="AD54" s="513"/>
    </row>
    <row r="55" spans="1:30" ht="11.25" customHeight="1" x14ac:dyDescent="0.2">
      <c r="A55" s="637"/>
      <c r="B55" s="638"/>
      <c r="C55" s="638"/>
      <c r="D55" s="620"/>
      <c r="E55" s="620"/>
      <c r="F55" s="620"/>
      <c r="G55" s="620"/>
      <c r="H55" s="620"/>
      <c r="I55" s="620"/>
      <c r="J55" s="620"/>
      <c r="K55" s="620"/>
      <c r="L55" s="620"/>
      <c r="M55" s="620"/>
      <c r="N55" s="313"/>
      <c r="O55" s="570"/>
      <c r="P55" s="570"/>
      <c r="Q55" s="319"/>
      <c r="R55" s="319"/>
      <c r="S55" s="319"/>
      <c r="T55" s="319"/>
      <c r="U55" s="625"/>
      <c r="V55" s="625"/>
      <c r="W55" s="279"/>
      <c r="X55" s="390"/>
      <c r="Y55" s="516"/>
      <c r="Z55" s="279"/>
      <c r="AA55" s="513"/>
      <c r="AB55" s="513"/>
      <c r="AC55" s="513"/>
      <c r="AD55" s="513"/>
    </row>
    <row r="56" spans="1:30" ht="13.15" customHeight="1" x14ac:dyDescent="0.2">
      <c r="A56" s="639"/>
      <c r="B56" s="640"/>
      <c r="C56" s="640"/>
      <c r="D56" s="641"/>
      <c r="E56" s="641"/>
      <c r="F56" s="641"/>
      <c r="G56" s="641"/>
      <c r="H56" s="641"/>
      <c r="I56" s="641"/>
      <c r="J56" s="641"/>
      <c r="K56" s="641"/>
      <c r="L56" s="641"/>
      <c r="M56" s="641"/>
      <c r="N56" s="642"/>
      <c r="O56" s="570"/>
      <c r="P56" s="570"/>
      <c r="Q56" s="319"/>
      <c r="R56" s="319"/>
      <c r="S56" s="319"/>
      <c r="T56" s="319"/>
      <c r="U56" s="625"/>
      <c r="V56" s="625"/>
      <c r="W56" s="279"/>
      <c r="X56" s="390"/>
      <c r="Y56" s="516"/>
      <c r="Z56" s="279"/>
      <c r="AA56" s="513"/>
      <c r="AB56" s="513"/>
      <c r="AC56" s="513"/>
      <c r="AD56" s="513"/>
    </row>
    <row r="57" spans="1:30" ht="15.75" customHeight="1" x14ac:dyDescent="0.2">
      <c r="A57" s="318"/>
      <c r="B57" s="318"/>
      <c r="C57" s="318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570"/>
      <c r="P57" s="570"/>
      <c r="Q57" s="319"/>
      <c r="R57" s="319"/>
      <c r="S57" s="319"/>
      <c r="T57" s="319"/>
      <c r="U57" s="625"/>
      <c r="V57" s="625"/>
      <c r="W57" s="279"/>
      <c r="X57" s="279"/>
      <c r="Y57" s="516"/>
      <c r="Z57" s="279"/>
      <c r="AA57" s="513"/>
      <c r="AB57" s="513"/>
      <c r="AC57" s="513"/>
      <c r="AD57" s="513"/>
    </row>
    <row r="58" spans="1:30" ht="35.25" customHeight="1" x14ac:dyDescent="0.2">
      <c r="A58" s="305"/>
      <c r="B58" s="305"/>
      <c r="C58" s="30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570"/>
      <c r="P58" s="570"/>
      <c r="Q58" s="514"/>
      <c r="R58" s="515"/>
      <c r="S58" s="515"/>
      <c r="T58" s="389"/>
      <c r="U58" s="279"/>
      <c r="V58" s="279"/>
      <c r="W58" s="279"/>
      <c r="X58" s="390"/>
      <c r="Y58" s="516"/>
      <c r="Z58" s="279"/>
      <c r="AA58" s="513"/>
      <c r="AB58" s="513"/>
      <c r="AC58" s="513"/>
      <c r="AD58" s="513"/>
    </row>
    <row r="59" spans="1:30" ht="15.75" customHeight="1" x14ac:dyDescent="0.2">
      <c r="A59" s="319" t="s">
        <v>247</v>
      </c>
      <c r="B59" s="319"/>
      <c r="C59" s="319"/>
      <c r="D59" s="305"/>
      <c r="E59" s="305"/>
      <c r="F59" s="305"/>
      <c r="G59" s="285"/>
      <c r="H59" s="285"/>
      <c r="I59" s="285"/>
      <c r="J59" s="285"/>
      <c r="K59" s="285"/>
      <c r="L59" s="285"/>
      <c r="M59" s="285"/>
      <c r="N59" s="285"/>
      <c r="O59" s="570"/>
      <c r="P59" s="570"/>
      <c r="Q59" s="514"/>
      <c r="R59" s="515"/>
      <c r="S59" s="515"/>
      <c r="T59" s="389"/>
      <c r="U59" s="279"/>
      <c r="V59" s="279"/>
      <c r="W59" s="279"/>
      <c r="X59" s="390"/>
      <c r="Y59" s="516"/>
      <c r="Z59" s="279"/>
      <c r="AA59" s="513"/>
      <c r="AB59" s="513"/>
      <c r="AC59" s="513"/>
      <c r="AD59" s="513"/>
    </row>
    <row r="60" spans="1:30" ht="15.75" customHeight="1" x14ac:dyDescent="0.2">
      <c r="A60" s="319" t="s">
        <v>573</v>
      </c>
      <c r="B60" s="319"/>
      <c r="C60" s="319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570"/>
      <c r="P60" s="570"/>
      <c r="Q60" s="514"/>
      <c r="R60" s="515"/>
      <c r="S60" s="515"/>
      <c r="T60" s="389"/>
      <c r="U60" s="279"/>
      <c r="V60" s="279"/>
      <c r="W60" s="279"/>
      <c r="X60" s="390"/>
      <c r="Y60" s="516"/>
      <c r="Z60" s="279"/>
      <c r="AA60" s="513"/>
      <c r="AB60" s="513"/>
      <c r="AC60" s="513"/>
      <c r="AD60" s="513"/>
    </row>
    <row r="61" spans="1:30" ht="3" customHeight="1" x14ac:dyDescent="0.2">
      <c r="A61" s="305"/>
      <c r="B61" s="305"/>
      <c r="C61" s="30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570"/>
      <c r="P61" s="570"/>
      <c r="Q61" s="514"/>
      <c r="R61" s="515"/>
      <c r="S61" s="515"/>
      <c r="T61" s="389"/>
      <c r="U61" s="279"/>
      <c r="V61" s="279"/>
      <c r="W61" s="279"/>
      <c r="X61" s="390"/>
      <c r="Y61" s="516"/>
      <c r="Z61" s="279"/>
      <c r="AA61" s="513"/>
      <c r="AB61" s="513"/>
      <c r="AC61" s="513"/>
      <c r="AD61" s="513"/>
    </row>
    <row r="62" spans="1:30" ht="5.25" customHeight="1" x14ac:dyDescent="0.2">
      <c r="A62" s="305"/>
      <c r="B62" s="305"/>
      <c r="C62" s="30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570"/>
      <c r="P62" s="570"/>
      <c r="Q62" s="514"/>
      <c r="R62" s="515"/>
      <c r="S62" s="515"/>
      <c r="T62" s="389"/>
      <c r="U62" s="279"/>
      <c r="V62" s="279"/>
      <c r="W62" s="279"/>
      <c r="X62" s="390"/>
      <c r="Y62" s="516"/>
      <c r="Z62" s="279"/>
      <c r="AA62" s="513"/>
      <c r="AB62" s="513"/>
      <c r="AC62" s="513"/>
      <c r="AD62" s="513"/>
    </row>
    <row r="63" spans="1:30" ht="3" customHeight="1" x14ac:dyDescent="0.2">
      <c r="A63" s="305"/>
      <c r="B63" s="305"/>
      <c r="C63" s="30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570"/>
      <c r="P63" s="570"/>
      <c r="Q63" s="391"/>
      <c r="R63" s="391"/>
      <c r="S63" s="391"/>
      <c r="T63" s="390"/>
      <c r="U63" s="279"/>
      <c r="V63" s="279"/>
      <c r="W63" s="279"/>
      <c r="X63" s="390"/>
      <c r="Y63" s="516"/>
      <c r="Z63" s="279"/>
      <c r="AA63" s="513"/>
      <c r="AB63" s="513"/>
      <c r="AC63" s="513"/>
      <c r="AD63" s="513"/>
    </row>
    <row r="64" spans="1:30" ht="3" customHeight="1" x14ac:dyDescent="0.2">
      <c r="A64" s="305"/>
      <c r="B64" s="305"/>
      <c r="C64" s="30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570"/>
      <c r="P64" s="570"/>
      <c r="Q64" s="392"/>
      <c r="R64" s="392"/>
      <c r="S64" s="392"/>
      <c r="U64" s="279"/>
      <c r="V64" s="279"/>
      <c r="W64" s="279"/>
      <c r="X64" s="390"/>
      <c r="Y64" s="516"/>
      <c r="Z64" s="279"/>
      <c r="AA64" s="513"/>
      <c r="AB64" s="513"/>
      <c r="AC64" s="513"/>
      <c r="AD64" s="513"/>
    </row>
    <row r="65" spans="1:30" ht="17.25" customHeight="1" x14ac:dyDescent="0.2">
      <c r="A65" s="541" t="s">
        <v>371</v>
      </c>
      <c r="B65" s="542"/>
      <c r="C65" s="542"/>
      <c r="D65" s="419"/>
      <c r="E65" s="419"/>
      <c r="F65" s="419"/>
      <c r="G65" s="419"/>
      <c r="H65" s="419"/>
      <c r="I65" s="419"/>
      <c r="J65" s="419"/>
      <c r="K65" s="419"/>
      <c r="L65" s="419"/>
      <c r="M65" s="419"/>
      <c r="N65" s="543"/>
      <c r="O65" s="570"/>
      <c r="P65" s="570"/>
      <c r="Q65" s="422"/>
      <c r="R65" s="517"/>
      <c r="S65" s="518"/>
      <c r="U65" s="279"/>
      <c r="V65" s="279"/>
      <c r="W65" s="279"/>
      <c r="X65" s="279"/>
      <c r="Y65" s="279"/>
      <c r="Z65" s="279"/>
      <c r="AA65" s="513"/>
      <c r="AB65" s="513"/>
      <c r="AC65" s="513"/>
      <c r="AD65" s="513"/>
    </row>
    <row r="66" spans="1:30" ht="17.25" customHeight="1" x14ac:dyDescent="0.2">
      <c r="A66" s="544" t="s">
        <v>394</v>
      </c>
      <c r="B66" s="423"/>
      <c r="C66" s="423"/>
      <c r="D66" s="306"/>
      <c r="E66" s="306"/>
      <c r="F66" s="306"/>
      <c r="G66" s="306"/>
      <c r="H66" s="306"/>
      <c r="I66" s="834" t="str">
        <f>+R2</f>
        <v>-</v>
      </c>
      <c r="J66" s="834"/>
      <c r="K66" s="834"/>
      <c r="L66" s="421"/>
      <c r="M66" s="421"/>
      <c r="N66" s="545"/>
      <c r="O66" s="570"/>
      <c r="P66" s="570"/>
      <c r="Q66" s="424"/>
      <c r="R66" s="519"/>
      <c r="S66" s="519"/>
      <c r="T66" s="520"/>
      <c r="U66" s="279"/>
      <c r="V66" s="279"/>
      <c r="W66" s="279"/>
      <c r="X66" s="279"/>
      <c r="Y66" s="279"/>
      <c r="Z66" s="279"/>
      <c r="AA66" s="513"/>
      <c r="AB66" s="513"/>
      <c r="AC66" s="513"/>
      <c r="AD66" s="513"/>
    </row>
    <row r="67" spans="1:30" ht="17.25" customHeight="1" x14ac:dyDescent="0.2">
      <c r="A67" s="544" t="s">
        <v>395</v>
      </c>
      <c r="B67" s="423"/>
      <c r="C67" s="423"/>
      <c r="D67" s="306"/>
      <c r="E67" s="306"/>
      <c r="F67" s="306"/>
      <c r="G67" s="306"/>
      <c r="H67" s="306"/>
      <c r="I67" s="834" t="s">
        <v>442</v>
      </c>
      <c r="J67" s="834"/>
      <c r="K67" s="834"/>
      <c r="L67" s="421"/>
      <c r="M67" s="421"/>
      <c r="N67" s="545"/>
      <c r="O67" s="570"/>
      <c r="P67" s="570"/>
      <c r="Q67" s="424"/>
      <c r="R67" s="519"/>
      <c r="S67" s="519"/>
      <c r="T67" s="520"/>
      <c r="U67" s="279"/>
      <c r="V67" s="279"/>
      <c r="W67" s="279"/>
      <c r="X67" s="279"/>
      <c r="Y67" s="279"/>
      <c r="Z67" s="279"/>
      <c r="AA67" s="513"/>
      <c r="AB67" s="513"/>
      <c r="AC67" s="513"/>
      <c r="AD67" s="513"/>
    </row>
    <row r="68" spans="1:30" ht="17.25" customHeight="1" x14ac:dyDescent="0.2">
      <c r="A68" s="544" t="s">
        <v>393</v>
      </c>
      <c r="B68" s="423"/>
      <c r="C68" s="423"/>
      <c r="D68" s="423"/>
      <c r="E68" s="423"/>
      <c r="F68" s="546"/>
      <c r="G68" s="546"/>
      <c r="H68" s="546"/>
      <c r="I68" s="834" t="s">
        <v>442</v>
      </c>
      <c r="J68" s="834"/>
      <c r="K68" s="834"/>
      <c r="L68" s="421"/>
      <c r="M68" s="421"/>
      <c r="N68" s="545"/>
      <c r="O68" s="570"/>
      <c r="P68" s="570"/>
      <c r="Q68" s="424"/>
      <c r="R68" s="519"/>
      <c r="S68" s="519"/>
      <c r="T68" s="520"/>
      <c r="U68" s="279"/>
      <c r="V68" s="279"/>
      <c r="W68" s="279"/>
      <c r="X68" s="279"/>
      <c r="Y68" s="279"/>
      <c r="Z68" s="279"/>
      <c r="AA68" s="513"/>
      <c r="AB68" s="513"/>
      <c r="AC68" s="513"/>
      <c r="AD68" s="513"/>
    </row>
    <row r="69" spans="1:30" ht="17.25" customHeight="1" x14ac:dyDescent="0.2">
      <c r="A69" s="544" t="s">
        <v>392</v>
      </c>
      <c r="B69" s="423"/>
      <c r="C69" s="423"/>
      <c r="D69" s="423"/>
      <c r="E69" s="423"/>
      <c r="F69" s="546"/>
      <c r="G69" s="546"/>
      <c r="H69" s="546"/>
      <c r="I69" s="833" t="s">
        <v>252</v>
      </c>
      <c r="J69" s="833"/>
      <c r="K69" s="833"/>
      <c r="L69" s="421"/>
      <c r="M69" s="421"/>
      <c r="N69" s="545"/>
      <c r="O69" s="570"/>
      <c r="P69" s="570"/>
      <c r="Q69" s="424"/>
      <c r="R69" s="519"/>
      <c r="S69" s="519"/>
      <c r="T69" s="520"/>
      <c r="U69" s="279"/>
      <c r="V69" s="279"/>
      <c r="W69" s="279"/>
      <c r="X69" s="279"/>
      <c r="Y69" s="279"/>
      <c r="Z69" s="279"/>
      <c r="AA69" s="513"/>
      <c r="AB69" s="513"/>
      <c r="AC69" s="513"/>
      <c r="AD69" s="513"/>
    </row>
    <row r="70" spans="1:30" ht="17.25" customHeight="1" x14ac:dyDescent="0.2">
      <c r="A70" s="544" t="s">
        <v>391</v>
      </c>
      <c r="B70" s="423"/>
      <c r="C70" s="423"/>
      <c r="D70" s="423"/>
      <c r="E70" s="423"/>
      <c r="F70" s="546"/>
      <c r="G70" s="546"/>
      <c r="H70" s="546"/>
      <c r="I70" s="834" t="s">
        <v>442</v>
      </c>
      <c r="J70" s="834"/>
      <c r="K70" s="834"/>
      <c r="L70" s="421"/>
      <c r="M70" s="421"/>
      <c r="N70" s="545"/>
      <c r="O70" s="570"/>
      <c r="P70" s="570"/>
      <c r="Q70" s="424"/>
      <c r="R70" s="519"/>
      <c r="S70" s="519"/>
      <c r="T70" s="520"/>
      <c r="U70" s="279"/>
      <c r="V70" s="279"/>
      <c r="W70" s="279"/>
      <c r="X70" s="279"/>
      <c r="Y70" s="279"/>
      <c r="Z70" s="279"/>
      <c r="AA70" s="513"/>
      <c r="AB70" s="513"/>
      <c r="AC70" s="513"/>
      <c r="AD70" s="513"/>
    </row>
    <row r="71" spans="1:30" ht="17.25" customHeight="1" x14ac:dyDescent="0.2">
      <c r="A71" s="544" t="s">
        <v>389</v>
      </c>
      <c r="B71" s="423"/>
      <c r="C71" s="423"/>
      <c r="D71" s="423"/>
      <c r="E71" s="423"/>
      <c r="F71" s="546"/>
      <c r="G71" s="546"/>
      <c r="H71" s="546"/>
      <c r="I71" s="833" t="s">
        <v>252</v>
      </c>
      <c r="J71" s="833"/>
      <c r="K71" s="833"/>
      <c r="L71" s="421"/>
      <c r="M71" s="421"/>
      <c r="N71" s="545"/>
      <c r="O71" s="570"/>
      <c r="P71" s="570"/>
      <c r="Q71" s="424"/>
      <c r="R71" s="519"/>
      <c r="S71" s="519"/>
      <c r="T71" s="520"/>
      <c r="U71" s="279"/>
      <c r="V71" s="279"/>
      <c r="W71" s="279"/>
      <c r="X71" s="279"/>
      <c r="Y71" s="279"/>
      <c r="Z71" s="279"/>
      <c r="AA71" s="513"/>
      <c r="AB71" s="513"/>
      <c r="AC71" s="513"/>
      <c r="AD71" s="513"/>
    </row>
    <row r="72" spans="1:30" ht="17.25" customHeight="1" x14ac:dyDescent="0.2">
      <c r="A72" s="544" t="s">
        <v>390</v>
      </c>
      <c r="B72" s="423"/>
      <c r="C72" s="423"/>
      <c r="D72" s="306"/>
      <c r="E72" s="306"/>
      <c r="F72" s="306"/>
      <c r="G72" s="306"/>
      <c r="H72" s="306"/>
      <c r="I72" s="835" t="s">
        <v>442</v>
      </c>
      <c r="J72" s="836"/>
      <c r="K72" s="837"/>
      <c r="L72" s="319"/>
      <c r="M72" s="319"/>
      <c r="N72" s="547"/>
      <c r="O72" s="570"/>
      <c r="P72" s="570"/>
      <c r="Q72" s="424"/>
      <c r="R72" s="519"/>
      <c r="S72" s="519"/>
      <c r="T72" s="520"/>
      <c r="U72" s="279"/>
      <c r="V72" s="279"/>
      <c r="W72" s="279"/>
      <c r="X72" s="279"/>
      <c r="Y72" s="279"/>
      <c r="Z72" s="279"/>
      <c r="AA72" s="513"/>
      <c r="AB72" s="513"/>
      <c r="AC72" s="513"/>
      <c r="AD72" s="513"/>
    </row>
    <row r="73" spans="1:30" ht="18.75" customHeight="1" x14ac:dyDescent="0.2">
      <c r="A73" s="548"/>
      <c r="B73" s="423"/>
      <c r="C73" s="423"/>
      <c r="D73" s="306"/>
      <c r="E73" s="306"/>
      <c r="F73" s="306"/>
      <c r="G73" s="306"/>
      <c r="H73" s="306"/>
      <c r="I73" s="306"/>
      <c r="J73" s="306"/>
      <c r="K73" s="429"/>
      <c r="L73" s="429"/>
      <c r="M73" s="429"/>
      <c r="N73" s="549"/>
      <c r="O73" s="570"/>
      <c r="P73" s="570"/>
      <c r="R73" s="519"/>
      <c r="S73" s="519"/>
      <c r="T73" s="520"/>
      <c r="U73" s="279"/>
      <c r="V73" s="279"/>
      <c r="W73" s="279"/>
      <c r="X73" s="279"/>
      <c r="Y73" s="279"/>
      <c r="Z73" s="279"/>
      <c r="AA73" s="513"/>
      <c r="AB73" s="513"/>
      <c r="AC73" s="513"/>
      <c r="AD73" s="513"/>
    </row>
    <row r="74" spans="1:30" ht="17.25" customHeight="1" x14ac:dyDescent="0.2">
      <c r="A74" s="550" t="s">
        <v>372</v>
      </c>
      <c r="B74" s="320"/>
      <c r="C74" s="320"/>
      <c r="D74" s="306"/>
      <c r="E74" s="306"/>
      <c r="F74" s="306"/>
      <c r="G74" s="306"/>
      <c r="H74" s="306"/>
      <c r="I74" s="306"/>
      <c r="J74" s="306"/>
      <c r="K74" s="322"/>
      <c r="L74" s="322"/>
      <c r="M74" s="322"/>
      <c r="N74" s="551"/>
      <c r="O74" s="570"/>
      <c r="P74" s="570"/>
      <c r="Q74" s="424"/>
      <c r="R74" s="519"/>
      <c r="S74" s="519"/>
      <c r="T74" s="520"/>
      <c r="U74" s="279"/>
      <c r="V74" s="279"/>
      <c r="W74" s="279"/>
      <c r="X74" s="279"/>
      <c r="Y74" s="279"/>
      <c r="Z74" s="279"/>
      <c r="AA74" s="513"/>
      <c r="AB74" s="513"/>
      <c r="AC74" s="513"/>
      <c r="AD74" s="513"/>
    </row>
    <row r="75" spans="1:30" ht="17.25" customHeight="1" x14ac:dyDescent="0.2">
      <c r="A75" s="544" t="s">
        <v>468</v>
      </c>
      <c r="B75" s="425"/>
      <c r="C75" s="425"/>
      <c r="D75" s="306"/>
      <c r="E75" s="306"/>
      <c r="F75" s="306"/>
      <c r="H75" s="306"/>
      <c r="I75" s="833"/>
      <c r="J75" s="833"/>
      <c r="K75" s="833"/>
      <c r="L75" s="894">
        <v>0</v>
      </c>
      <c r="M75" s="895"/>
      <c r="N75" s="896"/>
      <c r="O75" s="570"/>
      <c r="P75" s="570"/>
      <c r="Q75" s="424"/>
      <c r="R75" s="519"/>
      <c r="S75" s="519"/>
      <c r="T75" s="520"/>
      <c r="U75" s="279"/>
      <c r="V75" s="279"/>
      <c r="W75" s="279"/>
      <c r="X75" s="279"/>
      <c r="Y75" s="279"/>
      <c r="Z75" s="279"/>
      <c r="AA75" s="513"/>
      <c r="AB75" s="513"/>
      <c r="AC75" s="513"/>
      <c r="AD75" s="513"/>
    </row>
    <row r="76" spans="1:30" ht="17.25" customHeight="1" x14ac:dyDescent="0.2">
      <c r="A76" s="544" t="s">
        <v>396</v>
      </c>
      <c r="B76" s="425"/>
      <c r="C76" s="425"/>
      <c r="D76" s="306"/>
      <c r="E76" s="306"/>
      <c r="F76" s="306"/>
      <c r="H76" s="306"/>
      <c r="I76" s="834" t="s">
        <v>442</v>
      </c>
      <c r="J76" s="834"/>
      <c r="K76" s="834"/>
      <c r="L76" s="306"/>
      <c r="M76" s="306"/>
      <c r="N76" s="552"/>
      <c r="O76" s="306"/>
      <c r="P76" s="570"/>
      <c r="Q76" s="424"/>
      <c r="R76" s="519"/>
      <c r="S76" s="519"/>
      <c r="T76" s="520"/>
      <c r="U76" s="279"/>
      <c r="V76" s="279"/>
      <c r="W76" s="279"/>
      <c r="X76" s="279"/>
      <c r="Y76" s="279"/>
      <c r="Z76" s="279"/>
      <c r="AA76" s="513"/>
      <c r="AB76" s="513"/>
      <c r="AC76" s="513"/>
      <c r="AD76" s="513"/>
    </row>
    <row r="77" spans="1:30" ht="17.25" customHeight="1" x14ac:dyDescent="0.2">
      <c r="A77" s="544" t="s">
        <v>465</v>
      </c>
      <c r="B77" s="321"/>
      <c r="C77" s="321"/>
      <c r="D77" s="306"/>
      <c r="E77" s="306"/>
      <c r="F77" s="306"/>
      <c r="H77" s="306"/>
      <c r="I77" s="841">
        <f>+FORMATO!H19</f>
        <v>0</v>
      </c>
      <c r="J77" s="833"/>
      <c r="K77" s="833"/>
      <c r="L77" s="306"/>
      <c r="M77" s="306"/>
      <c r="N77" s="552"/>
      <c r="O77" s="570"/>
      <c r="P77" s="570"/>
      <c r="Q77" s="424"/>
      <c r="R77" s="519"/>
      <c r="S77" s="519"/>
      <c r="T77" s="520"/>
      <c r="U77" s="279"/>
      <c r="V77" s="279"/>
      <c r="W77" s="279"/>
      <c r="X77" s="279"/>
      <c r="Y77" s="279"/>
      <c r="Z77" s="279"/>
      <c r="AA77" s="513"/>
      <c r="AB77" s="513"/>
      <c r="AC77" s="513"/>
      <c r="AD77" s="513"/>
    </row>
    <row r="78" spans="1:30" ht="17.25" customHeight="1" x14ac:dyDescent="0.2">
      <c r="A78" s="544" t="s">
        <v>397</v>
      </c>
      <c r="B78" s="425"/>
      <c r="C78" s="425"/>
      <c r="D78" s="306"/>
      <c r="E78" s="306"/>
      <c r="F78" s="306"/>
      <c r="H78" s="306"/>
      <c r="I78" s="834">
        <f>+FORMATO!H20</f>
        <v>0</v>
      </c>
      <c r="J78" s="834"/>
      <c r="K78" s="834"/>
      <c r="L78" s="306"/>
      <c r="M78" s="306"/>
      <c r="N78" s="552"/>
      <c r="O78" s="570"/>
      <c r="P78" s="570"/>
      <c r="Q78" s="424"/>
      <c r="R78" s="519"/>
      <c r="S78" s="519"/>
      <c r="T78" s="520"/>
      <c r="U78" s="279"/>
      <c r="V78" s="279"/>
      <c r="W78" s="279"/>
      <c r="X78" s="279"/>
      <c r="Y78" s="279"/>
      <c r="Z78" s="279"/>
      <c r="AA78" s="513"/>
      <c r="AB78" s="513"/>
      <c r="AC78" s="513"/>
      <c r="AD78" s="513"/>
    </row>
    <row r="79" spans="1:30" ht="17.25" customHeight="1" x14ac:dyDescent="0.2">
      <c r="A79" s="553"/>
      <c r="B79" s="554"/>
      <c r="C79" s="554"/>
      <c r="D79" s="555"/>
      <c r="E79" s="555"/>
      <c r="F79" s="555"/>
      <c r="G79" s="556"/>
      <c r="H79" s="555"/>
      <c r="I79" s="555"/>
      <c r="J79" s="555"/>
      <c r="K79" s="557"/>
      <c r="L79" s="557"/>
      <c r="M79" s="557"/>
      <c r="N79" s="558"/>
      <c r="O79" s="570"/>
      <c r="P79" s="570"/>
      <c r="Q79" s="424"/>
      <c r="R79" s="519"/>
      <c r="S79" s="519"/>
      <c r="T79" s="520"/>
      <c r="U79" s="279"/>
      <c r="V79" s="279"/>
      <c r="W79" s="279"/>
      <c r="X79" s="279"/>
      <c r="Y79" s="279"/>
      <c r="Z79" s="279"/>
      <c r="AA79" s="513"/>
      <c r="AB79" s="513"/>
      <c r="AC79" s="513"/>
      <c r="AD79" s="513"/>
    </row>
    <row r="80" spans="1:30" ht="21" customHeight="1" x14ac:dyDescent="0.2">
      <c r="A80" s="320" t="s">
        <v>386</v>
      </c>
      <c r="B80" s="320"/>
      <c r="C80" s="320"/>
      <c r="D80" s="155"/>
      <c r="E80" s="155"/>
      <c r="F80" s="155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4"/>
      <c r="R80" s="519"/>
      <c r="S80" s="519"/>
      <c r="T80" s="520"/>
      <c r="U80" s="279"/>
      <c r="V80" s="279"/>
      <c r="W80" s="279"/>
      <c r="X80" s="279"/>
      <c r="Y80" s="279"/>
      <c r="Z80" s="279"/>
      <c r="AA80" s="513"/>
      <c r="AB80" s="513"/>
      <c r="AC80" s="513"/>
      <c r="AD80" s="513"/>
    </row>
    <row r="81" spans="1:30" ht="15.75" customHeight="1" x14ac:dyDescent="0.2">
      <c r="A81" s="843" t="s">
        <v>568</v>
      </c>
      <c r="B81" s="843"/>
      <c r="C81" s="843"/>
      <c r="D81" s="843"/>
      <c r="E81" s="843"/>
      <c r="F81" s="843"/>
      <c r="G81" s="843"/>
      <c r="H81" s="843"/>
      <c r="I81" s="843"/>
      <c r="J81" s="843"/>
      <c r="K81" s="843"/>
      <c r="L81" s="843"/>
      <c r="M81" s="843"/>
      <c r="N81" s="843"/>
      <c r="O81" s="426"/>
      <c r="P81" s="426"/>
      <c r="Q81" s="424"/>
      <c r="R81" s="519"/>
      <c r="S81" s="519"/>
      <c r="T81" s="520"/>
      <c r="U81" s="279"/>
      <c r="V81" s="279"/>
      <c r="W81" s="279"/>
      <c r="X81" s="279"/>
      <c r="Y81" s="279"/>
      <c r="Z81" s="279"/>
      <c r="AA81" s="513"/>
      <c r="AB81" s="513"/>
      <c r="AC81" s="513"/>
      <c r="AD81" s="513"/>
    </row>
    <row r="82" spans="1:30" ht="35.450000000000003" customHeight="1" x14ac:dyDescent="0.2">
      <c r="A82" s="842" t="s">
        <v>569</v>
      </c>
      <c r="B82" s="842"/>
      <c r="C82" s="842"/>
      <c r="D82" s="842"/>
      <c r="E82" s="842"/>
      <c r="F82" s="842"/>
      <c r="G82" s="842"/>
      <c r="H82" s="842"/>
      <c r="I82" s="842"/>
      <c r="J82" s="842"/>
      <c r="K82" s="842"/>
      <c r="L82" s="842"/>
      <c r="M82" s="842"/>
      <c r="N82" s="842"/>
      <c r="Q82" s="424"/>
      <c r="R82" s="519"/>
      <c r="S82" s="519"/>
      <c r="T82" s="520"/>
      <c r="U82" s="279"/>
      <c r="V82" s="279"/>
      <c r="W82" s="279"/>
      <c r="X82" s="279"/>
      <c r="Y82" s="279"/>
      <c r="Z82" s="279"/>
      <c r="AA82" s="513"/>
      <c r="AB82" s="513"/>
      <c r="AC82" s="513"/>
      <c r="AD82" s="513"/>
    </row>
    <row r="83" spans="1:30" ht="15.6" customHeight="1" x14ac:dyDescent="0.2">
      <c r="A83" s="842" t="s">
        <v>570</v>
      </c>
      <c r="B83" s="842"/>
      <c r="C83" s="842"/>
      <c r="D83" s="842"/>
      <c r="E83" s="842"/>
      <c r="F83" s="842"/>
      <c r="G83" s="842"/>
      <c r="H83" s="842"/>
      <c r="I83" s="842"/>
      <c r="J83" s="842"/>
      <c r="K83" s="842"/>
      <c r="L83" s="842"/>
      <c r="M83" s="842"/>
      <c r="N83" s="842"/>
      <c r="O83" s="428"/>
      <c r="P83" s="428"/>
      <c r="AA83" s="513"/>
      <c r="AB83" s="513"/>
      <c r="AC83" s="513"/>
      <c r="AD83" s="513"/>
    </row>
    <row r="84" spans="1:30" ht="26.45" customHeight="1" x14ac:dyDescent="0.2">
      <c r="A84" s="842" t="s">
        <v>571</v>
      </c>
      <c r="B84" s="842"/>
      <c r="C84" s="842"/>
      <c r="D84" s="842"/>
      <c r="E84" s="842"/>
      <c r="F84" s="842"/>
      <c r="G84" s="842"/>
      <c r="H84" s="842"/>
      <c r="I84" s="842"/>
      <c r="J84" s="842"/>
      <c r="K84" s="842"/>
      <c r="L84" s="842"/>
      <c r="M84" s="842"/>
      <c r="N84" s="842"/>
      <c r="AA84" s="513"/>
      <c r="AB84" s="513"/>
      <c r="AC84" s="513"/>
      <c r="AD84" s="513"/>
    </row>
    <row r="85" spans="1:30" ht="25.9" customHeight="1" x14ac:dyDescent="0.2">
      <c r="A85" s="840" t="s">
        <v>572</v>
      </c>
      <c r="B85" s="840"/>
      <c r="C85" s="840"/>
      <c r="D85" s="840"/>
      <c r="E85" s="840"/>
      <c r="F85" s="840"/>
      <c r="G85" s="840"/>
      <c r="H85" s="840"/>
      <c r="I85" s="840"/>
      <c r="J85" s="840"/>
      <c r="K85" s="840"/>
      <c r="L85" s="840"/>
      <c r="M85" s="840"/>
      <c r="N85" s="840"/>
      <c r="AA85" s="513"/>
      <c r="AB85" s="513"/>
      <c r="AC85" s="513"/>
      <c r="AD85" s="513"/>
    </row>
    <row r="86" spans="1:30" ht="5.45" customHeight="1" x14ac:dyDescent="0.2">
      <c r="A86" s="427"/>
      <c r="B86" s="427"/>
      <c r="C86" s="427"/>
      <c r="D86" s="427"/>
      <c r="E86" s="427"/>
      <c r="F86" s="427"/>
      <c r="AA86" s="513"/>
      <c r="AB86" s="513"/>
      <c r="AC86" s="513"/>
      <c r="AD86" s="513"/>
    </row>
    <row r="87" spans="1:30" ht="15.95" customHeight="1" x14ac:dyDescent="0.2">
      <c r="A87" s="521" t="s">
        <v>387</v>
      </c>
      <c r="B87" s="521"/>
      <c r="C87" s="521"/>
      <c r="D87" s="427"/>
      <c r="E87" s="774"/>
      <c r="F87" s="775"/>
      <c r="G87" s="775"/>
      <c r="H87" s="775"/>
      <c r="I87" s="775"/>
      <c r="J87" s="775"/>
      <c r="K87" s="775"/>
      <c r="L87" s="775"/>
      <c r="M87" s="775"/>
      <c r="N87" s="775"/>
      <c r="AA87" s="513"/>
      <c r="AB87" s="513"/>
      <c r="AC87" s="513"/>
      <c r="AD87" s="513"/>
    </row>
    <row r="88" spans="1:30" ht="43.9" customHeight="1" x14ac:dyDescent="0.2">
      <c r="A88" s="427"/>
      <c r="H88" s="305"/>
      <c r="I88" s="305"/>
      <c r="J88" s="305"/>
      <c r="K88" s="305"/>
      <c r="L88" s="305"/>
      <c r="M88" s="305"/>
      <c r="N88" s="305"/>
      <c r="O88" s="592"/>
      <c r="P88" s="592"/>
      <c r="AA88" s="513"/>
      <c r="AB88" s="513"/>
      <c r="AC88" s="513"/>
      <c r="AD88" s="513"/>
    </row>
    <row r="89" spans="1:30" ht="28.15" customHeight="1" x14ac:dyDescent="0.2">
      <c r="A89" s="155"/>
      <c r="B89" s="155"/>
      <c r="C89" s="155"/>
      <c r="D89" s="155"/>
      <c r="E89" s="155"/>
      <c r="F89" s="155"/>
      <c r="G89" s="593"/>
      <c r="H89" s="593"/>
      <c r="I89" s="593"/>
      <c r="J89" s="593"/>
      <c r="K89" s="593"/>
      <c r="L89" s="593"/>
      <c r="M89" s="593"/>
      <c r="N89" s="522"/>
      <c r="P89" s="593"/>
      <c r="AA89" s="513"/>
      <c r="AB89" s="513"/>
      <c r="AC89" s="513"/>
      <c r="AD89" s="513"/>
    </row>
    <row r="90" spans="1:30" x14ac:dyDescent="0.2">
      <c r="A90" s="155"/>
      <c r="B90" s="155"/>
      <c r="C90" s="155"/>
      <c r="D90" s="155"/>
      <c r="E90" s="155"/>
      <c r="F90" s="155"/>
      <c r="G90" s="593"/>
      <c r="H90" s="593"/>
      <c r="I90" s="593"/>
      <c r="J90" s="593"/>
      <c r="K90" s="593"/>
      <c r="L90" s="593"/>
      <c r="M90" s="593"/>
      <c r="N90" s="522"/>
      <c r="P90" s="593"/>
      <c r="AA90" s="513"/>
      <c r="AB90" s="513"/>
      <c r="AC90" s="513"/>
      <c r="AD90" s="513"/>
    </row>
    <row r="91" spans="1:30" ht="12.75" customHeight="1" x14ac:dyDescent="0.2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</row>
    <row r="92" spans="1:30" x14ac:dyDescent="0.2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</row>
    <row r="93" spans="1:30" x14ac:dyDescent="0.2">
      <c r="A93" s="319" t="s">
        <v>230</v>
      </c>
      <c r="B93" s="319"/>
      <c r="C93" s="319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</row>
    <row r="94" spans="1:30" x14ac:dyDescent="0.2">
      <c r="A94" s="319" t="s">
        <v>573</v>
      </c>
      <c r="B94" s="319"/>
      <c r="C94" s="319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522" t="s">
        <v>388</v>
      </c>
    </row>
  </sheetData>
  <sheetProtection algorithmName="SHA-512" hashValue="si9YKf6lzK02//c2fwTL8KrjRlnURqHcXnN/4Q4Sc/5OLW7NoETnKBu47NnAwunXrtWXJH/mdN2Ux3mvT6+loQ==" saltValue="EXqimNx38ue+5mJjmY9JFA==" spinCount="100000" sheet="1" objects="1" scenarios="1"/>
  <protectedRanges>
    <protectedRange sqref="F11:F13 F16" name="Rango3_3_1_1_1_1_1_1_1_1"/>
    <protectedRange sqref="F10" name="Rango3_3_1_1_1_1_1_2_1"/>
  </protectedRanges>
  <dataConsolidate/>
  <mergeCells count="67">
    <mergeCell ref="L75:N75"/>
    <mergeCell ref="E27:H27"/>
    <mergeCell ref="I27:J27"/>
    <mergeCell ref="I28:J28"/>
    <mergeCell ref="I29:J29"/>
    <mergeCell ref="E28:H28"/>
    <mergeCell ref="E29:H29"/>
    <mergeCell ref="I32:J32"/>
    <mergeCell ref="E30:H30"/>
    <mergeCell ref="E34:H34"/>
    <mergeCell ref="E35:H35"/>
    <mergeCell ref="E36:H36"/>
    <mergeCell ref="I34:J34"/>
    <mergeCell ref="I35:J35"/>
    <mergeCell ref="I71:K71"/>
    <mergeCell ref="I37:J37"/>
    <mergeCell ref="Q41:T42"/>
    <mergeCell ref="Q43:Q44"/>
    <mergeCell ref="R43:R44"/>
    <mergeCell ref="Q45:Q47"/>
    <mergeCell ref="R45:R47"/>
    <mergeCell ref="X17:AA17"/>
    <mergeCell ref="K23:K24"/>
    <mergeCell ref="I24:J24"/>
    <mergeCell ref="I25:J25"/>
    <mergeCell ref="I26:J26"/>
    <mergeCell ref="E23:J23"/>
    <mergeCell ref="E24:H24"/>
    <mergeCell ref="E25:H25"/>
    <mergeCell ref="E26:H26"/>
    <mergeCell ref="I36:J36"/>
    <mergeCell ref="I33:J33"/>
    <mergeCell ref="I30:J30"/>
    <mergeCell ref="E31:H31"/>
    <mergeCell ref="I31:J31"/>
    <mergeCell ref="E32:H32"/>
    <mergeCell ref="E33:H33"/>
    <mergeCell ref="Q5:V5"/>
    <mergeCell ref="A7:N7"/>
    <mergeCell ref="Q23:R23"/>
    <mergeCell ref="A14:N14"/>
    <mergeCell ref="A15:N15"/>
    <mergeCell ref="A8:N8"/>
    <mergeCell ref="Q16:V16"/>
    <mergeCell ref="Q11:V11"/>
    <mergeCell ref="C10:K10"/>
    <mergeCell ref="C12:K12"/>
    <mergeCell ref="C11:K11"/>
    <mergeCell ref="C9:K9"/>
    <mergeCell ref="A85:N85"/>
    <mergeCell ref="I76:K76"/>
    <mergeCell ref="I77:K77"/>
    <mergeCell ref="I78:K78"/>
    <mergeCell ref="A83:N83"/>
    <mergeCell ref="A81:N81"/>
    <mergeCell ref="A82:N82"/>
    <mergeCell ref="A84:N84"/>
    <mergeCell ref="E37:H37"/>
    <mergeCell ref="E38:H38"/>
    <mergeCell ref="I75:K75"/>
    <mergeCell ref="I66:K66"/>
    <mergeCell ref="I67:K67"/>
    <mergeCell ref="I72:K72"/>
    <mergeCell ref="I68:K68"/>
    <mergeCell ref="I69:K69"/>
    <mergeCell ref="I70:K70"/>
    <mergeCell ref="I38:J38"/>
  </mergeCells>
  <phoneticPr fontId="12" type="noConversion"/>
  <conditionalFormatting sqref="AA24">
    <cfRule type="containsText" dxfId="0" priority="1" operator="containsText" text="no">
      <formula>NOT(ISERROR(SEARCH("no",AA24)))</formula>
    </cfRule>
  </conditionalFormatting>
  <dataValidations count="10">
    <dataValidation type="list" allowBlank="1" showInputMessage="1" showErrorMessage="1" sqref="R3" xr:uid="{00000000-0002-0000-0000-000000000000}">
      <formula1>"-, Fraccionada, Global"</formula1>
    </dataValidation>
    <dataValidation type="list" allowBlank="1" showInputMessage="1" showErrorMessage="1" sqref="R2" xr:uid="{00000000-0002-0000-0000-000001000000}">
      <formula1>"-, Método A, Método B"</formula1>
    </dataValidation>
    <dataValidation type="list" allowBlank="1" showInputMessage="1" showErrorMessage="1" sqref="M68:N68 M70:N70" xr:uid="{00000000-0002-0000-0000-000003000000}">
      <formula1>",SI,NO"</formula1>
    </dataValidation>
    <dataValidation type="list" allowBlank="1" showInputMessage="1" showErrorMessage="1" sqref="M67:N67 I67:K67" xr:uid="{00000000-0002-0000-0000-000004000000}">
      <formula1>"-, Humedo, Secado al aire, Secado al horno"</formula1>
    </dataValidation>
    <dataValidation type="list" allowBlank="1" showInputMessage="1" showErrorMessage="1" sqref="I76:K76" xr:uid="{00000000-0002-0000-0000-000005000000}">
      <formula1>"-, Alterada, Intacta"</formula1>
    </dataValidation>
    <dataValidation type="list" allowBlank="1" showInputMessage="1" showErrorMessage="1" sqref="I72:K72" xr:uid="{00000000-0002-0000-0000-000006000000}">
      <formula1>"-, Manual, Baño ultrasónico, Aparato de agitación"</formula1>
    </dataValidation>
    <dataValidation type="list" allowBlank="1" showInputMessage="1" showErrorMessage="1" sqref="I70:K70 I68:K68" xr:uid="{00000000-0002-0000-0000-000007000000}">
      <formula1>"-, Si, No"</formula1>
    </dataValidation>
    <dataValidation type="list" allowBlank="1" showInputMessage="1" showErrorMessage="1" sqref="V3" xr:uid="{00000000-0002-0000-0000-000008000000}">
      <formula1>"-, D.I.C,B.P.G, I.CH.A."</formula1>
    </dataValidation>
    <dataValidation type="list" allowBlank="1" showInputMessage="1" showErrorMessage="1" sqref="S4" xr:uid="{00000000-0002-0000-0000-000002000000}">
      <formula1>$Q$42:$Q$44</formula1>
    </dataValidation>
    <dataValidation type="list" allowBlank="1" showInputMessage="1" showErrorMessage="1" sqref="Z23" xr:uid="{92073FAB-D5AA-4343-964B-E032D3ADB596}">
      <formula1>$AC$7:$AC$14</formula1>
    </dataValidation>
  </dataValidations>
  <printOptions horizontalCentered="1"/>
  <pageMargins left="0" right="0" top="0.78740157480314965" bottom="0" header="0.11811023622047245" footer="0"/>
  <pageSetup paperSize="274" scale="89" orientation="portrait" r:id="rId1"/>
  <headerFooter scaleWithDoc="0">
    <oddHeader>&amp;C&amp;G</oddHeader>
  </headerFooter>
  <rowBreaks count="1" manualBreakCount="1">
    <brk id="63" max="13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1"/>
  <sheetViews>
    <sheetView topLeftCell="A211" zoomScale="90" zoomScaleNormal="90" workbookViewId="0">
      <selection activeCell="C232" sqref="C232"/>
    </sheetView>
  </sheetViews>
  <sheetFormatPr baseColWidth="10" defaultColWidth="11.42578125" defaultRowHeight="12.75" x14ac:dyDescent="0.2"/>
  <cols>
    <col min="1" max="1" width="24.140625" style="276" customWidth="1"/>
    <col min="2" max="2" width="11.5703125" style="276" bestFit="1" customWidth="1"/>
    <col min="3" max="3" width="11.5703125" style="276" customWidth="1"/>
    <col min="4" max="4" width="11.42578125" style="276"/>
    <col min="5" max="8" width="11.5703125" style="276" bestFit="1" customWidth="1"/>
    <col min="9" max="9" width="16.7109375" style="276" customWidth="1"/>
    <col min="10" max="10" width="11.5703125" style="276" bestFit="1" customWidth="1"/>
    <col min="11" max="11" width="15.5703125" style="276" customWidth="1"/>
    <col min="12" max="16384" width="11.42578125" style="276"/>
  </cols>
  <sheetData>
    <row r="1" spans="1:11" ht="12.75" customHeight="1" x14ac:dyDescent="0.2">
      <c r="A1" s="906"/>
      <c r="B1" s="907"/>
      <c r="C1" s="912" t="s">
        <v>321</v>
      </c>
      <c r="D1" s="913"/>
      <c r="E1" s="913"/>
      <c r="F1" s="913"/>
      <c r="G1" s="913"/>
      <c r="H1" s="913"/>
      <c r="I1" s="914"/>
      <c r="J1" s="342" t="s">
        <v>320</v>
      </c>
      <c r="K1" s="768" t="s">
        <v>319</v>
      </c>
    </row>
    <row r="2" spans="1:11" ht="12.75" customHeight="1" x14ac:dyDescent="0.2">
      <c r="A2" s="908"/>
      <c r="B2" s="909"/>
      <c r="C2" s="915"/>
      <c r="D2" s="916"/>
      <c r="E2" s="916"/>
      <c r="F2" s="916"/>
      <c r="G2" s="916"/>
      <c r="H2" s="916"/>
      <c r="I2" s="917"/>
      <c r="J2" s="342" t="s">
        <v>318</v>
      </c>
      <c r="K2" s="769">
        <v>3</v>
      </c>
    </row>
    <row r="3" spans="1:11" ht="12.75" customHeight="1" x14ac:dyDescent="0.2">
      <c r="A3" s="908"/>
      <c r="B3" s="909"/>
      <c r="C3" s="915"/>
      <c r="D3" s="916"/>
      <c r="E3" s="916"/>
      <c r="F3" s="916"/>
      <c r="G3" s="916"/>
      <c r="H3" s="916"/>
      <c r="I3" s="917"/>
      <c r="J3" s="342" t="s">
        <v>317</v>
      </c>
      <c r="K3" s="770">
        <v>46146</v>
      </c>
    </row>
    <row r="4" spans="1:11" ht="12.75" customHeight="1" x14ac:dyDescent="0.2">
      <c r="A4" s="910"/>
      <c r="B4" s="911"/>
      <c r="C4" s="918"/>
      <c r="D4" s="919"/>
      <c r="E4" s="919"/>
      <c r="F4" s="919"/>
      <c r="G4" s="919"/>
      <c r="H4" s="919"/>
      <c r="I4" s="920"/>
      <c r="J4" s="342" t="s">
        <v>316</v>
      </c>
      <c r="K4" s="768" t="s">
        <v>315</v>
      </c>
    </row>
    <row r="6" spans="1:11" ht="20.25" customHeight="1" x14ac:dyDescent="0.2">
      <c r="A6" s="343" t="s">
        <v>314</v>
      </c>
      <c r="B6" s="339" t="s">
        <v>250</v>
      </c>
      <c r="C6" s="340"/>
      <c r="D6" s="341"/>
      <c r="E6" s="341"/>
      <c r="F6" s="341"/>
      <c r="G6" s="278"/>
      <c r="H6" s="278"/>
      <c r="I6" s="278"/>
      <c r="J6" s="278"/>
      <c r="K6" s="277"/>
    </row>
    <row r="7" spans="1:11" ht="20.25" customHeight="1" x14ac:dyDescent="0.2">
      <c r="A7" s="343" t="s">
        <v>313</v>
      </c>
      <c r="B7" s="339" t="s">
        <v>248</v>
      </c>
      <c r="C7" s="340"/>
      <c r="D7" s="341"/>
      <c r="E7" s="341"/>
      <c r="F7" s="341"/>
      <c r="G7" s="278"/>
      <c r="H7" s="278"/>
      <c r="I7" s="278"/>
      <c r="J7" s="278"/>
      <c r="K7" s="277"/>
    </row>
    <row r="8" spans="1:11" ht="20.25" customHeight="1" x14ac:dyDescent="0.2">
      <c r="A8" s="343" t="s">
        <v>312</v>
      </c>
      <c r="B8" s="339" t="s">
        <v>311</v>
      </c>
      <c r="C8" s="340"/>
      <c r="D8" s="341"/>
      <c r="E8" s="341"/>
      <c r="F8" s="341"/>
      <c r="G8" s="278"/>
      <c r="H8" s="278"/>
      <c r="I8" s="278"/>
      <c r="J8" s="278"/>
      <c r="K8" s="277"/>
    </row>
    <row r="9" spans="1:11" ht="20.25" customHeight="1" x14ac:dyDescent="0.2">
      <c r="A9" s="346" t="s">
        <v>566</v>
      </c>
      <c r="B9" s="339" t="s">
        <v>345</v>
      </c>
      <c r="C9" s="340"/>
      <c r="D9" s="341"/>
      <c r="E9" s="341"/>
      <c r="F9" s="341"/>
      <c r="G9" s="278"/>
      <c r="H9" s="278"/>
      <c r="I9" s="278"/>
      <c r="J9" s="278"/>
      <c r="K9" s="277"/>
    </row>
    <row r="11" spans="1:11" ht="15" customHeight="1" x14ac:dyDescent="0.2">
      <c r="A11" s="143" t="s">
        <v>567</v>
      </c>
      <c r="B11" s="401"/>
      <c r="C11" s="401"/>
      <c r="D11" s="401"/>
      <c r="E11" s="401"/>
      <c r="F11" s="401"/>
      <c r="G11" s="401"/>
      <c r="H11" s="401"/>
    </row>
    <row r="12" spans="1:11" x14ac:dyDescent="0.2">
      <c r="A12" s="143"/>
      <c r="B12" s="401"/>
      <c r="C12" s="401"/>
      <c r="D12" s="401"/>
      <c r="E12" s="401"/>
      <c r="F12" s="401"/>
      <c r="G12" s="401"/>
      <c r="H12" s="401"/>
    </row>
    <row r="13" spans="1:11" ht="15" customHeight="1" x14ac:dyDescent="0.2">
      <c r="A13" s="615" t="s">
        <v>376</v>
      </c>
      <c r="B13" s="612"/>
      <c r="C13" s="613"/>
      <c r="D13" s="401"/>
      <c r="E13" s="401"/>
      <c r="F13" s="615" t="s">
        <v>377</v>
      </c>
      <c r="G13" s="401"/>
      <c r="H13" s="401"/>
    </row>
    <row r="14" spans="1:11" x14ac:dyDescent="0.2">
      <c r="A14" s="613"/>
      <c r="B14" s="612"/>
      <c r="C14" s="613"/>
      <c r="D14" s="401"/>
      <c r="E14" s="401"/>
      <c r="F14" s="401"/>
      <c r="G14" s="401"/>
      <c r="H14" s="401"/>
    </row>
    <row r="15" spans="1:11" ht="15" customHeight="1" x14ac:dyDescent="0.2">
      <c r="A15" s="614" t="s">
        <v>444</v>
      </c>
      <c r="B15" s="612"/>
      <c r="C15" s="613"/>
      <c r="D15" s="401"/>
      <c r="E15" s="401"/>
      <c r="F15" s="401"/>
      <c r="G15" s="401"/>
      <c r="H15" s="401"/>
    </row>
    <row r="16" spans="1:11" ht="15" customHeight="1" x14ac:dyDescent="0.2">
      <c r="A16" s="614" t="s">
        <v>445</v>
      </c>
      <c r="B16" s="612"/>
      <c r="C16" s="613"/>
      <c r="D16" s="401"/>
      <c r="E16" s="401"/>
      <c r="F16" s="401"/>
      <c r="G16" s="595"/>
      <c r="H16" s="401"/>
    </row>
    <row r="17" spans="1:8" ht="15" customHeight="1" x14ac:dyDescent="0.2">
      <c r="A17" s="614" t="s">
        <v>446</v>
      </c>
      <c r="B17" s="612"/>
      <c r="C17" s="613"/>
      <c r="D17" s="401"/>
      <c r="E17" s="401"/>
      <c r="F17" s="401"/>
      <c r="G17" s="595"/>
      <c r="H17" s="401"/>
    </row>
    <row r="18" spans="1:8" ht="15" customHeight="1" x14ac:dyDescent="0.2">
      <c r="A18" s="401"/>
      <c r="B18" s="401"/>
      <c r="C18" s="401"/>
      <c r="D18" s="401"/>
      <c r="E18" s="401"/>
      <c r="F18" s="401"/>
      <c r="G18" s="401"/>
      <c r="H18" s="401"/>
    </row>
    <row r="19" spans="1:8" ht="15" customHeight="1" x14ac:dyDescent="0.2">
      <c r="A19" s="615" t="s">
        <v>378</v>
      </c>
      <c r="B19" s="401"/>
      <c r="C19" s="401"/>
      <c r="D19" s="401"/>
      <c r="E19" s="401"/>
      <c r="F19" s="401"/>
      <c r="G19" s="595"/>
      <c r="H19" s="401"/>
    </row>
    <row r="20" spans="1:8" ht="15" customHeight="1" x14ac:dyDescent="0.2">
      <c r="A20" s="401"/>
      <c r="B20" s="401"/>
      <c r="C20" s="401"/>
      <c r="D20" s="401"/>
      <c r="E20" s="401"/>
      <c r="F20" s="401"/>
      <c r="G20" s="401"/>
      <c r="H20" s="401"/>
    </row>
    <row r="21" spans="1:8" ht="15" customHeight="1" x14ac:dyDescent="0.2">
      <c r="A21" s="616" t="s">
        <v>379</v>
      </c>
      <c r="B21" s="401"/>
      <c r="C21" s="401"/>
      <c r="D21" s="401"/>
      <c r="E21" s="401"/>
      <c r="F21" s="401"/>
      <c r="G21" s="595"/>
      <c r="H21" s="401"/>
    </row>
    <row r="22" spans="1:8" ht="15" customHeight="1" x14ac:dyDescent="0.2">
      <c r="A22" s="616" t="s">
        <v>380</v>
      </c>
      <c r="B22" s="401"/>
      <c r="C22" s="401"/>
      <c r="D22" s="401"/>
      <c r="E22" s="401"/>
      <c r="F22" s="401"/>
      <c r="G22" s="595"/>
      <c r="H22" s="401"/>
    </row>
    <row r="23" spans="1:8" ht="15" customHeight="1" x14ac:dyDescent="0.2">
      <c r="A23" s="401"/>
      <c r="B23" s="401"/>
      <c r="C23" s="401"/>
      <c r="D23" s="401"/>
      <c r="E23" s="401"/>
      <c r="F23" s="401"/>
      <c r="G23" s="401"/>
      <c r="H23" s="401"/>
    </row>
    <row r="24" spans="1:8" ht="15" customHeight="1" x14ac:dyDescent="0.2">
      <c r="A24" s="143" t="s">
        <v>381</v>
      </c>
      <c r="B24" s="401"/>
      <c r="C24" s="401"/>
      <c r="D24" s="401"/>
      <c r="E24" s="401"/>
      <c r="F24" s="401"/>
      <c r="G24" s="401"/>
      <c r="H24" s="401"/>
    </row>
    <row r="25" spans="1:8" x14ac:dyDescent="0.2">
      <c r="A25" s="401"/>
      <c r="B25" s="401"/>
      <c r="C25" s="401"/>
      <c r="D25" s="401"/>
      <c r="E25" s="401"/>
      <c r="F25" s="401"/>
      <c r="G25" s="401"/>
      <c r="H25" s="401"/>
    </row>
    <row r="26" spans="1:8" x14ac:dyDescent="0.2">
      <c r="A26" s="401"/>
      <c r="B26" s="401"/>
      <c r="C26" s="401"/>
      <c r="D26" s="401"/>
      <c r="E26" s="401"/>
      <c r="F26" s="401"/>
      <c r="G26" s="401"/>
      <c r="H26" s="401"/>
    </row>
    <row r="27" spans="1:8" ht="35.25" customHeight="1" x14ac:dyDescent="0.2">
      <c r="A27" s="401"/>
      <c r="B27" s="401"/>
      <c r="C27" s="401"/>
      <c r="D27" s="401"/>
      <c r="E27" s="401"/>
      <c r="F27" s="401"/>
      <c r="G27" s="401"/>
      <c r="H27" s="401"/>
    </row>
    <row r="28" spans="1:8" ht="25.5" customHeight="1" x14ac:dyDescent="0.2">
      <c r="A28" s="401"/>
      <c r="B28" s="401"/>
      <c r="C28" s="401"/>
      <c r="D28" s="401"/>
      <c r="E28" s="401"/>
      <c r="F28" s="401"/>
      <c r="G28" s="401"/>
      <c r="H28" s="401"/>
    </row>
    <row r="29" spans="1:8" ht="16.5" customHeight="1" x14ac:dyDescent="0.2">
      <c r="A29" s="401"/>
      <c r="B29" s="401"/>
      <c r="C29" s="401"/>
      <c r="D29" s="401"/>
      <c r="E29" s="401"/>
      <c r="F29" s="401"/>
      <c r="G29" s="401"/>
      <c r="H29" s="401"/>
    </row>
    <row r="30" spans="1:8" ht="16.5" customHeight="1" x14ac:dyDescent="0.2">
      <c r="A30" s="401"/>
      <c r="B30" s="401"/>
      <c r="C30" s="401"/>
      <c r="D30" s="401"/>
      <c r="E30" s="401"/>
      <c r="F30" s="595"/>
      <c r="G30" s="401"/>
      <c r="H30" s="401"/>
    </row>
    <row r="31" spans="1:8" ht="16.5" customHeight="1" x14ac:dyDescent="0.2">
      <c r="A31" s="401"/>
      <c r="B31" s="401"/>
      <c r="C31" s="401"/>
      <c r="D31" s="401"/>
      <c r="E31" s="401"/>
      <c r="F31" s="401"/>
      <c r="G31" s="401"/>
      <c r="H31" s="401"/>
    </row>
    <row r="32" spans="1:8" ht="16.5" customHeight="1" x14ac:dyDescent="0.2">
      <c r="A32" s="401"/>
      <c r="B32" s="401"/>
      <c r="C32" s="401"/>
      <c r="D32" s="401"/>
      <c r="E32" s="401"/>
      <c r="F32" s="401"/>
      <c r="G32" s="401"/>
      <c r="H32" s="401"/>
    </row>
    <row r="34" spans="1:11" ht="14.25" x14ac:dyDescent="0.2">
      <c r="A34" s="903" t="s">
        <v>309</v>
      </c>
      <c r="B34" s="904"/>
      <c r="C34" s="904"/>
      <c r="D34" s="904"/>
      <c r="E34" s="904"/>
      <c r="F34" s="904"/>
      <c r="G34" s="904"/>
      <c r="H34" s="904"/>
      <c r="I34" s="904"/>
      <c r="J34" s="904"/>
      <c r="K34" s="905"/>
    </row>
    <row r="35" spans="1:11" ht="39.75" x14ac:dyDescent="0.2">
      <c r="A35" s="347" t="s">
        <v>308</v>
      </c>
      <c r="B35" s="347" t="s">
        <v>307</v>
      </c>
      <c r="C35" s="347" t="s">
        <v>443</v>
      </c>
      <c r="D35" s="347" t="s">
        <v>306</v>
      </c>
      <c r="E35" s="347" t="s">
        <v>360</v>
      </c>
      <c r="F35" s="347" t="s">
        <v>305</v>
      </c>
      <c r="G35" s="347" t="s">
        <v>361</v>
      </c>
      <c r="H35" s="347" t="s">
        <v>304</v>
      </c>
      <c r="I35" s="347" t="s">
        <v>303</v>
      </c>
      <c r="J35" s="344"/>
    </row>
    <row r="36" spans="1:11" ht="13.5" thickBot="1" x14ac:dyDescent="0.25">
      <c r="A36" s="344"/>
      <c r="B36" s="344"/>
      <c r="C36" s="344"/>
      <c r="D36" s="344"/>
      <c r="E36" s="344"/>
      <c r="F36" s="344"/>
      <c r="G36" s="344"/>
      <c r="H36" s="344"/>
      <c r="I36" s="344"/>
      <c r="J36" s="344"/>
    </row>
    <row r="37" spans="1:11" ht="22.5" customHeight="1" thickBot="1" x14ac:dyDescent="0.25">
      <c r="A37" s="378" t="s">
        <v>302</v>
      </c>
      <c r="B37" s="596" t="e">
        <f>+(1-(B38/B42))*100</f>
        <v>#DIV/0!</v>
      </c>
      <c r="C37" s="379"/>
      <c r="D37" s="380"/>
      <c r="E37" s="380"/>
      <c r="F37" s="381"/>
      <c r="G37" s="382"/>
      <c r="H37" s="452" t="e">
        <f>SQRT(G38*G38+(G46*G46)+(G42*G42)+(G48*G48))</f>
        <v>#DIV/0!</v>
      </c>
      <c r="I37" s="383" t="str">
        <f>IF(B38=0,"---",(H37*2))</f>
        <v>---</v>
      </c>
      <c r="J37" s="344"/>
    </row>
    <row r="38" spans="1:11" ht="22.5" customHeight="1" x14ac:dyDescent="0.2">
      <c r="A38" s="453" t="s">
        <v>402</v>
      </c>
      <c r="B38" s="374">
        <f>Balanza!D29</f>
        <v>0</v>
      </c>
      <c r="C38" s="374"/>
      <c r="D38" s="375" t="s">
        <v>262</v>
      </c>
      <c r="E38" s="376">
        <f>SQRT((E39*E39)+(E40*E40)+(E41*E41))</f>
        <v>7.0663521942607221E-2</v>
      </c>
      <c r="F38" s="451" t="e">
        <f>(100/B42)</f>
        <v>#DIV/0!</v>
      </c>
      <c r="G38" s="377" t="e">
        <f>(E38*F38)</f>
        <v>#DIV/0!</v>
      </c>
      <c r="H38" s="345"/>
      <c r="I38" s="345"/>
      <c r="J38" s="344"/>
    </row>
    <row r="39" spans="1:11" ht="22.5" customHeight="1" x14ac:dyDescent="0.2">
      <c r="A39" s="354" t="s">
        <v>261</v>
      </c>
      <c r="B39" s="355"/>
      <c r="C39" s="356">
        <f>Balanza!$E$29</f>
        <v>0</v>
      </c>
      <c r="D39" s="357" t="s">
        <v>260</v>
      </c>
      <c r="E39" s="358">
        <f>C39</f>
        <v>0</v>
      </c>
      <c r="F39" s="359"/>
      <c r="G39" s="360"/>
      <c r="H39" s="344"/>
      <c r="I39" s="344"/>
      <c r="J39" s="344"/>
    </row>
    <row r="40" spans="1:11" ht="22.5" customHeight="1" x14ac:dyDescent="0.2">
      <c r="A40" s="354" t="s">
        <v>259</v>
      </c>
      <c r="B40" s="355"/>
      <c r="C40" s="361">
        <f>2*(SQRT(Balanza!$B$8+Balanza!$C$8*(POWER(B38,2))))</f>
        <v>0.12899612397277679</v>
      </c>
      <c r="D40" s="357" t="s">
        <v>258</v>
      </c>
      <c r="E40" s="358">
        <f>C40/2</f>
        <v>6.4498061986388397E-2</v>
      </c>
      <c r="F40" s="359"/>
      <c r="G40" s="360"/>
      <c r="H40" s="344"/>
      <c r="I40" s="459" t="str">
        <f>A38</f>
        <v>M ret acumulado 3 in (g)</v>
      </c>
      <c r="J40" s="460" t="e">
        <f>G38</f>
        <v>#DIV/0!</v>
      </c>
      <c r="K40" s="461" t="e">
        <f>+J40/$J$44</f>
        <v>#DIV/0!</v>
      </c>
    </row>
    <row r="41" spans="1:11" ht="22.5" customHeight="1" x14ac:dyDescent="0.2">
      <c r="A41" s="354" t="s">
        <v>257</v>
      </c>
      <c r="B41" s="355"/>
      <c r="C41" s="356">
        <f>Balanza!$B$10</f>
        <v>0.1</v>
      </c>
      <c r="D41" s="357" t="s">
        <v>256</v>
      </c>
      <c r="E41" s="358">
        <f>(C41/SQRT(3)/2)</f>
        <v>2.8867513459481291E-2</v>
      </c>
      <c r="F41" s="359"/>
      <c r="G41" s="360"/>
      <c r="H41" s="344"/>
      <c r="I41" s="459" t="str">
        <f>A46</f>
        <v>Abertura de Tamiz  3 in (mm)</v>
      </c>
      <c r="J41" s="460">
        <f>G46</f>
        <v>8.9999999999999993E-3</v>
      </c>
      <c r="K41" s="461" t="e">
        <f t="shared" ref="K41:K44" si="0">+J41/$J$44</f>
        <v>#DIV/0!</v>
      </c>
    </row>
    <row r="42" spans="1:11" ht="22.5" customHeight="1" x14ac:dyDescent="0.2">
      <c r="A42" s="348" t="s">
        <v>263</v>
      </c>
      <c r="B42" s="362" t="b">
        <f>Balanza!$C$25</f>
        <v>0</v>
      </c>
      <c r="C42" s="362"/>
      <c r="D42" s="350" t="s">
        <v>262</v>
      </c>
      <c r="E42" s="351">
        <f>SQRT((E43*E43)+(E44*E44)+(E45*E45))</f>
        <v>7.0663521942607221E-2</v>
      </c>
      <c r="F42" s="451" t="e">
        <f>(100*B38)/POWER(B42,2)</f>
        <v>#DIV/0!</v>
      </c>
      <c r="G42" s="353" t="e">
        <f>(E42*F42)</f>
        <v>#DIV/0!</v>
      </c>
      <c r="H42" s="344"/>
      <c r="I42" s="459" t="str">
        <f>A42</f>
        <v>M total (g)</v>
      </c>
      <c r="J42" s="460" t="e">
        <f>G42</f>
        <v>#DIV/0!</v>
      </c>
      <c r="K42" s="461" t="e">
        <f t="shared" si="0"/>
        <v>#DIV/0!</v>
      </c>
    </row>
    <row r="43" spans="1:11" ht="22.5" customHeight="1" x14ac:dyDescent="0.2">
      <c r="A43" s="354" t="s">
        <v>261</v>
      </c>
      <c r="B43" s="355"/>
      <c r="C43" s="356">
        <f>Balanza!$D$25</f>
        <v>0</v>
      </c>
      <c r="D43" s="357" t="s">
        <v>260</v>
      </c>
      <c r="E43" s="358">
        <f>C43</f>
        <v>0</v>
      </c>
      <c r="F43" s="363"/>
      <c r="G43" s="364"/>
      <c r="H43" s="344"/>
      <c r="I43" s="459" t="str">
        <f>A48</f>
        <v>Factor de presición 3 in</v>
      </c>
      <c r="J43" s="462">
        <f>G48</f>
        <v>0</v>
      </c>
      <c r="K43" s="461" t="e">
        <f t="shared" si="0"/>
        <v>#DIV/0!</v>
      </c>
    </row>
    <row r="44" spans="1:11" ht="22.5" customHeight="1" x14ac:dyDescent="0.2">
      <c r="A44" s="354" t="s">
        <v>259</v>
      </c>
      <c r="B44" s="355"/>
      <c r="C44" s="361">
        <f>2*(SQRT(Balanza!$B$8+Balanza!$C$8*(POWER(B42,2))))</f>
        <v>0.12899612397277679</v>
      </c>
      <c r="D44" s="357" t="s">
        <v>258</v>
      </c>
      <c r="E44" s="358">
        <f>C44/2</f>
        <v>6.4498061986388397E-2</v>
      </c>
      <c r="F44" s="363"/>
      <c r="G44" s="364"/>
      <c r="H44" s="344"/>
      <c r="I44" s="459"/>
      <c r="J44" s="460" t="e">
        <f>SUM(J40:J43)</f>
        <v>#DIV/0!</v>
      </c>
      <c r="K44" s="461" t="e">
        <f t="shared" si="0"/>
        <v>#DIV/0!</v>
      </c>
    </row>
    <row r="45" spans="1:11" ht="22.5" customHeight="1" x14ac:dyDescent="0.2">
      <c r="A45" s="354" t="s">
        <v>257</v>
      </c>
      <c r="B45" s="355"/>
      <c r="C45" s="356">
        <f>Balanza!$B$10</f>
        <v>0.1</v>
      </c>
      <c r="D45" s="357" t="s">
        <v>256</v>
      </c>
      <c r="E45" s="358">
        <f>(C45/SQRT(3)/2)</f>
        <v>2.8867513459481291E-2</v>
      </c>
      <c r="F45" s="363"/>
      <c r="G45" s="364"/>
      <c r="H45" s="344"/>
      <c r="I45" s="455"/>
      <c r="J45" s="456"/>
    </row>
    <row r="46" spans="1:11" ht="22.5" customHeight="1" x14ac:dyDescent="0.2">
      <c r="A46" s="348" t="s">
        <v>301</v>
      </c>
      <c r="B46" s="349">
        <v>75</v>
      </c>
      <c r="C46" s="349"/>
      <c r="D46" s="350" t="s">
        <v>262</v>
      </c>
      <c r="E46" s="351">
        <f>SQRT(((E47*E47)))</f>
        <v>8.9999999999999993E-3</v>
      </c>
      <c r="F46" s="352">
        <v>1</v>
      </c>
      <c r="G46" s="353">
        <f>(E46*F46)</f>
        <v>8.9999999999999993E-3</v>
      </c>
      <c r="H46" s="344"/>
    </row>
    <row r="47" spans="1:11" ht="22.5" customHeight="1" x14ac:dyDescent="0.2">
      <c r="A47" s="354" t="s">
        <v>259</v>
      </c>
      <c r="B47" s="355"/>
      <c r="C47" s="366">
        <f>Balanza!K28</f>
        <v>1.7999999999999999E-2</v>
      </c>
      <c r="D47" s="357" t="s">
        <v>258</v>
      </c>
      <c r="E47" s="358">
        <f>C47/2</f>
        <v>8.9999999999999993E-3</v>
      </c>
      <c r="F47" s="363"/>
      <c r="G47" s="364"/>
      <c r="H47" s="345"/>
    </row>
    <row r="48" spans="1:11" ht="22.5" customHeight="1" thickBot="1" x14ac:dyDescent="0.25">
      <c r="A48" s="367" t="s">
        <v>300</v>
      </c>
      <c r="B48" s="597">
        <f>+Balanza!B50</f>
        <v>0</v>
      </c>
      <c r="C48" s="368"/>
      <c r="D48" s="369" t="s">
        <v>254</v>
      </c>
      <c r="E48" s="370">
        <f>B48/SQRT(1)</f>
        <v>0</v>
      </c>
      <c r="F48" s="371">
        <v>1</v>
      </c>
      <c r="G48" s="372">
        <f>+F48*E48</f>
        <v>0</v>
      </c>
      <c r="H48" s="345"/>
      <c r="I48" s="344"/>
      <c r="J48" s="344"/>
    </row>
    <row r="49" spans="1:11" ht="22.5" customHeight="1" thickBot="1" x14ac:dyDescent="0.25"/>
    <row r="50" spans="1:11" ht="22.5" customHeight="1" thickBot="1" x14ac:dyDescent="0.25">
      <c r="A50" s="378" t="s">
        <v>299</v>
      </c>
      <c r="B50" s="596" t="e">
        <f>+(1-(B51/B55))*100</f>
        <v>#DIV/0!</v>
      </c>
      <c r="C50" s="379"/>
      <c r="D50" s="380"/>
      <c r="E50" s="380"/>
      <c r="F50" s="381"/>
      <c r="G50" s="382"/>
      <c r="H50" s="452" t="e">
        <f>SQRT(G51*G51+(G59*G59)+(G55*G55)+(G61*G61))</f>
        <v>#DIV/0!</v>
      </c>
      <c r="I50" s="383" t="str">
        <f>IF(B51=0,"---",(H50*2))</f>
        <v>---</v>
      </c>
      <c r="J50" s="344"/>
    </row>
    <row r="51" spans="1:11" ht="22.5" customHeight="1" x14ac:dyDescent="0.2">
      <c r="A51" s="450" t="s">
        <v>403</v>
      </c>
      <c r="B51" s="374">
        <f>Balanza!D30</f>
        <v>0</v>
      </c>
      <c r="C51" s="374"/>
      <c r="D51" s="375" t="s">
        <v>262</v>
      </c>
      <c r="E51" s="376">
        <f>SQRT((E52*E52)+(E53*E53)+(E54*E54))</f>
        <v>7.0663521942607221E-2</v>
      </c>
      <c r="F51" s="451" t="e">
        <f>(100/B55)</f>
        <v>#DIV/0!</v>
      </c>
      <c r="G51" s="377" t="e">
        <f>(E51*F51)</f>
        <v>#DIV/0!</v>
      </c>
      <c r="H51" s="345"/>
      <c r="I51" s="345"/>
      <c r="J51" s="344"/>
    </row>
    <row r="52" spans="1:11" ht="22.5" customHeight="1" x14ac:dyDescent="0.2">
      <c r="A52" s="354" t="s">
        <v>261</v>
      </c>
      <c r="B52" s="355"/>
      <c r="C52" s="356">
        <f>Balanza!E30</f>
        <v>0</v>
      </c>
      <c r="D52" s="357" t="s">
        <v>260</v>
      </c>
      <c r="E52" s="358">
        <f>C52</f>
        <v>0</v>
      </c>
      <c r="F52" s="359"/>
      <c r="G52" s="360"/>
      <c r="H52" s="344"/>
      <c r="I52" s="344"/>
      <c r="J52" s="344"/>
    </row>
    <row r="53" spans="1:11" ht="22.5" customHeight="1" x14ac:dyDescent="0.2">
      <c r="A53" s="354" t="s">
        <v>259</v>
      </c>
      <c r="B53" s="355"/>
      <c r="C53" s="361">
        <f>2*(SQRT(Balanza!$B$8+Balanza!$C$8*(POWER(B51,2))))</f>
        <v>0.12899612397277679</v>
      </c>
      <c r="D53" s="357" t="s">
        <v>258</v>
      </c>
      <c r="E53" s="358">
        <f>C53/2</f>
        <v>6.4498061986388397E-2</v>
      </c>
      <c r="F53" s="359"/>
      <c r="G53" s="360"/>
      <c r="H53" s="344"/>
      <c r="I53" s="459" t="str">
        <f>A51</f>
        <v>M ret acumulado 2 in (g)</v>
      </c>
      <c r="J53" s="460" t="e">
        <f>G51</f>
        <v>#DIV/0!</v>
      </c>
      <c r="K53" s="461" t="e">
        <f>+J53/$J$57</f>
        <v>#DIV/0!</v>
      </c>
    </row>
    <row r="54" spans="1:11" ht="22.5" customHeight="1" x14ac:dyDescent="0.2">
      <c r="A54" s="354" t="s">
        <v>257</v>
      </c>
      <c r="B54" s="355"/>
      <c r="C54" s="356">
        <f>Balanza!$B$10</f>
        <v>0.1</v>
      </c>
      <c r="D54" s="357" t="s">
        <v>256</v>
      </c>
      <c r="E54" s="358">
        <f>(C54/SQRT(3)/2)</f>
        <v>2.8867513459481291E-2</v>
      </c>
      <c r="F54" s="359"/>
      <c r="G54" s="360"/>
      <c r="H54" s="344"/>
      <c r="I54" s="459" t="str">
        <f>A59</f>
        <v>Abertura de Tamiz  2 in (mm)</v>
      </c>
      <c r="J54" s="460">
        <f>G59</f>
        <v>8.9999999999999993E-3</v>
      </c>
      <c r="K54" s="461" t="e">
        <f t="shared" ref="K54:K57" si="1">+J54/$J$57</f>
        <v>#DIV/0!</v>
      </c>
    </row>
    <row r="55" spans="1:11" ht="22.5" customHeight="1" x14ac:dyDescent="0.2">
      <c r="A55" s="348" t="s">
        <v>263</v>
      </c>
      <c r="B55" s="362" t="b">
        <f>Balanza!$C$25</f>
        <v>0</v>
      </c>
      <c r="C55" s="362"/>
      <c r="D55" s="350" t="s">
        <v>262</v>
      </c>
      <c r="E55" s="351">
        <f>SQRT((E56*E56)+(E57*E57)+(E58*E58))</f>
        <v>7.0663521942607221E-2</v>
      </c>
      <c r="F55" s="451" t="e">
        <f>(100*B51)/POWER(B55,2)</f>
        <v>#DIV/0!</v>
      </c>
      <c r="G55" s="353" t="e">
        <f>(E55*F55)</f>
        <v>#DIV/0!</v>
      </c>
      <c r="H55" s="344"/>
      <c r="I55" s="459" t="str">
        <f>A55</f>
        <v>M total (g)</v>
      </c>
      <c r="J55" s="460" t="e">
        <f>G55</f>
        <v>#DIV/0!</v>
      </c>
      <c r="K55" s="461" t="e">
        <f t="shared" si="1"/>
        <v>#DIV/0!</v>
      </c>
    </row>
    <row r="56" spans="1:11" ht="22.5" customHeight="1" x14ac:dyDescent="0.2">
      <c r="A56" s="354" t="s">
        <v>261</v>
      </c>
      <c r="B56" s="355"/>
      <c r="C56" s="356">
        <f>Balanza!$D$25</f>
        <v>0</v>
      </c>
      <c r="D56" s="357" t="s">
        <v>260</v>
      </c>
      <c r="E56" s="358">
        <f>C56</f>
        <v>0</v>
      </c>
      <c r="F56" s="363"/>
      <c r="G56" s="364"/>
      <c r="H56" s="344"/>
      <c r="I56" s="459" t="str">
        <f>A61</f>
        <v>Factor de presición 2 in</v>
      </c>
      <c r="J56" s="462">
        <f>G61</f>
        <v>0</v>
      </c>
      <c r="K56" s="461" t="e">
        <f t="shared" si="1"/>
        <v>#DIV/0!</v>
      </c>
    </row>
    <row r="57" spans="1:11" ht="22.5" customHeight="1" x14ac:dyDescent="0.2">
      <c r="A57" s="354" t="s">
        <v>259</v>
      </c>
      <c r="B57" s="355"/>
      <c r="C57" s="361">
        <f>2*(SQRT(Balanza!$B$8+Balanza!$C$8*(POWER(B55,2))))</f>
        <v>0.12899612397277679</v>
      </c>
      <c r="D57" s="357" t="s">
        <v>258</v>
      </c>
      <c r="E57" s="358">
        <f>C57/2</f>
        <v>6.4498061986388397E-2</v>
      </c>
      <c r="F57" s="363"/>
      <c r="G57" s="364"/>
      <c r="H57" s="344"/>
      <c r="I57" s="459"/>
      <c r="J57" s="460" t="e">
        <f>SUM(J53:J56)</f>
        <v>#DIV/0!</v>
      </c>
      <c r="K57" s="461" t="e">
        <f t="shared" si="1"/>
        <v>#DIV/0!</v>
      </c>
    </row>
    <row r="58" spans="1:11" ht="22.5" customHeight="1" x14ac:dyDescent="0.2">
      <c r="A58" s="354" t="s">
        <v>257</v>
      </c>
      <c r="B58" s="355"/>
      <c r="C58" s="356">
        <f>Balanza!$B$10</f>
        <v>0.1</v>
      </c>
      <c r="D58" s="357" t="s">
        <v>256</v>
      </c>
      <c r="E58" s="358">
        <f>(C58/SQRT(3)/2)</f>
        <v>2.8867513459481291E-2</v>
      </c>
      <c r="F58" s="363"/>
      <c r="G58" s="364"/>
      <c r="H58" s="344"/>
      <c r="I58" s="455"/>
      <c r="J58" s="456"/>
    </row>
    <row r="59" spans="1:11" ht="22.5" customHeight="1" x14ac:dyDescent="0.2">
      <c r="A59" s="348" t="s">
        <v>298</v>
      </c>
      <c r="B59" s="349">
        <v>50</v>
      </c>
      <c r="C59" s="349"/>
      <c r="D59" s="350" t="s">
        <v>262</v>
      </c>
      <c r="E59" s="351">
        <f>SQRT(((E60*E60)))</f>
        <v>8.9999999999999993E-3</v>
      </c>
      <c r="F59" s="352">
        <v>1</v>
      </c>
      <c r="G59" s="353">
        <f>(E59*F59)</f>
        <v>8.9999999999999993E-3</v>
      </c>
      <c r="H59" s="344"/>
    </row>
    <row r="60" spans="1:11" ht="22.5" customHeight="1" x14ac:dyDescent="0.2">
      <c r="A60" s="354" t="s">
        <v>259</v>
      </c>
      <c r="B60" s="355"/>
      <c r="C60" s="366">
        <f>Balanza!K29</f>
        <v>1.7999999999999999E-2</v>
      </c>
      <c r="D60" s="357" t="s">
        <v>258</v>
      </c>
      <c r="E60" s="358">
        <f>C60/2</f>
        <v>8.9999999999999993E-3</v>
      </c>
      <c r="F60" s="363"/>
      <c r="G60" s="364"/>
      <c r="H60" s="345"/>
    </row>
    <row r="61" spans="1:11" ht="22.5" customHeight="1" thickBot="1" x14ac:dyDescent="0.25">
      <c r="A61" s="367" t="s">
        <v>297</v>
      </c>
      <c r="B61" s="597">
        <f>+Balanza!B51</f>
        <v>0</v>
      </c>
      <c r="C61" s="368"/>
      <c r="D61" s="369" t="s">
        <v>254</v>
      </c>
      <c r="E61" s="370">
        <f>B61/SQRT(1)</f>
        <v>0</v>
      </c>
      <c r="F61" s="371">
        <v>1</v>
      </c>
      <c r="G61" s="372">
        <f>+F61*E61</f>
        <v>0</v>
      </c>
      <c r="H61" s="345"/>
      <c r="I61" s="344"/>
      <c r="J61" s="344"/>
    </row>
    <row r="62" spans="1:11" ht="22.5" customHeight="1" thickBot="1" x14ac:dyDescent="0.25"/>
    <row r="63" spans="1:11" ht="22.5" customHeight="1" thickBot="1" x14ac:dyDescent="0.25">
      <c r="A63" s="378" t="s">
        <v>296</v>
      </c>
      <c r="B63" s="596" t="e">
        <f>+(1-(B64/B68))*100</f>
        <v>#DIV/0!</v>
      </c>
      <c r="C63" s="379"/>
      <c r="D63" s="380"/>
      <c r="E63" s="380"/>
      <c r="F63" s="381"/>
      <c r="G63" s="382"/>
      <c r="H63" s="452" t="e">
        <f>SQRT(G64*G64+(G72*G72)+(G68*G68)+(G74*G74))</f>
        <v>#DIV/0!</v>
      </c>
      <c r="I63" s="383" t="str">
        <f>IF(B64=0,"---",(H63*2))</f>
        <v>---</v>
      </c>
      <c r="J63" s="344"/>
    </row>
    <row r="64" spans="1:11" ht="22.5" customHeight="1" x14ac:dyDescent="0.2">
      <c r="A64" s="454" t="s">
        <v>404</v>
      </c>
      <c r="B64" s="374">
        <f>Balanza!D31</f>
        <v>0</v>
      </c>
      <c r="C64" s="374"/>
      <c r="D64" s="375" t="s">
        <v>262</v>
      </c>
      <c r="E64" s="376">
        <f>SQRT((E65*E65)+(E66*E66)+(E67*E67))</f>
        <v>7.0663521942607221E-2</v>
      </c>
      <c r="F64" s="451" t="e">
        <f>(100/B68)</f>
        <v>#DIV/0!</v>
      </c>
      <c r="G64" s="377" t="e">
        <f>(E64*F64)</f>
        <v>#DIV/0!</v>
      </c>
      <c r="H64" s="345"/>
      <c r="I64" s="345"/>
      <c r="J64" s="344"/>
    </row>
    <row r="65" spans="1:11" ht="22.5" customHeight="1" x14ac:dyDescent="0.2">
      <c r="A65" s="354" t="s">
        <v>261</v>
      </c>
      <c r="B65" s="355"/>
      <c r="C65" s="356">
        <f>Balanza!E31</f>
        <v>0</v>
      </c>
      <c r="D65" s="357" t="s">
        <v>260</v>
      </c>
      <c r="E65" s="358">
        <f>C65</f>
        <v>0</v>
      </c>
      <c r="F65" s="359"/>
      <c r="G65" s="360"/>
      <c r="H65" s="344"/>
      <c r="I65" s="344"/>
      <c r="J65" s="344"/>
    </row>
    <row r="66" spans="1:11" ht="22.5" customHeight="1" x14ac:dyDescent="0.2">
      <c r="A66" s="354" t="s">
        <v>259</v>
      </c>
      <c r="B66" s="355"/>
      <c r="C66" s="361">
        <f>2*(SQRT(Balanza!$B$8+Balanza!$C$8*(POWER(B64,2))))</f>
        <v>0.12899612397277679</v>
      </c>
      <c r="D66" s="357" t="s">
        <v>258</v>
      </c>
      <c r="E66" s="358">
        <f>C66/2</f>
        <v>6.4498061986388397E-2</v>
      </c>
      <c r="F66" s="359"/>
      <c r="G66" s="360"/>
      <c r="H66" s="344"/>
      <c r="I66" s="459" t="str">
        <f>A64</f>
        <v>M ret acumulado 1 1/2 in (g)</v>
      </c>
      <c r="J66" s="460" t="e">
        <f>G64</f>
        <v>#DIV/0!</v>
      </c>
      <c r="K66" s="461" t="e">
        <f>+J66/$J$70</f>
        <v>#DIV/0!</v>
      </c>
    </row>
    <row r="67" spans="1:11" ht="22.5" customHeight="1" x14ac:dyDescent="0.2">
      <c r="A67" s="354" t="s">
        <v>257</v>
      </c>
      <c r="B67" s="355"/>
      <c r="C67" s="356">
        <f>Balanza!$B$10</f>
        <v>0.1</v>
      </c>
      <c r="D67" s="357" t="s">
        <v>256</v>
      </c>
      <c r="E67" s="358">
        <f>(C67/SQRT(3)/2)</f>
        <v>2.8867513459481291E-2</v>
      </c>
      <c r="F67" s="359"/>
      <c r="G67" s="360"/>
      <c r="H67" s="344"/>
      <c r="I67" s="459" t="str">
        <f>A72</f>
        <v>Abertura de Tamiz 1 1/2 in (mm)</v>
      </c>
      <c r="J67" s="460">
        <f>G72</f>
        <v>8.9999999999999993E-3</v>
      </c>
      <c r="K67" s="461" t="e">
        <f t="shared" ref="K67:K70" si="2">+J67/$J$70</f>
        <v>#DIV/0!</v>
      </c>
    </row>
    <row r="68" spans="1:11" ht="22.5" customHeight="1" x14ac:dyDescent="0.2">
      <c r="A68" s="348" t="s">
        <v>263</v>
      </c>
      <c r="B68" s="362" t="b">
        <f>Balanza!$C$25</f>
        <v>0</v>
      </c>
      <c r="C68" s="362"/>
      <c r="D68" s="350" t="s">
        <v>262</v>
      </c>
      <c r="E68" s="351">
        <f>SQRT((E69*E69)+(E70*E70)+(E71*E71))</f>
        <v>7.0663521942607221E-2</v>
      </c>
      <c r="F68" s="451" t="e">
        <f>(100*B64)/POWER(B68,2)</f>
        <v>#DIV/0!</v>
      </c>
      <c r="G68" s="353" t="e">
        <f>(E68*F68)</f>
        <v>#DIV/0!</v>
      </c>
      <c r="H68" s="344"/>
      <c r="I68" s="459" t="str">
        <f>A68</f>
        <v>M total (g)</v>
      </c>
      <c r="J68" s="460" t="e">
        <f>G68</f>
        <v>#DIV/0!</v>
      </c>
      <c r="K68" s="461" t="e">
        <f t="shared" si="2"/>
        <v>#DIV/0!</v>
      </c>
    </row>
    <row r="69" spans="1:11" ht="22.5" customHeight="1" x14ac:dyDescent="0.2">
      <c r="A69" s="354" t="s">
        <v>261</v>
      </c>
      <c r="B69" s="355"/>
      <c r="C69" s="356">
        <f>Balanza!$D$25</f>
        <v>0</v>
      </c>
      <c r="D69" s="357" t="s">
        <v>260</v>
      </c>
      <c r="E69" s="358">
        <f>C69</f>
        <v>0</v>
      </c>
      <c r="F69" s="363"/>
      <c r="G69" s="364"/>
      <c r="H69" s="344"/>
      <c r="I69" s="459" t="str">
        <f>A74</f>
        <v>Factor de presición 1 1/2 in</v>
      </c>
      <c r="J69" s="462">
        <f>G74</f>
        <v>0</v>
      </c>
      <c r="K69" s="461" t="e">
        <f t="shared" si="2"/>
        <v>#DIV/0!</v>
      </c>
    </row>
    <row r="70" spans="1:11" ht="22.5" customHeight="1" x14ac:dyDescent="0.2">
      <c r="A70" s="354" t="s">
        <v>259</v>
      </c>
      <c r="B70" s="355"/>
      <c r="C70" s="361">
        <f>2*(SQRT(Balanza!$B$8+Balanza!$C$8*(POWER(B68,2))))</f>
        <v>0.12899612397277679</v>
      </c>
      <c r="D70" s="357" t="s">
        <v>258</v>
      </c>
      <c r="E70" s="358">
        <f>C70/2</f>
        <v>6.4498061986388397E-2</v>
      </c>
      <c r="F70" s="363"/>
      <c r="G70" s="364"/>
      <c r="H70" s="344"/>
      <c r="I70" s="459"/>
      <c r="J70" s="460" t="e">
        <f>SUM(J66:J69)</f>
        <v>#DIV/0!</v>
      </c>
      <c r="K70" s="461" t="e">
        <f t="shared" si="2"/>
        <v>#DIV/0!</v>
      </c>
    </row>
    <row r="71" spans="1:11" ht="22.5" customHeight="1" x14ac:dyDescent="0.2">
      <c r="A71" s="354" t="s">
        <v>257</v>
      </c>
      <c r="B71" s="355"/>
      <c r="C71" s="356">
        <f>Balanza!$B$10</f>
        <v>0.1</v>
      </c>
      <c r="D71" s="357" t="s">
        <v>256</v>
      </c>
      <c r="E71" s="358">
        <f>(C71/SQRT(3)/2)</f>
        <v>2.8867513459481291E-2</v>
      </c>
      <c r="F71" s="363"/>
      <c r="G71" s="364"/>
      <c r="H71" s="344"/>
      <c r="I71" s="455"/>
      <c r="J71" s="456"/>
    </row>
    <row r="72" spans="1:11" ht="22.5" customHeight="1" x14ac:dyDescent="0.2">
      <c r="A72" s="348" t="s">
        <v>295</v>
      </c>
      <c r="B72" s="349">
        <v>37.5</v>
      </c>
      <c r="C72" s="349"/>
      <c r="D72" s="350" t="s">
        <v>262</v>
      </c>
      <c r="E72" s="351">
        <f>SQRT(((E73*E73)))</f>
        <v>8.9999999999999993E-3</v>
      </c>
      <c r="F72" s="352">
        <v>1</v>
      </c>
      <c r="G72" s="353">
        <f>(E72*F72)</f>
        <v>8.9999999999999993E-3</v>
      </c>
      <c r="H72" s="344"/>
    </row>
    <row r="73" spans="1:11" ht="22.5" customHeight="1" x14ac:dyDescent="0.2">
      <c r="A73" s="354" t="s">
        <v>259</v>
      </c>
      <c r="B73" s="355"/>
      <c r="C73" s="366">
        <f>Balanza!K30</f>
        <v>1.7999999999999999E-2</v>
      </c>
      <c r="D73" s="357" t="s">
        <v>258</v>
      </c>
      <c r="E73" s="358">
        <f>C73/2</f>
        <v>8.9999999999999993E-3</v>
      </c>
      <c r="F73" s="363"/>
      <c r="G73" s="364"/>
      <c r="H73" s="345"/>
    </row>
    <row r="74" spans="1:11" ht="22.5" customHeight="1" thickBot="1" x14ac:dyDescent="0.25">
      <c r="A74" s="367" t="s">
        <v>294</v>
      </c>
      <c r="B74" s="597">
        <f>+Balanza!B52</f>
        <v>0</v>
      </c>
      <c r="C74" s="368"/>
      <c r="D74" s="369" t="s">
        <v>254</v>
      </c>
      <c r="E74" s="370">
        <f>B74/SQRT(1)</f>
        <v>0</v>
      </c>
      <c r="F74" s="371">
        <v>1</v>
      </c>
      <c r="G74" s="372">
        <f>+F74*E74</f>
        <v>0</v>
      </c>
      <c r="H74" s="345"/>
      <c r="I74" s="344"/>
      <c r="J74" s="344"/>
    </row>
    <row r="75" spans="1:11" ht="22.5" customHeight="1" thickBot="1" x14ac:dyDescent="0.25"/>
    <row r="76" spans="1:11" ht="22.5" customHeight="1" thickBot="1" x14ac:dyDescent="0.25">
      <c r="A76" s="378" t="s">
        <v>293</v>
      </c>
      <c r="B76" s="596" t="e">
        <f>+(1-(B77/B81))*100</f>
        <v>#DIV/0!</v>
      </c>
      <c r="C76" s="379"/>
      <c r="D76" s="380"/>
      <c r="E76" s="380"/>
      <c r="F76" s="381"/>
      <c r="G76" s="382"/>
      <c r="H76" s="452" t="e">
        <f>SQRT(G77*G77+(G85*G85)+(G81*G81)+(G87*G87))</f>
        <v>#DIV/0!</v>
      </c>
      <c r="I76" s="383" t="str">
        <f>IF(B77=0,"---",(H76*2))</f>
        <v>---</v>
      </c>
      <c r="J76" s="344"/>
    </row>
    <row r="77" spans="1:11" ht="22.5" customHeight="1" x14ac:dyDescent="0.2">
      <c r="A77" s="454" t="s">
        <v>405</v>
      </c>
      <c r="B77" s="374">
        <f>Balanza!D32</f>
        <v>0</v>
      </c>
      <c r="C77" s="374"/>
      <c r="D77" s="375" t="s">
        <v>262</v>
      </c>
      <c r="E77" s="376">
        <f>SQRT((E78*E78)+(E79*E79)+(E80*E80))</f>
        <v>7.0663521942607221E-2</v>
      </c>
      <c r="F77" s="451" t="e">
        <f>(100/B81)</f>
        <v>#DIV/0!</v>
      </c>
      <c r="G77" s="377" t="e">
        <f>(E77*F77)</f>
        <v>#DIV/0!</v>
      </c>
      <c r="H77" s="345"/>
      <c r="I77" s="345"/>
      <c r="J77" s="344"/>
    </row>
    <row r="78" spans="1:11" ht="22.5" customHeight="1" x14ac:dyDescent="0.2">
      <c r="A78" s="354" t="s">
        <v>261</v>
      </c>
      <c r="B78" s="355"/>
      <c r="C78" s="356">
        <f>Balanza!E32</f>
        <v>0</v>
      </c>
      <c r="D78" s="357" t="s">
        <v>260</v>
      </c>
      <c r="E78" s="358">
        <f>C78</f>
        <v>0</v>
      </c>
      <c r="F78" s="359"/>
      <c r="G78" s="360"/>
      <c r="H78" s="344"/>
      <c r="I78" s="344"/>
      <c r="J78" s="344"/>
    </row>
    <row r="79" spans="1:11" ht="22.5" customHeight="1" x14ac:dyDescent="0.2">
      <c r="A79" s="354" t="s">
        <v>259</v>
      </c>
      <c r="B79" s="355"/>
      <c r="C79" s="361">
        <f>2*(SQRT(Balanza!$B$8+Balanza!$C$8*(POWER(B77,2))))</f>
        <v>0.12899612397277679</v>
      </c>
      <c r="D79" s="357" t="s">
        <v>258</v>
      </c>
      <c r="E79" s="358">
        <f>C79/2</f>
        <v>6.4498061986388397E-2</v>
      </c>
      <c r="F79" s="359"/>
      <c r="G79" s="360"/>
      <c r="H79" s="344"/>
      <c r="I79" s="455" t="str">
        <f>A77</f>
        <v>M ret acumulado 1 in (g)</v>
      </c>
      <c r="J79" s="456" t="e">
        <f>G77</f>
        <v>#DIV/0!</v>
      </c>
      <c r="K79" s="457" t="e">
        <f>+J79/$J$83</f>
        <v>#DIV/0!</v>
      </c>
    </row>
    <row r="80" spans="1:11" ht="22.5" customHeight="1" x14ac:dyDescent="0.2">
      <c r="A80" s="354" t="s">
        <v>257</v>
      </c>
      <c r="B80" s="355"/>
      <c r="C80" s="356">
        <f>Balanza!$B$10</f>
        <v>0.1</v>
      </c>
      <c r="D80" s="357" t="s">
        <v>256</v>
      </c>
      <c r="E80" s="358">
        <f>(C80/SQRT(3)/2)</f>
        <v>2.8867513459481291E-2</v>
      </c>
      <c r="F80" s="359"/>
      <c r="G80" s="360"/>
      <c r="H80" s="344"/>
      <c r="I80" s="455" t="str">
        <f>A85</f>
        <v>Abertura de Tamiz 1 in (mm)</v>
      </c>
      <c r="J80" s="456">
        <f>G85</f>
        <v>8.9999999999999993E-3</v>
      </c>
      <c r="K80" s="457" t="e">
        <f t="shared" ref="K80:K83" si="3">+J80/$J$83</f>
        <v>#DIV/0!</v>
      </c>
    </row>
    <row r="81" spans="1:11" ht="22.5" customHeight="1" x14ac:dyDescent="0.2">
      <c r="A81" s="348" t="s">
        <v>263</v>
      </c>
      <c r="B81" s="362" t="b">
        <f>Balanza!$C$25</f>
        <v>0</v>
      </c>
      <c r="C81" s="362"/>
      <c r="D81" s="350" t="s">
        <v>262</v>
      </c>
      <c r="E81" s="351">
        <f>SQRT((E82*E82)+(E83*E83)+(E84*E84))</f>
        <v>7.0663521942607221E-2</v>
      </c>
      <c r="F81" s="451" t="e">
        <f>(100*B77)/POWER(B81,2)</f>
        <v>#DIV/0!</v>
      </c>
      <c r="G81" s="353" t="e">
        <f>(E81*F81)</f>
        <v>#DIV/0!</v>
      </c>
      <c r="H81" s="344"/>
      <c r="I81" s="455" t="str">
        <f>A81</f>
        <v>M total (g)</v>
      </c>
      <c r="J81" s="456" t="e">
        <f>G81</f>
        <v>#DIV/0!</v>
      </c>
      <c r="K81" s="457" t="e">
        <f t="shared" si="3"/>
        <v>#DIV/0!</v>
      </c>
    </row>
    <row r="82" spans="1:11" ht="22.5" customHeight="1" x14ac:dyDescent="0.2">
      <c r="A82" s="354" t="s">
        <v>261</v>
      </c>
      <c r="B82" s="355"/>
      <c r="C82" s="356">
        <f>Balanza!$D$25</f>
        <v>0</v>
      </c>
      <c r="D82" s="357" t="s">
        <v>260</v>
      </c>
      <c r="E82" s="358">
        <f>C82</f>
        <v>0</v>
      </c>
      <c r="F82" s="363"/>
      <c r="G82" s="364"/>
      <c r="H82" s="344"/>
      <c r="I82" s="455" t="str">
        <f>A87</f>
        <v>Factor de presición 1 in</v>
      </c>
      <c r="J82" s="458">
        <f>G87</f>
        <v>0</v>
      </c>
      <c r="K82" s="457" t="e">
        <f t="shared" si="3"/>
        <v>#DIV/0!</v>
      </c>
    </row>
    <row r="83" spans="1:11" ht="22.5" customHeight="1" x14ac:dyDescent="0.2">
      <c r="A83" s="354" t="s">
        <v>259</v>
      </c>
      <c r="B83" s="355"/>
      <c r="C83" s="361">
        <f>2*(SQRT(Balanza!$B$8+Balanza!$C$8*(POWER(B81,2))))</f>
        <v>0.12899612397277679</v>
      </c>
      <c r="D83" s="357" t="s">
        <v>258</v>
      </c>
      <c r="E83" s="358">
        <f>C83/2</f>
        <v>6.4498061986388397E-2</v>
      </c>
      <c r="F83" s="363"/>
      <c r="G83" s="364"/>
      <c r="H83" s="344"/>
      <c r="I83" s="455"/>
      <c r="J83" s="456" t="e">
        <f>SUM(J79:J82)</f>
        <v>#DIV/0!</v>
      </c>
      <c r="K83" s="457" t="e">
        <f t="shared" si="3"/>
        <v>#DIV/0!</v>
      </c>
    </row>
    <row r="84" spans="1:11" ht="22.5" customHeight="1" x14ac:dyDescent="0.2">
      <c r="A84" s="354" t="s">
        <v>257</v>
      </c>
      <c r="B84" s="355"/>
      <c r="C84" s="356">
        <f>Balanza!$B$10</f>
        <v>0.1</v>
      </c>
      <c r="D84" s="357" t="s">
        <v>256</v>
      </c>
      <c r="E84" s="358">
        <f>(C84/SQRT(3)/2)</f>
        <v>2.8867513459481291E-2</v>
      </c>
      <c r="F84" s="363"/>
      <c r="G84" s="364"/>
      <c r="H84" s="344"/>
      <c r="I84" s="455"/>
      <c r="J84" s="456"/>
    </row>
    <row r="85" spans="1:11" ht="22.5" customHeight="1" x14ac:dyDescent="0.2">
      <c r="A85" s="348" t="s">
        <v>292</v>
      </c>
      <c r="B85" s="349">
        <v>25.4</v>
      </c>
      <c r="C85" s="349"/>
      <c r="D85" s="350" t="s">
        <v>262</v>
      </c>
      <c r="E85" s="351">
        <f>SQRT(((E86*E86)))</f>
        <v>8.9999999999999993E-3</v>
      </c>
      <c r="F85" s="352">
        <v>1</v>
      </c>
      <c r="G85" s="353">
        <f>(E85*F85)</f>
        <v>8.9999999999999993E-3</v>
      </c>
      <c r="H85" s="344"/>
    </row>
    <row r="86" spans="1:11" ht="22.5" customHeight="1" x14ac:dyDescent="0.2">
      <c r="A86" s="354" t="s">
        <v>259</v>
      </c>
      <c r="B86" s="355"/>
      <c r="C86" s="366">
        <f>Balanza!K31</f>
        <v>1.7999999999999999E-2</v>
      </c>
      <c r="D86" s="357" t="s">
        <v>258</v>
      </c>
      <c r="E86" s="358">
        <f>C86/2</f>
        <v>8.9999999999999993E-3</v>
      </c>
      <c r="F86" s="363"/>
      <c r="G86" s="364"/>
      <c r="H86" s="345"/>
    </row>
    <row r="87" spans="1:11" ht="22.5" customHeight="1" thickBot="1" x14ac:dyDescent="0.25">
      <c r="A87" s="367" t="s">
        <v>291</v>
      </c>
      <c r="B87" s="597">
        <f>+Balanza!B53</f>
        <v>0</v>
      </c>
      <c r="C87" s="368"/>
      <c r="D87" s="369" t="s">
        <v>254</v>
      </c>
      <c r="E87" s="370">
        <f>B87/SQRT(1)</f>
        <v>0</v>
      </c>
      <c r="F87" s="371">
        <v>1</v>
      </c>
      <c r="G87" s="372">
        <f>+F87*E87</f>
        <v>0</v>
      </c>
      <c r="H87" s="345"/>
      <c r="I87" s="344"/>
      <c r="J87" s="344"/>
    </row>
    <row r="88" spans="1:11" ht="22.5" customHeight="1" thickBot="1" x14ac:dyDescent="0.25"/>
    <row r="89" spans="1:11" ht="22.5" customHeight="1" thickBot="1" x14ac:dyDescent="0.25">
      <c r="A89" s="378" t="s">
        <v>290</v>
      </c>
      <c r="B89" s="596" t="e">
        <f>+(1-(B90/B94))*100</f>
        <v>#DIV/0!</v>
      </c>
      <c r="C89" s="379"/>
      <c r="D89" s="380"/>
      <c r="E89" s="380"/>
      <c r="F89" s="381"/>
      <c r="G89" s="382"/>
      <c r="H89" s="452" t="e">
        <f>SQRT(G90*G90+(G98*G98)+(G94*G94)+(G100*G100))</f>
        <v>#DIV/0!</v>
      </c>
      <c r="I89" s="383" t="str">
        <f>IF(B90=0,"---",(H89*2))</f>
        <v>---</v>
      </c>
      <c r="J89" s="344"/>
    </row>
    <row r="90" spans="1:11" ht="22.5" customHeight="1" x14ac:dyDescent="0.2">
      <c r="A90" s="454" t="s">
        <v>406</v>
      </c>
      <c r="B90" s="374">
        <f>Balanza!D33</f>
        <v>0</v>
      </c>
      <c r="C90" s="374"/>
      <c r="D90" s="375" t="s">
        <v>262</v>
      </c>
      <c r="E90" s="376">
        <f>SQRT((E91*E91)+(E92*E92)+(E93*E93))</f>
        <v>7.0663521942607221E-2</v>
      </c>
      <c r="F90" s="451" t="e">
        <f>(100/B94)</f>
        <v>#DIV/0!</v>
      </c>
      <c r="G90" s="377" t="e">
        <f>(E90*F90)</f>
        <v>#DIV/0!</v>
      </c>
      <c r="H90" s="345"/>
      <c r="I90" s="345"/>
      <c r="J90" s="344"/>
    </row>
    <row r="91" spans="1:11" ht="22.5" customHeight="1" x14ac:dyDescent="0.2">
      <c r="A91" s="354" t="s">
        <v>261</v>
      </c>
      <c r="B91" s="355"/>
      <c r="C91" s="356">
        <f>Balanza!E33</f>
        <v>0</v>
      </c>
      <c r="D91" s="357" t="s">
        <v>260</v>
      </c>
      <c r="E91" s="358">
        <f>C91</f>
        <v>0</v>
      </c>
      <c r="F91" s="359"/>
      <c r="G91" s="360"/>
      <c r="H91" s="344"/>
      <c r="I91" s="344"/>
      <c r="J91" s="344"/>
    </row>
    <row r="92" spans="1:11" ht="22.5" customHeight="1" x14ac:dyDescent="0.2">
      <c r="A92" s="354" t="s">
        <v>259</v>
      </c>
      <c r="B92" s="355"/>
      <c r="C92" s="361">
        <f>2*(SQRT(Balanza!$B$8+Balanza!$C$8*(POWER(B90,2))))</f>
        <v>0.12899612397277679</v>
      </c>
      <c r="D92" s="357" t="s">
        <v>258</v>
      </c>
      <c r="E92" s="358">
        <f>C92/2</f>
        <v>6.4498061986388397E-2</v>
      </c>
      <c r="F92" s="359"/>
      <c r="G92" s="360"/>
      <c r="H92" s="344"/>
      <c r="I92" s="459" t="str">
        <f>A90</f>
        <v>M ret acumulado 3/4 in (g)</v>
      </c>
      <c r="J92" s="460" t="e">
        <f>G90</f>
        <v>#DIV/0!</v>
      </c>
      <c r="K92" s="461" t="e">
        <f>+J92/$J$96</f>
        <v>#DIV/0!</v>
      </c>
    </row>
    <row r="93" spans="1:11" ht="22.5" customHeight="1" x14ac:dyDescent="0.2">
      <c r="A93" s="354" t="s">
        <v>257</v>
      </c>
      <c r="B93" s="355"/>
      <c r="C93" s="356">
        <f>Balanza!$B$10</f>
        <v>0.1</v>
      </c>
      <c r="D93" s="357" t="s">
        <v>256</v>
      </c>
      <c r="E93" s="358">
        <f>(C93/SQRT(3)/2)</f>
        <v>2.8867513459481291E-2</v>
      </c>
      <c r="F93" s="359"/>
      <c r="G93" s="360"/>
      <c r="H93" s="344"/>
      <c r="I93" s="459" t="str">
        <f>A98</f>
        <v>Abertura de Tamiz 3/4 in (mm)</v>
      </c>
      <c r="J93" s="460">
        <f>G98</f>
        <v>8.9999999999999993E-3</v>
      </c>
      <c r="K93" s="461" t="e">
        <f t="shared" ref="K93:K96" si="4">+J93/$J$96</f>
        <v>#DIV/0!</v>
      </c>
    </row>
    <row r="94" spans="1:11" ht="22.5" customHeight="1" x14ac:dyDescent="0.2">
      <c r="A94" s="348" t="s">
        <v>263</v>
      </c>
      <c r="B94" s="362" t="b">
        <f>Balanza!$C$25</f>
        <v>0</v>
      </c>
      <c r="C94" s="362"/>
      <c r="D94" s="350" t="s">
        <v>262</v>
      </c>
      <c r="E94" s="351">
        <f>SQRT((E95*E95)+(E96*E96)+(E97*E97))</f>
        <v>7.0663521942607221E-2</v>
      </c>
      <c r="F94" s="451" t="e">
        <f>(100*B90)/POWER(B94,2)</f>
        <v>#DIV/0!</v>
      </c>
      <c r="G94" s="353" t="e">
        <f>(E94*F94)</f>
        <v>#DIV/0!</v>
      </c>
      <c r="H94" s="344"/>
      <c r="I94" s="459" t="str">
        <f>A94</f>
        <v>M total (g)</v>
      </c>
      <c r="J94" s="460" t="e">
        <f>G94</f>
        <v>#DIV/0!</v>
      </c>
      <c r="K94" s="461" t="e">
        <f t="shared" si="4"/>
        <v>#DIV/0!</v>
      </c>
    </row>
    <row r="95" spans="1:11" ht="22.5" customHeight="1" x14ac:dyDescent="0.2">
      <c r="A95" s="354" t="s">
        <v>261</v>
      </c>
      <c r="B95" s="355"/>
      <c r="C95" s="356">
        <f>Balanza!$D$25</f>
        <v>0</v>
      </c>
      <c r="D95" s="357" t="s">
        <v>260</v>
      </c>
      <c r="E95" s="358">
        <f>C95</f>
        <v>0</v>
      </c>
      <c r="F95" s="363"/>
      <c r="G95" s="364"/>
      <c r="H95" s="344"/>
      <c r="I95" s="459" t="str">
        <f>A100</f>
        <v>Factor de presición 3/4 in</v>
      </c>
      <c r="J95" s="462">
        <f>G100</f>
        <v>0</v>
      </c>
      <c r="K95" s="461" t="e">
        <f t="shared" si="4"/>
        <v>#DIV/0!</v>
      </c>
    </row>
    <row r="96" spans="1:11" ht="22.5" customHeight="1" x14ac:dyDescent="0.2">
      <c r="A96" s="354" t="s">
        <v>259</v>
      </c>
      <c r="B96" s="355"/>
      <c r="C96" s="361">
        <f>2*(SQRT(Balanza!$B$8+Balanza!$C$8*(POWER(B94,2))))</f>
        <v>0.12899612397277679</v>
      </c>
      <c r="D96" s="357" t="s">
        <v>258</v>
      </c>
      <c r="E96" s="358">
        <f>C96/2</f>
        <v>6.4498061986388397E-2</v>
      </c>
      <c r="F96" s="363"/>
      <c r="G96" s="364"/>
      <c r="H96" s="344"/>
      <c r="I96" s="459"/>
      <c r="J96" s="460" t="e">
        <f>SUM(J92:J95)</f>
        <v>#DIV/0!</v>
      </c>
      <c r="K96" s="461" t="e">
        <f t="shared" si="4"/>
        <v>#DIV/0!</v>
      </c>
    </row>
    <row r="97" spans="1:11" ht="22.5" customHeight="1" x14ac:dyDescent="0.2">
      <c r="A97" s="354" t="s">
        <v>257</v>
      </c>
      <c r="B97" s="355"/>
      <c r="C97" s="356">
        <f>Balanza!$B$10</f>
        <v>0.1</v>
      </c>
      <c r="D97" s="357" t="s">
        <v>256</v>
      </c>
      <c r="E97" s="358">
        <f>(C97/SQRT(3)/2)</f>
        <v>2.8867513459481291E-2</v>
      </c>
      <c r="F97" s="363"/>
      <c r="G97" s="364"/>
      <c r="H97" s="344"/>
      <c r="I97" s="455"/>
      <c r="J97" s="456"/>
    </row>
    <row r="98" spans="1:11" ht="22.5" customHeight="1" x14ac:dyDescent="0.2">
      <c r="A98" s="348" t="s">
        <v>289</v>
      </c>
      <c r="B98" s="349">
        <v>19</v>
      </c>
      <c r="C98" s="349"/>
      <c r="D98" s="350" t="s">
        <v>262</v>
      </c>
      <c r="E98" s="351">
        <f>SQRT(((E99*E99)))</f>
        <v>8.9999999999999993E-3</v>
      </c>
      <c r="F98" s="352">
        <v>1</v>
      </c>
      <c r="G98" s="353">
        <f>(E98*F98)</f>
        <v>8.9999999999999993E-3</v>
      </c>
      <c r="H98" s="344"/>
    </row>
    <row r="99" spans="1:11" ht="22.5" customHeight="1" x14ac:dyDescent="0.2">
      <c r="A99" s="354" t="s">
        <v>259</v>
      </c>
      <c r="B99" s="355"/>
      <c r="C99" s="366">
        <f>Balanza!K32</f>
        <v>1.7999999999999999E-2</v>
      </c>
      <c r="D99" s="357" t="s">
        <v>258</v>
      </c>
      <c r="E99" s="358">
        <f>C99/2</f>
        <v>8.9999999999999993E-3</v>
      </c>
      <c r="F99" s="363"/>
      <c r="G99" s="364"/>
      <c r="H99" s="345"/>
    </row>
    <row r="100" spans="1:11" ht="22.5" customHeight="1" thickBot="1" x14ac:dyDescent="0.25">
      <c r="A100" s="367" t="s">
        <v>288</v>
      </c>
      <c r="B100" s="597">
        <f>+Balanza!B54</f>
        <v>0</v>
      </c>
      <c r="C100" s="368"/>
      <c r="D100" s="369" t="s">
        <v>254</v>
      </c>
      <c r="E100" s="370">
        <f>B100/SQRT(1)</f>
        <v>0</v>
      </c>
      <c r="F100" s="371">
        <v>1</v>
      </c>
      <c r="G100" s="372">
        <f>+F100*E100</f>
        <v>0</v>
      </c>
      <c r="H100" s="345"/>
      <c r="I100" s="344"/>
      <c r="J100" s="344"/>
    </row>
    <row r="101" spans="1:11" ht="22.5" customHeight="1" thickBot="1" x14ac:dyDescent="0.25"/>
    <row r="102" spans="1:11" ht="22.5" customHeight="1" thickBot="1" x14ac:dyDescent="0.25">
      <c r="A102" s="378" t="s">
        <v>287</v>
      </c>
      <c r="B102" s="596" t="e">
        <f>+(1-(B103/B107))*100</f>
        <v>#DIV/0!</v>
      </c>
      <c r="C102" s="379"/>
      <c r="D102" s="380"/>
      <c r="E102" s="380"/>
      <c r="F102" s="381"/>
      <c r="G102" s="382"/>
      <c r="H102" s="452" t="e">
        <f>SQRT(G103*G103+(G111*G111)+(G107*G107)+(G113*G113))</f>
        <v>#DIV/0!</v>
      </c>
      <c r="I102" s="383" t="str">
        <f>IF(B103=0,"---",(H102*2))</f>
        <v>---</v>
      </c>
      <c r="J102" s="344"/>
    </row>
    <row r="103" spans="1:11" ht="22.5" customHeight="1" x14ac:dyDescent="0.2">
      <c r="A103" s="454" t="s">
        <v>407</v>
      </c>
      <c r="B103" s="374">
        <f>Balanza!D34</f>
        <v>0</v>
      </c>
      <c r="C103" s="374"/>
      <c r="D103" s="375" t="s">
        <v>262</v>
      </c>
      <c r="E103" s="376">
        <f>SQRT((E104*E104)+(E105*E105)+(E106*E106))</f>
        <v>7.0663521942607221E-2</v>
      </c>
      <c r="F103" s="451" t="e">
        <f>(100/B107)</f>
        <v>#DIV/0!</v>
      </c>
      <c r="G103" s="377" t="e">
        <f>(E103*F103)</f>
        <v>#DIV/0!</v>
      </c>
      <c r="H103" s="345"/>
      <c r="I103" s="345"/>
      <c r="J103" s="344"/>
    </row>
    <row r="104" spans="1:11" ht="22.5" customHeight="1" x14ac:dyDescent="0.2">
      <c r="A104" s="354" t="s">
        <v>261</v>
      </c>
      <c r="B104" s="355"/>
      <c r="C104" s="356">
        <f>Balanza!E34</f>
        <v>0</v>
      </c>
      <c r="D104" s="357" t="s">
        <v>260</v>
      </c>
      <c r="E104" s="358">
        <f>C104</f>
        <v>0</v>
      </c>
      <c r="F104" s="359"/>
      <c r="G104" s="360"/>
      <c r="H104" s="344"/>
      <c r="I104" s="344"/>
      <c r="J104" s="344"/>
    </row>
    <row r="105" spans="1:11" ht="22.5" customHeight="1" x14ac:dyDescent="0.2">
      <c r="A105" s="354" t="s">
        <v>259</v>
      </c>
      <c r="B105" s="355"/>
      <c r="C105" s="361">
        <f>2*(SQRT(Balanza!$B$8+Balanza!$C$8*(POWER(B103,2))))</f>
        <v>0.12899612397277679</v>
      </c>
      <c r="D105" s="357" t="s">
        <v>258</v>
      </c>
      <c r="E105" s="358">
        <f>C105/2</f>
        <v>6.4498061986388397E-2</v>
      </c>
      <c r="F105" s="359"/>
      <c r="G105" s="360"/>
      <c r="H105" s="344"/>
      <c r="I105" s="459" t="str">
        <f>A103</f>
        <v>M ret acumulado 3/8 in (g)</v>
      </c>
      <c r="J105" s="460" t="e">
        <f>G103</f>
        <v>#DIV/0!</v>
      </c>
      <c r="K105" s="461" t="e">
        <f>+J105/$J$109</f>
        <v>#DIV/0!</v>
      </c>
    </row>
    <row r="106" spans="1:11" ht="22.5" customHeight="1" x14ac:dyDescent="0.2">
      <c r="A106" s="354" t="s">
        <v>257</v>
      </c>
      <c r="B106" s="355"/>
      <c r="C106" s="356">
        <f>Balanza!$B$10</f>
        <v>0.1</v>
      </c>
      <c r="D106" s="357" t="s">
        <v>256</v>
      </c>
      <c r="E106" s="358">
        <f>(C106/SQRT(3)/2)</f>
        <v>2.8867513459481291E-2</v>
      </c>
      <c r="F106" s="359"/>
      <c r="G106" s="360"/>
      <c r="H106" s="344"/>
      <c r="I106" s="459" t="str">
        <f>A111</f>
        <v>Abertura de Tamiz 3/8 in (mm)</v>
      </c>
      <c r="J106" s="460">
        <f>G111</f>
        <v>8.9999999999999993E-3</v>
      </c>
      <c r="K106" s="461" t="e">
        <f t="shared" ref="K106:K109" si="5">+J106/$J$109</f>
        <v>#DIV/0!</v>
      </c>
    </row>
    <row r="107" spans="1:11" ht="22.5" customHeight="1" x14ac:dyDescent="0.2">
      <c r="A107" s="348" t="s">
        <v>263</v>
      </c>
      <c r="B107" s="362" t="b">
        <f>Balanza!$C$25</f>
        <v>0</v>
      </c>
      <c r="C107" s="362"/>
      <c r="D107" s="350" t="s">
        <v>262</v>
      </c>
      <c r="E107" s="351">
        <f>SQRT((E108*E108)+(E109*E109)+(E110*E110))</f>
        <v>7.0663521942607221E-2</v>
      </c>
      <c r="F107" s="451" t="e">
        <f>(100*B103)/POWER(B107,2)</f>
        <v>#DIV/0!</v>
      </c>
      <c r="G107" s="353" t="e">
        <f>(E107*F107)</f>
        <v>#DIV/0!</v>
      </c>
      <c r="H107" s="344"/>
      <c r="I107" s="459" t="str">
        <f>A107</f>
        <v>M total (g)</v>
      </c>
      <c r="J107" s="460" t="e">
        <f>G107</f>
        <v>#DIV/0!</v>
      </c>
      <c r="K107" s="461" t="e">
        <f t="shared" si="5"/>
        <v>#DIV/0!</v>
      </c>
    </row>
    <row r="108" spans="1:11" ht="22.5" customHeight="1" x14ac:dyDescent="0.2">
      <c r="A108" s="354" t="s">
        <v>261</v>
      </c>
      <c r="B108" s="355"/>
      <c r="C108" s="356">
        <f>Balanza!$D$25</f>
        <v>0</v>
      </c>
      <c r="D108" s="357" t="s">
        <v>260</v>
      </c>
      <c r="E108" s="358">
        <f>C108</f>
        <v>0</v>
      </c>
      <c r="F108" s="363"/>
      <c r="G108" s="364"/>
      <c r="H108" s="344"/>
      <c r="I108" s="459" t="str">
        <f>A113</f>
        <v>Factor de presición 3/8 in</v>
      </c>
      <c r="J108" s="462">
        <f>G113</f>
        <v>0</v>
      </c>
      <c r="K108" s="461" t="e">
        <f t="shared" si="5"/>
        <v>#DIV/0!</v>
      </c>
    </row>
    <row r="109" spans="1:11" ht="22.5" customHeight="1" x14ac:dyDescent="0.2">
      <c r="A109" s="354" t="s">
        <v>259</v>
      </c>
      <c r="B109" s="355"/>
      <c r="C109" s="361">
        <f>2*(SQRT(Balanza!$B$8+Balanza!$C$8*(POWER(B107,2))))</f>
        <v>0.12899612397277679</v>
      </c>
      <c r="D109" s="357" t="s">
        <v>258</v>
      </c>
      <c r="E109" s="358">
        <f>C109/2</f>
        <v>6.4498061986388397E-2</v>
      </c>
      <c r="F109" s="363"/>
      <c r="G109" s="364"/>
      <c r="H109" s="344"/>
      <c r="I109" s="459"/>
      <c r="J109" s="460" t="e">
        <f>SUM(J105:J108)</f>
        <v>#DIV/0!</v>
      </c>
      <c r="K109" s="461" t="e">
        <f t="shared" si="5"/>
        <v>#DIV/0!</v>
      </c>
    </row>
    <row r="110" spans="1:11" ht="22.5" customHeight="1" x14ac:dyDescent="0.2">
      <c r="A110" s="354" t="s">
        <v>257</v>
      </c>
      <c r="B110" s="355"/>
      <c r="C110" s="356">
        <f>Balanza!$B$10</f>
        <v>0.1</v>
      </c>
      <c r="D110" s="357" t="s">
        <v>256</v>
      </c>
      <c r="E110" s="358">
        <f>(C110/SQRT(3)/2)</f>
        <v>2.8867513459481291E-2</v>
      </c>
      <c r="F110" s="363"/>
      <c r="G110" s="364"/>
      <c r="H110" s="344"/>
      <c r="I110" s="455"/>
      <c r="J110" s="456"/>
    </row>
    <row r="111" spans="1:11" ht="22.5" customHeight="1" x14ac:dyDescent="0.2">
      <c r="A111" s="348" t="s">
        <v>286</v>
      </c>
      <c r="B111" s="349">
        <v>9.5</v>
      </c>
      <c r="C111" s="349"/>
      <c r="D111" s="350" t="s">
        <v>262</v>
      </c>
      <c r="E111" s="351">
        <f>SQRT(((E112*E112)))</f>
        <v>8.9999999999999993E-3</v>
      </c>
      <c r="F111" s="352">
        <v>1</v>
      </c>
      <c r="G111" s="353">
        <f>(E111*F111)</f>
        <v>8.9999999999999993E-3</v>
      </c>
      <c r="H111" s="344"/>
    </row>
    <row r="112" spans="1:11" ht="22.5" customHeight="1" x14ac:dyDescent="0.2">
      <c r="A112" s="354" t="s">
        <v>259</v>
      </c>
      <c r="B112" s="355"/>
      <c r="C112" s="366">
        <f>Balanza!K33</f>
        <v>1.7999999999999999E-2</v>
      </c>
      <c r="D112" s="357" t="s">
        <v>258</v>
      </c>
      <c r="E112" s="358">
        <f>C112/2</f>
        <v>8.9999999999999993E-3</v>
      </c>
      <c r="F112" s="363"/>
      <c r="G112" s="364"/>
      <c r="H112" s="345"/>
    </row>
    <row r="113" spans="1:11" ht="22.5" customHeight="1" thickBot="1" x14ac:dyDescent="0.25">
      <c r="A113" s="367" t="s">
        <v>285</v>
      </c>
      <c r="B113" s="597">
        <f>+Balanza!B55</f>
        <v>0</v>
      </c>
      <c r="C113" s="368"/>
      <c r="D113" s="369" t="s">
        <v>254</v>
      </c>
      <c r="E113" s="370">
        <f>B113/SQRT(1)</f>
        <v>0</v>
      </c>
      <c r="F113" s="371">
        <v>1</v>
      </c>
      <c r="G113" s="372">
        <f>+F113*E113</f>
        <v>0</v>
      </c>
      <c r="H113" s="345"/>
      <c r="I113" s="344"/>
      <c r="J113" s="344"/>
    </row>
    <row r="114" spans="1:11" ht="22.5" customHeight="1" thickBot="1" x14ac:dyDescent="0.25"/>
    <row r="115" spans="1:11" ht="22.5" customHeight="1" thickBot="1" x14ac:dyDescent="0.25">
      <c r="A115" s="378" t="s">
        <v>284</v>
      </c>
      <c r="B115" s="596" t="e">
        <f>+(1-(B116/B120))*100</f>
        <v>#DIV/0!</v>
      </c>
      <c r="C115" s="379"/>
      <c r="D115" s="380"/>
      <c r="E115" s="380"/>
      <c r="F115" s="381"/>
      <c r="G115" s="382"/>
      <c r="H115" s="452" t="e">
        <f>SQRT(G116*G116+(G124*G124)+(G120*G120)+(G126*G126))</f>
        <v>#DIV/0!</v>
      </c>
      <c r="I115" s="383" t="str">
        <f>IF(B116=0,"---",(H115*2))</f>
        <v>---</v>
      </c>
      <c r="J115" s="344"/>
    </row>
    <row r="116" spans="1:11" ht="22.5" customHeight="1" x14ac:dyDescent="0.2">
      <c r="A116" s="454" t="s">
        <v>408</v>
      </c>
      <c r="B116" s="374">
        <f>Balanza!D35</f>
        <v>0</v>
      </c>
      <c r="C116" s="374"/>
      <c r="D116" s="375" t="s">
        <v>262</v>
      </c>
      <c r="E116" s="376">
        <f>SQRT((E117*E117)+(E118*E118)+(E119*E119))</f>
        <v>7.0663521942607221E-2</v>
      </c>
      <c r="F116" s="451" t="e">
        <f>(100/B120)</f>
        <v>#DIV/0!</v>
      </c>
      <c r="G116" s="377" t="e">
        <f>(E116*F116)</f>
        <v>#DIV/0!</v>
      </c>
      <c r="H116" s="345"/>
      <c r="I116" s="345"/>
      <c r="J116" s="344"/>
    </row>
    <row r="117" spans="1:11" ht="22.5" customHeight="1" x14ac:dyDescent="0.2">
      <c r="A117" s="354" t="s">
        <v>261</v>
      </c>
      <c r="B117" s="355"/>
      <c r="C117" s="356">
        <f>Balanza!E35</f>
        <v>0</v>
      </c>
      <c r="D117" s="357" t="s">
        <v>260</v>
      </c>
      <c r="E117" s="358">
        <f>C117</f>
        <v>0</v>
      </c>
      <c r="F117" s="359"/>
      <c r="G117" s="360"/>
      <c r="H117" s="344"/>
      <c r="I117" s="344"/>
      <c r="J117" s="344"/>
    </row>
    <row r="118" spans="1:11" ht="22.5" customHeight="1" x14ac:dyDescent="0.2">
      <c r="A118" s="354" t="s">
        <v>259</v>
      </c>
      <c r="B118" s="355"/>
      <c r="C118" s="361">
        <f>2*(SQRT(Balanza!$B$8+Balanza!$C$8*(POWER(B116,2))))</f>
        <v>0.12899612397277679</v>
      </c>
      <c r="D118" s="357" t="s">
        <v>258</v>
      </c>
      <c r="E118" s="358">
        <f>C118/2</f>
        <v>6.4498061986388397E-2</v>
      </c>
      <c r="F118" s="359"/>
      <c r="G118" s="360"/>
      <c r="H118" s="344"/>
      <c r="I118" s="459" t="str">
        <f>A116</f>
        <v>M ret acumulado No. 4 (g)</v>
      </c>
      <c r="J118" s="460" t="e">
        <f>G116</f>
        <v>#DIV/0!</v>
      </c>
      <c r="K118" s="461" t="e">
        <f>+J118/$J$122</f>
        <v>#DIV/0!</v>
      </c>
    </row>
    <row r="119" spans="1:11" ht="22.5" customHeight="1" x14ac:dyDescent="0.2">
      <c r="A119" s="354" t="s">
        <v>257</v>
      </c>
      <c r="B119" s="355"/>
      <c r="C119" s="356">
        <f>Balanza!$B$10</f>
        <v>0.1</v>
      </c>
      <c r="D119" s="357" t="s">
        <v>256</v>
      </c>
      <c r="E119" s="358">
        <f>(C119/SQRT(3)/2)</f>
        <v>2.8867513459481291E-2</v>
      </c>
      <c r="F119" s="359"/>
      <c r="G119" s="360"/>
      <c r="H119" s="344"/>
      <c r="I119" s="459" t="str">
        <f>A124</f>
        <v>Abertura de Tamiz No. 4 (mm)</v>
      </c>
      <c r="J119" s="460">
        <f>G124</f>
        <v>8.9999999999999993E-3</v>
      </c>
      <c r="K119" s="461" t="e">
        <f t="shared" ref="K119:K122" si="6">+J119/$J$122</f>
        <v>#DIV/0!</v>
      </c>
    </row>
    <row r="120" spans="1:11" ht="22.5" customHeight="1" x14ac:dyDescent="0.2">
      <c r="A120" s="348" t="s">
        <v>263</v>
      </c>
      <c r="B120" s="362" t="b">
        <f>Balanza!$C$25</f>
        <v>0</v>
      </c>
      <c r="C120" s="362"/>
      <c r="D120" s="350" t="s">
        <v>262</v>
      </c>
      <c r="E120" s="351">
        <f>SQRT((E121*E121)+(E122*E122)+(E123*E123))</f>
        <v>7.0663521942607221E-2</v>
      </c>
      <c r="F120" s="451" t="e">
        <f>(100*B116)/POWER(B120,2)</f>
        <v>#DIV/0!</v>
      </c>
      <c r="G120" s="353" t="e">
        <f>(E120*F120)</f>
        <v>#DIV/0!</v>
      </c>
      <c r="H120" s="344"/>
      <c r="I120" s="459" t="str">
        <f>A120</f>
        <v>M total (g)</v>
      </c>
      <c r="J120" s="460" t="e">
        <f>G120</f>
        <v>#DIV/0!</v>
      </c>
      <c r="K120" s="461" t="e">
        <f t="shared" si="6"/>
        <v>#DIV/0!</v>
      </c>
    </row>
    <row r="121" spans="1:11" ht="22.5" customHeight="1" x14ac:dyDescent="0.2">
      <c r="A121" s="354" t="s">
        <v>261</v>
      </c>
      <c r="B121" s="355"/>
      <c r="C121" s="356">
        <f>Balanza!$D$25</f>
        <v>0</v>
      </c>
      <c r="D121" s="357" t="s">
        <v>260</v>
      </c>
      <c r="E121" s="358">
        <f>C121</f>
        <v>0</v>
      </c>
      <c r="F121" s="363"/>
      <c r="G121" s="364"/>
      <c r="H121" s="344"/>
      <c r="I121" s="459" t="str">
        <f>A126</f>
        <v>Factor de presición No. 4</v>
      </c>
      <c r="J121" s="462">
        <f>G126</f>
        <v>0</v>
      </c>
      <c r="K121" s="461" t="e">
        <f t="shared" si="6"/>
        <v>#DIV/0!</v>
      </c>
    </row>
    <row r="122" spans="1:11" ht="22.5" customHeight="1" x14ac:dyDescent="0.2">
      <c r="A122" s="354" t="s">
        <v>259</v>
      </c>
      <c r="B122" s="355"/>
      <c r="C122" s="361">
        <f>2*(SQRT(Balanza!$B$8+Balanza!$C$8*(POWER(B120,2))))</f>
        <v>0.12899612397277679</v>
      </c>
      <c r="D122" s="357" t="s">
        <v>258</v>
      </c>
      <c r="E122" s="358">
        <f>C122/2</f>
        <v>6.4498061986388397E-2</v>
      </c>
      <c r="F122" s="363"/>
      <c r="G122" s="364"/>
      <c r="H122" s="344"/>
      <c r="I122" s="459"/>
      <c r="J122" s="460" t="e">
        <f>SUM(J118:J121)</f>
        <v>#DIV/0!</v>
      </c>
      <c r="K122" s="461" t="e">
        <f t="shared" si="6"/>
        <v>#DIV/0!</v>
      </c>
    </row>
    <row r="123" spans="1:11" ht="22.5" customHeight="1" x14ac:dyDescent="0.2">
      <c r="A123" s="354" t="s">
        <v>257</v>
      </c>
      <c r="B123" s="355"/>
      <c r="C123" s="356">
        <f>Balanza!$B$10</f>
        <v>0.1</v>
      </c>
      <c r="D123" s="357" t="s">
        <v>256</v>
      </c>
      <c r="E123" s="358">
        <f>(C123/SQRT(3)/2)</f>
        <v>2.8867513459481291E-2</v>
      </c>
      <c r="F123" s="363"/>
      <c r="G123" s="364"/>
      <c r="H123" s="344"/>
      <c r="I123" s="455"/>
      <c r="J123" s="456"/>
    </row>
    <row r="124" spans="1:11" ht="22.5" customHeight="1" x14ac:dyDescent="0.2">
      <c r="A124" s="348" t="s">
        <v>283</v>
      </c>
      <c r="B124" s="349">
        <v>4.75</v>
      </c>
      <c r="C124" s="349"/>
      <c r="D124" s="350" t="s">
        <v>262</v>
      </c>
      <c r="E124" s="351">
        <f>SQRT(((E125*E125)))</f>
        <v>8.9999999999999993E-3</v>
      </c>
      <c r="F124" s="352">
        <v>1</v>
      </c>
      <c r="G124" s="353">
        <f>(E124*F124)</f>
        <v>8.9999999999999993E-3</v>
      </c>
      <c r="H124" s="344"/>
    </row>
    <row r="125" spans="1:11" ht="22.5" customHeight="1" x14ac:dyDescent="0.2">
      <c r="A125" s="354" t="s">
        <v>259</v>
      </c>
      <c r="B125" s="355"/>
      <c r="C125" s="366">
        <f>Balanza!K34</f>
        <v>1.7999999999999999E-2</v>
      </c>
      <c r="D125" s="357" t="s">
        <v>258</v>
      </c>
      <c r="E125" s="358">
        <f>C125/2</f>
        <v>8.9999999999999993E-3</v>
      </c>
      <c r="F125" s="363"/>
      <c r="G125" s="364"/>
      <c r="H125" s="345"/>
    </row>
    <row r="126" spans="1:11" ht="22.5" customHeight="1" thickBot="1" x14ac:dyDescent="0.25">
      <c r="A126" s="367" t="s">
        <v>282</v>
      </c>
      <c r="B126" s="597">
        <f>+Balanza!B56</f>
        <v>0</v>
      </c>
      <c r="C126" s="368"/>
      <c r="D126" s="369" t="s">
        <v>254</v>
      </c>
      <c r="E126" s="370">
        <f>B126/SQRT(1)</f>
        <v>0</v>
      </c>
      <c r="F126" s="371">
        <v>1</v>
      </c>
      <c r="G126" s="372">
        <f>+F126*E126</f>
        <v>0</v>
      </c>
      <c r="H126" s="345"/>
      <c r="I126" s="344"/>
      <c r="J126" s="344"/>
    </row>
    <row r="127" spans="1:11" ht="22.5" customHeight="1" thickBot="1" x14ac:dyDescent="0.25">
      <c r="A127" s="285" t="str">
        <f>+A.Granul!R3</f>
        <v>-</v>
      </c>
    </row>
    <row r="128" spans="1:11" ht="22.5" customHeight="1" thickBot="1" x14ac:dyDescent="0.25">
      <c r="A128" s="378" t="s">
        <v>281</v>
      </c>
      <c r="B128" s="596" t="e">
        <f>IF($A$127="Fraccionada",B129*(1-(B130/B134)),(1-(B130/B134))*100)</f>
        <v>#DIV/0!</v>
      </c>
      <c r="C128" s="379"/>
      <c r="D128" s="380"/>
      <c r="E128" s="380"/>
      <c r="F128" s="381"/>
      <c r="G128" s="382"/>
      <c r="H128" s="452" t="e">
        <f>IF($A$127="fraccionada",SQRT(G130*G130+(G138*G138)+(G134*G134)+(G140*G140)+(G129*G129)),SQRT(G130*G130+G134*G134+G138*G138+G140*G140))</f>
        <v>#DIV/0!</v>
      </c>
      <c r="I128" s="383" t="str">
        <f>IF(B130=0,"---",(H128*2))</f>
        <v>---</v>
      </c>
      <c r="J128" s="344"/>
    </row>
    <row r="129" spans="1:11" ht="22.5" customHeight="1" x14ac:dyDescent="0.2">
      <c r="A129" s="465" t="str">
        <f>IF($A$127="Fraccionada","% pasa tamiz No 4","")</f>
        <v/>
      </c>
      <c r="B129" s="466" t="str">
        <f>IF($A$127="Fraccionada",$B$115,"")</f>
        <v/>
      </c>
      <c r="C129" s="467"/>
      <c r="D129" s="468"/>
      <c r="E129" s="469" t="str">
        <f>IF($A$127="Fraccionada",$H$115,"")</f>
        <v/>
      </c>
      <c r="F129" s="470" t="str">
        <f>IF($A$127="Fraccionada",1-B130/B134,"")</f>
        <v/>
      </c>
      <c r="G129" s="471" t="str">
        <f>IF($A$127="Fraccionada",(E129*F129),"")</f>
        <v/>
      </c>
      <c r="H129" s="463"/>
      <c r="I129" s="464"/>
      <c r="J129" s="344"/>
    </row>
    <row r="130" spans="1:11" ht="22.5" customHeight="1" x14ac:dyDescent="0.2">
      <c r="A130" s="454" t="s">
        <v>409</v>
      </c>
      <c r="B130" s="374">
        <f>Balanza!D36</f>
        <v>0</v>
      </c>
      <c r="C130" s="374"/>
      <c r="D130" s="375" t="s">
        <v>262</v>
      </c>
      <c r="E130" s="376">
        <f>SQRT((E131*E131)+(E132*E132)+(E133*E133))</f>
        <v>7.0663521942607221E-2</v>
      </c>
      <c r="F130" s="451" t="e">
        <f>IF($A$127="Fraccionada",B129/B134,100/B134)</f>
        <v>#DIV/0!</v>
      </c>
      <c r="G130" s="377" t="e">
        <f>(E130*F130)</f>
        <v>#DIV/0!</v>
      </c>
      <c r="H130" s="345"/>
      <c r="I130" s="345"/>
      <c r="J130" s="344"/>
    </row>
    <row r="131" spans="1:11" ht="22.5" customHeight="1" x14ac:dyDescent="0.2">
      <c r="A131" s="354" t="s">
        <v>261</v>
      </c>
      <c r="B131" s="355"/>
      <c r="C131" s="356">
        <f>Balanza!E36</f>
        <v>0</v>
      </c>
      <c r="D131" s="357" t="s">
        <v>260</v>
      </c>
      <c r="E131" s="358">
        <f>C131</f>
        <v>0</v>
      </c>
      <c r="F131" s="359"/>
      <c r="G131" s="360"/>
      <c r="H131" s="344"/>
      <c r="I131" s="344"/>
      <c r="J131" s="344"/>
    </row>
    <row r="132" spans="1:11" ht="22.5" customHeight="1" x14ac:dyDescent="0.2">
      <c r="A132" s="354" t="s">
        <v>259</v>
      </c>
      <c r="B132" s="355"/>
      <c r="C132" s="361">
        <f>2*(SQRT(Balanza!$B$8+Balanza!$C$8*(POWER(B130,2))))</f>
        <v>0.12899612397277679</v>
      </c>
      <c r="D132" s="357" t="s">
        <v>258</v>
      </c>
      <c r="E132" s="358">
        <f>C132/2</f>
        <v>6.4498061986388397E-2</v>
      </c>
      <c r="F132" s="359"/>
      <c r="G132" s="360"/>
      <c r="H132" s="344"/>
      <c r="I132" s="459" t="str">
        <f>A130</f>
        <v>M ret acumulado No. 10 (g)</v>
      </c>
      <c r="J132" s="460" t="e">
        <f>G130</f>
        <v>#DIV/0!</v>
      </c>
      <c r="K132" s="461" t="e">
        <f>+J132/$J$136</f>
        <v>#DIV/0!</v>
      </c>
    </row>
    <row r="133" spans="1:11" ht="22.5" customHeight="1" x14ac:dyDescent="0.2">
      <c r="A133" s="354" t="s">
        <v>257</v>
      </c>
      <c r="B133" s="355"/>
      <c r="C133" s="356">
        <f>Balanza!$B$10</f>
        <v>0.1</v>
      </c>
      <c r="D133" s="357" t="s">
        <v>256</v>
      </c>
      <c r="E133" s="358">
        <f>(C133/SQRT(3)/2)</f>
        <v>2.8867513459481291E-2</v>
      </c>
      <c r="F133" s="359"/>
      <c r="G133" s="360"/>
      <c r="H133" s="344"/>
      <c r="I133" s="459" t="str">
        <f>A138</f>
        <v>Abertura de Tamiz No. 10 (mm)</v>
      </c>
      <c r="J133" s="460">
        <f>G138</f>
        <v>3.2499999999999999E-3</v>
      </c>
      <c r="K133" s="461" t="e">
        <f t="shared" ref="K133:K136" si="7">+J133/$J$136</f>
        <v>#DIV/0!</v>
      </c>
    </row>
    <row r="134" spans="1:11" ht="22.5" customHeight="1" x14ac:dyDescent="0.2">
      <c r="A134" s="348" t="s">
        <v>263</v>
      </c>
      <c r="B134" s="535" t="b">
        <f>IF($A$127="Fraccionada",A.Granul!$V$13,A.Granul!$V$12)</f>
        <v>0</v>
      </c>
      <c r="C134" s="362"/>
      <c r="D134" s="350" t="s">
        <v>262</v>
      </c>
      <c r="E134" s="351">
        <f>SQRT((E135*E135)+(E136*E136)+(E137*E137))</f>
        <v>7.0663521942607221E-2</v>
      </c>
      <c r="F134" s="532" t="e">
        <f>IF($A$127="Fraccionada",B130*B129/POWER(B134,2),(100*B130)/POWER(B134,2))</f>
        <v>#DIV/0!</v>
      </c>
      <c r="G134" s="353" t="e">
        <f>(E134*F134)</f>
        <v>#DIV/0!</v>
      </c>
      <c r="H134" s="344"/>
      <c r="I134" s="459" t="str">
        <f>A134</f>
        <v>M total (g)</v>
      </c>
      <c r="J134" s="460" t="e">
        <f>G134</f>
        <v>#DIV/0!</v>
      </c>
      <c r="K134" s="461" t="e">
        <f t="shared" si="7"/>
        <v>#DIV/0!</v>
      </c>
    </row>
    <row r="135" spans="1:11" ht="22.5" customHeight="1" x14ac:dyDescent="0.2">
      <c r="A135" s="354" t="s">
        <v>261</v>
      </c>
      <c r="B135" s="355"/>
      <c r="C135" s="356">
        <f>Balanza!$D$25</f>
        <v>0</v>
      </c>
      <c r="D135" s="357" t="s">
        <v>260</v>
      </c>
      <c r="E135" s="358">
        <f>C135</f>
        <v>0</v>
      </c>
      <c r="F135" s="363"/>
      <c r="G135" s="364"/>
      <c r="H135" s="344"/>
      <c r="I135" s="459" t="str">
        <f>A140</f>
        <v>Factor de presición No. 10</v>
      </c>
      <c r="J135" s="462">
        <f>G140</f>
        <v>0.8318450161014973</v>
      </c>
      <c r="K135" s="461" t="e">
        <f t="shared" si="7"/>
        <v>#DIV/0!</v>
      </c>
    </row>
    <row r="136" spans="1:11" ht="22.5" customHeight="1" x14ac:dyDescent="0.2">
      <c r="A136" s="354" t="s">
        <v>259</v>
      </c>
      <c r="B136" s="355"/>
      <c r="C136" s="361">
        <f>2*(SQRT(Balanza!$B$8+Balanza!$C$8*(POWER(B134,2))))</f>
        <v>0.12899612397277679</v>
      </c>
      <c r="D136" s="357" t="s">
        <v>258</v>
      </c>
      <c r="E136" s="358">
        <f>C136/2</f>
        <v>6.4498061986388397E-2</v>
      </c>
      <c r="F136" s="363"/>
      <c r="G136" s="364"/>
      <c r="H136" s="344"/>
      <c r="I136" s="459"/>
      <c r="J136" s="460" t="e">
        <f>SUM(J132:J135)</f>
        <v>#DIV/0!</v>
      </c>
      <c r="K136" s="461" t="e">
        <f t="shared" si="7"/>
        <v>#DIV/0!</v>
      </c>
    </row>
    <row r="137" spans="1:11" ht="22.5" customHeight="1" x14ac:dyDescent="0.2">
      <c r="A137" s="354" t="s">
        <v>257</v>
      </c>
      <c r="B137" s="355"/>
      <c r="C137" s="356">
        <f>Balanza!$B$10</f>
        <v>0.1</v>
      </c>
      <c r="D137" s="357" t="s">
        <v>256</v>
      </c>
      <c r="E137" s="358">
        <f>(C137/SQRT(3)/2)</f>
        <v>2.8867513459481291E-2</v>
      </c>
      <c r="F137" s="363"/>
      <c r="G137" s="364"/>
      <c r="H137" s="344"/>
      <c r="I137" s="455"/>
      <c r="J137" s="456"/>
    </row>
    <row r="138" spans="1:11" ht="22.5" customHeight="1" x14ac:dyDescent="0.2">
      <c r="A138" s="348" t="s">
        <v>280</v>
      </c>
      <c r="B138" s="349">
        <v>2</v>
      </c>
      <c r="C138" s="349"/>
      <c r="D138" s="350" t="s">
        <v>262</v>
      </c>
      <c r="E138" s="351">
        <f>SQRT(((E139*E139)))</f>
        <v>3.2499999999999999E-3</v>
      </c>
      <c r="F138" s="352">
        <v>1</v>
      </c>
      <c r="G138" s="353">
        <f>(E138*F138)</f>
        <v>3.2499999999999999E-3</v>
      </c>
      <c r="H138" s="344"/>
    </row>
    <row r="139" spans="1:11" ht="22.5" customHeight="1" x14ac:dyDescent="0.2">
      <c r="A139" s="354" t="s">
        <v>259</v>
      </c>
      <c r="B139" s="355"/>
      <c r="C139" s="366">
        <f>Balanza!K35</f>
        <v>6.4999999999999997E-3</v>
      </c>
      <c r="D139" s="357" t="s">
        <v>258</v>
      </c>
      <c r="E139" s="358">
        <f>C139/2</f>
        <v>3.2499999999999999E-3</v>
      </c>
      <c r="F139" s="363"/>
      <c r="G139" s="364"/>
      <c r="H139" s="345"/>
    </row>
    <row r="140" spans="1:11" ht="22.5" customHeight="1" thickBot="1" x14ac:dyDescent="0.25">
      <c r="A140" s="367" t="s">
        <v>279</v>
      </c>
      <c r="B140" s="597">
        <f>+Balanza!B57</f>
        <v>0.8318450161014973</v>
      </c>
      <c r="C140" s="368"/>
      <c r="D140" s="369" t="s">
        <v>254</v>
      </c>
      <c r="E140" s="370">
        <f>B140/SQRT(1)</f>
        <v>0.8318450161014973</v>
      </c>
      <c r="F140" s="371">
        <v>1</v>
      </c>
      <c r="G140" s="372">
        <f>+F140*E140</f>
        <v>0.8318450161014973</v>
      </c>
      <c r="H140" s="345"/>
      <c r="I140" s="344"/>
      <c r="J140" s="344"/>
    </row>
    <row r="141" spans="1:11" ht="22.5" customHeight="1" thickBot="1" x14ac:dyDescent="0.25"/>
    <row r="142" spans="1:11" ht="22.5" customHeight="1" thickBot="1" x14ac:dyDescent="0.25">
      <c r="A142" s="378" t="s">
        <v>278</v>
      </c>
      <c r="B142" s="596" t="e">
        <f>IF($A$127="Fraccionada",B143*(1-(B144/B148)),(1-(B144/B148))*100)</f>
        <v>#DIV/0!</v>
      </c>
      <c r="C142" s="379"/>
      <c r="D142" s="380"/>
      <c r="E142" s="380"/>
      <c r="F142" s="381"/>
      <c r="G142" s="382"/>
      <c r="H142" s="452" t="e">
        <f>IF($A$127="fraccionada",SQRT(G144*G144+(G152*G152)+(G148*G148)+(G154*G154)+(G143*G143)),SQRT(G144*G144+G148*G148+G152*G152+G154*G154))</f>
        <v>#DIV/0!</v>
      </c>
      <c r="I142" s="383" t="str">
        <f>IF(B144=0,"---",(H142*2))</f>
        <v>---</v>
      </c>
      <c r="J142" s="344"/>
    </row>
    <row r="143" spans="1:11" ht="22.5" customHeight="1" x14ac:dyDescent="0.2">
      <c r="A143" s="465" t="str">
        <f>IF($A$127="Fraccionada","% pasa tamiz No 4","")</f>
        <v/>
      </c>
      <c r="B143" s="466" t="str">
        <f>IF($A$127="Fraccionada",$B$115,"")</f>
        <v/>
      </c>
      <c r="C143" s="467"/>
      <c r="D143" s="468"/>
      <c r="E143" s="469" t="str">
        <f>IF($A$127="Fraccionada",$H$115,"")</f>
        <v/>
      </c>
      <c r="F143" s="470" t="str">
        <f>IF($A$127="Fraccionada",1-B144/B148,"")</f>
        <v/>
      </c>
      <c r="G143" s="471" t="str">
        <f>IF($A$127="Fraccionada",(E143*F143),"")</f>
        <v/>
      </c>
      <c r="H143" s="463"/>
      <c r="I143" s="464"/>
      <c r="J143" s="344"/>
    </row>
    <row r="144" spans="1:11" ht="22.5" customHeight="1" x14ac:dyDescent="0.2">
      <c r="A144" s="454" t="s">
        <v>410</v>
      </c>
      <c r="B144" s="374">
        <f>Balanza!D37</f>
        <v>0</v>
      </c>
      <c r="C144" s="374"/>
      <c r="D144" s="375" t="s">
        <v>262</v>
      </c>
      <c r="E144" s="376">
        <f>SQRT((E145*E145)+(E146*E146)+(E147*E147))</f>
        <v>7.0663521942607221E-2</v>
      </c>
      <c r="F144" s="451" t="e">
        <f>IF($A$127="Fraccionada",B143/B148,100/B148)</f>
        <v>#DIV/0!</v>
      </c>
      <c r="G144" s="377" t="e">
        <f>(E144*F144)</f>
        <v>#DIV/0!</v>
      </c>
      <c r="H144" s="345"/>
      <c r="I144" s="345"/>
      <c r="J144" s="344"/>
    </row>
    <row r="145" spans="1:11" ht="22.5" customHeight="1" x14ac:dyDescent="0.2">
      <c r="A145" s="354" t="s">
        <v>261</v>
      </c>
      <c r="B145" s="355"/>
      <c r="C145" s="356">
        <f>Balanza!E37</f>
        <v>0</v>
      </c>
      <c r="D145" s="357" t="s">
        <v>260</v>
      </c>
      <c r="E145" s="358">
        <f>C145</f>
        <v>0</v>
      </c>
      <c r="F145" s="359"/>
      <c r="G145" s="360"/>
      <c r="H145" s="344"/>
      <c r="I145" s="344"/>
      <c r="J145" s="344"/>
    </row>
    <row r="146" spans="1:11" ht="22.5" customHeight="1" x14ac:dyDescent="0.2">
      <c r="A146" s="354" t="s">
        <v>259</v>
      </c>
      <c r="B146" s="355"/>
      <c r="C146" s="361">
        <f>2*(SQRT(Balanza!$B$8+Balanza!$C$8*(POWER(B144,2))))</f>
        <v>0.12899612397277679</v>
      </c>
      <c r="D146" s="357" t="s">
        <v>258</v>
      </c>
      <c r="E146" s="358">
        <f>C146/2</f>
        <v>6.4498061986388397E-2</v>
      </c>
      <c r="F146" s="359"/>
      <c r="G146" s="360"/>
      <c r="H146" s="344"/>
      <c r="I146" s="459" t="str">
        <f>A144</f>
        <v>M ret acumulado No. 20 (g)</v>
      </c>
      <c r="J146" s="460" t="e">
        <f>G144</f>
        <v>#DIV/0!</v>
      </c>
      <c r="K146" s="461" t="e">
        <f>+J146/$J$150</f>
        <v>#DIV/0!</v>
      </c>
    </row>
    <row r="147" spans="1:11" ht="22.5" customHeight="1" x14ac:dyDescent="0.2">
      <c r="A147" s="354" t="s">
        <v>257</v>
      </c>
      <c r="B147" s="355"/>
      <c r="C147" s="356">
        <f>Balanza!$B$10</f>
        <v>0.1</v>
      </c>
      <c r="D147" s="357" t="s">
        <v>256</v>
      </c>
      <c r="E147" s="358">
        <f>(C147/SQRT(3)/2)</f>
        <v>2.8867513459481291E-2</v>
      </c>
      <c r="F147" s="359"/>
      <c r="G147" s="360"/>
      <c r="H147" s="344"/>
      <c r="I147" s="459" t="str">
        <f>A152</f>
        <v>Abertura de Tamiz No. 20 (mm)</v>
      </c>
      <c r="J147" s="460">
        <f>G152</f>
        <v>2.7000000000000001E-3</v>
      </c>
      <c r="K147" s="461" t="e">
        <f t="shared" ref="K147:K150" si="8">+J147/$J$150</f>
        <v>#DIV/0!</v>
      </c>
    </row>
    <row r="148" spans="1:11" ht="22.5" customHeight="1" x14ac:dyDescent="0.2">
      <c r="A148" s="348" t="s">
        <v>263</v>
      </c>
      <c r="B148" s="535" t="b">
        <f>IF($A$127="Fraccionada",A.Granul!$V$13,A.Granul!$V$12)</f>
        <v>0</v>
      </c>
      <c r="C148" s="362"/>
      <c r="D148" s="350" t="s">
        <v>262</v>
      </c>
      <c r="E148" s="351">
        <f>SQRT((E149*E149)+(E150*E150)+(E151*E151))</f>
        <v>7.0663521942607221E-2</v>
      </c>
      <c r="F148" s="532" t="e">
        <f>IF($A$127="Fraccionada",B144*B143/POWER(B148,2),(100*B144)/POWER(B148,2))</f>
        <v>#DIV/0!</v>
      </c>
      <c r="G148" s="353" t="e">
        <f>(E148*F148)</f>
        <v>#DIV/0!</v>
      </c>
      <c r="H148" s="344"/>
      <c r="I148" s="459" t="str">
        <f>A148</f>
        <v>M total (g)</v>
      </c>
      <c r="J148" s="460" t="e">
        <f>G148</f>
        <v>#DIV/0!</v>
      </c>
      <c r="K148" s="461" t="e">
        <f t="shared" si="8"/>
        <v>#DIV/0!</v>
      </c>
    </row>
    <row r="149" spans="1:11" ht="22.5" customHeight="1" x14ac:dyDescent="0.2">
      <c r="A149" s="354" t="s">
        <v>261</v>
      </c>
      <c r="B149" s="355"/>
      <c r="C149" s="356">
        <f>Balanza!$D$25</f>
        <v>0</v>
      </c>
      <c r="D149" s="357" t="s">
        <v>260</v>
      </c>
      <c r="E149" s="358">
        <f>C149</f>
        <v>0</v>
      </c>
      <c r="F149" s="363"/>
      <c r="G149" s="364"/>
      <c r="H149" s="344"/>
      <c r="I149" s="459" t="str">
        <f>A154</f>
        <v>Factor de presición No. 20</v>
      </c>
      <c r="J149" s="462">
        <f>G154</f>
        <v>0.7433056204311973</v>
      </c>
      <c r="K149" s="461" t="e">
        <f t="shared" si="8"/>
        <v>#DIV/0!</v>
      </c>
    </row>
    <row r="150" spans="1:11" ht="22.5" customHeight="1" x14ac:dyDescent="0.2">
      <c r="A150" s="354" t="s">
        <v>259</v>
      </c>
      <c r="B150" s="355"/>
      <c r="C150" s="361">
        <f>2*(SQRT(Balanza!$B$8+Balanza!$C$8*(POWER(B148,2))))</f>
        <v>0.12899612397277679</v>
      </c>
      <c r="D150" s="357" t="s">
        <v>258</v>
      </c>
      <c r="E150" s="358">
        <f>C150/2</f>
        <v>6.4498061986388397E-2</v>
      </c>
      <c r="F150" s="363"/>
      <c r="G150" s="364"/>
      <c r="H150" s="344"/>
      <c r="I150" s="459"/>
      <c r="J150" s="460" t="e">
        <f>SUM(J146:J149)</f>
        <v>#DIV/0!</v>
      </c>
      <c r="K150" s="461" t="e">
        <f t="shared" si="8"/>
        <v>#DIV/0!</v>
      </c>
    </row>
    <row r="151" spans="1:11" ht="22.5" customHeight="1" x14ac:dyDescent="0.2">
      <c r="A151" s="354" t="s">
        <v>257</v>
      </c>
      <c r="B151" s="355"/>
      <c r="C151" s="356">
        <f>Balanza!$B$10</f>
        <v>0.1</v>
      </c>
      <c r="D151" s="357" t="s">
        <v>256</v>
      </c>
      <c r="E151" s="358">
        <f>(C151/SQRT(3)/2)</f>
        <v>2.8867513459481291E-2</v>
      </c>
      <c r="F151" s="363"/>
      <c r="G151" s="364"/>
      <c r="H151" s="344"/>
      <c r="I151" s="455"/>
      <c r="J151" s="456"/>
    </row>
    <row r="152" spans="1:11" ht="22.5" customHeight="1" x14ac:dyDescent="0.2">
      <c r="A152" s="348" t="s">
        <v>277</v>
      </c>
      <c r="B152" s="349">
        <v>0.85</v>
      </c>
      <c r="C152" s="349"/>
      <c r="D152" s="350" t="s">
        <v>262</v>
      </c>
      <c r="E152" s="351">
        <f>SQRT(((E153*E153)))</f>
        <v>2.7000000000000001E-3</v>
      </c>
      <c r="F152" s="352">
        <v>1</v>
      </c>
      <c r="G152" s="353">
        <f>(E152*F152)</f>
        <v>2.7000000000000001E-3</v>
      </c>
      <c r="H152" s="344"/>
    </row>
    <row r="153" spans="1:11" ht="22.5" customHeight="1" x14ac:dyDescent="0.2">
      <c r="A153" s="354" t="s">
        <v>259</v>
      </c>
      <c r="B153" s="355"/>
      <c r="C153" s="366">
        <f>Balanza!K36</f>
        <v>5.4000000000000003E-3</v>
      </c>
      <c r="D153" s="357" t="s">
        <v>258</v>
      </c>
      <c r="E153" s="358">
        <f>C153/2</f>
        <v>2.7000000000000001E-3</v>
      </c>
      <c r="F153" s="363"/>
      <c r="G153" s="364"/>
      <c r="H153" s="345"/>
    </row>
    <row r="154" spans="1:11" ht="22.5" customHeight="1" thickBot="1" x14ac:dyDescent="0.25">
      <c r="A154" s="367" t="s">
        <v>276</v>
      </c>
      <c r="B154" s="597">
        <f>+Balanza!B58</f>
        <v>0.7433056204311973</v>
      </c>
      <c r="C154" s="368"/>
      <c r="D154" s="369" t="s">
        <v>254</v>
      </c>
      <c r="E154" s="370">
        <f>B154/SQRT(1)</f>
        <v>0.7433056204311973</v>
      </c>
      <c r="F154" s="371">
        <v>1</v>
      </c>
      <c r="G154" s="372">
        <f>+F154*E154</f>
        <v>0.7433056204311973</v>
      </c>
      <c r="H154" s="345"/>
      <c r="I154" s="344"/>
      <c r="J154" s="344"/>
    </row>
    <row r="155" spans="1:11" ht="22.5" customHeight="1" thickBot="1" x14ac:dyDescent="0.25"/>
    <row r="156" spans="1:11" ht="22.5" customHeight="1" thickBot="1" x14ac:dyDescent="0.25">
      <c r="A156" s="378" t="s">
        <v>275</v>
      </c>
      <c r="B156" s="596" t="e">
        <f>IF($A$127="Fraccionada",B157*(1-(B158/B162)),(1-(B158/B162))*100)</f>
        <v>#DIV/0!</v>
      </c>
      <c r="C156" s="379"/>
      <c r="D156" s="380"/>
      <c r="E156" s="380"/>
      <c r="F156" s="381"/>
      <c r="G156" s="382"/>
      <c r="H156" s="452" t="e">
        <f>IF($A$127="fraccionada",SQRT(G158*G158+(G166*G166)+(G162*G162)+(G168*G168)+(G157*G157)),SQRT(G158*G158+G162*G162+G166*G166+G168*G168))</f>
        <v>#DIV/0!</v>
      </c>
      <c r="I156" s="383" t="str">
        <f>IF(B158=0,"---",(H156*2))</f>
        <v>---</v>
      </c>
      <c r="J156" s="344"/>
    </row>
    <row r="157" spans="1:11" ht="22.5" customHeight="1" x14ac:dyDescent="0.2">
      <c r="A157" s="465" t="str">
        <f>IF($A$127="Fraccionada","% pasa tamiz No 4","")</f>
        <v/>
      </c>
      <c r="B157" s="466" t="str">
        <f>IF($A$127="Fraccionada",$B$115,"")</f>
        <v/>
      </c>
      <c r="C157" s="467"/>
      <c r="D157" s="468"/>
      <c r="E157" s="469" t="str">
        <f>IF($A$127="Fraccionada",$H$115,"")</f>
        <v/>
      </c>
      <c r="F157" s="470" t="str">
        <f>IF($A$127="Fraccionada",1-B158/B162,"")</f>
        <v/>
      </c>
      <c r="G157" s="471" t="str">
        <f>IF($A$127="Fraccionada",(E157*F157),"")</f>
        <v/>
      </c>
      <c r="H157" s="463"/>
      <c r="I157" s="464"/>
      <c r="J157" s="344"/>
    </row>
    <row r="158" spans="1:11" ht="22.5" customHeight="1" x14ac:dyDescent="0.2">
      <c r="A158" s="454" t="s">
        <v>411</v>
      </c>
      <c r="B158" s="374">
        <f>Balanza!D38</f>
        <v>0</v>
      </c>
      <c r="C158" s="374"/>
      <c r="D158" s="375" t="s">
        <v>262</v>
      </c>
      <c r="E158" s="376">
        <f>SQRT((E159*E159)+(E160*E160)+(E161*E161))</f>
        <v>7.0663521942607221E-2</v>
      </c>
      <c r="F158" s="451" t="e">
        <f>IF($A$127="Fraccionada",B157/B162,100/B162)</f>
        <v>#DIV/0!</v>
      </c>
      <c r="G158" s="377" t="e">
        <f>(E158*F158)</f>
        <v>#DIV/0!</v>
      </c>
      <c r="H158" s="345"/>
      <c r="I158" s="345"/>
      <c r="J158" s="344"/>
    </row>
    <row r="159" spans="1:11" ht="22.5" customHeight="1" x14ac:dyDescent="0.2">
      <c r="A159" s="354" t="s">
        <v>261</v>
      </c>
      <c r="B159" s="355"/>
      <c r="C159" s="356">
        <f>Balanza!E38</f>
        <v>0</v>
      </c>
      <c r="D159" s="357" t="s">
        <v>260</v>
      </c>
      <c r="E159" s="358">
        <f>C159</f>
        <v>0</v>
      </c>
      <c r="F159" s="359"/>
      <c r="G159" s="360"/>
      <c r="H159" s="344"/>
      <c r="I159" s="344"/>
      <c r="J159" s="344"/>
    </row>
    <row r="160" spans="1:11" ht="22.5" customHeight="1" x14ac:dyDescent="0.2">
      <c r="A160" s="354" t="s">
        <v>259</v>
      </c>
      <c r="B160" s="355"/>
      <c r="C160" s="361">
        <f>2*(SQRT(Balanza!$B$8+Balanza!$C$8*(POWER(B158,2))))</f>
        <v>0.12899612397277679</v>
      </c>
      <c r="D160" s="357" t="s">
        <v>258</v>
      </c>
      <c r="E160" s="358">
        <f>C160/2</f>
        <v>6.4498061986388397E-2</v>
      </c>
      <c r="F160" s="359"/>
      <c r="G160" s="360"/>
      <c r="H160" s="344"/>
      <c r="I160" s="459" t="str">
        <f>A158</f>
        <v>M ret acumulado No. 40 (g)</v>
      </c>
      <c r="J160" s="460" t="e">
        <f>G158</f>
        <v>#DIV/0!</v>
      </c>
      <c r="K160" s="461" t="e">
        <f>+J160/$J$164</f>
        <v>#DIV/0!</v>
      </c>
    </row>
    <row r="161" spans="1:11" ht="22.5" customHeight="1" x14ac:dyDescent="0.2">
      <c r="A161" s="354" t="s">
        <v>257</v>
      </c>
      <c r="B161" s="355"/>
      <c r="C161" s="356">
        <f>Balanza!$B$10</f>
        <v>0.1</v>
      </c>
      <c r="D161" s="357" t="s">
        <v>256</v>
      </c>
      <c r="E161" s="358">
        <f>(C161/SQRT(3)/2)</f>
        <v>2.8867513459481291E-2</v>
      </c>
      <c r="F161" s="359"/>
      <c r="G161" s="360"/>
      <c r="H161" s="344"/>
      <c r="I161" s="459" t="str">
        <f>A166</f>
        <v>Abertura de Tamiz No. 40 (mm)</v>
      </c>
      <c r="J161" s="460">
        <f>G166</f>
        <v>1.3500000000000001E-3</v>
      </c>
      <c r="K161" s="461" t="e">
        <f t="shared" ref="K161:K164" si="9">+J161/$J$164</f>
        <v>#DIV/0!</v>
      </c>
    </row>
    <row r="162" spans="1:11" ht="22.5" customHeight="1" x14ac:dyDescent="0.2">
      <c r="A162" s="348" t="s">
        <v>263</v>
      </c>
      <c r="B162" s="535" t="b">
        <f>IF($A$127="Fraccionada",A.Granul!$V$13,A.Granul!$V$12)</f>
        <v>0</v>
      </c>
      <c r="C162" s="362"/>
      <c r="D162" s="350" t="s">
        <v>262</v>
      </c>
      <c r="E162" s="351">
        <f>SQRT((E163*E163)+(E164*E164)+(E165*E165))</f>
        <v>7.0663521942607221E-2</v>
      </c>
      <c r="F162" s="532" t="e">
        <f>IF($A$127="Fraccionada",B158*B157/POWER(B162,2),(100*B158)/POWER(B162,2))</f>
        <v>#DIV/0!</v>
      </c>
      <c r="G162" s="353" t="e">
        <f>(E162*F162)</f>
        <v>#DIV/0!</v>
      </c>
      <c r="H162" s="344"/>
      <c r="I162" s="459" t="str">
        <f>A162</f>
        <v>M total (g)</v>
      </c>
      <c r="J162" s="460" t="e">
        <f>G162</f>
        <v>#DIV/0!</v>
      </c>
      <c r="K162" s="461" t="e">
        <f t="shared" si="9"/>
        <v>#DIV/0!</v>
      </c>
    </row>
    <row r="163" spans="1:11" ht="22.5" customHeight="1" x14ac:dyDescent="0.2">
      <c r="A163" s="354" t="s">
        <v>261</v>
      </c>
      <c r="B163" s="355"/>
      <c r="C163" s="356">
        <f>Balanza!$D$25</f>
        <v>0</v>
      </c>
      <c r="D163" s="357" t="s">
        <v>260</v>
      </c>
      <c r="E163" s="358">
        <f>C163</f>
        <v>0</v>
      </c>
      <c r="F163" s="363"/>
      <c r="G163" s="364"/>
      <c r="H163" s="344"/>
      <c r="I163" s="459" t="str">
        <f>A168</f>
        <v>Factor de presición No. 40</v>
      </c>
      <c r="J163" s="462">
        <f>G168</f>
        <v>0.59123133723608068</v>
      </c>
      <c r="K163" s="461" t="e">
        <f t="shared" si="9"/>
        <v>#DIV/0!</v>
      </c>
    </row>
    <row r="164" spans="1:11" ht="22.5" customHeight="1" x14ac:dyDescent="0.2">
      <c r="A164" s="354" t="s">
        <v>259</v>
      </c>
      <c r="B164" s="355"/>
      <c r="C164" s="361">
        <f>2*(SQRT(Balanza!$B$8+Balanza!$C$8*(POWER(B162,2))))</f>
        <v>0.12899612397277679</v>
      </c>
      <c r="D164" s="357" t="s">
        <v>258</v>
      </c>
      <c r="E164" s="358">
        <f>C164/2</f>
        <v>6.4498061986388397E-2</v>
      </c>
      <c r="F164" s="363"/>
      <c r="G164" s="364"/>
      <c r="H164" s="344"/>
      <c r="I164" s="459"/>
      <c r="J164" s="460" t="e">
        <f>SUM(J160:J163)</f>
        <v>#DIV/0!</v>
      </c>
      <c r="K164" s="461" t="e">
        <f t="shared" si="9"/>
        <v>#DIV/0!</v>
      </c>
    </row>
    <row r="165" spans="1:11" ht="22.5" customHeight="1" x14ac:dyDescent="0.2">
      <c r="A165" s="354" t="s">
        <v>257</v>
      </c>
      <c r="B165" s="355"/>
      <c r="C165" s="356">
        <f>Balanza!$B$10</f>
        <v>0.1</v>
      </c>
      <c r="D165" s="357" t="s">
        <v>256</v>
      </c>
      <c r="E165" s="358">
        <f>(C165/SQRT(3)/2)</f>
        <v>2.8867513459481291E-2</v>
      </c>
      <c r="F165" s="363"/>
      <c r="G165" s="364"/>
      <c r="H165" s="344"/>
      <c r="I165" s="455"/>
      <c r="J165" s="456"/>
    </row>
    <row r="166" spans="1:11" ht="22.5" customHeight="1" x14ac:dyDescent="0.2">
      <c r="A166" s="348" t="s">
        <v>274</v>
      </c>
      <c r="B166" s="365">
        <v>0.42499999999999999</v>
      </c>
      <c r="C166" s="365"/>
      <c r="D166" s="350" t="s">
        <v>262</v>
      </c>
      <c r="E166" s="351">
        <f>SQRT(((E167*E167)))</f>
        <v>1.3500000000000001E-3</v>
      </c>
      <c r="F166" s="352">
        <v>1</v>
      </c>
      <c r="G166" s="353">
        <f>(E166*F166)</f>
        <v>1.3500000000000001E-3</v>
      </c>
      <c r="H166" s="344"/>
    </row>
    <row r="167" spans="1:11" ht="22.5" customHeight="1" x14ac:dyDescent="0.2">
      <c r="A167" s="354" t="s">
        <v>259</v>
      </c>
      <c r="B167" s="355"/>
      <c r="C167" s="366">
        <f>Balanza!K37</f>
        <v>2.7000000000000001E-3</v>
      </c>
      <c r="D167" s="357" t="s">
        <v>258</v>
      </c>
      <c r="E167" s="358">
        <f>C167/2</f>
        <v>1.3500000000000001E-3</v>
      </c>
      <c r="F167" s="363"/>
      <c r="G167" s="364"/>
      <c r="H167" s="345"/>
    </row>
    <row r="168" spans="1:11" ht="22.5" customHeight="1" thickBot="1" x14ac:dyDescent="0.25">
      <c r="A168" s="367" t="s">
        <v>273</v>
      </c>
      <c r="B168" s="597">
        <f>+Balanza!B59</f>
        <v>0.59123133723608068</v>
      </c>
      <c r="C168" s="368"/>
      <c r="D168" s="369" t="s">
        <v>254</v>
      </c>
      <c r="E168" s="370">
        <f>B168/SQRT(1)</f>
        <v>0.59123133723608068</v>
      </c>
      <c r="F168" s="371">
        <v>1</v>
      </c>
      <c r="G168" s="372">
        <f>+F168*E168</f>
        <v>0.59123133723608068</v>
      </c>
      <c r="H168" s="345"/>
      <c r="I168" s="344"/>
      <c r="J168" s="344"/>
    </row>
    <row r="169" spans="1:11" ht="22.5" customHeight="1" thickBot="1" x14ac:dyDescent="0.25"/>
    <row r="170" spans="1:11" ht="22.5" customHeight="1" thickBot="1" x14ac:dyDescent="0.25">
      <c r="A170" s="378" t="s">
        <v>272</v>
      </c>
      <c r="B170" s="596" t="e">
        <f>IF($A$127="Fraccionada",B171*(1-(B172/B176)),(1-(B172/B176))*100)</f>
        <v>#DIV/0!</v>
      </c>
      <c r="C170" s="379"/>
      <c r="D170" s="380"/>
      <c r="E170" s="380"/>
      <c r="F170" s="381"/>
      <c r="G170" s="382"/>
      <c r="H170" s="452" t="e">
        <f>IF($A$127="fraccionada",SQRT(G172*G172+(G180*G180)+(G176*G176)+(G182*G182)+(G171*G171)),SQRT(G172*G172+G176*G176+G180*G180+G182*G182))</f>
        <v>#DIV/0!</v>
      </c>
      <c r="I170" s="383" t="str">
        <f>IF(B172=0,"---",(H170*2))</f>
        <v>---</v>
      </c>
      <c r="J170" s="344"/>
    </row>
    <row r="171" spans="1:11" ht="22.5" customHeight="1" x14ac:dyDescent="0.2">
      <c r="A171" s="465" t="str">
        <f>IF($A$127="Fraccionada","% pasa tamiz No 4","")</f>
        <v/>
      </c>
      <c r="B171" s="466" t="str">
        <f>IF($A$127="Fraccionada",$B$115,"")</f>
        <v/>
      </c>
      <c r="C171" s="467"/>
      <c r="D171" s="468"/>
      <c r="E171" s="469" t="str">
        <f>IF($A$127="Fraccionada",$H$115,"")</f>
        <v/>
      </c>
      <c r="F171" s="470" t="str">
        <f>IF($A$127="Fraccionada",1-B172/B176,"")</f>
        <v/>
      </c>
      <c r="G171" s="471" t="str">
        <f>IF($A$127="Fraccionada",(E171*F171),"")</f>
        <v/>
      </c>
      <c r="H171" s="463"/>
      <c r="I171" s="464"/>
      <c r="J171" s="344"/>
    </row>
    <row r="172" spans="1:11" ht="22.5" customHeight="1" x14ac:dyDescent="0.2">
      <c r="A172" s="454" t="s">
        <v>412</v>
      </c>
      <c r="B172" s="374">
        <f>Balanza!D39</f>
        <v>0</v>
      </c>
      <c r="C172" s="374"/>
      <c r="D172" s="375" t="s">
        <v>262</v>
      </c>
      <c r="E172" s="376">
        <f>SQRT((E173*E173)+(E174*E174)+(E175*E175))</f>
        <v>7.0663521942607221E-2</v>
      </c>
      <c r="F172" s="451" t="e">
        <f>IF($A$127="Fraccionada",B171/B176,100/B176)</f>
        <v>#DIV/0!</v>
      </c>
      <c r="G172" s="377" t="e">
        <f>(E172*F172)</f>
        <v>#DIV/0!</v>
      </c>
      <c r="H172" s="345"/>
      <c r="I172" s="345"/>
      <c r="J172" s="344"/>
    </row>
    <row r="173" spans="1:11" ht="22.5" customHeight="1" x14ac:dyDescent="0.2">
      <c r="A173" s="354" t="s">
        <v>261</v>
      </c>
      <c r="B173" s="355"/>
      <c r="C173" s="356">
        <f>Balanza!E39</f>
        <v>0</v>
      </c>
      <c r="D173" s="357" t="s">
        <v>260</v>
      </c>
      <c r="E173" s="358">
        <f>C173</f>
        <v>0</v>
      </c>
      <c r="F173" s="359"/>
      <c r="G173" s="360"/>
      <c r="H173" s="344"/>
      <c r="I173" s="344"/>
      <c r="J173" s="344"/>
    </row>
    <row r="174" spans="1:11" ht="22.5" customHeight="1" x14ac:dyDescent="0.2">
      <c r="A174" s="354" t="s">
        <v>259</v>
      </c>
      <c r="B174" s="355"/>
      <c r="C174" s="361">
        <f>2*(SQRT(Balanza!$B$8+Balanza!$C$8*(POWER(B172,2))))</f>
        <v>0.12899612397277679</v>
      </c>
      <c r="D174" s="357" t="s">
        <v>258</v>
      </c>
      <c r="E174" s="358">
        <f>C174/2</f>
        <v>6.4498061986388397E-2</v>
      </c>
      <c r="F174" s="359"/>
      <c r="G174" s="360"/>
      <c r="H174" s="344"/>
      <c r="I174" s="459" t="str">
        <f>A172</f>
        <v>M ret acumulado No. 60 (g)</v>
      </c>
      <c r="J174" s="460" t="e">
        <f>G172</f>
        <v>#DIV/0!</v>
      </c>
      <c r="K174" s="461" t="e">
        <f>+J174/$J$178</f>
        <v>#DIV/0!</v>
      </c>
    </row>
    <row r="175" spans="1:11" ht="22.5" customHeight="1" x14ac:dyDescent="0.2">
      <c r="A175" s="354" t="s">
        <v>257</v>
      </c>
      <c r="B175" s="355"/>
      <c r="C175" s="356">
        <f>Balanza!$B$10</f>
        <v>0.1</v>
      </c>
      <c r="D175" s="357" t="s">
        <v>256</v>
      </c>
      <c r="E175" s="358">
        <f>(C175/SQRT(3)/2)</f>
        <v>2.8867513459481291E-2</v>
      </c>
      <c r="F175" s="359"/>
      <c r="G175" s="360"/>
      <c r="H175" s="344"/>
      <c r="I175" s="459" t="str">
        <f>A180</f>
        <v>Abertura de Tamiz No. 60 (mm)</v>
      </c>
      <c r="J175" s="460">
        <f>G180</f>
        <v>1.25E-3</v>
      </c>
      <c r="K175" s="461" t="e">
        <f t="shared" ref="K175:K178" si="10">+J175/$J$178</f>
        <v>#DIV/0!</v>
      </c>
    </row>
    <row r="176" spans="1:11" ht="22.5" customHeight="1" x14ac:dyDescent="0.2">
      <c r="A176" s="348" t="s">
        <v>263</v>
      </c>
      <c r="B176" s="535" t="b">
        <f>IF($A$127="Fraccionada",A.Granul!$V$13,A.Granul!$V$12)</f>
        <v>0</v>
      </c>
      <c r="C176" s="362"/>
      <c r="D176" s="350" t="s">
        <v>262</v>
      </c>
      <c r="E176" s="351">
        <f>SQRT((E177*E177)+(E178*E178)+(E179*E179))</f>
        <v>7.0663521942607221E-2</v>
      </c>
      <c r="F176" s="532" t="e">
        <f>IF($A$127="Fraccionada",B172*B171/POWER(B176,2),(100*B172)/POWER(B176,2))</f>
        <v>#DIV/0!</v>
      </c>
      <c r="G176" s="353" t="e">
        <f>(E176*F176)</f>
        <v>#DIV/0!</v>
      </c>
      <c r="H176" s="344"/>
      <c r="I176" s="459" t="str">
        <f>A176</f>
        <v>M total (g)</v>
      </c>
      <c r="J176" s="460" t="e">
        <f>G176</f>
        <v>#DIV/0!</v>
      </c>
      <c r="K176" s="461" t="e">
        <f t="shared" si="10"/>
        <v>#DIV/0!</v>
      </c>
    </row>
    <row r="177" spans="1:11" ht="22.5" customHeight="1" x14ac:dyDescent="0.2">
      <c r="A177" s="354" t="s">
        <v>261</v>
      </c>
      <c r="B177" s="355"/>
      <c r="C177" s="356">
        <f>Balanza!$D$25</f>
        <v>0</v>
      </c>
      <c r="D177" s="357" t="s">
        <v>260</v>
      </c>
      <c r="E177" s="358">
        <f>C177</f>
        <v>0</v>
      </c>
      <c r="F177" s="363"/>
      <c r="G177" s="364"/>
      <c r="H177" s="344"/>
      <c r="I177" s="459" t="str">
        <f>A182</f>
        <v>Factor de presición No. 60</v>
      </c>
      <c r="J177" s="462">
        <f>G182</f>
        <v>0.44180048510128983</v>
      </c>
      <c r="K177" s="461" t="e">
        <f t="shared" si="10"/>
        <v>#DIV/0!</v>
      </c>
    </row>
    <row r="178" spans="1:11" ht="22.5" customHeight="1" x14ac:dyDescent="0.2">
      <c r="A178" s="354" t="s">
        <v>259</v>
      </c>
      <c r="B178" s="355"/>
      <c r="C178" s="361">
        <f>2*(SQRT(Balanza!$B$8+Balanza!$C$8*(POWER(B176,2))))</f>
        <v>0.12899612397277679</v>
      </c>
      <c r="D178" s="357" t="s">
        <v>258</v>
      </c>
      <c r="E178" s="358">
        <f>C178/2</f>
        <v>6.4498061986388397E-2</v>
      </c>
      <c r="F178" s="363"/>
      <c r="G178" s="364"/>
      <c r="H178" s="344"/>
      <c r="I178" s="459"/>
      <c r="J178" s="460" t="e">
        <f>SUM(J174:J177)</f>
        <v>#DIV/0!</v>
      </c>
      <c r="K178" s="461" t="e">
        <f t="shared" si="10"/>
        <v>#DIV/0!</v>
      </c>
    </row>
    <row r="179" spans="1:11" ht="22.5" customHeight="1" x14ac:dyDescent="0.2">
      <c r="A179" s="354" t="s">
        <v>257</v>
      </c>
      <c r="B179" s="355"/>
      <c r="C179" s="356">
        <f>Balanza!$B$10</f>
        <v>0.1</v>
      </c>
      <c r="D179" s="357" t="s">
        <v>256</v>
      </c>
      <c r="E179" s="358">
        <f>(C179/SQRT(3)/2)</f>
        <v>2.8867513459481291E-2</v>
      </c>
      <c r="F179" s="363"/>
      <c r="G179" s="364"/>
      <c r="H179" s="344"/>
      <c r="I179" s="455"/>
      <c r="J179" s="456"/>
    </row>
    <row r="180" spans="1:11" ht="22.5" customHeight="1" x14ac:dyDescent="0.2">
      <c r="A180" s="348" t="s">
        <v>271</v>
      </c>
      <c r="B180" s="349">
        <v>0.25</v>
      </c>
      <c r="C180" s="349"/>
      <c r="D180" s="350" t="s">
        <v>262</v>
      </c>
      <c r="E180" s="351">
        <f>SQRT(((E181*E181)))</f>
        <v>1.25E-3</v>
      </c>
      <c r="F180" s="352">
        <v>1</v>
      </c>
      <c r="G180" s="353">
        <f>(E180*F180)</f>
        <v>1.25E-3</v>
      </c>
      <c r="H180" s="344"/>
    </row>
    <row r="181" spans="1:11" ht="22.5" customHeight="1" x14ac:dyDescent="0.2">
      <c r="A181" s="354" t="s">
        <v>259</v>
      </c>
      <c r="B181" s="355"/>
      <c r="C181" s="366">
        <f>Balanza!K38</f>
        <v>2.5000000000000001E-3</v>
      </c>
      <c r="D181" s="357" t="s">
        <v>258</v>
      </c>
      <c r="E181" s="358">
        <f>C181/2</f>
        <v>1.25E-3</v>
      </c>
      <c r="F181" s="363"/>
      <c r="G181" s="364"/>
      <c r="H181" s="345"/>
    </row>
    <row r="182" spans="1:11" ht="22.5" customHeight="1" thickBot="1" x14ac:dyDescent="0.25">
      <c r="A182" s="367" t="s">
        <v>270</v>
      </c>
      <c r="B182" s="597">
        <f>+Balanza!B60</f>
        <v>0.44180048510128983</v>
      </c>
      <c r="C182" s="368"/>
      <c r="D182" s="369" t="s">
        <v>254</v>
      </c>
      <c r="E182" s="370">
        <f>B182/SQRT(1)</f>
        <v>0.44180048510128983</v>
      </c>
      <c r="F182" s="371">
        <v>1</v>
      </c>
      <c r="G182" s="372">
        <f>+F182*E182</f>
        <v>0.44180048510128983</v>
      </c>
      <c r="H182" s="345"/>
      <c r="I182" s="344"/>
      <c r="J182" s="344"/>
    </row>
    <row r="183" spans="1:11" ht="22.5" customHeight="1" thickBot="1" x14ac:dyDescent="0.25"/>
    <row r="184" spans="1:11" ht="22.5" customHeight="1" thickBot="1" x14ac:dyDescent="0.25">
      <c r="A184" s="378" t="s">
        <v>347</v>
      </c>
      <c r="B184" s="596" t="e">
        <f>IF($A$127="Fraccionada",B185*(1-(B186/B190)),(1-(B186/B190))*100)</f>
        <v>#DIV/0!</v>
      </c>
      <c r="C184" s="379"/>
      <c r="D184" s="380"/>
      <c r="E184" s="380"/>
      <c r="F184" s="381"/>
      <c r="G184" s="382"/>
      <c r="H184" s="452" t="e">
        <f>IF($A$127="fraccionada",SQRT(G186*G186+(G194*G194)+(G190*G190)+(G196*G196)+(G185*G185)),SQRT(G186*G186+G190*G190+G194*G194+G196*G196))</f>
        <v>#DIV/0!</v>
      </c>
      <c r="I184" s="383" t="str">
        <f>IF(B186=0,"---",(H184*2))</f>
        <v>---</v>
      </c>
      <c r="J184" s="344"/>
    </row>
    <row r="185" spans="1:11" ht="22.5" customHeight="1" x14ac:dyDescent="0.2">
      <c r="A185" s="465" t="str">
        <f>IF($A$127="Fraccionada","% pasa tamiz No 4","")</f>
        <v/>
      </c>
      <c r="B185" s="466" t="str">
        <f>IF($A$127="Fraccionada",$B$115,"")</f>
        <v/>
      </c>
      <c r="C185" s="467"/>
      <c r="D185" s="468"/>
      <c r="E185" s="469" t="str">
        <f>IF($A$127="Fraccionada",$H$115,"")</f>
        <v/>
      </c>
      <c r="F185" s="470" t="str">
        <f>IF($A$127="Fraccionada",1-B186/B190,"")</f>
        <v/>
      </c>
      <c r="G185" s="471" t="str">
        <f>IF($A$127="Fraccionada",(E185*F185),"")</f>
        <v/>
      </c>
      <c r="H185" s="463"/>
      <c r="I185" s="464"/>
      <c r="J185" s="344"/>
    </row>
    <row r="186" spans="1:11" ht="22.5" customHeight="1" x14ac:dyDescent="0.2">
      <c r="A186" s="454" t="s">
        <v>413</v>
      </c>
      <c r="B186" s="374">
        <f>Balanza!D40</f>
        <v>0</v>
      </c>
      <c r="C186" s="374"/>
      <c r="D186" s="375" t="s">
        <v>262</v>
      </c>
      <c r="E186" s="376">
        <f>SQRT((E187*E187)+(E188*E188)+(E189*E189))</f>
        <v>7.0663521942607221E-2</v>
      </c>
      <c r="F186" s="451" t="e">
        <f>IF($A$127="Fraccionada",B185/B190,100/B190)</f>
        <v>#DIV/0!</v>
      </c>
      <c r="G186" s="377" t="e">
        <f>(E186*F186)</f>
        <v>#DIV/0!</v>
      </c>
      <c r="H186" s="345"/>
      <c r="I186" s="345"/>
      <c r="J186" s="344"/>
    </row>
    <row r="187" spans="1:11" ht="22.5" customHeight="1" x14ac:dyDescent="0.2">
      <c r="A187" s="354" t="s">
        <v>261</v>
      </c>
      <c r="B187" s="355"/>
      <c r="C187" s="356">
        <f>Balanza!E40</f>
        <v>0</v>
      </c>
      <c r="D187" s="357" t="s">
        <v>260</v>
      </c>
      <c r="E187" s="358">
        <f>C187</f>
        <v>0</v>
      </c>
      <c r="F187" s="359"/>
      <c r="G187" s="360"/>
      <c r="H187" s="344"/>
      <c r="I187" s="344"/>
      <c r="J187" s="344"/>
    </row>
    <row r="188" spans="1:11" ht="22.5" customHeight="1" x14ac:dyDescent="0.2">
      <c r="A188" s="354" t="s">
        <v>259</v>
      </c>
      <c r="B188" s="355"/>
      <c r="C188" s="361">
        <f>2*(SQRT(Balanza!$B$8+Balanza!$C$8*(POWER(B186,2))))</f>
        <v>0.12899612397277679</v>
      </c>
      <c r="D188" s="357" t="s">
        <v>258</v>
      </c>
      <c r="E188" s="358">
        <f>C188/2</f>
        <v>6.4498061986388397E-2</v>
      </c>
      <c r="F188" s="359"/>
      <c r="G188" s="360"/>
      <c r="H188" s="344"/>
      <c r="I188" s="459" t="str">
        <f>A186</f>
        <v>M ret acumulado No. 100 (g)</v>
      </c>
      <c r="J188" s="460" t="e">
        <f>G186</f>
        <v>#DIV/0!</v>
      </c>
      <c r="K188" s="461" t="e">
        <f>+J188/$J$192</f>
        <v>#DIV/0!</v>
      </c>
    </row>
    <row r="189" spans="1:11" ht="22.5" customHeight="1" x14ac:dyDescent="0.2">
      <c r="A189" s="354" t="s">
        <v>257</v>
      </c>
      <c r="B189" s="355"/>
      <c r="C189" s="356">
        <f>Balanza!$B$10</f>
        <v>0.1</v>
      </c>
      <c r="D189" s="357" t="s">
        <v>256</v>
      </c>
      <c r="E189" s="358">
        <f>(C189/SQRT(3)/2)</f>
        <v>2.8867513459481291E-2</v>
      </c>
      <c r="F189" s="359"/>
      <c r="G189" s="360"/>
      <c r="H189" s="344"/>
      <c r="I189" s="459" t="str">
        <f>A194</f>
        <v>Abertura de Tamiz No. 100 (mm)</v>
      </c>
      <c r="J189" s="460">
        <f>G194</f>
        <v>6.4999999999999997E-4</v>
      </c>
      <c r="K189" s="461" t="e">
        <f t="shared" ref="K189:K192" si="11">+J189/$J$192</f>
        <v>#DIV/0!</v>
      </c>
    </row>
    <row r="190" spans="1:11" ht="22.5" customHeight="1" x14ac:dyDescent="0.2">
      <c r="A190" s="348" t="s">
        <v>263</v>
      </c>
      <c r="B190" s="535" t="b">
        <f>IF($A$127="Fraccionada",A.Granul!$V$13,A.Granul!$V$12)</f>
        <v>0</v>
      </c>
      <c r="C190" s="362"/>
      <c r="D190" s="350" t="s">
        <v>262</v>
      </c>
      <c r="E190" s="351">
        <f>SQRT((E191*E191)+(E192*E192)+(E193*E193))</f>
        <v>7.0663521942607221E-2</v>
      </c>
      <c r="F190" s="532" t="e">
        <f>IF($A$127="Fraccionada",B186*B185/POWER(B190,2),(100*B186)/POWER(B190,2))</f>
        <v>#DIV/0!</v>
      </c>
      <c r="G190" s="353" t="e">
        <f>(E190*F190)</f>
        <v>#DIV/0!</v>
      </c>
      <c r="H190" s="344"/>
      <c r="I190" s="459" t="str">
        <f>A190</f>
        <v>M total (g)</v>
      </c>
      <c r="J190" s="460" t="e">
        <f>G190</f>
        <v>#DIV/0!</v>
      </c>
      <c r="K190" s="461" t="e">
        <f t="shared" si="11"/>
        <v>#DIV/0!</v>
      </c>
    </row>
    <row r="191" spans="1:11" ht="22.5" customHeight="1" x14ac:dyDescent="0.2">
      <c r="A191" s="354" t="s">
        <v>261</v>
      </c>
      <c r="B191" s="355"/>
      <c r="C191" s="356">
        <f>Balanza!$D$25</f>
        <v>0</v>
      </c>
      <c r="D191" s="357" t="s">
        <v>260</v>
      </c>
      <c r="E191" s="358">
        <f>C191</f>
        <v>0</v>
      </c>
      <c r="F191" s="363"/>
      <c r="G191" s="364"/>
      <c r="H191" s="344"/>
      <c r="I191" s="459" t="str">
        <f>A196</f>
        <v>Factor de presición No. 100</v>
      </c>
      <c r="J191" s="462">
        <f>G196</f>
        <v>0.43453848865921457</v>
      </c>
      <c r="K191" s="461" t="e">
        <f t="shared" si="11"/>
        <v>#DIV/0!</v>
      </c>
    </row>
    <row r="192" spans="1:11" ht="22.5" customHeight="1" x14ac:dyDescent="0.2">
      <c r="A192" s="354" t="s">
        <v>259</v>
      </c>
      <c r="B192" s="355"/>
      <c r="C192" s="361">
        <f>2*(SQRT(Balanza!$B$8+Balanza!$C$8*(POWER(B190,2))))</f>
        <v>0.12899612397277679</v>
      </c>
      <c r="D192" s="357" t="s">
        <v>258</v>
      </c>
      <c r="E192" s="358">
        <f>C192/2</f>
        <v>6.4498061986388397E-2</v>
      </c>
      <c r="F192" s="363"/>
      <c r="G192" s="364"/>
      <c r="H192" s="344"/>
      <c r="I192" s="459"/>
      <c r="J192" s="460" t="e">
        <f>SUM(J188:J191)</f>
        <v>#DIV/0!</v>
      </c>
      <c r="K192" s="461" t="e">
        <f t="shared" si="11"/>
        <v>#DIV/0!</v>
      </c>
    </row>
    <row r="193" spans="1:11" ht="22.5" customHeight="1" x14ac:dyDescent="0.2">
      <c r="A193" s="354" t="s">
        <v>257</v>
      </c>
      <c r="B193" s="355"/>
      <c r="C193" s="356">
        <f>Balanza!$B$10</f>
        <v>0.1</v>
      </c>
      <c r="D193" s="357" t="s">
        <v>256</v>
      </c>
      <c r="E193" s="358">
        <f>(C193/SQRT(3)/2)</f>
        <v>2.8867513459481291E-2</v>
      </c>
      <c r="F193" s="363"/>
      <c r="G193" s="364"/>
      <c r="H193" s="344"/>
      <c r="I193" s="455"/>
      <c r="J193" s="456"/>
    </row>
    <row r="194" spans="1:11" ht="22.5" customHeight="1" x14ac:dyDescent="0.2">
      <c r="A194" s="348" t="s">
        <v>348</v>
      </c>
      <c r="B194" s="365">
        <v>0.106</v>
      </c>
      <c r="C194" s="365"/>
      <c r="D194" s="350" t="s">
        <v>262</v>
      </c>
      <c r="E194" s="351">
        <f>SQRT(((E195*E195)))</f>
        <v>6.4999999999999997E-4</v>
      </c>
      <c r="F194" s="352">
        <v>1</v>
      </c>
      <c r="G194" s="353">
        <f>(E194*F194)</f>
        <v>6.4999999999999997E-4</v>
      </c>
      <c r="H194" s="344"/>
    </row>
    <row r="195" spans="1:11" ht="22.5" customHeight="1" x14ac:dyDescent="0.2">
      <c r="A195" s="354" t="s">
        <v>259</v>
      </c>
      <c r="B195" s="355"/>
      <c r="C195" s="366">
        <f>Balanza!K39</f>
        <v>1.2999999999999999E-3</v>
      </c>
      <c r="D195" s="357" t="s">
        <v>258</v>
      </c>
      <c r="E195" s="358">
        <f>C195/2</f>
        <v>6.4999999999999997E-4</v>
      </c>
      <c r="F195" s="363"/>
      <c r="G195" s="364"/>
      <c r="H195" s="345"/>
    </row>
    <row r="196" spans="1:11" ht="22.5" customHeight="1" thickBot="1" x14ac:dyDescent="0.25">
      <c r="A196" s="367" t="s">
        <v>349</v>
      </c>
      <c r="B196" s="597">
        <f>+Balanza!B61</f>
        <v>0.43453848865921457</v>
      </c>
      <c r="C196" s="368"/>
      <c r="D196" s="369" t="s">
        <v>254</v>
      </c>
      <c r="E196" s="370">
        <f>B196/SQRT(1)</f>
        <v>0.43453848865921457</v>
      </c>
      <c r="F196" s="371">
        <v>1</v>
      </c>
      <c r="G196" s="372">
        <f>+F196*E196</f>
        <v>0.43453848865921457</v>
      </c>
      <c r="H196" s="345"/>
      <c r="I196" s="344"/>
      <c r="J196" s="344"/>
    </row>
    <row r="197" spans="1:11" ht="22.5" customHeight="1" thickBot="1" x14ac:dyDescent="0.25"/>
    <row r="198" spans="1:11" ht="22.5" customHeight="1" thickBot="1" x14ac:dyDescent="0.25">
      <c r="A198" s="378" t="s">
        <v>269</v>
      </c>
      <c r="B198" s="596" t="e">
        <f>IF($A$127="Fraccionada",B199*(1-(B200/B204)),(1-(B200/B204))*100)</f>
        <v>#DIV/0!</v>
      </c>
      <c r="C198" s="379"/>
      <c r="D198" s="380"/>
      <c r="E198" s="380"/>
      <c r="F198" s="381"/>
      <c r="G198" s="382"/>
      <c r="H198" s="452" t="e">
        <f>IF($A$127="fraccionada",SQRT(G200*G200+(G208*G208)+(G204*G204)+(G210*G210)+(G199*G199)),SQRT(G200*G200+G204*G204+G208*G208+G210*G210))</f>
        <v>#DIV/0!</v>
      </c>
      <c r="I198" s="383" t="str">
        <f>IF(B200=0,"---",(H198*2))</f>
        <v>---</v>
      </c>
      <c r="J198" s="344"/>
    </row>
    <row r="199" spans="1:11" ht="22.5" customHeight="1" x14ac:dyDescent="0.2">
      <c r="A199" s="465" t="str">
        <f>IF($A$127="Fraccionada","% pasa tamiz No 4","")</f>
        <v/>
      </c>
      <c r="B199" s="466" t="str">
        <f>IF($A$127="Fraccionada",$B$115,"")</f>
        <v/>
      </c>
      <c r="C199" s="467"/>
      <c r="D199" s="468"/>
      <c r="E199" s="469" t="str">
        <f>IF($A$127="Fraccionada",$H$115,"")</f>
        <v/>
      </c>
      <c r="F199" s="470" t="str">
        <f>IF($A$127="Fraccionada",1-B200/B204,"")</f>
        <v/>
      </c>
      <c r="G199" s="471" t="str">
        <f>IF($A$127="Fraccionada",(E199*F199),"")</f>
        <v/>
      </c>
      <c r="H199" s="463"/>
      <c r="I199" s="464"/>
      <c r="J199" s="344"/>
    </row>
    <row r="200" spans="1:11" ht="22.5" customHeight="1" x14ac:dyDescent="0.2">
      <c r="A200" s="373" t="s">
        <v>268</v>
      </c>
      <c r="B200" s="374">
        <f>Balanza!D41</f>
        <v>0</v>
      </c>
      <c r="C200" s="374"/>
      <c r="D200" s="375" t="s">
        <v>262</v>
      </c>
      <c r="E200" s="376">
        <f>SQRT((E201*E201)+(E202*E202)+(E203*E203))</f>
        <v>7.0663521942607221E-2</v>
      </c>
      <c r="F200" s="451" t="e">
        <f>IF($A$127="Fraccionada",B199/B204,100/B204)</f>
        <v>#DIV/0!</v>
      </c>
      <c r="G200" s="377" t="e">
        <f>(E200*F200)</f>
        <v>#DIV/0!</v>
      </c>
      <c r="H200" s="345"/>
      <c r="I200" s="345"/>
      <c r="J200" s="344"/>
    </row>
    <row r="201" spans="1:11" ht="22.5" customHeight="1" x14ac:dyDescent="0.2">
      <c r="A201" s="354" t="s">
        <v>261</v>
      </c>
      <c r="B201" s="355"/>
      <c r="C201" s="356">
        <f>Balanza!E41</f>
        <v>0</v>
      </c>
      <c r="D201" s="357" t="s">
        <v>260</v>
      </c>
      <c r="E201" s="358">
        <f>C201</f>
        <v>0</v>
      </c>
      <c r="F201" s="359"/>
      <c r="G201" s="360"/>
      <c r="H201" s="344"/>
      <c r="I201" s="344"/>
      <c r="J201" s="344"/>
    </row>
    <row r="202" spans="1:11" ht="22.5" customHeight="1" x14ac:dyDescent="0.2">
      <c r="A202" s="354" t="s">
        <v>259</v>
      </c>
      <c r="B202" s="355"/>
      <c r="C202" s="361">
        <f>2*(SQRT(Balanza!$B$8+Balanza!$C$8*(POWER(B200,2))))</f>
        <v>0.12899612397277679</v>
      </c>
      <c r="D202" s="357" t="s">
        <v>258</v>
      </c>
      <c r="E202" s="358">
        <f>C202/2</f>
        <v>6.4498061986388397E-2</v>
      </c>
      <c r="F202" s="359"/>
      <c r="G202" s="360"/>
      <c r="H202" s="344"/>
      <c r="I202" s="459" t="str">
        <f>A200</f>
        <v>M ret No. 140 (g)</v>
      </c>
      <c r="J202" s="460" t="e">
        <f>G200</f>
        <v>#DIV/0!</v>
      </c>
      <c r="K202" s="461" t="e">
        <f>+J202/$J$206</f>
        <v>#DIV/0!</v>
      </c>
    </row>
    <row r="203" spans="1:11" ht="22.5" customHeight="1" x14ac:dyDescent="0.2">
      <c r="A203" s="354" t="s">
        <v>257</v>
      </c>
      <c r="B203" s="355"/>
      <c r="C203" s="356">
        <f>Balanza!$B$10</f>
        <v>0.1</v>
      </c>
      <c r="D203" s="357" t="s">
        <v>256</v>
      </c>
      <c r="E203" s="358">
        <f>(C203/SQRT(3)/2)</f>
        <v>2.8867513459481291E-2</v>
      </c>
      <c r="F203" s="359"/>
      <c r="G203" s="360"/>
      <c r="H203" s="344"/>
      <c r="I203" s="459" t="str">
        <f>A208</f>
        <v>Abertura de Tamiz No. 140 (mm)</v>
      </c>
      <c r="J203" s="460">
        <f>G208</f>
        <v>6.9999999999999999E-4</v>
      </c>
      <c r="K203" s="461" t="e">
        <f t="shared" ref="K203:K206" si="12">+J203/$J$206</f>
        <v>#DIV/0!</v>
      </c>
    </row>
    <row r="204" spans="1:11" ht="22.5" customHeight="1" x14ac:dyDescent="0.2">
      <c r="A204" s="348" t="s">
        <v>263</v>
      </c>
      <c r="B204" s="535" t="b">
        <f>IF($A$127="Fraccionada",A.Granul!$V$13,A.Granul!$V$12)</f>
        <v>0</v>
      </c>
      <c r="C204" s="362"/>
      <c r="D204" s="350" t="s">
        <v>262</v>
      </c>
      <c r="E204" s="351">
        <f>SQRT((E205*E205)+(E206*E206)+(E207*E207))</f>
        <v>7.0663521942607221E-2</v>
      </c>
      <c r="F204" s="532" t="e">
        <f>IF($A$127="Fraccionada",B200*B199/POWER(B204,2),(100*B200)/POWER(B204,2))</f>
        <v>#DIV/0!</v>
      </c>
      <c r="G204" s="353" t="e">
        <f>(E204*F204)</f>
        <v>#DIV/0!</v>
      </c>
      <c r="H204" s="344"/>
      <c r="I204" s="459" t="str">
        <f>A204</f>
        <v>M total (g)</v>
      </c>
      <c r="J204" s="460" t="e">
        <f>G204</f>
        <v>#DIV/0!</v>
      </c>
      <c r="K204" s="461" t="e">
        <f t="shared" si="12"/>
        <v>#DIV/0!</v>
      </c>
    </row>
    <row r="205" spans="1:11" ht="22.5" customHeight="1" x14ac:dyDescent="0.2">
      <c r="A205" s="354" t="s">
        <v>261</v>
      </c>
      <c r="B205" s="355"/>
      <c r="C205" s="356">
        <f>Balanza!$D$25</f>
        <v>0</v>
      </c>
      <c r="D205" s="357" t="s">
        <v>260</v>
      </c>
      <c r="E205" s="358">
        <f>C205</f>
        <v>0</v>
      </c>
      <c r="F205" s="363"/>
      <c r="G205" s="364"/>
      <c r="H205" s="344"/>
      <c r="I205" s="459" t="str">
        <f>A210</f>
        <v>Factor de presición No. 140</v>
      </c>
      <c r="J205" s="462">
        <f>G210</f>
        <v>0.27233376701830114</v>
      </c>
      <c r="K205" s="461" t="e">
        <f t="shared" si="12"/>
        <v>#DIV/0!</v>
      </c>
    </row>
    <row r="206" spans="1:11" ht="22.5" customHeight="1" x14ac:dyDescent="0.2">
      <c r="A206" s="354" t="s">
        <v>259</v>
      </c>
      <c r="B206" s="355"/>
      <c r="C206" s="361">
        <f>2*(SQRT(Balanza!$B$8+Balanza!$C$8*(POWER(B204,2))))</f>
        <v>0.12899612397277679</v>
      </c>
      <c r="D206" s="357" t="s">
        <v>258</v>
      </c>
      <c r="E206" s="358">
        <f>C206/2</f>
        <v>6.4498061986388397E-2</v>
      </c>
      <c r="F206" s="363"/>
      <c r="G206" s="364"/>
      <c r="H206" s="344"/>
      <c r="I206" s="459"/>
      <c r="J206" s="460" t="e">
        <f>SUM(J202:J205)</f>
        <v>#DIV/0!</v>
      </c>
      <c r="K206" s="461" t="e">
        <f t="shared" si="12"/>
        <v>#DIV/0!</v>
      </c>
    </row>
    <row r="207" spans="1:11" ht="22.5" customHeight="1" x14ac:dyDescent="0.2">
      <c r="A207" s="354" t="s">
        <v>257</v>
      </c>
      <c r="B207" s="355"/>
      <c r="C207" s="356">
        <f>Balanza!$B$10</f>
        <v>0.1</v>
      </c>
      <c r="D207" s="357" t="s">
        <v>256</v>
      </c>
      <c r="E207" s="358">
        <f>(C207/SQRT(3)/2)</f>
        <v>2.8867513459481291E-2</v>
      </c>
      <c r="F207" s="363"/>
      <c r="G207" s="364"/>
      <c r="H207" s="344"/>
      <c r="I207" s="455"/>
      <c r="J207" s="456"/>
    </row>
    <row r="208" spans="1:11" ht="22.5" customHeight="1" x14ac:dyDescent="0.2">
      <c r="A208" s="348" t="s">
        <v>267</v>
      </c>
      <c r="B208" s="365">
        <v>0.106</v>
      </c>
      <c r="C208" s="365"/>
      <c r="D208" s="350" t="s">
        <v>262</v>
      </c>
      <c r="E208" s="351">
        <f>SQRT(((E209*E209)))</f>
        <v>6.9999999999999999E-4</v>
      </c>
      <c r="F208" s="352">
        <v>1</v>
      </c>
      <c r="G208" s="353">
        <f>(E208*F208)</f>
        <v>6.9999999999999999E-4</v>
      </c>
      <c r="H208" s="344"/>
    </row>
    <row r="209" spans="1:11" ht="22.5" customHeight="1" x14ac:dyDescent="0.2">
      <c r="A209" s="354" t="s">
        <v>259</v>
      </c>
      <c r="B209" s="355"/>
      <c r="C209" s="366">
        <f>Balanza!K40</f>
        <v>1.4E-3</v>
      </c>
      <c r="D209" s="357" t="s">
        <v>258</v>
      </c>
      <c r="E209" s="358">
        <f>C209/2</f>
        <v>6.9999999999999999E-4</v>
      </c>
      <c r="F209" s="363"/>
      <c r="G209" s="364"/>
      <c r="H209" s="345"/>
    </row>
    <row r="210" spans="1:11" ht="22.5" customHeight="1" thickBot="1" x14ac:dyDescent="0.25">
      <c r="A210" s="367" t="s">
        <v>266</v>
      </c>
      <c r="B210" s="597">
        <f>+Balanza!B62</f>
        <v>0.27233376701830114</v>
      </c>
      <c r="C210" s="368"/>
      <c r="D210" s="369" t="s">
        <v>254</v>
      </c>
      <c r="E210" s="370">
        <f>B210/SQRT(1)</f>
        <v>0.27233376701830114</v>
      </c>
      <c r="F210" s="371">
        <v>1</v>
      </c>
      <c r="G210" s="372">
        <f>+F210*E210</f>
        <v>0.27233376701830114</v>
      </c>
      <c r="H210" s="345"/>
      <c r="I210" s="344"/>
      <c r="J210" s="344"/>
    </row>
    <row r="211" spans="1:11" ht="22.5" customHeight="1" thickBot="1" x14ac:dyDescent="0.25"/>
    <row r="212" spans="1:11" ht="22.5" customHeight="1" thickBot="1" x14ac:dyDescent="0.25">
      <c r="A212" s="378" t="s">
        <v>265</v>
      </c>
      <c r="B212" s="596" t="e">
        <f>IF($A$127="Fraccionada",B213*(1-(B214/B218)),(1-(B214/B218))*100)</f>
        <v>#DIV/0!</v>
      </c>
      <c r="C212" s="379"/>
      <c r="D212" s="380"/>
      <c r="E212" s="380"/>
      <c r="F212" s="381"/>
      <c r="G212" s="382"/>
      <c r="H212" s="452" t="e">
        <f>IF($A$127="fraccionada",SQRT(G214*G214+(G222*G222)+(G218*G218)+(G224*G224)+(G213*G213)),SQRT(G214*G214+G218*G218+G222*G222+G224*G224))</f>
        <v>#DIV/0!</v>
      </c>
      <c r="I212" s="383" t="str">
        <f>IF(B214=0,"---",(H212*2))</f>
        <v>---</v>
      </c>
      <c r="J212" s="344"/>
    </row>
    <row r="213" spans="1:11" ht="22.5" customHeight="1" x14ac:dyDescent="0.2">
      <c r="A213" s="465" t="str">
        <f>IF($A$127="Fraccionada","% pasa tamiz No 4","")</f>
        <v/>
      </c>
      <c r="B213" s="466" t="str">
        <f>IF($A$127="Fraccionada",$B$115,"")</f>
        <v/>
      </c>
      <c r="C213" s="467"/>
      <c r="D213" s="468"/>
      <c r="E213" s="469" t="str">
        <f>IF($A$127="Fraccionada",$H$115,"")</f>
        <v/>
      </c>
      <c r="F213" s="470" t="str">
        <f>IF($A$127="Fraccionada",1-B214/B218,"")</f>
        <v/>
      </c>
      <c r="G213" s="471" t="str">
        <f>IF($A$127="Fraccionada",(E213*F213),"")</f>
        <v/>
      </c>
      <c r="H213" s="463"/>
      <c r="I213" s="464"/>
      <c r="J213" s="344"/>
    </row>
    <row r="214" spans="1:11" ht="22.5" customHeight="1" x14ac:dyDescent="0.2">
      <c r="A214" s="454" t="s">
        <v>414</v>
      </c>
      <c r="B214" s="374">
        <f>Balanza!D42</f>
        <v>0</v>
      </c>
      <c r="C214" s="374"/>
      <c r="D214" s="375" t="s">
        <v>262</v>
      </c>
      <c r="E214" s="376">
        <f>SQRT((E215*E215)+(E216*E216)+(E217*E217))</f>
        <v>7.0663521942607221E-2</v>
      </c>
      <c r="F214" s="451" t="e">
        <f>IF($A$127="Fraccionada",B213/B218,100/B218)</f>
        <v>#DIV/0!</v>
      </c>
      <c r="G214" s="377" t="e">
        <f>(E214*F214)</f>
        <v>#DIV/0!</v>
      </c>
      <c r="H214" s="345"/>
      <c r="I214" s="345"/>
      <c r="J214" s="344"/>
    </row>
    <row r="215" spans="1:11" ht="22.5" customHeight="1" x14ac:dyDescent="0.2">
      <c r="A215" s="354" t="s">
        <v>261</v>
      </c>
      <c r="B215" s="355"/>
      <c r="C215" s="356">
        <f>Balanza!E42</f>
        <v>0</v>
      </c>
      <c r="D215" s="357" t="s">
        <v>260</v>
      </c>
      <c r="E215" s="358">
        <f>C215</f>
        <v>0</v>
      </c>
      <c r="F215" s="359"/>
      <c r="G215" s="360"/>
      <c r="H215" s="344"/>
      <c r="I215" s="344"/>
      <c r="J215" s="344"/>
    </row>
    <row r="216" spans="1:11" ht="22.5" customHeight="1" x14ac:dyDescent="0.2">
      <c r="A216" s="354" t="s">
        <v>259</v>
      </c>
      <c r="B216" s="355"/>
      <c r="C216" s="361">
        <f>2*(SQRT(Balanza!$B$8+Balanza!$C$8*(POWER(B214,2))))</f>
        <v>0.12899612397277679</v>
      </c>
      <c r="D216" s="357" t="s">
        <v>258</v>
      </c>
      <c r="E216" s="358">
        <f>C216/2</f>
        <v>6.4498061986388397E-2</v>
      </c>
      <c r="F216" s="359"/>
      <c r="G216" s="360"/>
      <c r="H216" s="344"/>
      <c r="I216" s="459" t="str">
        <f>A214</f>
        <v>M ret acumulado No. 200 (g)</v>
      </c>
      <c r="J216" s="460" t="e">
        <f>G214</f>
        <v>#DIV/0!</v>
      </c>
      <c r="K216" s="461" t="e">
        <f>+J216/$J$220</f>
        <v>#DIV/0!</v>
      </c>
    </row>
    <row r="217" spans="1:11" ht="22.5" customHeight="1" x14ac:dyDescent="0.2">
      <c r="A217" s="354" t="s">
        <v>257</v>
      </c>
      <c r="B217" s="355"/>
      <c r="C217" s="356">
        <f>Balanza!$B$10</f>
        <v>0.1</v>
      </c>
      <c r="D217" s="357" t="s">
        <v>256</v>
      </c>
      <c r="E217" s="358">
        <f>(C217/SQRT(3)/2)</f>
        <v>2.8867513459481291E-2</v>
      </c>
      <c r="F217" s="359"/>
      <c r="G217" s="360"/>
      <c r="H217" s="344"/>
      <c r="I217" s="459" t="str">
        <f>A222</f>
        <v>Abertura de Tamiz No. 200 (mm)</v>
      </c>
      <c r="J217" s="460">
        <f>G222</f>
        <v>6.4999999999999997E-4</v>
      </c>
      <c r="K217" s="461" t="e">
        <f t="shared" ref="K217:K220" si="13">+J217/$J$220</f>
        <v>#DIV/0!</v>
      </c>
    </row>
    <row r="218" spans="1:11" ht="22.5" customHeight="1" x14ac:dyDescent="0.2">
      <c r="A218" s="348" t="s">
        <v>263</v>
      </c>
      <c r="B218" s="535" t="b">
        <f>IF($A$127="Fraccionada",A.Granul!$V$13,A.Granul!$V$12)</f>
        <v>0</v>
      </c>
      <c r="C218" s="362"/>
      <c r="D218" s="350" t="s">
        <v>262</v>
      </c>
      <c r="E218" s="351">
        <f>SQRT((E219*E219)+(E220*E220)+(E221*E221))</f>
        <v>7.0663521942607221E-2</v>
      </c>
      <c r="F218" s="532" t="e">
        <f>IF($A$127="Fraccionada",B214*B213/POWER(B218,2),(100*B214)/POWER(B218,2))</f>
        <v>#DIV/0!</v>
      </c>
      <c r="G218" s="353" t="e">
        <f>(E218*F218)</f>
        <v>#DIV/0!</v>
      </c>
      <c r="H218" s="344"/>
      <c r="I218" s="459" t="str">
        <f>A218</f>
        <v>M total (g)</v>
      </c>
      <c r="J218" s="460" t="e">
        <f>G218</f>
        <v>#DIV/0!</v>
      </c>
      <c r="K218" s="461" t="e">
        <f t="shared" si="13"/>
        <v>#DIV/0!</v>
      </c>
    </row>
    <row r="219" spans="1:11" ht="22.5" customHeight="1" x14ac:dyDescent="0.2">
      <c r="A219" s="354" t="s">
        <v>261</v>
      </c>
      <c r="B219" s="355"/>
      <c r="C219" s="356">
        <f>Balanza!$D$25</f>
        <v>0</v>
      </c>
      <c r="D219" s="357" t="s">
        <v>260</v>
      </c>
      <c r="E219" s="358">
        <f>C219</f>
        <v>0</v>
      </c>
      <c r="F219" s="363"/>
      <c r="G219" s="364"/>
      <c r="H219" s="344"/>
      <c r="I219" s="459" t="str">
        <f>A224</f>
        <v>Factor de presición No. 200</v>
      </c>
      <c r="J219" s="462">
        <f>G224</f>
        <v>0.18838078975344294</v>
      </c>
      <c r="K219" s="461" t="e">
        <f t="shared" si="13"/>
        <v>#DIV/0!</v>
      </c>
    </row>
    <row r="220" spans="1:11" ht="22.5" customHeight="1" x14ac:dyDescent="0.2">
      <c r="A220" s="354" t="s">
        <v>259</v>
      </c>
      <c r="B220" s="355"/>
      <c r="C220" s="361">
        <f>2*(SQRT(Balanza!$B$8+Balanza!$C$8*(POWER(B218,2))))</f>
        <v>0.12899612397277679</v>
      </c>
      <c r="D220" s="357" t="s">
        <v>258</v>
      </c>
      <c r="E220" s="358">
        <f>C220/2</f>
        <v>6.4498061986388397E-2</v>
      </c>
      <c r="F220" s="363"/>
      <c r="G220" s="364"/>
      <c r="H220" s="344"/>
      <c r="I220" s="459"/>
      <c r="J220" s="460" t="e">
        <f>SUM(J216:J219)</f>
        <v>#DIV/0!</v>
      </c>
      <c r="K220" s="461" t="e">
        <f t="shared" si="13"/>
        <v>#DIV/0!</v>
      </c>
    </row>
    <row r="221" spans="1:11" ht="22.5" customHeight="1" x14ac:dyDescent="0.2">
      <c r="A221" s="354" t="s">
        <v>257</v>
      </c>
      <c r="B221" s="355"/>
      <c r="C221" s="356">
        <f>Balanza!$B$10</f>
        <v>0.1</v>
      </c>
      <c r="D221" s="357" t="s">
        <v>256</v>
      </c>
      <c r="E221" s="358">
        <f>(C221/SQRT(3)/2)</f>
        <v>2.8867513459481291E-2</v>
      </c>
      <c r="F221" s="363"/>
      <c r="G221" s="364"/>
      <c r="H221" s="344"/>
      <c r="I221" s="455"/>
      <c r="J221" s="456"/>
    </row>
    <row r="222" spans="1:11" ht="22.5" customHeight="1" x14ac:dyDescent="0.2">
      <c r="A222" s="348" t="s">
        <v>264</v>
      </c>
      <c r="B222" s="365">
        <v>7.4999999999999997E-2</v>
      </c>
      <c r="C222" s="365"/>
      <c r="D222" s="350" t="s">
        <v>262</v>
      </c>
      <c r="E222" s="351">
        <f>SQRT(((E223*E223)))</f>
        <v>6.4999999999999997E-4</v>
      </c>
      <c r="F222" s="352">
        <v>1</v>
      </c>
      <c r="G222" s="353">
        <f>(E222*F222)</f>
        <v>6.4999999999999997E-4</v>
      </c>
      <c r="H222" s="344"/>
    </row>
    <row r="223" spans="1:11" ht="22.5" customHeight="1" x14ac:dyDescent="0.2">
      <c r="A223" s="354" t="s">
        <v>259</v>
      </c>
      <c r="B223" s="355"/>
      <c r="C223" s="366">
        <f>Balanza!K41</f>
        <v>1.2999999999999999E-3</v>
      </c>
      <c r="D223" s="357" t="s">
        <v>258</v>
      </c>
      <c r="E223" s="358">
        <f>C223/2</f>
        <v>6.4999999999999997E-4</v>
      </c>
      <c r="F223" s="363"/>
      <c r="G223" s="364"/>
      <c r="H223" s="345"/>
    </row>
    <row r="224" spans="1:11" ht="22.5" customHeight="1" thickBot="1" x14ac:dyDescent="0.25">
      <c r="A224" s="367" t="s">
        <v>255</v>
      </c>
      <c r="B224" s="597">
        <f>+Balanza!B63</f>
        <v>0.18838078975344294</v>
      </c>
      <c r="C224" s="368"/>
      <c r="D224" s="369" t="s">
        <v>254</v>
      </c>
      <c r="E224" s="370">
        <f>B224/SQRT(1)</f>
        <v>0.18838078975344294</v>
      </c>
      <c r="F224" s="371">
        <v>1</v>
      </c>
      <c r="G224" s="372">
        <f>+F224*E224</f>
        <v>0.18838078975344294</v>
      </c>
      <c r="H224" s="345"/>
      <c r="I224" s="344"/>
      <c r="J224" s="344"/>
    </row>
    <row r="227" spans="1:8" x14ac:dyDescent="0.2">
      <c r="A227" s="771" t="s">
        <v>560</v>
      </c>
      <c r="B227" s="921" t="s">
        <v>561</v>
      </c>
      <c r="C227" s="922"/>
      <c r="D227" s="772"/>
      <c r="E227" s="923" t="s">
        <v>562</v>
      </c>
      <c r="F227" s="923"/>
      <c r="G227" s="924" t="s">
        <v>563</v>
      </c>
      <c r="H227" s="925"/>
    </row>
    <row r="228" spans="1:8" x14ac:dyDescent="0.2">
      <c r="A228" s="401"/>
      <c r="B228" s="401"/>
      <c r="C228" s="401"/>
      <c r="D228" s="401"/>
      <c r="E228" s="401"/>
      <c r="F228" s="401"/>
      <c r="G228" s="401"/>
      <c r="H228" s="401"/>
    </row>
    <row r="229" spans="1:8" x14ac:dyDescent="0.2">
      <c r="A229" s="773" t="s">
        <v>564</v>
      </c>
      <c r="B229" s="900">
        <v>44944</v>
      </c>
      <c r="C229" s="901"/>
      <c r="D229" s="401"/>
      <c r="E229" s="902" t="s">
        <v>565</v>
      </c>
      <c r="F229" s="902"/>
      <c r="G229" s="900">
        <v>44944</v>
      </c>
      <c r="H229" s="901"/>
    </row>
    <row r="230" spans="1:8" x14ac:dyDescent="0.2">
      <c r="A230" s="401"/>
      <c r="B230" s="401"/>
      <c r="C230" s="401"/>
      <c r="D230" s="401"/>
      <c r="E230" s="401"/>
      <c r="F230" s="401"/>
      <c r="G230" s="401"/>
      <c r="H230" s="401"/>
    </row>
    <row r="231" spans="1:8" x14ac:dyDescent="0.2">
      <c r="B231" s="384"/>
    </row>
  </sheetData>
  <sheetProtection algorithmName="SHA-512" hashValue="JjpA71yMoMZeYaEauN6N0BZWKijytnayxZUttfyXGXSgymSo87Bs2FQYyjj/JEHa7OOno4oVdBAwmKYnkW+JvQ==" saltValue="vuO/aylryFZgx6A8C1NUcA==" spinCount="100000" sheet="1" selectLockedCells="1" selectUnlockedCells="1"/>
  <mergeCells count="9">
    <mergeCell ref="B229:C229"/>
    <mergeCell ref="E229:F229"/>
    <mergeCell ref="G229:H229"/>
    <mergeCell ref="A34:K34"/>
    <mergeCell ref="A1:B4"/>
    <mergeCell ref="C1:I4"/>
    <mergeCell ref="B227:C227"/>
    <mergeCell ref="E227:F227"/>
    <mergeCell ref="G227:H22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63"/>
  <sheetViews>
    <sheetView topLeftCell="A22" zoomScaleNormal="100" workbookViewId="0">
      <selection activeCell="D52" sqref="D52"/>
    </sheetView>
  </sheetViews>
  <sheetFormatPr baseColWidth="10" defaultColWidth="11.42578125" defaultRowHeight="12.75" x14ac:dyDescent="0.2"/>
  <cols>
    <col min="1" max="1" width="11.42578125" style="276"/>
    <col min="2" max="2" width="11.42578125" style="276" customWidth="1"/>
    <col min="3" max="3" width="12" style="276" customWidth="1"/>
    <col min="4" max="8" width="11.42578125" style="276"/>
    <col min="9" max="9" width="11.85546875" style="276" customWidth="1"/>
    <col min="10" max="30" width="11.42578125" style="276"/>
    <col min="31" max="32" width="9.42578125" style="276" customWidth="1"/>
    <col min="33" max="39" width="12.28515625" style="276" customWidth="1"/>
    <col min="40" max="40" width="4.140625" style="276" customWidth="1"/>
    <col min="41" max="49" width="12.28515625" style="276" customWidth="1"/>
    <col min="50" max="16384" width="11.42578125" style="276"/>
  </cols>
  <sheetData>
    <row r="2" spans="1:8" x14ac:dyDescent="0.2">
      <c r="C2" s="397" t="s">
        <v>344</v>
      </c>
    </row>
    <row r="6" spans="1:8" x14ac:dyDescent="0.2">
      <c r="B6" s="397"/>
      <c r="C6" s="397"/>
      <c r="D6" s="397"/>
      <c r="E6" s="397"/>
      <c r="F6" s="397"/>
      <c r="G6" s="397"/>
    </row>
    <row r="7" spans="1:8" x14ac:dyDescent="0.2">
      <c r="A7" s="765" t="s">
        <v>553</v>
      </c>
      <c r="B7" s="336">
        <v>-3.2899999999999998E-6</v>
      </c>
      <c r="C7" s="328"/>
      <c r="D7" s="328"/>
      <c r="E7" s="328"/>
      <c r="F7" s="328"/>
      <c r="G7" s="328"/>
    </row>
    <row r="8" spans="1:8" x14ac:dyDescent="0.2">
      <c r="A8" s="766" t="s">
        <v>343</v>
      </c>
      <c r="B8" s="329">
        <v>4.1599999999999996E-3</v>
      </c>
      <c r="C8" s="336">
        <v>2.4299999999999999E-10</v>
      </c>
      <c r="D8" s="328"/>
      <c r="E8" s="328"/>
      <c r="F8" s="328"/>
      <c r="G8" s="328"/>
    </row>
    <row r="9" spans="1:8" x14ac:dyDescent="0.2">
      <c r="A9" s="766" t="s">
        <v>554</v>
      </c>
      <c r="B9" s="337" t="s">
        <v>555</v>
      </c>
      <c r="C9" s="329"/>
      <c r="D9" s="328"/>
      <c r="E9" s="328"/>
      <c r="F9" s="328"/>
      <c r="G9" s="328"/>
    </row>
    <row r="10" spans="1:8" x14ac:dyDescent="0.2">
      <c r="A10" s="766" t="s">
        <v>257</v>
      </c>
      <c r="B10" s="337">
        <v>0.1</v>
      </c>
      <c r="C10" s="329" t="s">
        <v>556</v>
      </c>
      <c r="D10" s="394"/>
      <c r="E10" s="328"/>
      <c r="F10" s="328"/>
      <c r="G10" s="328"/>
    </row>
    <row r="11" spans="1:8" x14ac:dyDescent="0.2">
      <c r="A11" s="766" t="s">
        <v>557</v>
      </c>
      <c r="B11" s="329" t="s">
        <v>558</v>
      </c>
      <c r="C11" s="328"/>
      <c r="D11" s="394"/>
      <c r="E11" s="328"/>
      <c r="F11" s="328"/>
      <c r="G11" s="328"/>
    </row>
    <row r="12" spans="1:8" x14ac:dyDescent="0.2">
      <c r="A12" s="766" t="s">
        <v>559</v>
      </c>
      <c r="B12" s="394"/>
      <c r="C12" s="767">
        <v>46132</v>
      </c>
      <c r="D12" s="394"/>
      <c r="E12" s="328"/>
      <c r="F12" s="328"/>
      <c r="G12" s="328"/>
    </row>
    <row r="13" spans="1:8" x14ac:dyDescent="0.2">
      <c r="A13" s="328"/>
      <c r="B13" s="329"/>
      <c r="C13" s="328"/>
      <c r="D13" s="328"/>
      <c r="E13" s="328"/>
      <c r="F13" s="328"/>
      <c r="G13" s="328"/>
    </row>
    <row r="14" spans="1:8" ht="12.75" customHeight="1" x14ac:dyDescent="0.2">
      <c r="A14" s="324" t="s">
        <v>383</v>
      </c>
      <c r="B14" s="324" t="s">
        <v>384</v>
      </c>
      <c r="C14" s="324">
        <v>20</v>
      </c>
      <c r="D14" s="324">
        <v>200</v>
      </c>
      <c r="E14" s="324">
        <v>500</v>
      </c>
      <c r="F14" s="324">
        <v>1000</v>
      </c>
      <c r="G14" s="324">
        <v>5000</v>
      </c>
      <c r="H14" s="324">
        <v>10000</v>
      </c>
    </row>
    <row r="15" spans="1:8" x14ac:dyDescent="0.2">
      <c r="A15" s="645"/>
      <c r="B15" s="646"/>
      <c r="C15" s="430"/>
      <c r="D15" s="430"/>
      <c r="E15" s="430"/>
      <c r="F15" s="430"/>
      <c r="G15" s="430"/>
      <c r="H15" s="430"/>
    </row>
    <row r="16" spans="1:8" x14ac:dyDescent="0.2">
      <c r="A16" s="645"/>
      <c r="B16" s="646"/>
      <c r="C16" s="430"/>
      <c r="D16" s="430"/>
      <c r="E16" s="430"/>
      <c r="F16" s="430"/>
      <c r="G16" s="430"/>
      <c r="H16" s="430"/>
    </row>
    <row r="17" spans="1:15" x14ac:dyDescent="0.2">
      <c r="A17" s="328"/>
      <c r="B17" s="328"/>
      <c r="C17" s="328"/>
      <c r="D17" s="328"/>
      <c r="E17" s="328"/>
      <c r="F17" s="328"/>
      <c r="G17" s="328"/>
    </row>
    <row r="18" spans="1:15" x14ac:dyDescent="0.2">
      <c r="A18" s="331"/>
      <c r="B18" s="330" t="s">
        <v>342</v>
      </c>
      <c r="C18" s="393">
        <v>0</v>
      </c>
      <c r="D18" s="393">
        <v>0</v>
      </c>
      <c r="E18" s="393">
        <v>0</v>
      </c>
      <c r="F18" s="393">
        <v>0</v>
      </c>
      <c r="G18" s="393">
        <v>0</v>
      </c>
      <c r="H18" s="393">
        <v>0</v>
      </c>
    </row>
    <row r="19" spans="1:15" ht="13.5" thickBot="1" x14ac:dyDescent="0.25"/>
    <row r="20" spans="1:15" x14ac:dyDescent="0.2">
      <c r="A20" s="398"/>
      <c r="B20" s="412" t="s">
        <v>341</v>
      </c>
      <c r="C20" s="412"/>
      <c r="D20" s="412"/>
      <c r="E20" s="412"/>
      <c r="F20" s="412"/>
      <c r="G20" s="447"/>
      <c r="H20" s="448"/>
      <c r="I20" s="398"/>
      <c r="J20" s="447"/>
      <c r="K20" s="447"/>
      <c r="L20" s="447"/>
      <c r="M20" s="447"/>
      <c r="N20" s="407"/>
      <c r="O20" s="328"/>
    </row>
    <row r="21" spans="1:15" x14ac:dyDescent="0.2">
      <c r="A21" s="399"/>
      <c r="E21" s="328"/>
      <c r="H21" s="403"/>
      <c r="I21" s="399"/>
      <c r="J21" s="472" t="s">
        <v>340</v>
      </c>
      <c r="K21" s="472"/>
      <c r="L21" s="472"/>
      <c r="M21" s="472"/>
      <c r="N21" s="400"/>
      <c r="O21" s="328"/>
    </row>
    <row r="22" spans="1:15" ht="15.75" customHeight="1" x14ac:dyDescent="0.2">
      <c r="A22" s="399"/>
      <c r="C22" s="331">
        <f t="shared" ref="C22:H22" si="0">+C14</f>
        <v>20</v>
      </c>
      <c r="D22" s="331">
        <f t="shared" si="0"/>
        <v>200</v>
      </c>
      <c r="E22" s="331">
        <f t="shared" si="0"/>
        <v>500</v>
      </c>
      <c r="F22" s="331">
        <f t="shared" si="0"/>
        <v>1000</v>
      </c>
      <c r="G22" s="331">
        <f t="shared" si="0"/>
        <v>5000</v>
      </c>
      <c r="H22" s="449">
        <f t="shared" si="0"/>
        <v>10000</v>
      </c>
      <c r="I22" s="399"/>
      <c r="J22" s="332"/>
      <c r="K22" s="332"/>
      <c r="L22" s="332"/>
      <c r="M22" s="328"/>
      <c r="N22" s="400"/>
      <c r="O22" s="328"/>
    </row>
    <row r="23" spans="1:15" x14ac:dyDescent="0.2">
      <c r="A23" s="399"/>
      <c r="C23" s="325">
        <f t="shared" ref="C23:H23" si="1">C18</f>
        <v>0</v>
      </c>
      <c r="D23" s="325">
        <f t="shared" si="1"/>
        <v>0</v>
      </c>
      <c r="E23" s="325">
        <f t="shared" si="1"/>
        <v>0</v>
      </c>
      <c r="F23" s="325">
        <f t="shared" si="1"/>
        <v>0</v>
      </c>
      <c r="G23" s="325">
        <f t="shared" si="1"/>
        <v>0</v>
      </c>
      <c r="H23" s="325">
        <f t="shared" si="1"/>
        <v>0</v>
      </c>
      <c r="I23" s="399"/>
      <c r="J23" s="401" t="s">
        <v>339</v>
      </c>
      <c r="K23" s="328"/>
      <c r="L23" s="408">
        <v>44628</v>
      </c>
      <c r="M23" s="328"/>
      <c r="N23" s="400"/>
      <c r="O23" s="328"/>
    </row>
    <row r="24" spans="1:15" x14ac:dyDescent="0.2">
      <c r="A24" s="399"/>
      <c r="E24" s="401"/>
      <c r="H24" s="403"/>
      <c r="I24" s="409"/>
      <c r="N24" s="400"/>
      <c r="O24" s="328"/>
    </row>
    <row r="25" spans="1:15" x14ac:dyDescent="0.2">
      <c r="A25" s="399"/>
      <c r="B25" s="411" t="s">
        <v>336</v>
      </c>
      <c r="C25" s="326" t="b">
        <f>A.Granul!V12</f>
        <v>0</v>
      </c>
      <c r="D25" s="393">
        <f>IF(C25&lt;=$C$22,$C$23,IF(AND(C25&gt;$C$22,C25&lt;=$D$22),$D$23,IF(AND(C25&gt;$D$22,C25&lt;=$E$22),$E$23,IF(AND(C25&gt;$E$22,C25&lt;=$F$22),$F$23,IF(AND(C25&gt;$F$22,C25&lt;=$G$22),$G$23,IF(AND(C25&gt;$G$22,C25&lt;=$H$22),$H$23,$H$23))))))</f>
        <v>0</v>
      </c>
      <c r="E25" s="402"/>
      <c r="H25" s="403"/>
      <c r="I25" s="399"/>
      <c r="N25" s="400"/>
      <c r="O25" s="328"/>
    </row>
    <row r="26" spans="1:15" ht="13.5" thickBot="1" x14ac:dyDescent="0.25">
      <c r="A26" s="399"/>
      <c r="B26" s="446" t="str">
        <f>+A.Granul!R3</f>
        <v>-</v>
      </c>
      <c r="C26" s="536" t="b">
        <f>+A.Granul!V13</f>
        <v>0</v>
      </c>
      <c r="D26" s="431">
        <f>IF(C26&lt;=$C$22,$C$23,IF(AND(C26&gt;$C$22,C26&lt;=$D$22),$D$23,IF(AND(C26&gt;$D$22,C26&lt;=$E$22),$E$23,IF(AND(C26&gt;$E$22,C26&lt;=$F$22),$F$23,IF(AND(C26&gt;$F$22,C26&lt;=$G$22),$G$23,IF(AND(C26&gt;$G$22,C26&lt;=$H$22),$H$23,$H$23))))))</f>
        <v>0</v>
      </c>
      <c r="E26" s="327"/>
      <c r="H26" s="403"/>
      <c r="I26" s="399"/>
      <c r="N26" s="403"/>
    </row>
    <row r="27" spans="1:15" ht="13.5" customHeight="1" x14ac:dyDescent="0.2">
      <c r="A27" s="399"/>
      <c r="B27" s="929" t="s">
        <v>398</v>
      </c>
      <c r="C27" s="931" t="s">
        <v>399</v>
      </c>
      <c r="D27" s="931" t="s">
        <v>400</v>
      </c>
      <c r="E27" s="933" t="s">
        <v>401</v>
      </c>
      <c r="H27" s="403"/>
      <c r="I27" s="399"/>
      <c r="J27" s="338" t="s">
        <v>310</v>
      </c>
      <c r="K27" s="333" t="s">
        <v>338</v>
      </c>
      <c r="L27" s="330" t="s">
        <v>337</v>
      </c>
      <c r="M27" s="330"/>
      <c r="N27" s="403"/>
    </row>
    <row r="28" spans="1:15" ht="19.5" customHeight="1" thickBot="1" x14ac:dyDescent="0.25">
      <c r="A28" s="399"/>
      <c r="B28" s="930"/>
      <c r="C28" s="932"/>
      <c r="D28" s="932"/>
      <c r="E28" s="934"/>
      <c r="H28" s="403"/>
      <c r="I28" s="399"/>
      <c r="J28" s="334" t="s">
        <v>333</v>
      </c>
      <c r="K28" s="335">
        <f>L28/1000</f>
        <v>1.7999999999999999E-2</v>
      </c>
      <c r="L28" s="331">
        <v>18</v>
      </c>
      <c r="M28" s="330" t="s">
        <v>335</v>
      </c>
      <c r="N28" s="403"/>
    </row>
    <row r="29" spans="1:15" x14ac:dyDescent="0.2">
      <c r="A29" s="399"/>
      <c r="B29" s="432" t="s">
        <v>382</v>
      </c>
      <c r="C29" s="433">
        <f>+A.Granul!T25</f>
        <v>0</v>
      </c>
      <c r="D29" s="434">
        <f>+C29</f>
        <v>0</v>
      </c>
      <c r="E29" s="435">
        <f>IF(D29&lt;=$C$22,$C$23,IF(AND(D29&gt;$C$22,D29&lt;=$D$22),$D$23,IF(AND(D29&gt;$D$22,D29&lt;=$E$22),$E$23,IF(AND(D29&gt;$E$22,D29&lt;=$F$22),$F$23,IF(AND(D29&gt;$F$22,D29&lt;=$G$22),$G$23,IF(AND(D29&gt;$G$22,D29&lt;=$H$22),$H$23,$H$23))))))</f>
        <v>0</v>
      </c>
      <c r="H29" s="403"/>
      <c r="I29" s="399"/>
      <c r="J29" s="334" t="s">
        <v>331</v>
      </c>
      <c r="K29" s="335">
        <f t="shared" ref="K29:K41" si="2">L29/1000</f>
        <v>1.7999999999999999E-2</v>
      </c>
      <c r="L29" s="331">
        <v>18</v>
      </c>
      <c r="M29" s="330" t="s">
        <v>335</v>
      </c>
      <c r="N29" s="403"/>
    </row>
    <row r="30" spans="1:15" x14ac:dyDescent="0.2">
      <c r="A30" s="399"/>
      <c r="B30" s="436" t="s">
        <v>331</v>
      </c>
      <c r="C30" s="413">
        <f>+A.Granul!T26</f>
        <v>0</v>
      </c>
      <c r="D30" s="326">
        <f>+C30+D29</f>
        <v>0</v>
      </c>
      <c r="E30" s="437">
        <f t="shared" ref="E30:E43" si="3">IF(D30&lt;=$C$22,$C$23,IF(AND(D30&gt;$C$22,D30&lt;=$D$22),$D$23,IF(AND(D30&gt;$D$22,D30&lt;=$E$22),$E$23,IF(AND(D30&gt;$E$22,D30&lt;=$F$22),$F$23,IF(AND(D30&gt;$F$22,D30&lt;=$G$22),$G$23,IF(AND(D30&gt;$G$22,D30&lt;=$H$22),$H$23,$H$23))))))</f>
        <v>0</v>
      </c>
      <c r="H30" s="403"/>
      <c r="I30" s="399"/>
      <c r="J30" s="334" t="s">
        <v>330</v>
      </c>
      <c r="K30" s="335">
        <f t="shared" si="2"/>
        <v>1.7999999999999999E-2</v>
      </c>
      <c r="L30" s="331">
        <v>18</v>
      </c>
      <c r="M30" s="330" t="s">
        <v>335</v>
      </c>
      <c r="N30" s="403"/>
    </row>
    <row r="31" spans="1:15" x14ac:dyDescent="0.2">
      <c r="A31" s="399"/>
      <c r="B31" s="436" t="s">
        <v>330</v>
      </c>
      <c r="C31" s="413">
        <f>+A.Granul!T27</f>
        <v>0</v>
      </c>
      <c r="D31" s="326">
        <f t="shared" ref="D31:D35" si="4">+C31+D30</f>
        <v>0</v>
      </c>
      <c r="E31" s="437">
        <f t="shared" si="3"/>
        <v>0</v>
      </c>
      <c r="H31" s="403"/>
      <c r="I31" s="399"/>
      <c r="J31" s="334" t="s">
        <v>329</v>
      </c>
      <c r="K31" s="335">
        <f t="shared" si="2"/>
        <v>1.7999999999999999E-2</v>
      </c>
      <c r="L31" s="331">
        <v>18</v>
      </c>
      <c r="M31" s="330" t="s">
        <v>335</v>
      </c>
      <c r="N31" s="403"/>
    </row>
    <row r="32" spans="1:15" x14ac:dyDescent="0.2">
      <c r="A32" s="399"/>
      <c r="B32" s="436" t="s">
        <v>329</v>
      </c>
      <c r="C32" s="413">
        <f>+A.Granul!T28</f>
        <v>0</v>
      </c>
      <c r="D32" s="326">
        <f t="shared" si="4"/>
        <v>0</v>
      </c>
      <c r="E32" s="437">
        <f t="shared" si="3"/>
        <v>0</v>
      </c>
      <c r="H32" s="403"/>
      <c r="I32" s="399"/>
      <c r="J32" s="334" t="s">
        <v>32</v>
      </c>
      <c r="K32" s="335">
        <f t="shared" si="2"/>
        <v>1.7999999999999999E-2</v>
      </c>
      <c r="L32" s="331">
        <v>18</v>
      </c>
      <c r="M32" s="330" t="s">
        <v>335</v>
      </c>
      <c r="N32" s="403"/>
    </row>
    <row r="33" spans="1:33" x14ac:dyDescent="0.2">
      <c r="A33" s="399"/>
      <c r="B33" s="436" t="s">
        <v>32</v>
      </c>
      <c r="C33" s="413">
        <f>+A.Granul!T29</f>
        <v>0</v>
      </c>
      <c r="D33" s="326">
        <f t="shared" si="4"/>
        <v>0</v>
      </c>
      <c r="E33" s="437">
        <f t="shared" si="3"/>
        <v>0</v>
      </c>
      <c r="H33" s="403"/>
      <c r="I33" s="399"/>
      <c r="J33" s="334" t="s">
        <v>33</v>
      </c>
      <c r="K33" s="335">
        <f t="shared" si="2"/>
        <v>1.7999999999999999E-2</v>
      </c>
      <c r="L33" s="331">
        <v>18</v>
      </c>
      <c r="M33" s="330" t="s">
        <v>335</v>
      </c>
      <c r="N33" s="403"/>
    </row>
    <row r="34" spans="1:33" x14ac:dyDescent="0.2">
      <c r="A34" s="399"/>
      <c r="B34" s="436" t="s">
        <v>33</v>
      </c>
      <c r="C34" s="413">
        <f>+A.Granul!T30</f>
        <v>0</v>
      </c>
      <c r="D34" s="326">
        <f t="shared" si="4"/>
        <v>0</v>
      </c>
      <c r="E34" s="437">
        <f t="shared" si="3"/>
        <v>0</v>
      </c>
      <c r="H34" s="403"/>
      <c r="I34" s="399"/>
      <c r="J34" s="334" t="s">
        <v>328</v>
      </c>
      <c r="K34" s="335">
        <f t="shared" si="2"/>
        <v>1.7999999999999999E-2</v>
      </c>
      <c r="L34" s="331">
        <v>18</v>
      </c>
      <c r="M34" s="330" t="s">
        <v>335</v>
      </c>
      <c r="N34" s="403"/>
    </row>
    <row r="35" spans="1:33" ht="13.5" thickBot="1" x14ac:dyDescent="0.25">
      <c r="A35" s="399"/>
      <c r="B35" s="438" t="s">
        <v>328</v>
      </c>
      <c r="C35" s="439">
        <f>+A.Granul!T31</f>
        <v>0</v>
      </c>
      <c r="D35" s="440">
        <f t="shared" si="4"/>
        <v>0</v>
      </c>
      <c r="E35" s="441">
        <f t="shared" si="3"/>
        <v>0</v>
      </c>
      <c r="H35" s="403"/>
      <c r="I35" s="399"/>
      <c r="J35" s="334" t="s">
        <v>327</v>
      </c>
      <c r="K35" s="335">
        <f>L35/1000</f>
        <v>6.4999999999999997E-3</v>
      </c>
      <c r="L35" s="331">
        <v>6.5</v>
      </c>
      <c r="M35" s="330" t="s">
        <v>335</v>
      </c>
      <c r="N35" s="403"/>
    </row>
    <row r="36" spans="1:33" x14ac:dyDescent="0.2">
      <c r="A36" s="399"/>
      <c r="B36" s="442" t="s">
        <v>327</v>
      </c>
      <c r="C36" s="433">
        <f>+A.Granul!T32</f>
        <v>0</v>
      </c>
      <c r="D36" s="444">
        <f>IF(B26="Fraccionada",C36,D35+C36)</f>
        <v>0</v>
      </c>
      <c r="E36" s="435">
        <f t="shared" si="3"/>
        <v>0</v>
      </c>
      <c r="H36" s="403"/>
      <c r="I36" s="399"/>
      <c r="J36" s="334" t="s">
        <v>326</v>
      </c>
      <c r="K36" s="335">
        <f t="shared" si="2"/>
        <v>5.4000000000000003E-3</v>
      </c>
      <c r="L36" s="331">
        <v>5.4</v>
      </c>
      <c r="M36" s="330" t="s">
        <v>335</v>
      </c>
      <c r="N36" s="403"/>
    </row>
    <row r="37" spans="1:33" x14ac:dyDescent="0.2">
      <c r="A37" s="399"/>
      <c r="B37" s="436" t="s">
        <v>326</v>
      </c>
      <c r="C37" s="413">
        <f>+A.Granul!T33</f>
        <v>0</v>
      </c>
      <c r="D37" s="443">
        <f t="shared" ref="D37:D43" si="5">D36+C37</f>
        <v>0</v>
      </c>
      <c r="E37" s="437">
        <f t="shared" si="3"/>
        <v>0</v>
      </c>
      <c r="H37" s="403"/>
      <c r="I37" s="399"/>
      <c r="J37" s="334" t="s">
        <v>325</v>
      </c>
      <c r="K37" s="335">
        <f t="shared" si="2"/>
        <v>2.7000000000000001E-3</v>
      </c>
      <c r="L37" s="331">
        <v>2.7</v>
      </c>
      <c r="M37" s="330" t="s">
        <v>335</v>
      </c>
      <c r="N37" s="403"/>
    </row>
    <row r="38" spans="1:33" x14ac:dyDescent="0.2">
      <c r="A38" s="399"/>
      <c r="B38" s="436" t="s">
        <v>325</v>
      </c>
      <c r="C38" s="413">
        <f>+A.Granul!T34</f>
        <v>0</v>
      </c>
      <c r="D38" s="443">
        <f t="shared" si="5"/>
        <v>0</v>
      </c>
      <c r="E38" s="437">
        <f t="shared" si="3"/>
        <v>0</v>
      </c>
      <c r="H38" s="403"/>
      <c r="I38" s="399"/>
      <c r="J38" s="334" t="s">
        <v>324</v>
      </c>
      <c r="K38" s="335">
        <f t="shared" si="2"/>
        <v>2.5000000000000001E-3</v>
      </c>
      <c r="L38" s="331">
        <v>2.5</v>
      </c>
      <c r="M38" s="330" t="s">
        <v>335</v>
      </c>
      <c r="N38" s="403"/>
    </row>
    <row r="39" spans="1:33" x14ac:dyDescent="0.2">
      <c r="A39" s="399"/>
      <c r="B39" s="436" t="s">
        <v>324</v>
      </c>
      <c r="C39" s="413">
        <f>+A.Granul!T35</f>
        <v>0</v>
      </c>
      <c r="D39" s="443">
        <f t="shared" si="5"/>
        <v>0</v>
      </c>
      <c r="E39" s="437">
        <f t="shared" si="3"/>
        <v>0</v>
      </c>
      <c r="H39" s="403"/>
      <c r="I39" s="399"/>
      <c r="J39" s="334" t="s">
        <v>346</v>
      </c>
      <c r="K39" s="335">
        <f t="shared" si="2"/>
        <v>1.2999999999999999E-3</v>
      </c>
      <c r="L39" s="331">
        <v>1.3</v>
      </c>
      <c r="M39" s="330" t="s">
        <v>335</v>
      </c>
      <c r="N39" s="403"/>
    </row>
    <row r="40" spans="1:33" x14ac:dyDescent="0.2">
      <c r="A40" s="399"/>
      <c r="B40" s="436" t="s">
        <v>346</v>
      </c>
      <c r="C40" s="413">
        <f>+A.Granul!T36</f>
        <v>0</v>
      </c>
      <c r="D40" s="443">
        <f t="shared" si="5"/>
        <v>0</v>
      </c>
      <c r="E40" s="437">
        <f t="shared" si="3"/>
        <v>0</v>
      </c>
      <c r="H40" s="403"/>
      <c r="I40" s="399"/>
      <c r="J40" s="334" t="s">
        <v>323</v>
      </c>
      <c r="K40" s="335">
        <f t="shared" si="2"/>
        <v>1.4E-3</v>
      </c>
      <c r="L40" s="331">
        <v>1.4</v>
      </c>
      <c r="M40" s="330" t="s">
        <v>335</v>
      </c>
      <c r="N40" s="403"/>
    </row>
    <row r="41" spans="1:33" x14ac:dyDescent="0.2">
      <c r="A41" s="399"/>
      <c r="B41" s="436" t="s">
        <v>323</v>
      </c>
      <c r="C41" s="413">
        <f>+A.Granul!T37</f>
        <v>0</v>
      </c>
      <c r="D41" s="443">
        <f t="shared" si="5"/>
        <v>0</v>
      </c>
      <c r="E41" s="437">
        <f t="shared" si="3"/>
        <v>0</v>
      </c>
      <c r="H41" s="403"/>
      <c r="I41" s="399"/>
      <c r="J41" s="334" t="s">
        <v>322</v>
      </c>
      <c r="K41" s="335">
        <f t="shared" si="2"/>
        <v>1.2999999999999999E-3</v>
      </c>
      <c r="L41" s="331">
        <v>1.3</v>
      </c>
      <c r="M41" s="330" t="s">
        <v>335</v>
      </c>
      <c r="N41" s="403"/>
    </row>
    <row r="42" spans="1:33" x14ac:dyDescent="0.2">
      <c r="A42" s="399"/>
      <c r="B42" s="436" t="s">
        <v>322</v>
      </c>
      <c r="C42" s="413">
        <f>+A.Granul!T38</f>
        <v>0</v>
      </c>
      <c r="D42" s="443">
        <f t="shared" si="5"/>
        <v>0</v>
      </c>
      <c r="E42" s="437">
        <f t="shared" si="3"/>
        <v>0</v>
      </c>
      <c r="H42" s="403"/>
      <c r="I42" s="399"/>
      <c r="N42" s="403"/>
    </row>
    <row r="43" spans="1:33" ht="13.5" thickBot="1" x14ac:dyDescent="0.25">
      <c r="A43" s="399"/>
      <c r="B43" s="438" t="s">
        <v>332</v>
      </c>
      <c r="C43" s="439" t="b">
        <f>+A.Granul!T39</f>
        <v>0</v>
      </c>
      <c r="D43" s="445">
        <f t="shared" si="5"/>
        <v>0</v>
      </c>
      <c r="E43" s="441">
        <f t="shared" si="3"/>
        <v>0</v>
      </c>
      <c r="H43" s="403"/>
      <c r="I43" s="399"/>
      <c r="N43" s="403"/>
    </row>
    <row r="44" spans="1:33" ht="13.5" thickBot="1" x14ac:dyDescent="0.25">
      <c r="A44" s="404"/>
      <c r="B44" s="405"/>
      <c r="C44" s="405"/>
      <c r="D44" s="405"/>
      <c r="E44" s="405"/>
      <c r="F44" s="405"/>
      <c r="G44" s="405"/>
      <c r="H44" s="406"/>
      <c r="I44" s="410"/>
      <c r="J44" s="405"/>
      <c r="K44" s="405"/>
      <c r="L44" s="405"/>
      <c r="M44" s="405"/>
      <c r="N44" s="406"/>
    </row>
    <row r="45" spans="1:33" x14ac:dyDescent="0.2">
      <c r="H45" s="327"/>
    </row>
    <row r="46" spans="1:33" x14ac:dyDescent="0.2">
      <c r="A46" s="926" t="s">
        <v>334</v>
      </c>
      <c r="B46" s="927"/>
      <c r="C46" s="928"/>
      <c r="D46" s="644"/>
      <c r="E46" s="394"/>
      <c r="F46" s="394"/>
      <c r="G46" s="394"/>
      <c r="H46" s="327"/>
      <c r="I46" s="394"/>
      <c r="J46" s="394"/>
      <c r="K46" s="394"/>
      <c r="L46" s="394"/>
      <c r="M46" s="394"/>
      <c r="N46" s="394"/>
      <c r="O46" s="394"/>
      <c r="P46" s="394"/>
      <c r="Q46" s="394"/>
      <c r="R46" s="394"/>
      <c r="S46" s="394"/>
      <c r="T46" s="394"/>
      <c r="U46" s="394"/>
      <c r="V46" s="394"/>
      <c r="W46" s="394"/>
      <c r="X46" s="394"/>
      <c r="Y46" s="394"/>
      <c r="Z46" s="394"/>
      <c r="AA46" s="394"/>
      <c r="AB46" s="394"/>
      <c r="AC46" s="394"/>
      <c r="AD46" s="394"/>
      <c r="AE46" s="394"/>
      <c r="AF46" s="394"/>
      <c r="AG46" s="394"/>
    </row>
    <row r="47" spans="1:33" x14ac:dyDescent="0.2">
      <c r="A47" s="276" t="s">
        <v>576</v>
      </c>
      <c r="B47" s="394"/>
      <c r="C47" s="644">
        <v>46167</v>
      </c>
      <c r="D47" s="394"/>
      <c r="E47" s="394"/>
      <c r="F47" s="394"/>
      <c r="G47" s="394"/>
      <c r="H47" s="327"/>
      <c r="I47" s="394"/>
      <c r="J47" s="394"/>
      <c r="K47" s="394"/>
      <c r="L47" s="394"/>
      <c r="M47" s="394"/>
      <c r="N47" s="394"/>
      <c r="O47" s="394"/>
      <c r="P47" s="394"/>
      <c r="Q47" s="394"/>
      <c r="R47" s="394"/>
      <c r="S47" s="394"/>
      <c r="T47" s="394"/>
      <c r="U47" s="394"/>
      <c r="V47" s="394"/>
      <c r="W47" s="394"/>
      <c r="X47" s="394"/>
      <c r="Y47" s="394"/>
      <c r="Z47" s="394"/>
      <c r="AA47" s="394"/>
      <c r="AB47" s="394"/>
      <c r="AC47" s="394"/>
      <c r="AD47" s="394"/>
      <c r="AE47" s="394"/>
      <c r="AF47" s="394"/>
      <c r="AG47" s="394"/>
    </row>
    <row r="49" spans="1:3" ht="51" x14ac:dyDescent="0.2">
      <c r="A49" s="395" t="s">
        <v>310</v>
      </c>
      <c r="B49" s="594" t="s">
        <v>574</v>
      </c>
      <c r="C49" s="594" t="s">
        <v>575</v>
      </c>
    </row>
    <row r="50" spans="1:3" x14ac:dyDescent="0.2">
      <c r="A50" s="396" t="s">
        <v>333</v>
      </c>
      <c r="B50" s="776">
        <v>0</v>
      </c>
      <c r="C50" s="777">
        <v>0</v>
      </c>
    </row>
    <row r="51" spans="1:3" x14ac:dyDescent="0.2">
      <c r="A51" s="396" t="s">
        <v>331</v>
      </c>
      <c r="B51" s="776">
        <v>0</v>
      </c>
      <c r="C51" s="777">
        <v>0</v>
      </c>
    </row>
    <row r="52" spans="1:3" x14ac:dyDescent="0.2">
      <c r="A52" s="396" t="s">
        <v>330</v>
      </c>
      <c r="B52" s="776">
        <v>0</v>
      </c>
      <c r="C52" s="777">
        <v>0</v>
      </c>
    </row>
    <row r="53" spans="1:3" x14ac:dyDescent="0.2">
      <c r="A53" s="396" t="s">
        <v>329</v>
      </c>
      <c r="B53" s="776">
        <v>0</v>
      </c>
      <c r="C53" s="777">
        <v>0</v>
      </c>
    </row>
    <row r="54" spans="1:3" x14ac:dyDescent="0.2">
      <c r="A54" s="396" t="s">
        <v>32</v>
      </c>
      <c r="B54" s="776">
        <v>0</v>
      </c>
      <c r="C54" s="777">
        <v>0</v>
      </c>
    </row>
    <row r="55" spans="1:3" x14ac:dyDescent="0.2">
      <c r="A55" s="396" t="s">
        <v>33</v>
      </c>
      <c r="B55" s="776">
        <v>0</v>
      </c>
      <c r="C55" s="777">
        <v>0</v>
      </c>
    </row>
    <row r="56" spans="1:3" x14ac:dyDescent="0.2">
      <c r="A56" s="396" t="s">
        <v>328</v>
      </c>
      <c r="B56" s="776">
        <v>0</v>
      </c>
      <c r="C56" s="777">
        <v>0</v>
      </c>
    </row>
    <row r="57" spans="1:3" x14ac:dyDescent="0.2">
      <c r="A57" s="396" t="s">
        <v>327</v>
      </c>
      <c r="B57" s="776">
        <v>0.8318450161014973</v>
      </c>
      <c r="C57" s="777">
        <v>0.84524144608114071</v>
      </c>
    </row>
    <row r="58" spans="1:3" x14ac:dyDescent="0.2">
      <c r="A58" s="396" t="s">
        <v>326</v>
      </c>
      <c r="B58" s="776">
        <v>0.7433056204311973</v>
      </c>
      <c r="C58" s="777">
        <v>0.9432425243205943</v>
      </c>
    </row>
    <row r="59" spans="1:3" x14ac:dyDescent="0.2">
      <c r="A59" s="396" t="s">
        <v>325</v>
      </c>
      <c r="B59" s="776">
        <v>0.59123133723608068</v>
      </c>
      <c r="C59" s="777">
        <v>0.62373862032104566</v>
      </c>
    </row>
    <row r="60" spans="1:3" x14ac:dyDescent="0.2">
      <c r="A60" s="396" t="s">
        <v>324</v>
      </c>
      <c r="B60" s="776">
        <v>0.44180048510128983</v>
      </c>
      <c r="C60" s="777">
        <v>0.44347925869259897</v>
      </c>
    </row>
    <row r="61" spans="1:3" x14ac:dyDescent="0.2">
      <c r="A61" s="396" t="s">
        <v>346</v>
      </c>
      <c r="B61" s="776">
        <v>0.43453848865921457</v>
      </c>
      <c r="C61" s="777">
        <v>0.53492396576729018</v>
      </c>
    </row>
    <row r="62" spans="1:3" x14ac:dyDescent="0.2">
      <c r="A62" s="396" t="s">
        <v>323</v>
      </c>
      <c r="B62" s="776">
        <v>0.27233376701830114</v>
      </c>
      <c r="C62" s="777">
        <v>0.36241121553263428</v>
      </c>
    </row>
    <row r="63" spans="1:3" x14ac:dyDescent="0.2">
      <c r="A63" s="396" t="s">
        <v>322</v>
      </c>
      <c r="B63" s="776">
        <v>0.18838078975344294</v>
      </c>
      <c r="C63" s="777">
        <v>0.36914828521717663</v>
      </c>
    </row>
  </sheetData>
  <sheetProtection algorithmName="SHA-512" hashValue="UZB3YXgOOlW4X83/XPUrwBKXDkwQsgrZBOLmBQeqDrs5sJ7/NQW24vjBYjpYLOJ5P/tZqHCAnd8EY/qkcmGsPA==" saltValue="YXjEJcKY601JmjBKSdDsXA==" spinCount="100000" sheet="1" objects="1" scenarios="1"/>
  <mergeCells count="5">
    <mergeCell ref="A46:C46"/>
    <mergeCell ref="B27:B28"/>
    <mergeCell ref="C27:C28"/>
    <mergeCell ref="D27:D28"/>
    <mergeCell ref="E27:E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showGridLines="0" topLeftCell="A7" zoomScaleNormal="100" zoomScaleSheetLayoutView="100" workbookViewId="0">
      <selection activeCell="A15" sqref="A15:K15"/>
    </sheetView>
  </sheetViews>
  <sheetFormatPr baseColWidth="10" defaultColWidth="10.28515625" defaultRowHeight="15" x14ac:dyDescent="0.25"/>
  <cols>
    <col min="1" max="1" width="16.28515625" style="141" customWidth="1"/>
    <col min="2" max="2" width="2" style="141" customWidth="1"/>
    <col min="3" max="3" width="11.42578125" style="141" customWidth="1"/>
    <col min="4" max="8" width="9.28515625" style="141" customWidth="1"/>
    <col min="9" max="9" width="8.85546875" style="141" customWidth="1"/>
    <col min="10" max="10" width="1.5703125" style="141" customWidth="1"/>
    <col min="11" max="11" width="13.5703125" style="141" customWidth="1"/>
    <col min="12" max="12" width="6.42578125" style="141" customWidth="1"/>
    <col min="13" max="13" width="8" style="141" customWidth="1"/>
    <col min="14" max="14" width="12.7109375" style="141" customWidth="1"/>
    <col min="15" max="15" width="10.85546875" style="141" customWidth="1"/>
    <col min="16" max="22" width="10.7109375" style="141" customWidth="1"/>
    <col min="23" max="16384" width="10.28515625" style="141"/>
  </cols>
  <sheetData>
    <row r="1" spans="1:19" ht="15.75" customHeight="1" thickTop="1" x14ac:dyDescent="0.25">
      <c r="A1" s="136"/>
      <c r="B1" s="137"/>
      <c r="C1" s="137"/>
      <c r="D1" s="138"/>
      <c r="E1" s="138"/>
      <c r="F1" s="138"/>
      <c r="G1" s="138"/>
      <c r="H1" s="138"/>
      <c r="I1" s="139"/>
      <c r="J1" s="139"/>
      <c r="K1" s="140"/>
    </row>
    <row r="2" spans="1:19" ht="15.75" customHeight="1" x14ac:dyDescent="0.25">
      <c r="A2" s="142"/>
      <c r="B2" s="143"/>
      <c r="C2" s="143"/>
      <c r="D2" s="144"/>
      <c r="E2" s="144"/>
      <c r="F2" s="144"/>
      <c r="G2" s="144"/>
      <c r="H2" s="144"/>
      <c r="K2" s="145"/>
      <c r="P2" s="146"/>
    </row>
    <row r="3" spans="1:19" ht="15.75" customHeight="1" x14ac:dyDescent="0.25">
      <c r="A3" s="142"/>
      <c r="B3" s="143"/>
      <c r="C3" s="143"/>
      <c r="D3" s="144"/>
      <c r="E3" s="144"/>
      <c r="F3" s="144"/>
      <c r="G3" s="144"/>
      <c r="H3" s="144"/>
      <c r="K3" s="145"/>
    </row>
    <row r="4" spans="1:19" ht="15.75" customHeight="1" x14ac:dyDescent="0.25">
      <c r="A4" s="142"/>
      <c r="B4" s="143"/>
      <c r="C4" s="143"/>
      <c r="D4" s="144"/>
      <c r="E4" s="144"/>
      <c r="F4" s="144"/>
      <c r="G4" s="144"/>
      <c r="H4" s="144"/>
      <c r="K4" s="145"/>
    </row>
    <row r="5" spans="1:19" ht="15.75" customHeight="1" thickBot="1" x14ac:dyDescent="0.3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9"/>
    </row>
    <row r="6" spans="1:19" ht="15.95" customHeight="1" thickTop="1" x14ac:dyDescent="0.25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</row>
    <row r="7" spans="1:19" ht="15.95" customHeight="1" x14ac:dyDescent="0.25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</row>
    <row r="8" spans="1:19" ht="15.95" customHeight="1" x14ac:dyDescent="0.25">
      <c r="A8" s="958" t="s">
        <v>21</v>
      </c>
      <c r="B8" s="958"/>
      <c r="C8" s="958"/>
      <c r="D8" s="958"/>
      <c r="E8" s="958"/>
      <c r="F8" s="958"/>
      <c r="G8" s="958"/>
      <c r="H8" s="958"/>
      <c r="I8" s="958"/>
      <c r="J8" s="958"/>
      <c r="K8" s="958"/>
    </row>
    <row r="9" spans="1:19" ht="15.95" customHeight="1" x14ac:dyDescent="0.25">
      <c r="A9" s="959">
        <f>+K13</f>
        <v>10</v>
      </c>
      <c r="B9" s="959"/>
      <c r="C9" s="959"/>
      <c r="D9" s="959"/>
      <c r="E9" s="959"/>
      <c r="F9" s="959"/>
      <c r="G9" s="959"/>
      <c r="H9" s="959"/>
      <c r="I9" s="959"/>
      <c r="J9" s="959"/>
      <c r="K9" s="959"/>
      <c r="O9" s="151"/>
    </row>
    <row r="10" spans="1:19" ht="15.95" customHeight="1" x14ac:dyDescent="0.25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</row>
    <row r="11" spans="1:19" ht="15.95" customHeight="1" x14ac:dyDescent="0.25">
      <c r="A11" s="13" t="s">
        <v>16</v>
      </c>
      <c r="B11" s="14" t="s">
        <v>0</v>
      </c>
      <c r="C11" s="960">
        <f>+A.Granul!F10</f>
        <v>0</v>
      </c>
      <c r="D11" s="960"/>
      <c r="E11" s="960"/>
      <c r="F11" s="960"/>
      <c r="G11" s="960"/>
      <c r="H11" s="960"/>
      <c r="I11" s="153" t="s">
        <v>31</v>
      </c>
      <c r="J11" s="154" t="s">
        <v>0</v>
      </c>
      <c r="K11" s="155" t="s">
        <v>190</v>
      </c>
      <c r="L11" s="156"/>
      <c r="M11" s="156"/>
      <c r="O11" s="157"/>
    </row>
    <row r="12" spans="1:19" ht="15.95" customHeight="1" x14ac:dyDescent="0.25">
      <c r="A12" s="13" t="s">
        <v>17</v>
      </c>
      <c r="B12" s="14" t="s">
        <v>0</v>
      </c>
      <c r="C12" s="960">
        <f>+A.Granul!F11</f>
        <v>0</v>
      </c>
      <c r="D12" s="960"/>
      <c r="E12" s="960"/>
      <c r="F12" s="960"/>
      <c r="G12" s="960"/>
      <c r="H12" s="960"/>
      <c r="I12" s="15" t="s">
        <v>19</v>
      </c>
      <c r="J12" s="14" t="s">
        <v>0</v>
      </c>
      <c r="K12" s="242">
        <f>+A.Granul!N11</f>
        <v>0</v>
      </c>
      <c r="L12" s="156"/>
      <c r="M12" s="156"/>
      <c r="P12" s="159"/>
      <c r="Q12" s="159"/>
      <c r="R12" s="160"/>
      <c r="S12" s="161"/>
    </row>
    <row r="13" spans="1:19" ht="15.95" customHeight="1" x14ac:dyDescent="0.25">
      <c r="A13" s="13" t="s">
        <v>18</v>
      </c>
      <c r="B13" s="14" t="s">
        <v>0</v>
      </c>
      <c r="C13" s="960">
        <f>+A.Granul!F12</f>
        <v>0</v>
      </c>
      <c r="D13" s="960"/>
      <c r="E13" s="960"/>
      <c r="F13" s="960"/>
      <c r="G13" s="960"/>
      <c r="H13" s="960"/>
      <c r="I13" s="15" t="s">
        <v>20</v>
      </c>
      <c r="J13" s="14" t="s">
        <v>0</v>
      </c>
      <c r="K13" s="241">
        <v>10</v>
      </c>
      <c r="L13" s="156"/>
      <c r="M13" s="156"/>
      <c r="P13" s="159"/>
      <c r="Q13" s="159"/>
      <c r="R13" s="957"/>
      <c r="S13" s="957"/>
    </row>
    <row r="14" spans="1:19" ht="15.95" customHeight="1" x14ac:dyDescent="0.25">
      <c r="A14" s="13"/>
      <c r="B14" s="14"/>
      <c r="C14" s="162"/>
      <c r="D14" s="162"/>
      <c r="E14" s="162"/>
      <c r="F14" s="162"/>
      <c r="G14" s="162"/>
      <c r="H14" s="162"/>
      <c r="I14" s="15"/>
      <c r="J14" s="14"/>
      <c r="K14" s="163"/>
      <c r="L14" s="156"/>
      <c r="M14" s="156"/>
      <c r="P14" s="159"/>
      <c r="Q14" s="159"/>
      <c r="R14" s="164"/>
      <c r="S14" s="164"/>
    </row>
    <row r="15" spans="1:19" ht="30" customHeight="1" x14ac:dyDescent="0.25">
      <c r="A15" s="943" t="s">
        <v>171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5"/>
      <c r="L15" s="156"/>
      <c r="M15" s="156"/>
      <c r="P15" s="159"/>
      <c r="Q15" s="159"/>
      <c r="R15" s="164"/>
      <c r="S15" s="164"/>
    </row>
    <row r="16" spans="1:19" ht="18" customHeight="1" x14ac:dyDescent="0.25">
      <c r="A16" s="946" t="s">
        <v>191</v>
      </c>
      <c r="B16" s="947"/>
      <c r="C16" s="947"/>
      <c r="D16" s="947"/>
      <c r="E16" s="947"/>
      <c r="F16" s="947"/>
      <c r="G16" s="947"/>
      <c r="H16" s="947"/>
      <c r="I16" s="947"/>
      <c r="J16" s="947"/>
      <c r="K16" s="948"/>
      <c r="L16" s="156"/>
      <c r="M16" s="156"/>
      <c r="P16" s="159"/>
      <c r="Q16" s="159"/>
      <c r="R16" s="164"/>
      <c r="S16" s="164"/>
    </row>
    <row r="17" spans="1:21" ht="11.25" customHeight="1" x14ac:dyDescent="0.25">
      <c r="A17" s="165"/>
      <c r="B17" s="18"/>
      <c r="C17" s="166"/>
      <c r="D17" s="166"/>
      <c r="E17" s="166"/>
      <c r="F17" s="166"/>
      <c r="G17" s="166"/>
      <c r="H17" s="166"/>
      <c r="I17" s="19"/>
      <c r="J17" s="18"/>
      <c r="K17" s="167"/>
      <c r="L17" s="156"/>
      <c r="M17" s="156"/>
      <c r="P17" s="159"/>
      <c r="Q17" s="159"/>
      <c r="R17" s="164"/>
      <c r="S17" s="164"/>
    </row>
    <row r="18" spans="1:21" ht="15.95" customHeight="1" x14ac:dyDescent="0.25">
      <c r="A18" s="949" t="s">
        <v>26</v>
      </c>
      <c r="B18" s="950"/>
      <c r="C18" s="950"/>
      <c r="D18" s="950"/>
      <c r="E18" s="950"/>
      <c r="F18" s="950"/>
      <c r="G18" s="950"/>
      <c r="H18" s="950"/>
      <c r="I18" s="950"/>
      <c r="J18" s="950"/>
      <c r="K18" s="951"/>
      <c r="M18" s="156"/>
      <c r="P18" s="159"/>
      <c r="Q18" s="159"/>
      <c r="R18" s="168"/>
      <c r="S18" s="168"/>
    </row>
    <row r="19" spans="1:21" ht="15.95" customHeight="1" x14ac:dyDescent="0.25">
      <c r="A19" s="169" t="s">
        <v>24</v>
      </c>
      <c r="B19" s="16" t="s">
        <v>0</v>
      </c>
      <c r="C19" s="158">
        <f>+A.Granul!F18</f>
        <v>0</v>
      </c>
      <c r="D19" s="16"/>
      <c r="E19" s="170"/>
      <c r="F19" s="158"/>
      <c r="G19" s="158"/>
      <c r="H19" s="170"/>
      <c r="I19" s="17" t="s">
        <v>27</v>
      </c>
      <c r="J19" s="171" t="s">
        <v>0</v>
      </c>
      <c r="K19" s="243">
        <f>+A.Granul!N18</f>
        <v>0</v>
      </c>
      <c r="M19" s="156"/>
      <c r="P19" s="159"/>
      <c r="Q19" s="159"/>
      <c r="R19" s="168"/>
      <c r="S19" s="168"/>
    </row>
    <row r="20" spans="1:21" ht="15.95" customHeight="1" x14ac:dyDescent="0.25">
      <c r="A20" s="169" t="s">
        <v>28</v>
      </c>
      <c r="B20" s="16" t="s">
        <v>0</v>
      </c>
      <c r="C20" s="158">
        <f>+A.Granul!F19</f>
        <v>0</v>
      </c>
      <c r="D20" s="16"/>
      <c r="E20" s="170"/>
      <c r="F20" s="158"/>
      <c r="G20" s="158"/>
      <c r="H20" s="170"/>
      <c r="I20" s="17" t="s">
        <v>29</v>
      </c>
      <c r="J20" s="171" t="s">
        <v>0</v>
      </c>
      <c r="K20" s="20">
        <f>+A.Granul!N19</f>
        <v>0</v>
      </c>
      <c r="M20" s="156"/>
      <c r="P20" s="159"/>
      <c r="Q20" s="159"/>
      <c r="R20" s="168"/>
      <c r="S20" s="168"/>
      <c r="U20" s="172" t="s">
        <v>172</v>
      </c>
    </row>
    <row r="21" spans="1:21" ht="15.95" customHeight="1" x14ac:dyDescent="0.25">
      <c r="A21" s="169" t="s">
        <v>25</v>
      </c>
      <c r="B21" s="16" t="s">
        <v>0</v>
      </c>
      <c r="C21" s="158">
        <f>+A.Granul!F20</f>
        <v>0</v>
      </c>
      <c r="D21" s="16"/>
      <c r="E21" s="170"/>
      <c r="F21" s="158"/>
      <c r="G21" s="158"/>
      <c r="H21" s="170"/>
      <c r="I21" s="17" t="s">
        <v>30</v>
      </c>
      <c r="J21" s="171" t="s">
        <v>0</v>
      </c>
      <c r="K21" s="20">
        <f>+A.Granul!N20</f>
        <v>0</v>
      </c>
      <c r="M21" s="156"/>
      <c r="P21" s="159"/>
      <c r="Q21" s="159"/>
      <c r="R21" s="168"/>
      <c r="S21" s="168"/>
      <c r="U21" s="172" t="s">
        <v>173</v>
      </c>
    </row>
    <row r="22" spans="1:21" ht="12" customHeigh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  <c r="M22" s="156"/>
    </row>
    <row r="23" spans="1:21" ht="18.75" customHeight="1" x14ac:dyDescent="0.25">
      <c r="A23" s="176"/>
      <c r="I23" s="952"/>
      <c r="J23" s="952"/>
      <c r="K23" s="177"/>
      <c r="L23" s="156"/>
      <c r="M23" s="178"/>
      <c r="Q23" s="179"/>
    </row>
    <row r="24" spans="1:21" ht="18.75" customHeight="1" x14ac:dyDescent="0.25">
      <c r="A24" s="180"/>
      <c r="D24" s="953" t="s">
        <v>174</v>
      </c>
      <c r="E24" s="954"/>
      <c r="F24" s="954"/>
      <c r="G24" s="955" t="s">
        <v>175</v>
      </c>
      <c r="H24" s="956"/>
      <c r="I24" s="940"/>
      <c r="J24" s="940"/>
      <c r="K24" s="181"/>
      <c r="L24" s="156"/>
      <c r="M24" s="182"/>
      <c r="O24" s="935" t="s">
        <v>174</v>
      </c>
      <c r="P24" s="936"/>
      <c r="Q24" s="183" t="s">
        <v>173</v>
      </c>
      <c r="R24" s="935" t="s">
        <v>175</v>
      </c>
      <c r="S24" s="937"/>
      <c r="T24" s="183" t="s">
        <v>173</v>
      </c>
    </row>
    <row r="25" spans="1:21" ht="18.75" customHeight="1" x14ac:dyDescent="0.25">
      <c r="A25" s="180"/>
      <c r="B25" s="938" t="s">
        <v>176</v>
      </c>
      <c r="C25" s="939"/>
      <c r="D25" s="184" t="str">
        <f>IF($Q$24="NO","",O25)</f>
        <v/>
      </c>
      <c r="E25" s="184" t="str">
        <f>IF($Q$24="NO","",P25)</f>
        <v/>
      </c>
      <c r="F25" s="185" t="str">
        <f>IF($Q$24="NO","",Q25)</f>
        <v/>
      </c>
      <c r="G25" s="186" t="str">
        <f>IF($T$24="NO","",R25)</f>
        <v/>
      </c>
      <c r="H25" s="184" t="str">
        <f>IF($T$24="NO","",S25)</f>
        <v/>
      </c>
      <c r="I25" s="940"/>
      <c r="J25" s="940"/>
      <c r="K25" s="181"/>
      <c r="L25" s="156"/>
      <c r="M25" s="182"/>
      <c r="N25" s="187" t="s">
        <v>176</v>
      </c>
      <c r="O25" s="184">
        <v>1</v>
      </c>
      <c r="P25" s="184">
        <v>2</v>
      </c>
      <c r="Q25" s="185">
        <v>3</v>
      </c>
      <c r="R25" s="188">
        <v>1</v>
      </c>
      <c r="S25" s="188">
        <v>2</v>
      </c>
    </row>
    <row r="26" spans="1:21" ht="18.75" customHeight="1" x14ac:dyDescent="0.25">
      <c r="A26" s="180"/>
      <c r="B26" s="189" t="s">
        <v>177</v>
      </c>
      <c r="C26" s="190"/>
      <c r="D26" s="191" t="str">
        <f>IF($Q$24="NO","",O26)</f>
        <v/>
      </c>
      <c r="E26" s="191" t="str">
        <f t="shared" ref="E26:F33" si="0">IF($Q$24="NO","",P26)</f>
        <v/>
      </c>
      <c r="F26" s="192" t="str">
        <f t="shared" si="0"/>
        <v/>
      </c>
      <c r="G26" s="193" t="str">
        <f>IF($T$24="NO","",R26)</f>
        <v/>
      </c>
      <c r="H26" s="191" t="str">
        <f>IF($T$24="NO","",S26)</f>
        <v/>
      </c>
      <c r="I26" s="941"/>
      <c r="J26" s="941"/>
      <c r="K26" s="194"/>
      <c r="L26" s="195"/>
      <c r="M26" s="182"/>
      <c r="N26" s="189" t="s">
        <v>177</v>
      </c>
      <c r="O26" s="196">
        <v>5</v>
      </c>
      <c r="P26" s="196">
        <v>3</v>
      </c>
      <c r="Q26" s="197">
        <v>4</v>
      </c>
      <c r="R26" s="198">
        <v>11</v>
      </c>
      <c r="S26" s="198">
        <v>10</v>
      </c>
    </row>
    <row r="27" spans="1:21" ht="18.75" customHeight="1" x14ac:dyDescent="0.25">
      <c r="A27" s="180"/>
      <c r="B27" s="189" t="s">
        <v>178</v>
      </c>
      <c r="C27" s="190"/>
      <c r="D27" s="191" t="str">
        <f t="shared" ref="D27:D33" si="1">IF($Q$24="NO","",O27)</f>
        <v/>
      </c>
      <c r="E27" s="191" t="str">
        <f t="shared" si="0"/>
        <v/>
      </c>
      <c r="F27" s="192" t="str">
        <f t="shared" si="0"/>
        <v/>
      </c>
      <c r="G27" s="199"/>
      <c r="H27" s="200"/>
      <c r="I27" s="201"/>
      <c r="J27" s="201"/>
      <c r="K27" s="202"/>
      <c r="L27" s="156"/>
      <c r="M27" s="156"/>
      <c r="N27" s="189" t="s">
        <v>178</v>
      </c>
      <c r="O27" s="203">
        <v>34</v>
      </c>
      <c r="P27" s="203">
        <v>23</v>
      </c>
      <c r="Q27" s="196">
        <v>14</v>
      </c>
      <c r="R27" s="204"/>
      <c r="S27" s="205"/>
    </row>
    <row r="28" spans="1:21" ht="18.75" customHeight="1" x14ac:dyDescent="0.25">
      <c r="A28" s="180"/>
      <c r="B28" s="189" t="s">
        <v>179</v>
      </c>
      <c r="C28" s="190"/>
      <c r="D28" s="191" t="str">
        <f t="shared" si="1"/>
        <v/>
      </c>
      <c r="E28" s="191" t="str">
        <f t="shared" si="0"/>
        <v/>
      </c>
      <c r="F28" s="192" t="str">
        <f t="shared" si="0"/>
        <v/>
      </c>
      <c r="G28" s="193" t="str">
        <f>IF($T$24="NO","",R28)</f>
        <v/>
      </c>
      <c r="H28" s="191" t="str">
        <f>IF($T$24="NO","",S28)</f>
        <v/>
      </c>
      <c r="I28" s="201"/>
      <c r="J28" s="201"/>
      <c r="K28" s="202"/>
      <c r="L28" s="156"/>
      <c r="M28" s="156"/>
      <c r="N28" s="189" t="s">
        <v>179</v>
      </c>
      <c r="O28" s="206">
        <v>45.75</v>
      </c>
      <c r="P28" s="206">
        <v>43.9</v>
      </c>
      <c r="Q28" s="207">
        <v>43.66</v>
      </c>
      <c r="R28" s="208">
        <v>23.05</v>
      </c>
      <c r="S28" s="208">
        <v>18.07</v>
      </c>
    </row>
    <row r="29" spans="1:21" ht="18.75" customHeight="1" x14ac:dyDescent="0.25">
      <c r="A29" s="180"/>
      <c r="B29" s="189" t="s">
        <v>180</v>
      </c>
      <c r="C29" s="190"/>
      <c r="D29" s="191" t="str">
        <f t="shared" si="1"/>
        <v/>
      </c>
      <c r="E29" s="191" t="str">
        <f t="shared" si="0"/>
        <v/>
      </c>
      <c r="F29" s="192" t="str">
        <f t="shared" si="0"/>
        <v/>
      </c>
      <c r="G29" s="193" t="str">
        <f t="shared" ref="G29:H32" si="2">IF($T$24="NO","",R29)</f>
        <v/>
      </c>
      <c r="H29" s="191" t="str">
        <f t="shared" si="2"/>
        <v/>
      </c>
      <c r="I29" s="201"/>
      <c r="J29" s="201"/>
      <c r="K29" s="202"/>
      <c r="L29" s="156"/>
      <c r="M29" s="156"/>
      <c r="N29" s="189" t="s">
        <v>180</v>
      </c>
      <c r="O29" s="206">
        <v>41.37</v>
      </c>
      <c r="P29" s="206">
        <v>40.03</v>
      </c>
      <c r="Q29" s="207">
        <v>38.78</v>
      </c>
      <c r="R29" s="208">
        <v>22.63</v>
      </c>
      <c r="S29" s="208">
        <v>17.48</v>
      </c>
    </row>
    <row r="30" spans="1:21" ht="18.75" customHeight="1" x14ac:dyDescent="0.25">
      <c r="A30" s="180"/>
      <c r="B30" s="189" t="s">
        <v>181</v>
      </c>
      <c r="C30" s="190"/>
      <c r="D30" s="191" t="str">
        <f t="shared" si="1"/>
        <v/>
      </c>
      <c r="E30" s="191" t="str">
        <f t="shared" si="0"/>
        <v/>
      </c>
      <c r="F30" s="192" t="str">
        <f t="shared" si="0"/>
        <v/>
      </c>
      <c r="G30" s="193" t="str">
        <f t="shared" si="2"/>
        <v/>
      </c>
      <c r="H30" s="191" t="str">
        <f t="shared" si="2"/>
        <v/>
      </c>
      <c r="I30" s="201"/>
      <c r="J30" s="201"/>
      <c r="K30" s="202"/>
      <c r="L30" s="156"/>
      <c r="M30" s="156"/>
      <c r="N30" s="189" t="s">
        <v>181</v>
      </c>
      <c r="O30" s="206">
        <v>22.74</v>
      </c>
      <c r="P30" s="206">
        <v>24.18</v>
      </c>
      <c r="Q30" s="207">
        <v>19.97</v>
      </c>
      <c r="R30" s="208">
        <v>19.309999999999999</v>
      </c>
      <c r="S30" s="208">
        <v>13.01</v>
      </c>
    </row>
    <row r="31" spans="1:21" ht="18.75" customHeight="1" x14ac:dyDescent="0.25">
      <c r="A31" s="180"/>
      <c r="B31" s="189" t="s">
        <v>182</v>
      </c>
      <c r="C31" s="190"/>
      <c r="D31" s="191" t="str">
        <f t="shared" si="1"/>
        <v/>
      </c>
      <c r="E31" s="191" t="str">
        <f t="shared" si="0"/>
        <v/>
      </c>
      <c r="F31" s="192" t="str">
        <f t="shared" si="0"/>
        <v/>
      </c>
      <c r="G31" s="193" t="str">
        <f t="shared" si="2"/>
        <v/>
      </c>
      <c r="H31" s="191" t="str">
        <f t="shared" si="2"/>
        <v/>
      </c>
      <c r="I31" s="201"/>
      <c r="J31" s="201"/>
      <c r="K31" s="202"/>
      <c r="L31" s="156"/>
      <c r="M31" s="156"/>
      <c r="N31" s="189" t="s">
        <v>182</v>
      </c>
      <c r="O31" s="209">
        <f t="shared" ref="O31:Q32" si="3">+O28-O29</f>
        <v>4.3800000000000026</v>
      </c>
      <c r="P31" s="209">
        <f t="shared" si="3"/>
        <v>3.8699999999999974</v>
      </c>
      <c r="Q31" s="210">
        <f t="shared" si="3"/>
        <v>4.8799999999999955</v>
      </c>
      <c r="R31" s="211">
        <f>+R28-R29</f>
        <v>0.42000000000000171</v>
      </c>
      <c r="S31" s="211">
        <f>+S28-S29</f>
        <v>0.58999999999999986</v>
      </c>
    </row>
    <row r="32" spans="1:21" ht="18.75" customHeight="1" x14ac:dyDescent="0.25">
      <c r="A32" s="180"/>
      <c r="B32" s="189" t="s">
        <v>183</v>
      </c>
      <c r="C32" s="190"/>
      <c r="D32" s="191" t="str">
        <f t="shared" si="1"/>
        <v/>
      </c>
      <c r="E32" s="191" t="str">
        <f t="shared" si="0"/>
        <v/>
      </c>
      <c r="F32" s="192" t="str">
        <f t="shared" si="0"/>
        <v/>
      </c>
      <c r="G32" s="193" t="str">
        <f t="shared" si="2"/>
        <v/>
      </c>
      <c r="H32" s="191" t="str">
        <f t="shared" si="2"/>
        <v/>
      </c>
      <c r="I32" s="201"/>
      <c r="J32" s="201"/>
      <c r="K32" s="202"/>
      <c r="L32" s="156"/>
      <c r="M32" s="156"/>
      <c r="N32" s="189" t="s">
        <v>183</v>
      </c>
      <c r="O32" s="209">
        <f t="shared" si="3"/>
        <v>18.63</v>
      </c>
      <c r="P32" s="209">
        <f t="shared" si="3"/>
        <v>15.850000000000001</v>
      </c>
      <c r="Q32" s="210">
        <f t="shared" si="3"/>
        <v>18.810000000000002</v>
      </c>
      <c r="R32" s="211">
        <f>+R29-R30</f>
        <v>3.3200000000000003</v>
      </c>
      <c r="S32" s="211">
        <f>+S29-S30</f>
        <v>4.4700000000000006</v>
      </c>
    </row>
    <row r="33" spans="1:19" ht="18.75" customHeight="1" x14ac:dyDescent="0.25">
      <c r="A33" s="180"/>
      <c r="B33" s="189" t="s">
        <v>184</v>
      </c>
      <c r="C33" s="190"/>
      <c r="D33" s="212" t="str">
        <f t="shared" si="1"/>
        <v/>
      </c>
      <c r="E33" s="212" t="str">
        <f t="shared" si="0"/>
        <v/>
      </c>
      <c r="F33" s="213" t="str">
        <f t="shared" si="0"/>
        <v/>
      </c>
      <c r="G33" s="214" t="str">
        <f>IF($T$24="NO","",R33)</f>
        <v/>
      </c>
      <c r="H33" s="212" t="str">
        <f>IF($T$24="NO","",S33)</f>
        <v/>
      </c>
      <c r="I33" s="201"/>
      <c r="J33" s="201"/>
      <c r="K33" s="202"/>
      <c r="L33" s="156"/>
      <c r="M33" s="156"/>
      <c r="N33" s="189" t="s">
        <v>184</v>
      </c>
      <c r="O33" s="209">
        <f>+O31/O32*100</f>
        <v>23.510466988727874</v>
      </c>
      <c r="P33" s="209">
        <f>+P31/P32*100</f>
        <v>24.416403785488942</v>
      </c>
      <c r="Q33" s="210">
        <f>+Q31/Q32*100</f>
        <v>25.943646996278545</v>
      </c>
      <c r="R33" s="211">
        <f>+R31/R32*100</f>
        <v>12.650602409638603</v>
      </c>
      <c r="S33" s="211">
        <f>+S31/S32*100</f>
        <v>13.199105145413863</v>
      </c>
    </row>
    <row r="34" spans="1:19" ht="18.75" customHeight="1" x14ac:dyDescent="0.25">
      <c r="A34" s="215"/>
      <c r="G34" s="201"/>
      <c r="H34" s="201"/>
      <c r="I34" s="201"/>
      <c r="J34" s="201"/>
      <c r="K34" s="202"/>
      <c r="L34" s="156"/>
      <c r="M34" s="156"/>
      <c r="P34" s="216"/>
      <c r="Q34" s="216"/>
      <c r="R34" s="216"/>
      <c r="S34" s="216"/>
    </row>
    <row r="35" spans="1:19" ht="18.75" customHeight="1" x14ac:dyDescent="0.25">
      <c r="A35" s="180"/>
      <c r="D35" s="201"/>
      <c r="E35" s="201"/>
      <c r="F35" s="201"/>
      <c r="G35" s="217" t="s">
        <v>185</v>
      </c>
      <c r="H35" s="218" t="str">
        <f>+IF(Q24="NO","NP",O40)</f>
        <v>NP</v>
      </c>
      <c r="I35" s="219"/>
      <c r="J35" s="201"/>
      <c r="K35" s="202"/>
      <c r="L35" s="156"/>
      <c r="M35" s="156"/>
      <c r="N35" s="220" t="s">
        <v>186</v>
      </c>
      <c r="O35" s="220" t="s">
        <v>187</v>
      </c>
      <c r="P35" s="221"/>
      <c r="Q35" s="222"/>
      <c r="R35" s="216"/>
      <c r="S35" s="216"/>
    </row>
    <row r="36" spans="1:19" ht="18.75" customHeight="1" x14ac:dyDescent="0.25">
      <c r="A36" s="180"/>
      <c r="B36" s="223"/>
      <c r="C36" s="224"/>
      <c r="D36" s="224"/>
      <c r="E36" s="224"/>
      <c r="F36" s="224"/>
      <c r="G36" s="224"/>
      <c r="H36" s="178"/>
      <c r="I36" s="201"/>
      <c r="J36" s="201"/>
      <c r="K36" s="202"/>
      <c r="L36" s="156"/>
      <c r="M36" s="156"/>
      <c r="N36" s="225" t="str">
        <f>+D27</f>
        <v/>
      </c>
      <c r="O36" s="226" t="str">
        <f>+D33</f>
        <v/>
      </c>
      <c r="P36" s="221"/>
      <c r="Q36" s="227"/>
      <c r="R36" s="216"/>
      <c r="S36" s="216"/>
    </row>
    <row r="37" spans="1:19" ht="18.75" customHeight="1" x14ac:dyDescent="0.25">
      <c r="A37" s="180"/>
      <c r="B37" s="228"/>
      <c r="C37" s="224"/>
      <c r="D37" s="224"/>
      <c r="E37" s="224"/>
      <c r="F37" s="224"/>
      <c r="I37" s="201"/>
      <c r="J37" s="201"/>
      <c r="K37" s="202"/>
      <c r="L37" s="156"/>
      <c r="M37" s="156"/>
      <c r="N37" s="225" t="str">
        <f>+E27</f>
        <v/>
      </c>
      <c r="O37" s="226" t="str">
        <f>+E33</f>
        <v/>
      </c>
      <c r="P37" s="221"/>
      <c r="Q37" s="227"/>
      <c r="R37" s="216"/>
      <c r="S37" s="216"/>
    </row>
    <row r="38" spans="1:19" ht="18.75" customHeight="1" x14ac:dyDescent="0.25">
      <c r="A38" s="229"/>
      <c r="B38" s="228"/>
      <c r="C38" s="224"/>
      <c r="D38" s="224"/>
      <c r="E38" s="224"/>
      <c r="F38" s="224"/>
      <c r="G38" s="217" t="s">
        <v>188</v>
      </c>
      <c r="H38" s="218" t="str">
        <f>+IF(T24="NO","NP",O42)</f>
        <v>NP</v>
      </c>
      <c r="I38" s="201"/>
      <c r="J38" s="201"/>
      <c r="K38" s="202"/>
      <c r="L38" s="156"/>
      <c r="M38" s="156"/>
      <c r="N38" s="230" t="str">
        <f>+F27</f>
        <v/>
      </c>
      <c r="O38" s="231" t="str">
        <f>+F33</f>
        <v/>
      </c>
      <c r="P38" s="221"/>
      <c r="Q38" s="232"/>
      <c r="R38" s="233"/>
      <c r="S38" s="233"/>
    </row>
    <row r="39" spans="1:19" ht="18.75" customHeight="1" x14ac:dyDescent="0.25">
      <c r="A39" s="229"/>
      <c r="B39" s="228"/>
      <c r="C39" s="224"/>
      <c r="D39" s="223"/>
      <c r="E39" s="224"/>
      <c r="F39" s="224"/>
      <c r="I39" s="201"/>
      <c r="J39" s="201"/>
      <c r="K39" s="202"/>
      <c r="L39" s="156"/>
      <c r="M39" s="156"/>
      <c r="N39" s="220">
        <v>25</v>
      </c>
      <c r="O39" s="220">
        <v>0</v>
      </c>
      <c r="P39" s="221"/>
      <c r="Q39" s="232"/>
      <c r="R39" s="233"/>
      <c r="S39" s="233"/>
    </row>
    <row r="40" spans="1:19" ht="18.75" customHeight="1" x14ac:dyDescent="0.25">
      <c r="A40" s="234"/>
      <c r="B40" s="170"/>
      <c r="C40" s="170"/>
      <c r="D40" s="170"/>
      <c r="E40" s="170"/>
      <c r="F40" s="170"/>
      <c r="G40" s="224"/>
      <c r="H40" s="201"/>
      <c r="I40" s="201"/>
      <c r="J40" s="201"/>
      <c r="K40" s="202"/>
      <c r="L40" s="156"/>
      <c r="M40" s="156"/>
      <c r="N40" s="225">
        <v>25</v>
      </c>
      <c r="O40" s="226" t="e">
        <f>P41</f>
        <v>#VALUE!</v>
      </c>
      <c r="P40" s="235" t="e">
        <f>+D33/(1.419-0.3*LOG10(D27))</f>
        <v>#VALUE!</v>
      </c>
      <c r="Q40" s="235" t="e">
        <f>+F33/(1.419-0.3*LOG10(F27))</f>
        <v>#VALUE!</v>
      </c>
      <c r="R40" s="233"/>
      <c r="S40" s="233"/>
    </row>
    <row r="41" spans="1:19" ht="18.75" customHeight="1" x14ac:dyDescent="0.25">
      <c r="A41" s="234"/>
      <c r="B41" s="224"/>
      <c r="C41" s="224"/>
      <c r="D41" s="224"/>
      <c r="E41" s="224"/>
      <c r="F41" s="224"/>
      <c r="G41" s="217" t="s">
        <v>189</v>
      </c>
      <c r="H41" s="218" t="str">
        <f>IF(T24="NO","NP",H35-H38)</f>
        <v>NP</v>
      </c>
      <c r="I41" s="201"/>
      <c r="J41" s="201"/>
      <c r="K41" s="202"/>
      <c r="L41" s="156"/>
      <c r="M41" s="156"/>
      <c r="N41" s="230">
        <v>10</v>
      </c>
      <c r="O41" s="231" t="e">
        <f>+O40</f>
        <v>#VALUE!</v>
      </c>
      <c r="P41" s="235" t="e">
        <f>+AVERAGE(P40:Q40)</f>
        <v>#VALUE!</v>
      </c>
      <c r="Q41" s="235"/>
    </row>
    <row r="42" spans="1:19" ht="18.75" customHeight="1" x14ac:dyDescent="0.25">
      <c r="A42" s="236"/>
      <c r="B42" s="237"/>
      <c r="C42" s="237"/>
      <c r="D42" s="237"/>
      <c r="E42" s="237"/>
      <c r="F42" s="237"/>
      <c r="G42" s="237"/>
      <c r="H42" s="238"/>
      <c r="I42" s="238"/>
      <c r="J42" s="238"/>
      <c r="K42" s="239"/>
      <c r="L42" s="156"/>
      <c r="M42" s="156"/>
      <c r="N42" s="217" t="s">
        <v>188</v>
      </c>
      <c r="O42" s="231">
        <f>AVERAGE(R33:S33)</f>
        <v>12.924853777526234</v>
      </c>
      <c r="P42" s="216"/>
      <c r="Q42" s="240"/>
    </row>
    <row r="43" spans="1:19" ht="15.95" customHeight="1" x14ac:dyDescent="0.25">
      <c r="A43" s="223" t="s">
        <v>22</v>
      </c>
      <c r="B43" s="224"/>
      <c r="C43" s="224"/>
      <c r="D43" s="224"/>
      <c r="E43" s="224"/>
      <c r="F43" s="224"/>
      <c r="G43" s="224"/>
      <c r="H43" s="201"/>
      <c r="I43" s="201"/>
      <c r="J43" s="201"/>
      <c r="K43" s="201"/>
      <c r="L43" s="156"/>
      <c r="M43" s="156"/>
    </row>
    <row r="44" spans="1:19" ht="15.95" customHeight="1" x14ac:dyDescent="0.25">
      <c r="A44" s="244"/>
      <c r="B44" s="224"/>
      <c r="C44" s="224"/>
      <c r="D44" s="224"/>
      <c r="E44" s="224"/>
      <c r="F44" s="224"/>
      <c r="G44" s="224"/>
      <c r="H44" s="201"/>
      <c r="I44" s="201"/>
      <c r="J44" s="201"/>
      <c r="K44" s="201"/>
      <c r="L44" s="156"/>
      <c r="M44" s="156"/>
      <c r="N44" s="271" t="s">
        <v>229</v>
      </c>
      <c r="O44" s="270">
        <f>O49</f>
        <v>24.296605773915516</v>
      </c>
    </row>
    <row r="45" spans="1:19" ht="15.95" customHeight="1" x14ac:dyDescent="0.25">
      <c r="A45" s="245"/>
      <c r="B45" s="224"/>
      <c r="C45" s="224"/>
      <c r="D45" s="224"/>
      <c r="E45" s="224"/>
      <c r="F45" s="224"/>
      <c r="G45" s="224"/>
      <c r="H45" s="201"/>
      <c r="I45" s="201"/>
      <c r="J45" s="201"/>
      <c r="K45" s="201"/>
      <c r="L45" s="156"/>
      <c r="M45" s="156"/>
      <c r="N45" s="271">
        <v>25</v>
      </c>
      <c r="O45" s="272">
        <f>LOG10(N45)</f>
        <v>1.3979400086720377</v>
      </c>
      <c r="P45"/>
      <c r="Q45"/>
    </row>
    <row r="46" spans="1:19" ht="15.95" customHeight="1" x14ac:dyDescent="0.25">
      <c r="B46" s="170"/>
      <c r="C46" s="170"/>
      <c r="D46" s="224"/>
      <c r="E46" s="224"/>
      <c r="F46" s="224"/>
      <c r="G46" s="224"/>
      <c r="H46" s="201"/>
      <c r="I46" s="201"/>
      <c r="J46" s="201"/>
      <c r="K46" s="201"/>
      <c r="L46" s="156"/>
      <c r="M46" s="156"/>
      <c r="N46"/>
      <c r="O46" s="273">
        <f>O27</f>
        <v>34</v>
      </c>
      <c r="P46" s="273">
        <f t="shared" ref="P46:Q46" si="4">P27</f>
        <v>23</v>
      </c>
      <c r="Q46" s="273">
        <f t="shared" si="4"/>
        <v>14</v>
      </c>
    </row>
    <row r="47" spans="1:19" ht="15.95" customHeight="1" x14ac:dyDescent="0.25">
      <c r="A47" s="246" t="s">
        <v>23</v>
      </c>
      <c r="B47" s="224"/>
      <c r="C47" s="224"/>
      <c r="D47" s="224"/>
      <c r="E47" s="224"/>
      <c r="F47" s="224"/>
      <c r="G47" s="224"/>
      <c r="H47" s="201"/>
      <c r="I47" s="201"/>
      <c r="J47" s="201"/>
      <c r="K47" s="201"/>
      <c r="L47" s="156"/>
      <c r="M47" s="156"/>
      <c r="N47" s="271" t="s">
        <v>227</v>
      </c>
      <c r="O47" s="273">
        <f>LOG10(O46)</f>
        <v>1.5314789170422551</v>
      </c>
      <c r="P47" s="273">
        <f t="shared" ref="P47:Q47" si="5">LOG10(P46)</f>
        <v>1.3617278360175928</v>
      </c>
      <c r="Q47" s="273">
        <f t="shared" si="5"/>
        <v>1.146128035678238</v>
      </c>
    </row>
    <row r="48" spans="1:19" ht="15.95" customHeight="1" x14ac:dyDescent="0.25">
      <c r="A48" s="246" t="s">
        <v>193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156"/>
      <c r="M48" s="156"/>
      <c r="N48" s="271" t="s">
        <v>228</v>
      </c>
      <c r="O48" s="274">
        <f>O33</f>
        <v>23.510466988727874</v>
      </c>
      <c r="P48" s="274">
        <f t="shared" ref="P48:Q48" si="6">P33</f>
        <v>24.416403785488942</v>
      </c>
      <c r="Q48" s="274">
        <f t="shared" si="6"/>
        <v>25.943646996278545</v>
      </c>
    </row>
    <row r="49" spans="1:17" ht="15.95" customHeight="1" x14ac:dyDescent="0.25">
      <c r="O49" s="275">
        <f>TREND(O48:Q48,O47:Q47,O45)</f>
        <v>24.296605773915516</v>
      </c>
      <c r="P49"/>
      <c r="Q49"/>
    </row>
    <row r="50" spans="1:17" ht="30.75" customHeight="1" x14ac:dyDescent="0.25">
      <c r="A50" s="942" t="s">
        <v>192</v>
      </c>
      <c r="B50" s="942"/>
      <c r="C50" s="942"/>
      <c r="D50" s="942"/>
      <c r="E50" s="942"/>
      <c r="F50" s="942"/>
      <c r="G50" s="942"/>
      <c r="H50" s="942"/>
      <c r="I50" s="942"/>
      <c r="J50" s="942"/>
      <c r="K50" s="942"/>
    </row>
    <row r="51" spans="1:17" ht="15.95" customHeight="1" x14ac:dyDescent="0.25"/>
    <row r="52" spans="1:17" ht="15.95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R13:S13"/>
    <mergeCell ref="A8:K8"/>
    <mergeCell ref="A9:K9"/>
    <mergeCell ref="C11:H11"/>
    <mergeCell ref="C12:H12"/>
    <mergeCell ref="C13:H13"/>
    <mergeCell ref="A50:K50"/>
    <mergeCell ref="A15:K15"/>
    <mergeCell ref="A16:K16"/>
    <mergeCell ref="A18:K18"/>
    <mergeCell ref="I23:J23"/>
    <mergeCell ref="D24:F24"/>
    <mergeCell ref="G24:H24"/>
    <mergeCell ref="I24:J24"/>
    <mergeCell ref="O24:P24"/>
    <mergeCell ref="R24:S24"/>
    <mergeCell ref="B25:C25"/>
    <mergeCell ref="I25:J25"/>
    <mergeCell ref="I26:J26"/>
  </mergeCells>
  <dataValidations count="1">
    <dataValidation type="list" allowBlank="1" showInputMessage="1" showErrorMessage="1" sqref="Q24 T24" xr:uid="{00000000-0002-0000-03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5"/>
  <sheetViews>
    <sheetView topLeftCell="G7" zoomScale="90" zoomScaleNormal="90" workbookViewId="0">
      <selection activeCell="A15" sqref="A15:K15"/>
    </sheetView>
  </sheetViews>
  <sheetFormatPr baseColWidth="10" defaultColWidth="11.42578125" defaultRowHeight="12.75" x14ac:dyDescent="0.2"/>
  <cols>
    <col min="1" max="1" width="20.5703125" style="89" customWidth="1"/>
    <col min="2" max="2" width="10.42578125" style="89" customWidth="1"/>
    <col min="3" max="3" width="18.140625" style="89" bestFit="1" customWidth="1"/>
    <col min="4" max="5" width="11.42578125" style="89"/>
    <col min="6" max="6" width="32.85546875" style="89" customWidth="1"/>
    <col min="7" max="7" width="16.85546875" style="89" customWidth="1"/>
    <col min="8" max="8" width="15.5703125" style="89" customWidth="1"/>
    <col min="9" max="15" width="11.42578125" style="89"/>
    <col min="16" max="16" width="20.5703125" style="89" customWidth="1"/>
    <col min="17" max="17" width="13.42578125" style="89" customWidth="1"/>
    <col min="18" max="16384" width="11.42578125" style="89"/>
  </cols>
  <sheetData>
    <row r="1" spans="1:17" x14ac:dyDescent="0.2">
      <c r="A1" s="94" t="s">
        <v>97</v>
      </c>
      <c r="B1" s="980" t="s">
        <v>98</v>
      </c>
      <c r="C1" s="980"/>
      <c r="D1" s="980"/>
      <c r="E1" s="980"/>
      <c r="F1" s="980"/>
      <c r="G1" s="980"/>
      <c r="H1" s="980"/>
      <c r="I1" s="94"/>
    </row>
    <row r="2" spans="1:17" x14ac:dyDescent="0.2">
      <c r="A2" s="94"/>
      <c r="B2" s="95"/>
      <c r="C2" s="95"/>
      <c r="D2" s="95"/>
      <c r="E2" s="95"/>
      <c r="F2" s="95"/>
      <c r="G2" s="95"/>
      <c r="H2" s="95"/>
      <c r="I2" s="94"/>
      <c r="L2" s="96" t="str">
        <f>+A.Granul!R2</f>
        <v>-</v>
      </c>
    </row>
    <row r="3" spans="1:17" x14ac:dyDescent="0.2">
      <c r="A3" s="94"/>
      <c r="B3" s="97" t="s">
        <v>99</v>
      </c>
      <c r="C3" s="98" t="e">
        <f>+A.Granul!W38</f>
        <v>#DIV/0!</v>
      </c>
      <c r="D3" s="97" t="s">
        <v>100</v>
      </c>
      <c r="E3" s="98" t="e">
        <f>+A.Granul!#REF!</f>
        <v>#REF!</v>
      </c>
      <c r="F3" s="94"/>
      <c r="G3" s="94"/>
      <c r="H3" s="95"/>
      <c r="I3" s="94"/>
      <c r="K3" s="96" t="s">
        <v>101</v>
      </c>
      <c r="L3" s="96">
        <f>+IF(N_10="NP",0,N_10)</f>
        <v>0</v>
      </c>
    </row>
    <row r="4" spans="1:17" ht="15.75" x14ac:dyDescent="0.25">
      <c r="A4" s="94"/>
      <c r="B4" s="97" t="s">
        <v>102</v>
      </c>
      <c r="C4" s="98" t="e">
        <f>+A.Granul!W31</f>
        <v>#DIV/0!</v>
      </c>
      <c r="D4" s="97" t="s">
        <v>103</v>
      </c>
      <c r="E4" s="98">
        <f>+A.Granul!S65</f>
        <v>0</v>
      </c>
      <c r="F4" s="99" t="s">
        <v>104</v>
      </c>
      <c r="G4" s="100" t="e">
        <f>+Q9</f>
        <v>#DIV/0!</v>
      </c>
      <c r="H4" s="101"/>
      <c r="I4" s="94"/>
      <c r="K4" s="96" t="s">
        <v>105</v>
      </c>
      <c r="L4" s="96">
        <f>+IF(C6="NP",0,C6)</f>
        <v>0</v>
      </c>
    </row>
    <row r="5" spans="1:17" x14ac:dyDescent="0.2">
      <c r="A5" s="94"/>
      <c r="B5" s="97" t="s">
        <v>106</v>
      </c>
      <c r="C5" s="98" t="str">
        <f>+'LL-LP'!H35</f>
        <v>NP</v>
      </c>
      <c r="D5" s="95"/>
      <c r="E5" s="95"/>
      <c r="F5" s="97"/>
      <c r="G5" s="95"/>
      <c r="H5" s="95"/>
      <c r="I5" s="94"/>
      <c r="K5" s="96" t="s">
        <v>107</v>
      </c>
      <c r="L5" s="102" t="e">
        <f>IF(OR(E3="----",E3=""),0,E3)</f>
        <v>#REF!</v>
      </c>
    </row>
    <row r="6" spans="1:17" x14ac:dyDescent="0.2">
      <c r="A6" s="94"/>
      <c r="B6" s="97" t="s">
        <v>108</v>
      </c>
      <c r="C6" s="98" t="str">
        <f>+'LL-LP'!H41</f>
        <v>NP</v>
      </c>
      <c r="D6" s="95"/>
      <c r="E6" s="95"/>
      <c r="F6" s="97"/>
      <c r="G6" s="95"/>
      <c r="H6" s="95"/>
      <c r="I6" s="94"/>
      <c r="K6" s="102" t="s">
        <v>109</v>
      </c>
      <c r="L6" s="102">
        <f>IF(OR(E4="----",E4=""),0,E4)</f>
        <v>0</v>
      </c>
    </row>
    <row r="7" spans="1:17" x14ac:dyDescent="0.2">
      <c r="A7" s="94"/>
      <c r="B7" s="94"/>
      <c r="C7" s="95"/>
      <c r="D7" s="94"/>
      <c r="E7" s="94"/>
      <c r="F7" s="94"/>
      <c r="G7" s="94"/>
      <c r="H7" s="94"/>
      <c r="I7" s="94"/>
    </row>
    <row r="8" spans="1:17" ht="44.25" customHeight="1" x14ac:dyDescent="0.2">
      <c r="A8" s="94"/>
      <c r="B8" s="981" t="s">
        <v>110</v>
      </c>
      <c r="C8" s="981"/>
      <c r="D8" s="981"/>
      <c r="E8" s="103" t="s">
        <v>111</v>
      </c>
      <c r="F8" s="104" t="s">
        <v>112</v>
      </c>
      <c r="G8" s="982" t="s">
        <v>113</v>
      </c>
      <c r="H8" s="982"/>
      <c r="I8" s="94"/>
      <c r="L8" s="247" t="s">
        <v>114</v>
      </c>
      <c r="M8" s="983" t="s">
        <v>115</v>
      </c>
      <c r="N8" s="983"/>
      <c r="O8" s="248" t="s">
        <v>116</v>
      </c>
      <c r="P8" s="247" t="s">
        <v>117</v>
      </c>
      <c r="Q8" s="105" t="s">
        <v>118</v>
      </c>
    </row>
    <row r="9" spans="1:17" ht="36.75" customHeight="1" x14ac:dyDescent="0.2">
      <c r="A9" s="94"/>
      <c r="B9" s="984" t="s">
        <v>119</v>
      </c>
      <c r="C9" s="986" t="s">
        <v>120</v>
      </c>
      <c r="D9" s="988" t="s">
        <v>121</v>
      </c>
      <c r="E9" s="106" t="s">
        <v>122</v>
      </c>
      <c r="F9" s="107" t="s">
        <v>123</v>
      </c>
      <c r="G9" s="989" t="s">
        <v>124</v>
      </c>
      <c r="H9" s="990"/>
      <c r="I9" s="94"/>
      <c r="L9" s="249" t="e">
        <f>IF(AND(N_200&lt;50,(100-N_40)&gt;=0.5*(100-N_200),N_200&lt;5,CU&gt;=4,CC&gt;=1,CC&lt;=3),"GW","")</f>
        <v>#DIV/0!</v>
      </c>
      <c r="M9" s="249" t="e">
        <f>IF(AND(N_200&lt;50,(100-N_40)&gt;=0.5*(100-N_200),N_200&gt;=5,CU&gt;=4,CC&gt;=1,CC&lt;=3,N_200&lt;12,IP&gt;=7,IP&gt;=0.73*(Ll-20)),"GW-GC","")</f>
        <v>#DIV/0!</v>
      </c>
      <c r="N9" s="249" t="e">
        <f>IF(AND(N_200&lt;50,(100-N_40)&gt;=0.5*(100-N_200),N_200&gt;=5,CU&gt;=4,CC&gt;=1,CC&lt;=3,N_200&lt;12,OR(IP&lt;4,IP&lt;0.73*(Ll-20))),"GW-GM","")</f>
        <v>#DIV/0!</v>
      </c>
      <c r="O9" s="249" t="e">
        <f>IF(AND(N_200&lt;50,(100-N_40)&gt;=0.5*(100-N_200),N_200&gt;=5,CU&gt;=4,CC&gt;=1,CC&lt;=3,N_200&lt;12,IP&gt;=4,IP&lt;7,IP&lt;0.9*(Ll-8),IP&gt;=0.73*(Ll-20)),"GW-GC-GM","")</f>
        <v>#DIV/0!</v>
      </c>
      <c r="P9" s="249" t="e">
        <f>+L9&amp;M9&amp;N9&amp;O9</f>
        <v>#DIV/0!</v>
      </c>
      <c r="Q9" s="250" t="e">
        <f>+P9&amp;P10&amp;P11&amp;P12&amp;P13&amp;P14&amp;P15&amp;P16&amp;P17&amp;P18&amp;P19&amp;P20&amp;P21&amp;P22&amp;P23&amp;P24</f>
        <v>#DIV/0!</v>
      </c>
    </row>
    <row r="10" spans="1:17" ht="36.75" customHeight="1" x14ac:dyDescent="0.2">
      <c r="A10" s="94"/>
      <c r="B10" s="984"/>
      <c r="C10" s="986"/>
      <c r="D10" s="988"/>
      <c r="E10" s="108" t="s">
        <v>125</v>
      </c>
      <c r="F10" s="109" t="s">
        <v>126</v>
      </c>
      <c r="G10" s="991" t="s">
        <v>127</v>
      </c>
      <c r="H10" s="992"/>
      <c r="I10" s="94"/>
      <c r="L10" s="249" t="e">
        <f>IF(AND(N_200&lt;50,(100-N_40)&gt;=0.5*(100-N_200),N_200&lt;5,OR(CU&lt;4,CC&lt;1,CC&gt;3)),"GP","")</f>
        <v>#DIV/0!</v>
      </c>
      <c r="M10" s="249" t="e">
        <f>IF(AND(N_200&lt;50,(100-N_40)&gt;=0.5*(100-N_200),N_200&gt;=5,OR(CU&lt;4,CC&lt;1,CC&gt;3),N_200&lt;12,IP&gt;=7,IP&gt;=0.73*(Ll-20)),"GP-GC","")</f>
        <v>#DIV/0!</v>
      </c>
      <c r="N10" s="249" t="e">
        <f>IF(AND(N_200&lt;50,(100-N_40)&gt;=0.5*(100-N_200),N_200&gt;=5,OR(CU&lt;4,CC&lt;1,CC&gt;3),N_200&lt;12,OR(IP&lt;4,IP&lt;0.73*(Ll-20))),"GP-GM","")</f>
        <v>#DIV/0!</v>
      </c>
      <c r="O10" s="249" t="e">
        <f>IF(AND(N_200&lt;50,(100-N_40)&gt;=0.5*(100-N_200),N_200&gt;=5,OR(CU&lt;4,CC&lt;1,CC&gt;3),N_200&lt;12,IP&gt;=4,IP&lt;7,IP&lt;0.9*(Ll-8),IP&gt;=0.73*(Ll-20)),"GP-GC-GM","")</f>
        <v>#DIV/0!</v>
      </c>
      <c r="P10" s="249" t="e">
        <f t="shared" ref="P10:P23" si="0">+L10&amp;M10&amp;N10&amp;O10</f>
        <v>#DIV/0!</v>
      </c>
    </row>
    <row r="11" spans="1:17" ht="43.5" customHeight="1" x14ac:dyDescent="0.2">
      <c r="A11" s="94"/>
      <c r="B11" s="984"/>
      <c r="C11" s="986"/>
      <c r="D11" s="988" t="s">
        <v>128</v>
      </c>
      <c r="E11" s="108" t="s">
        <v>129</v>
      </c>
      <c r="F11" s="110" t="s">
        <v>130</v>
      </c>
      <c r="G11" s="111" t="s">
        <v>131</v>
      </c>
      <c r="H11" s="993" t="s">
        <v>132</v>
      </c>
      <c r="I11" s="94"/>
      <c r="L11" s="249" t="e">
        <f>IF(AND(N_200&lt;50,(100-N_40)&gt;=0.5*(100-N_200),N_200&gt;=12,OR(IP&lt;4,IP&lt;0.73*(Ll-20))),"GM","")</f>
        <v>#DIV/0!</v>
      </c>
      <c r="M11" s="249" t="e">
        <f>IF(AND(N_200&lt;50,(100-N_40)&gt;=0.5*(100-N_200),N_200&gt;=12,IP&gt;=4,IP&lt;7,IP&gt;=0.73*(Ll-20)),"GC-GM","")</f>
        <v>#DIV/0!</v>
      </c>
      <c r="N11" s="249"/>
      <c r="O11" s="249"/>
      <c r="P11" s="249" t="e">
        <f t="shared" si="0"/>
        <v>#DIV/0!</v>
      </c>
    </row>
    <row r="12" spans="1:17" ht="43.5" customHeight="1" x14ac:dyDescent="0.2">
      <c r="A12" s="94"/>
      <c r="B12" s="984"/>
      <c r="C12" s="987"/>
      <c r="D12" s="988"/>
      <c r="E12" s="112" t="s">
        <v>133</v>
      </c>
      <c r="F12" s="109" t="s">
        <v>134</v>
      </c>
      <c r="G12" s="111" t="s">
        <v>135</v>
      </c>
      <c r="H12" s="994"/>
      <c r="I12" s="94"/>
      <c r="L12" s="249" t="e">
        <f>IF(AND(N_200&lt;50,(100-N_40)&gt;=0.5*(100-N_200),N_200&gt;=12,IP&gt;=7,IP&gt;=0.73*(Ll-20)),"GC","")</f>
        <v>#DIV/0!</v>
      </c>
      <c r="M12" s="249"/>
      <c r="N12" s="249"/>
      <c r="O12" s="249"/>
      <c r="P12" s="249" t="e">
        <f t="shared" si="0"/>
        <v>#DIV/0!</v>
      </c>
    </row>
    <row r="13" spans="1:17" ht="36" customHeight="1" x14ac:dyDescent="0.2">
      <c r="A13" s="94"/>
      <c r="B13" s="984"/>
      <c r="C13" s="986" t="s">
        <v>136</v>
      </c>
      <c r="D13" s="988" t="s">
        <v>137</v>
      </c>
      <c r="E13" s="113" t="s">
        <v>138</v>
      </c>
      <c r="F13" s="114" t="s">
        <v>139</v>
      </c>
      <c r="G13" s="995" t="s">
        <v>140</v>
      </c>
      <c r="H13" s="996"/>
      <c r="I13" s="94"/>
      <c r="L13" s="249" t="e">
        <f>IF(AND(N_200&lt;50,(100-N_40)&lt;0.5*(100-N_200),N_200&lt;5,CU&gt;=6,CC&gt;=1,CC&lt;=3),"SW","")</f>
        <v>#DIV/0!</v>
      </c>
      <c r="M13" s="249" t="e">
        <f>IF(AND(N_200&lt;50,(100-N_40)&lt;0.5*(100-N_200),N_200&gt;=5,CU&gt;=6,CC&gt;=1,CC&lt;=3,N_200&lt;12,IP&gt;=7,IP&gt;=0.73*(Ll-20)),"SW-SC","")</f>
        <v>#DIV/0!</v>
      </c>
      <c r="N13" s="249" t="e">
        <f>IF(AND(N_200&lt;50,(100-N_40)&lt;0.5*(100-N_200),N_200&gt;=5,CU&gt;=6,CC&gt;=1,CC&lt;=3,N_200&lt;12,OR(IP&lt;4,IP&lt;0.73*(Ll-20))),"SW-SM","")</f>
        <v>#DIV/0!</v>
      </c>
      <c r="O13" s="249" t="e">
        <f>IF(AND(N_200&lt;50,(100-N_40)&lt;0.5*(100-N_200),N_200&gt;=5,CU&gt;=6,CC&gt;=1,CC&lt;=3,N_200&lt;12,IP&gt;=4,IP&lt;7,IP&lt;0.9*(Ll-8),IP&gt;=0.73*(Ll-20)),"SW-SC-SM","")</f>
        <v>#DIV/0!</v>
      </c>
      <c r="P13" s="249" t="e">
        <f t="shared" si="0"/>
        <v>#DIV/0!</v>
      </c>
    </row>
    <row r="14" spans="1:17" ht="40.5" customHeight="1" x14ac:dyDescent="0.2">
      <c r="A14" s="94"/>
      <c r="B14" s="984"/>
      <c r="C14" s="986"/>
      <c r="D14" s="988"/>
      <c r="E14" s="113" t="s">
        <v>141</v>
      </c>
      <c r="F14" s="114" t="s">
        <v>142</v>
      </c>
      <c r="G14" s="995" t="s">
        <v>143</v>
      </c>
      <c r="H14" s="996"/>
      <c r="I14" s="94"/>
      <c r="L14" s="249" t="e">
        <f>IF(AND(N_200&lt;50,(100-N_40)&lt;0.5*(100-N_200),N_200&lt;5,OR(CU&lt;6,CC&lt;1,CC&gt;3)),"SP","")</f>
        <v>#DIV/0!</v>
      </c>
      <c r="M14" s="249" t="e">
        <f>IF(AND(N_200&lt;50,(100-N_40)&lt;0.5*(100-N_200),N_200&gt;=5,OR(CU&lt;6,CC&lt;1,CC&gt;3),N_200&lt;12,IP&gt;=7,IP&gt;=0.73*(Ll-20)),"SP-SC","")</f>
        <v>#DIV/0!</v>
      </c>
      <c r="N14" s="249" t="e">
        <f>IF(AND(N_200&lt;50,(100-N_40)&lt;0.5*(100-N_200),N_200&gt;=5,OR(CU&lt;6,CC&lt;1,CC&gt;3),N_200&lt;12,OR(IP&lt;4,IP&lt;0.73*(Ll-20))),"SP-SM","")</f>
        <v>#DIV/0!</v>
      </c>
      <c r="O14" s="249" t="e">
        <f>IF(AND(N_200&lt;50,(100-N_40)&lt;0.5*(100-N_200),N_200&gt;=5,OR(CU&lt;6,CC&lt;1,CC&gt;3),N_200&lt;12,IP&gt;=4,IP&lt;7,IP&lt;0.9*(Ll-8),IP&gt;=0.73*(Ll-20)),"SP-SC-SM","")</f>
        <v>#DIV/0!</v>
      </c>
      <c r="P14" s="249" t="e">
        <f t="shared" si="0"/>
        <v>#DIV/0!</v>
      </c>
    </row>
    <row r="15" spans="1:17" ht="42" customHeight="1" x14ac:dyDescent="0.2">
      <c r="A15" s="94"/>
      <c r="B15" s="984"/>
      <c r="C15" s="986"/>
      <c r="D15" s="988" t="s">
        <v>144</v>
      </c>
      <c r="E15" s="113" t="s">
        <v>145</v>
      </c>
      <c r="F15" s="115" t="s">
        <v>146</v>
      </c>
      <c r="G15" s="116" t="s">
        <v>147</v>
      </c>
      <c r="H15" s="963" t="s">
        <v>148</v>
      </c>
      <c r="I15" s="94"/>
      <c r="L15" s="249" t="e">
        <f>IF(AND(N_200&lt;50,(100-N_40)&lt;0.5*(100-N_200),N_200&gt;=12,OR(IP&lt;4,IP&lt;0.73*(Ll-20))),"SM","")</f>
        <v>#DIV/0!</v>
      </c>
      <c r="M15" s="249" t="e">
        <f>IF(AND(N_200&lt;50,(100-N_40)&lt;0.5*(100-N_200),N_200&gt;=12,IP&gt;=4,IP&lt;7,IP&gt;=0.73*(Ll-20)),"SC-SM","")</f>
        <v>#DIV/0!</v>
      </c>
      <c r="N15" s="249"/>
      <c r="O15" s="249"/>
      <c r="P15" s="249" t="e">
        <f t="shared" si="0"/>
        <v>#DIV/0!</v>
      </c>
    </row>
    <row r="16" spans="1:17" ht="38.25" customHeight="1" x14ac:dyDescent="0.2">
      <c r="A16" s="94"/>
      <c r="B16" s="985"/>
      <c r="C16" s="986"/>
      <c r="D16" s="988"/>
      <c r="E16" s="117" t="s">
        <v>149</v>
      </c>
      <c r="F16" s="115" t="s">
        <v>150</v>
      </c>
      <c r="G16" s="114" t="s">
        <v>151</v>
      </c>
      <c r="H16" s="964"/>
      <c r="I16" s="94"/>
      <c r="L16" s="249" t="e">
        <f>IF(AND(N_200&lt;50,(100-N_40)&lt;0.5*(100-N_200),N_200&gt;=12,IP&gt;=7,IP&gt;=0.73*(Ll-20)),"SC","")</f>
        <v>#DIV/0!</v>
      </c>
      <c r="M16" s="249"/>
      <c r="N16" s="249"/>
      <c r="O16" s="249"/>
      <c r="P16" s="249" t="e">
        <f t="shared" si="0"/>
        <v>#DIV/0!</v>
      </c>
    </row>
    <row r="17" spans="1:16" ht="48" customHeight="1" x14ac:dyDescent="0.2">
      <c r="A17" s="94"/>
      <c r="B17" s="965" t="s">
        <v>152</v>
      </c>
      <c r="C17" s="968" t="s">
        <v>153</v>
      </c>
      <c r="D17" s="969"/>
      <c r="E17" s="118" t="s">
        <v>154</v>
      </c>
      <c r="F17" s="119" t="s">
        <v>155</v>
      </c>
      <c r="G17" s="974" t="s">
        <v>156</v>
      </c>
      <c r="H17" s="975"/>
      <c r="I17" s="94"/>
      <c r="L17" s="249" t="e">
        <f>IF(AND(OR(L2="Inorganico"),N_200&gt;=50,Ll&lt;50,OR(IP&lt;4,AND(IP&lt;0.73*(Ll-20)))),"ML","")</f>
        <v>#DIV/0!</v>
      </c>
      <c r="M17" s="249"/>
      <c r="N17" s="249"/>
      <c r="O17" s="249"/>
      <c r="P17" s="249" t="e">
        <f t="shared" si="0"/>
        <v>#DIV/0!</v>
      </c>
    </row>
    <row r="18" spans="1:16" ht="50.25" customHeight="1" x14ac:dyDescent="0.2">
      <c r="A18" s="94"/>
      <c r="B18" s="966"/>
      <c r="C18" s="970"/>
      <c r="D18" s="971"/>
      <c r="E18" s="118" t="s">
        <v>157</v>
      </c>
      <c r="F18" s="119" t="s">
        <v>158</v>
      </c>
      <c r="G18" s="976"/>
      <c r="H18" s="977"/>
      <c r="I18" s="94"/>
      <c r="L18" s="249" t="e">
        <f>IF(AND(OR(L2="Inorganico"),N_200&gt;=50,Ll&lt;50,IP&gt;=7,IP&gt;=0.73*(Ll-20)),"CL","")</f>
        <v>#DIV/0!</v>
      </c>
      <c r="M18" s="249"/>
      <c r="N18" s="249"/>
      <c r="O18" s="249"/>
      <c r="P18" s="249" t="e">
        <f t="shared" si="0"/>
        <v>#DIV/0!</v>
      </c>
    </row>
    <row r="19" spans="1:16" ht="24" customHeight="1" x14ac:dyDescent="0.2">
      <c r="A19" s="94"/>
      <c r="B19" s="966"/>
      <c r="C19" s="972"/>
      <c r="D19" s="973"/>
      <c r="E19" s="118" t="s">
        <v>159</v>
      </c>
      <c r="F19" s="120" t="s">
        <v>160</v>
      </c>
      <c r="G19" s="121"/>
      <c r="H19" s="121"/>
      <c r="I19" s="94"/>
      <c r="L19" s="249" t="e">
        <f>IF(AND(L2="Organico",N_200&gt;=50,Ll&lt;50,IP&lt;0.73*(Ll-20)),"OL","")</f>
        <v>#DIV/0!</v>
      </c>
      <c r="M19" s="249"/>
      <c r="N19" s="249"/>
      <c r="O19" s="249"/>
      <c r="P19" s="249" t="e">
        <f t="shared" si="0"/>
        <v>#DIV/0!</v>
      </c>
    </row>
    <row r="20" spans="1:16" ht="39" customHeight="1" x14ac:dyDescent="0.2">
      <c r="A20" s="94"/>
      <c r="B20" s="966"/>
      <c r="C20" s="970" t="s">
        <v>161</v>
      </c>
      <c r="D20" s="978"/>
      <c r="E20" s="122" t="s">
        <v>162</v>
      </c>
      <c r="F20" s="123" t="s">
        <v>163</v>
      </c>
      <c r="G20" s="94"/>
      <c r="H20" s="94"/>
      <c r="I20" s="94"/>
      <c r="L20" s="249" t="e">
        <f>IF(AND(OR(L2="Inorganico"),N_200&gt;=50,Ll&gt;=50,IP&gt;0,IP&lt;0.73*(Ll-20)),"MH","")</f>
        <v>#DIV/0!</v>
      </c>
      <c r="M20" s="249"/>
      <c r="N20" s="249"/>
      <c r="O20" s="249"/>
      <c r="P20" s="249" t="e">
        <f t="shared" si="0"/>
        <v>#DIV/0!</v>
      </c>
    </row>
    <row r="21" spans="1:16" ht="24" customHeight="1" x14ac:dyDescent="0.2">
      <c r="A21" s="94"/>
      <c r="B21" s="966"/>
      <c r="C21" s="970"/>
      <c r="D21" s="978"/>
      <c r="E21" s="122" t="s">
        <v>164</v>
      </c>
      <c r="F21" s="123" t="s">
        <v>165</v>
      </c>
      <c r="G21" s="94"/>
      <c r="H21" s="94"/>
      <c r="I21" s="94"/>
      <c r="L21" s="249" t="e">
        <f>IF(AND(OR(L2="Inorganico"),N_200&gt;=50,Ll&gt;=50,IP&gt;=0.73*(Ll-20)),"CH","")</f>
        <v>#DIV/0!</v>
      </c>
      <c r="M21" s="249"/>
      <c r="N21" s="249"/>
      <c r="O21" s="249"/>
      <c r="P21" s="249" t="e">
        <f t="shared" si="0"/>
        <v>#DIV/0!</v>
      </c>
    </row>
    <row r="22" spans="1:16" ht="24" customHeight="1" x14ac:dyDescent="0.2">
      <c r="A22" s="94"/>
      <c r="B22" s="966"/>
      <c r="C22" s="972"/>
      <c r="D22" s="979"/>
      <c r="E22" s="124" t="s">
        <v>166</v>
      </c>
      <c r="F22" s="123" t="s">
        <v>167</v>
      </c>
      <c r="G22" s="94"/>
      <c r="H22" s="94"/>
      <c r="I22" s="94"/>
      <c r="L22" s="249" t="e">
        <f>IF(AND(L2="Organico",N_200&gt;=50,Ll&gt;=50,IP&lt;0.73*(Ll-20)),"OH","")</f>
        <v>#DIV/0!</v>
      </c>
      <c r="M22" s="249"/>
      <c r="N22" s="249"/>
      <c r="O22" s="249"/>
      <c r="P22" s="249" t="e">
        <f t="shared" si="0"/>
        <v>#DIV/0!</v>
      </c>
    </row>
    <row r="23" spans="1:16" ht="39" customHeight="1" x14ac:dyDescent="0.2">
      <c r="A23" s="94"/>
      <c r="B23" s="966"/>
      <c r="C23" s="968" t="s">
        <v>168</v>
      </c>
      <c r="D23" s="969"/>
      <c r="E23" s="125" t="s">
        <v>169</v>
      </c>
      <c r="F23" s="126" t="s">
        <v>170</v>
      </c>
      <c r="G23" s="94"/>
      <c r="H23" s="94"/>
      <c r="I23" s="94"/>
      <c r="L23" s="249" t="e">
        <f>IF(AND(OR(L2="Inorganico"),N_200&gt;=50,IP&gt;=0.73*(Ll-20),IP&gt;=4,IP&lt;7,IP&lt;0.9*(Ll-8)),"CL-ML","")</f>
        <v>#DIV/0!</v>
      </c>
      <c r="M23" s="249"/>
      <c r="N23" s="249"/>
      <c r="O23" s="249"/>
      <c r="P23" s="249" t="e">
        <f t="shared" si="0"/>
        <v>#DIV/0!</v>
      </c>
    </row>
    <row r="24" spans="1:16" x14ac:dyDescent="0.2">
      <c r="A24" s="94"/>
      <c r="B24" s="967"/>
      <c r="C24" s="127"/>
      <c r="D24" s="128"/>
      <c r="E24" s="129"/>
      <c r="F24" s="130"/>
      <c r="G24" s="94"/>
      <c r="H24" s="94"/>
      <c r="I24" s="94"/>
      <c r="L24" s="249" t="str">
        <f>IF(AND(L2="Turba"),"Pt","")</f>
        <v/>
      </c>
      <c r="M24" s="249"/>
      <c r="N24" s="249"/>
      <c r="O24" s="249"/>
      <c r="P24" s="249" t="str">
        <f>+L24&amp;M24&amp;N24&amp;O24</f>
        <v/>
      </c>
    </row>
    <row r="25" spans="1:16" x14ac:dyDescent="0.2">
      <c r="A25" s="94"/>
      <c r="B25" s="131"/>
      <c r="C25" s="131"/>
      <c r="D25" s="131"/>
      <c r="E25" s="132"/>
      <c r="F25" s="133"/>
      <c r="G25" s="94"/>
      <c r="H25" s="94"/>
      <c r="I25" s="94"/>
    </row>
    <row r="26" spans="1:16" x14ac:dyDescent="0.2">
      <c r="A26" s="94"/>
      <c r="B26" s="131"/>
      <c r="C26" s="131"/>
      <c r="D26" s="131"/>
      <c r="E26" s="134"/>
      <c r="F26" s="133"/>
      <c r="G26" s="94"/>
      <c r="H26" s="94"/>
      <c r="I26" s="94"/>
    </row>
    <row r="27" spans="1:16" x14ac:dyDescent="0.2">
      <c r="A27" s="94"/>
      <c r="B27" s="94"/>
      <c r="C27" s="94"/>
      <c r="D27" s="94"/>
      <c r="E27" s="134"/>
      <c r="F27" s="133"/>
      <c r="G27" s="94"/>
      <c r="H27" s="94"/>
      <c r="I27" s="94"/>
    </row>
    <row r="28" spans="1:16" x14ac:dyDescent="0.2">
      <c r="A28" s="94"/>
      <c r="B28" s="94"/>
      <c r="C28" s="94"/>
      <c r="D28" s="94"/>
      <c r="E28" s="134"/>
      <c r="F28" s="133"/>
      <c r="G28" s="94"/>
      <c r="H28" s="94"/>
      <c r="I28" s="94"/>
    </row>
    <row r="29" spans="1:16" x14ac:dyDescent="0.2">
      <c r="A29" s="94"/>
      <c r="B29" s="94"/>
      <c r="C29" s="94"/>
      <c r="D29" s="94"/>
      <c r="E29" s="134"/>
      <c r="F29" s="133"/>
      <c r="G29" s="94"/>
      <c r="H29" s="94"/>
      <c r="I29" s="94"/>
    </row>
    <row r="30" spans="1:16" x14ac:dyDescent="0.2">
      <c r="A30" s="256" t="s">
        <v>223</v>
      </c>
      <c r="B30" s="257" t="e">
        <f>A.Granul!W31-A.Granul!W38</f>
        <v>#DIV/0!</v>
      </c>
      <c r="F30" s="135"/>
    </row>
    <row r="31" spans="1:16" ht="13.5" thickBot="1" x14ac:dyDescent="0.25">
      <c r="A31" s="256" t="s">
        <v>224</v>
      </c>
      <c r="B31" s="257" t="e">
        <f>A.Granul!W25-A.Granul!W31</f>
        <v>#DIV/0!</v>
      </c>
      <c r="F31" s="135"/>
    </row>
    <row r="32" spans="1:16" ht="13.5" thickBot="1" x14ac:dyDescent="0.25">
      <c r="A32" s="961" t="s">
        <v>200</v>
      </c>
      <c r="B32" s="962"/>
      <c r="F32" s="135"/>
    </row>
    <row r="34" spans="1:10" x14ac:dyDescent="0.2">
      <c r="J34" s="89" t="e">
        <f>Q9</f>
        <v>#DIV/0!</v>
      </c>
    </row>
    <row r="38" spans="1:10" x14ac:dyDescent="0.2">
      <c r="A38" s="89" t="s">
        <v>201</v>
      </c>
      <c r="B38" s="251" t="e">
        <f>B31</f>
        <v>#DIV/0!</v>
      </c>
      <c r="C38" s="89" t="s">
        <v>226</v>
      </c>
      <c r="D38" s="89" t="str">
        <f>'LL-LP'!H41</f>
        <v>NP</v>
      </c>
      <c r="E38" s="265">
        <f>IF(D38="","",0.73*('LL-LP'!O44-20))</f>
        <v>3.1365222149583265</v>
      </c>
    </row>
    <row r="39" spans="1:10" x14ac:dyDescent="0.2">
      <c r="A39" s="89" t="s">
        <v>202</v>
      </c>
      <c r="B39" s="251" t="e">
        <f>B30</f>
        <v>#DIV/0!</v>
      </c>
      <c r="C39" s="253" t="s">
        <v>203</v>
      </c>
      <c r="D39" s="89" t="e">
        <f>IF(B38=0,100,B39/B38)</f>
        <v>#DIV/0!</v>
      </c>
    </row>
    <row r="40" spans="1:10" x14ac:dyDescent="0.2">
      <c r="A40" s="252" t="s">
        <v>204</v>
      </c>
      <c r="B40" s="251">
        <f>A.Granul!J30</f>
        <v>0</v>
      </c>
      <c r="C40" s="255" t="s">
        <v>225</v>
      </c>
      <c r="D40" s="254">
        <f>100-B40</f>
        <v>100</v>
      </c>
    </row>
    <row r="41" spans="1:10" x14ac:dyDescent="0.2">
      <c r="A41" s="258" t="s">
        <v>122</v>
      </c>
      <c r="B41" s="259" t="e">
        <f>IF(AND($J$34="GW",$B$39&lt;15),"Grava bien graduada",IF(AND($J$34="GW",$B$39&gt;=15),"Grava bien graduada con arena",""))</f>
        <v>#DIV/0!</v>
      </c>
      <c r="C41" s="259"/>
      <c r="D41" s="259"/>
      <c r="E41" s="260"/>
      <c r="F41" s="260"/>
      <c r="G41" s="260"/>
    </row>
    <row r="42" spans="1:10" x14ac:dyDescent="0.2">
      <c r="A42" s="258" t="s">
        <v>125</v>
      </c>
      <c r="B42" s="259" t="e">
        <f>IF(AND($J$34="GP",$B$39&lt;15),"Grava pobremente graduada",IF(AND($J$34="GP",$B$39&gt;=15),"Grava pobremente graduada con arena",""))</f>
        <v>#DIV/0!</v>
      </c>
      <c r="C42" s="259"/>
      <c r="D42" s="259"/>
      <c r="E42" s="260"/>
      <c r="F42" s="260"/>
      <c r="G42" s="260"/>
    </row>
    <row r="43" spans="1:10" x14ac:dyDescent="0.2">
      <c r="A43" s="258" t="s">
        <v>205</v>
      </c>
      <c r="B43" s="259" t="e">
        <f>IF(AND($J$34="GW - GC",$B$39&lt;15),"Grava bien graduada con arcilla",IF(AND($J$34="GW - GC",$B$39&gt;=15),"Grava bien graduada con arcilla y arena",""))</f>
        <v>#DIV/0!</v>
      </c>
      <c r="C43" s="259"/>
      <c r="D43" s="259"/>
      <c r="E43" s="260"/>
      <c r="F43" s="260"/>
      <c r="G43" s="260"/>
    </row>
    <row r="44" spans="1:10" x14ac:dyDescent="0.2">
      <c r="A44" s="258" t="s">
        <v>206</v>
      </c>
      <c r="B44" s="259" t="e">
        <f>IF(AND($J$34="GW - GM",$B$39&lt;15),"Grava bien graduada con limo",IF(AND($J$34="GW - GM",$B$39&gt;=15),"Grava bien graduada con limo y arena",""))</f>
        <v>#DIV/0!</v>
      </c>
      <c r="C44" s="259"/>
      <c r="D44" s="259"/>
      <c r="E44" s="260"/>
      <c r="F44" s="260"/>
      <c r="G44" s="260"/>
    </row>
    <row r="45" spans="1:10" x14ac:dyDescent="0.2">
      <c r="A45" s="258" t="s">
        <v>207</v>
      </c>
      <c r="B45" s="259" t="e">
        <f>IF(AND($J$34="GP - GC",$B$39&lt;15),"Grava pobremente graduada con arcilla",IF(AND($J$34="GP - GC",$B$39&gt;=15),"Grava pobremente graduada con arcilla y arena",""))</f>
        <v>#DIV/0!</v>
      </c>
      <c r="C45" s="259"/>
      <c r="D45" s="259"/>
      <c r="E45" s="260"/>
      <c r="F45" s="260"/>
      <c r="G45" s="260"/>
    </row>
    <row r="46" spans="1:10" x14ac:dyDescent="0.2">
      <c r="A46" s="258" t="s">
        <v>208</v>
      </c>
      <c r="B46" s="259" t="e">
        <f>IF(AND($J$34="GP - GM",$B$39&lt;15),"Grava pobremente graduada con limo",IF(AND($J$34="GP - GM",$B$39&gt;=15),"Grava pobremente graduada con limo y arena",""))</f>
        <v>#DIV/0!</v>
      </c>
      <c r="C46" s="259"/>
      <c r="D46" s="259"/>
      <c r="E46" s="260"/>
      <c r="F46" s="260"/>
      <c r="G46" s="260"/>
    </row>
    <row r="47" spans="1:10" x14ac:dyDescent="0.2">
      <c r="A47" s="258" t="s">
        <v>133</v>
      </c>
      <c r="B47" s="259" t="e">
        <f>IF(AND($J$34="GC",$B$39&lt;15),"Grava arcillosa",IF(AND($J$34="GC",$B$39&gt;=15),"Grava arcillosa con arena",""))</f>
        <v>#DIV/0!</v>
      </c>
      <c r="C47" s="259"/>
      <c r="D47" s="259"/>
      <c r="E47" s="260"/>
      <c r="F47" s="260"/>
      <c r="G47" s="260"/>
    </row>
    <row r="48" spans="1:10" x14ac:dyDescent="0.2">
      <c r="A48" s="258" t="s">
        <v>209</v>
      </c>
      <c r="B48" s="259" t="e">
        <f>IF(AND($J$34="GC - GM",$B$39&lt;15),"Grava limosa arcillosa",IF(AND($J$34="GC - GM",$B$39&gt;=15),"Grava limosa arcillosa con arena",""))</f>
        <v>#DIV/0!</v>
      </c>
      <c r="C48" s="259"/>
      <c r="D48" s="259"/>
      <c r="E48" s="260"/>
      <c r="F48" s="260"/>
      <c r="G48" s="260"/>
    </row>
    <row r="49" spans="1:7" x14ac:dyDescent="0.2">
      <c r="A49" s="258" t="s">
        <v>129</v>
      </c>
      <c r="B49" s="259" t="e">
        <f>IF(AND($J$34="GM",$B$39&lt;15),"Grava limosa",IF(AND($J$34="GM",$B$39&gt;=15),"Grava limosa con arena",""))</f>
        <v>#DIV/0!</v>
      </c>
      <c r="C49" s="259"/>
      <c r="D49" s="259"/>
      <c r="E49" s="260"/>
      <c r="F49" s="260"/>
      <c r="G49" s="260"/>
    </row>
    <row r="50" spans="1:7" x14ac:dyDescent="0.2">
      <c r="A50" s="258" t="s">
        <v>138</v>
      </c>
      <c r="B50" s="259" t="e">
        <f>IF(AND($J$34="SW",$B$38&lt;15),"Arena bien graduada",IF(AND($J$34="SW",$B$38&gt;=15),"Arena bien graduada con grava",""))</f>
        <v>#DIV/0!</v>
      </c>
      <c r="C50" s="259"/>
      <c r="D50" s="259"/>
      <c r="E50" s="260"/>
      <c r="F50" s="260"/>
      <c r="G50" s="260"/>
    </row>
    <row r="51" spans="1:7" x14ac:dyDescent="0.2">
      <c r="A51" s="258" t="s">
        <v>141</v>
      </c>
      <c r="B51" s="259" t="e">
        <f>IF(AND($J$34="SP",$B$38&lt;15),"Arena pobremente graduada",IF(AND($J$34="SP",$B$38&gt;=15),"Arena pobremente graduada con grava",""))</f>
        <v>#DIV/0!</v>
      </c>
      <c r="C51" s="259"/>
      <c r="D51" s="259"/>
      <c r="E51" s="260"/>
      <c r="F51" s="260"/>
      <c r="G51" s="260"/>
    </row>
    <row r="52" spans="1:7" x14ac:dyDescent="0.2">
      <c r="A52" s="258" t="s">
        <v>210</v>
      </c>
      <c r="B52" s="259" t="e">
        <f>IF(AND($J$34="SW - SC",$B$38&lt;15),"Arena bien graduada con arcilla",IF(AND($J$34="SW - SC",$B$38&gt;=15),"Arena bien graduada con arcilla y grava",""))</f>
        <v>#DIV/0!</v>
      </c>
      <c r="C52" s="259"/>
      <c r="D52" s="259"/>
      <c r="E52" s="260"/>
      <c r="F52" s="260"/>
      <c r="G52" s="260"/>
    </row>
    <row r="53" spans="1:7" x14ac:dyDescent="0.2">
      <c r="A53" s="258" t="s">
        <v>211</v>
      </c>
      <c r="B53" s="259" t="e">
        <f>IF(AND($J$34="SW - SM",$B$38&lt;15),"Arena bien graduada con limo",IF(AND($J$34="SW - SM",$B$38&gt;=15),"Arena bien graduada con limo y grava",""))</f>
        <v>#DIV/0!</v>
      </c>
      <c r="C53" s="259"/>
      <c r="D53" s="259"/>
      <c r="E53" s="260"/>
      <c r="F53" s="260"/>
      <c r="G53" s="260"/>
    </row>
    <row r="54" spans="1:7" x14ac:dyDescent="0.2">
      <c r="A54" s="258" t="s">
        <v>212</v>
      </c>
      <c r="B54" s="259" t="e">
        <f>IF(AND($J$34="SP - SC",$B$38&lt;15),"Arena pobremente graduada con arcilla",IF(AND($J$34="SP - SC",$B$38&gt;=15),"Arena pobremente graduada con arcilla y grava",""))</f>
        <v>#DIV/0!</v>
      </c>
      <c r="C54" s="259"/>
      <c r="D54" s="259"/>
      <c r="E54" s="260"/>
      <c r="F54" s="260"/>
      <c r="G54" s="260"/>
    </row>
    <row r="55" spans="1:7" x14ac:dyDescent="0.2">
      <c r="A55" s="258" t="s">
        <v>213</v>
      </c>
      <c r="B55" s="259" t="e">
        <f>IF(AND($J$34="SP - SM",$B$38&lt;15),"Arena pobremente graduada con limo",IF(AND($J$34="SP - SM",$B$38&gt;=15),"Arena pobremente graduada con limo y grava",""))</f>
        <v>#DIV/0!</v>
      </c>
      <c r="C55" s="259"/>
      <c r="D55" s="259"/>
      <c r="E55" s="260"/>
      <c r="F55" s="260"/>
      <c r="G55" s="260"/>
    </row>
    <row r="56" spans="1:7" x14ac:dyDescent="0.2">
      <c r="A56" s="258" t="s">
        <v>149</v>
      </c>
      <c r="B56" s="259" t="e">
        <f>IF(AND($J$34="SC",$B$38&lt;15),"Arena arcillosa",IF(AND($J$34="SC",$B$38&gt;=15),"Arena arcillosa con grava",""))</f>
        <v>#DIV/0!</v>
      </c>
      <c r="C56" s="259"/>
      <c r="D56" s="259"/>
      <c r="E56" s="260"/>
      <c r="F56" s="260"/>
      <c r="G56" s="260"/>
    </row>
    <row r="57" spans="1:7" x14ac:dyDescent="0.2">
      <c r="A57" s="258" t="s">
        <v>214</v>
      </c>
      <c r="B57" s="259" t="e">
        <f>IF(AND($J$34="SC - SM",$B$38&lt;15),"Arena limosa arcillosa",IF(AND($J$34="SC - SM",$B$38&gt;=15),"Arena limosa arcillosa con grava",""))</f>
        <v>#DIV/0!</v>
      </c>
      <c r="C57" s="259"/>
      <c r="D57" s="259"/>
      <c r="E57" s="260"/>
      <c r="F57" s="260"/>
      <c r="G57" s="260"/>
    </row>
    <row r="58" spans="1:7" x14ac:dyDescent="0.2">
      <c r="A58" s="258" t="s">
        <v>145</v>
      </c>
      <c r="B58" s="259" t="e">
        <f>IF(AND($J$34="SM",$B$38&lt;15),"Arena limosa",IF(AND($J$34="SM",$B$38&gt;=15),"Arena limosa con grava",""))</f>
        <v>#DIV/0!</v>
      </c>
      <c r="C58" s="259"/>
      <c r="D58" s="259"/>
      <c r="E58" s="260"/>
      <c r="F58" s="260"/>
      <c r="G58" s="260"/>
    </row>
    <row r="59" spans="1:7" x14ac:dyDescent="0.2">
      <c r="A59" s="258" t="s">
        <v>157</v>
      </c>
      <c r="B59" s="259" t="e">
        <f>IF(AND($J$34="CL",$D$40&lt;15),"Arcilla de baja plasticidad",IF(AND($J$34="CL",$D$40&gt;=15,$D$40&lt;30,$D$39&gt;=1),"Arcilla de baja plasticidad con arena",IF(AND($J$34="CL",$D$40&gt;=15,$D$40&lt;30,$D$39&lt;1),"Arcilla de baja plasticidad con grava",IF(AND($J$34="CL",$D$40&gt;=30,$D$39&gt;=1,$B$38&lt;15),"Arcilla arenosa de baja plasticidad",IF(AND($J$34="CL",$D$40&gt;=30,$D$39&gt;=1,$B$38&gt;=15),"Arcilla arenosa de baja plasticidad con grava",IF(AND($J$34="CL",$D$40&gt;=30,$D$39&lt;1,$B$38&lt;15),"Arcilla gravosa de baja plasticidad",IF(AND($J$34="CL",$D$40&gt;=30,$D$39&lt;1,$B$38&gt;=15),"Arcilla gravosa de baja plasticidad con arena","")))))))</f>
        <v>#DIV/0!</v>
      </c>
      <c r="C59" s="259"/>
      <c r="D59" s="259"/>
      <c r="E59" s="260"/>
      <c r="F59" s="260"/>
      <c r="G59" s="260"/>
    </row>
    <row r="60" spans="1:7" x14ac:dyDescent="0.2">
      <c r="A60" s="258" t="s">
        <v>215</v>
      </c>
      <c r="B60" s="259" t="e">
        <f>IF(AND($J$34="CL - ML",$D$40&lt;15),"Arcilla limosa",IF(AND($J$34="CL - ML",$D$40&gt;=15,$D$40&lt;30,$D$39&gt;=1),"Arcilla limosa con arena",IF(AND($J$34="CL - ML",$D$40&gt;=15,$D$40&lt;30,$D$39&lt;1),"Arcilla limosa con grava",IF(AND($J$34="CL - ML",$D$40&gt;=30,$D$39&gt;=1,$B$38&lt;15),"Arcilla limo - arenosa",IF(AND($J$34="CL - ML",$D$40&gt;=30,$D$39&gt;=1,$B$38&gt;=15),"Arcilla limo - arenosa  con grava",IF(AND($J$34="CL - ML",$D$40&gt;=30,$D$39&lt;1,$B$38&lt;15),"Arcilla limo gravosa",IF(AND($J$34="CL - ML",$D$40&gt;=30,$D$39&lt;1,$B$38&gt;=15),"Arcilla limo gravosa con arena","")))))))</f>
        <v>#DIV/0!</v>
      </c>
      <c r="C60" s="259"/>
      <c r="D60" s="259"/>
      <c r="E60" s="260"/>
      <c r="F60" s="260"/>
      <c r="G60" s="260"/>
    </row>
    <row r="61" spans="1:7" x14ac:dyDescent="0.2">
      <c r="A61" s="258" t="s">
        <v>154</v>
      </c>
      <c r="B61" s="259" t="e">
        <f>IF(AND($J$34="ML",$D$40&lt;15),"Limo",IF(AND($J$34="ML",$D$40&gt;=15,$D$40&lt;30,$D$39&gt;=1),"Limo con arena",IF(AND($J$34="ML",$D$40&gt;=15,$D$40&lt;30,$D$39&lt;1),"Limo con grava",IF(AND($J$34="ML",$D$40&gt;=30,$D$39&gt;=1,$B$38&lt;15),"Limo arenoso",IF(AND($J$34="ML",$D$40&gt;=30,$D$39&gt;=1,$B$38&gt;=15),"Limo arenoso con grava",IF(AND($J$34="ML",$D$40&gt;=30,$D$39&lt;1,$B$38&lt;15),"Limo gravoso",IF(AND($J$34="ML",$D$40&gt;=30,$D$39&lt;1,$B$38&gt;=15),"Limo gravoso con arena","")))))))</f>
        <v>#DIV/0!</v>
      </c>
      <c r="C61" s="259"/>
      <c r="D61" s="259"/>
      <c r="E61" s="260"/>
      <c r="F61" s="260"/>
      <c r="G61" s="260"/>
    </row>
    <row r="62" spans="1:7" x14ac:dyDescent="0.2">
      <c r="A62" s="261" t="s">
        <v>216</v>
      </c>
      <c r="B62" s="259" t="e">
        <f>IF(AND($J$34="OL",$D$40&lt;15,$D$38&lt;E38),"Limo orgánico",IF(AND($J$34="OL",$D$40&gt;=15,$D$40&lt;30,$D$39&gt;=1,$D$38&lt;E38),"Limo orgánico con arena",IF(AND($J$34="OL",$D$40&gt;=15,$D$40&lt;30,$D$39&lt;1,D38&lt;E38),"Limo orgánico con grava",IF(AND($J$34="OL",$D$40&gt;=30,$D$39&gt;=1,$B$38&lt;15,$D$38&lt;E38),"Limo orgánico arenoso",IF(AND($J$34="OL",$D$40&gt;=30,$D$39&gt;=1,$B$38&gt;=15,$D$38&lt;E38),"Limo orgánico arenoso con grava",IF(AND($J$34="OL",$D$40&gt;=30,$D$39&lt;1,$B$38&lt;15,$D$38&lt;E38),"Limo orgánico gravoso",IF(AND($J$34="OL",$D$40&gt;=30,$D$39&lt;1,$B$38&gt;=15,$D$38&lt;E38),"Limo orgánico gravoso con arena","")))))))</f>
        <v>#DIV/0!</v>
      </c>
      <c r="C62" s="259"/>
      <c r="D62" s="259"/>
      <c r="E62" s="260"/>
      <c r="F62" s="260"/>
      <c r="G62" s="260"/>
    </row>
    <row r="63" spans="1:7" x14ac:dyDescent="0.2">
      <c r="A63" s="261" t="s">
        <v>217</v>
      </c>
      <c r="B63" s="259" t="e">
        <f>IF(AND($J$34="OL",$D$40&lt;15,D38&gt;=E38),"Arcilla orgánica",IF(AND($J$34="OL",$D$40&gt;=15,$D$40&lt;30,$D$39&gt;=1,D38&gt;=E38),"Arcilla orgánica con arena",IF(AND($J$34="OL",$D$40&gt;=15,$D$40&lt;30,$D$39&lt;1,D38&gt;=E38),"Arcilla orgánica con grava",IF(AND($J$34="OL",$D$40&gt;=30,$D$39&gt;=1,$B$38&lt;15,D38&gt;=E38),"Arcilla  orgánica arenosa",IF(AND($J$34="OL",$D$40&gt;=30,$D$39&gt;=1,$B$38&gt;=15,D38&gt;=E38),"Arcilla orgánica arenosa con grava",IF(AND($J$34="OL",$D$40&gt;=30,$D$39&lt;1,$B$38&lt;15,D38&gt;=E38),"Arcilla orgánica gravosa",IF(AND($J$34="OL",$D$40&gt;=30,$D$39&lt;1,$B$38&gt;=15,D38&gt;=E38),"Arcilla orgánica gravosa con arena","")))))))</f>
        <v>#DIV/0!</v>
      </c>
      <c r="C63" s="259"/>
      <c r="D63" s="259"/>
      <c r="E63" s="260"/>
      <c r="F63" s="260"/>
      <c r="G63" s="260"/>
    </row>
    <row r="64" spans="1:7" x14ac:dyDescent="0.2">
      <c r="A64" s="258" t="s">
        <v>164</v>
      </c>
      <c r="B64" s="259" t="e">
        <f>IF(AND($J$34="CH",$D$40&lt;15),"Arcilla de alta plasticidad",IF(AND($J$34="CH",$D$40&gt;=15,$D$40&lt;30,$D$39&gt;=1),"Arcilla de alta plasticidad con arena",IF(AND($J$34="CH",$D$40&gt;=15,$D$40&lt;30,$D$39&lt;1),"Arcilla de alta plasticidad con grava",IF(AND($J$34="CH",$D$40&gt;=30,$D$39&gt;=1,$B$38&lt;15),"Arcilla arenosa de alta plasticidad",IF(AND($J$34="CH",$D$40&gt;=30,$D$39&gt;=1,$B$38&gt;=15),"Arcilla arenosa de alta plasticidad con grava",IF(AND($J$34="CH",$D$40&gt;=30,$D$39&lt;1,$B$38&lt;15),"Arcilla gravosa de alta plasticidad",IF(AND($J$34="CH",$D$40&gt;=30,$D$39&lt;1,$B$38&gt;=15),"Arcilla gravosa de alta plasticidad con arena","")))))))</f>
        <v>#DIV/0!</v>
      </c>
      <c r="C64" s="259"/>
      <c r="D64" s="259"/>
      <c r="E64" s="260"/>
      <c r="F64" s="260"/>
      <c r="G64" s="260"/>
    </row>
    <row r="65" spans="1:7" x14ac:dyDescent="0.2">
      <c r="A65" s="258" t="s">
        <v>218</v>
      </c>
      <c r="B65" s="259" t="e">
        <f>IF(AND($J$34="CH - MH",$D$40&lt;15),"Arcilla limosa de alta plasticidad",IF(AND($J$34="CH - MH",$D$40&gt;=15,$D$40&lt;30,$D$39&gt;=1),"Arcilla limosa de alta plasticidad con arena",IF(AND($J$34="CH - MH",$D$40&gt;=15,$D$40&lt;30,$D$39&lt;1),"Arcilla limosa de alta plasticidad con grava",IF(AND($J$34="CH - MH",$D$40&gt;=30,$D$39&gt;=1,$B$38&lt;15),"Arcilla limo arenoso de alta plasticidad",IF(AND($J$34="CH - MH",$D$40&gt;=30,$D$39&gt;=1,$B$38&gt;=15),"Arcilla limo arenoso de alta plasticidad con grava",IF(AND($J$34="CH - MH",$D$40&gt;=30,$D$39&lt;1,$B$38&lt;15),"Arcilla limo gravoso de alta plasticidad",IF(AND($J$34="CH - MH",$D$40&gt;=30,$D$39&lt;1,$B$38&gt;=15),"Arcilla limo gravoso de alta plasticidad con arena","")))))))</f>
        <v>#DIV/0!</v>
      </c>
      <c r="C65" s="259"/>
      <c r="D65" s="259"/>
      <c r="E65" s="260"/>
      <c r="F65" s="260"/>
      <c r="G65" s="260"/>
    </row>
    <row r="66" spans="1:7" x14ac:dyDescent="0.2">
      <c r="A66" s="258" t="s">
        <v>162</v>
      </c>
      <c r="B66" s="259" t="e">
        <f>IF(AND($J$34="MH",$D$40&lt;15),"Limo elástico",IF(AND($J$34="MH",$D$40&gt;=15,$D$40&lt;30,$D$39&gt;=1),"Limo elástico con arena",IF(AND($J$34="MH",$D$40&gt;=15,$D$40&lt;30,$D$39&lt;1),"Limo elástico con grava",IF(AND($J$34="MH",$D$40&gt;=30,$D$39&gt;=1,$B$38&lt;15),"Limo elástico arenoso",IF(AND($J$34="MH",$D$40&gt;=30,$D$39&gt;=1,$B$38&gt;=15),"Limo elástico arenoso con grava",IF(AND($J$34="MH",$D$40&gt;=30,$D$39&lt;1,$B$38&lt;15),"Limo elástico gravoso",IF(AND($J$34="MH",$D$40&gt;=30,$D$39&lt;1,$B$38&gt;=15),"Limo elástico gravoso  con arena","")))))))</f>
        <v>#DIV/0!</v>
      </c>
      <c r="C66" s="259"/>
      <c r="D66" s="259"/>
      <c r="E66" s="260"/>
      <c r="F66" s="260"/>
      <c r="G66" s="260"/>
    </row>
    <row r="67" spans="1:7" x14ac:dyDescent="0.2">
      <c r="A67" s="258" t="s">
        <v>219</v>
      </c>
      <c r="B67" s="259" t="e">
        <f>IF(AND($J$34="OH",$D$40&lt;15,D38&lt;E38),"Limo orgánico",IF(AND($J$34="OH",$D$40&gt;=15,$D$40&lt;30,$D$39&gt;=1,D38&lt;E38),"Limo orgánico con arena",IF(AND($J$34="OH",$D$40&gt;=15,$D$40&lt;30,$D$39&lt;1,D38&lt;E38),"Limo orgánico con grava",IF(AND($J$34="OH",$D$40&gt;=30,$D$39&gt;=1,$B$38&lt;15,D38&lt;E38),"Limo orgánico arenoso",IF(AND($J$34="OH",$D$40&gt;=30,$D$39&gt;=1,$B$38&gt;=15,D38&lt;E38),"Limo orgánico arenoso con grava",IF(AND($J$34="OH",$D$40&gt;=30,$D$39&lt;1,$B$38&lt;15,D38&lt;E38),"Limo orgánico gravoso",IF(AND($J$34="OH",$D$40&gt;=30,$D$39&lt;1,$B$38&gt;=15,D38&lt;E38),"Limo orgánico gravoso con arena","")))))))</f>
        <v>#DIV/0!</v>
      </c>
      <c r="C67" s="259"/>
      <c r="D67" s="259"/>
      <c r="E67" s="260"/>
      <c r="F67" s="260"/>
      <c r="G67" s="260"/>
    </row>
    <row r="68" spans="1:7" x14ac:dyDescent="0.2">
      <c r="A68" s="258" t="s">
        <v>220</v>
      </c>
      <c r="B68" s="259" t="e">
        <f>IF(AND($J$34="OH",$D$40&lt;15,D38&gt;=E38),"Arcilla orgánica",IF(AND($J$34="OH",$D$40&gt;=15,$D$40&lt;30,$D$39&gt;=1,D38&gt;=E38),"Arcilla orgánica con arena",IF(AND($J$34="OH",$D$40&gt;=15,$D$40&lt;30,$D$39&lt;1,D38&gt;=E38),"Arcilla orgánica con grava",IF(AND($J$34="OH",$D$40&gt;=30,$D$39&gt;=1,$B$38&lt;15,D38&gt;=E38),"Arcilla orgánica arenosa",IF(AND($J$34="OH",$D$40&gt;=30,$D$39&gt;=1,$B$38&gt;=15,D38&gt;=E38),"Arcilla orgánica arenosa con grava",IF(AND($J$34="OH",$D$40&gt;=30,$D$39&lt;1,$B$38&lt;15,D38&gt;=E38),"Arcilla orgánica gravosa",IF(AND($J$34="OH",$D$40&gt;=30,$D$39&lt;1,$B$38&gt;=15,D38&gt;=E38),"Arcilla orgánica gravosa con arena","")))))))</f>
        <v>#DIV/0!</v>
      </c>
      <c r="C68" s="259"/>
      <c r="D68" s="259"/>
      <c r="E68" s="260"/>
      <c r="F68" s="260"/>
      <c r="G68" s="260"/>
    </row>
    <row r="69" spans="1:7" x14ac:dyDescent="0.2">
      <c r="A69" s="258" t="s">
        <v>169</v>
      </c>
      <c r="B69" s="259" t="e">
        <f>IF($J$34="PT","Turba","")</f>
        <v>#DIV/0!</v>
      </c>
      <c r="C69" s="259"/>
      <c r="D69" s="259"/>
      <c r="E69" s="260"/>
      <c r="F69" s="260"/>
      <c r="G69" s="260"/>
    </row>
    <row r="70" spans="1:7" x14ac:dyDescent="0.2">
      <c r="A70" s="258" t="s">
        <v>221</v>
      </c>
      <c r="B70" s="262" t="e">
        <f>IF(B41&lt;&gt;"",B41,IF(B42&lt;&gt;"",B42,IF(B43&lt;&gt;"",B43,IF(B44&lt;&gt;"",B44,IF(B45&lt;&gt;"",B45,IF(B46&lt;&gt;"",B46,IF(B47&lt;&gt;"",B47,IF(B48&lt;&gt;"",B48,""))))))))</f>
        <v>#DIV/0!</v>
      </c>
      <c r="C70" s="263"/>
      <c r="D70" s="264"/>
      <c r="E70" s="264" t="e">
        <f>+CONCATENATE(B41,B42,B43,B44,B45,B46,B47,B48)</f>
        <v>#DIV/0!</v>
      </c>
      <c r="F70" s="264"/>
      <c r="G70" s="264"/>
    </row>
    <row r="71" spans="1:7" x14ac:dyDescent="0.2">
      <c r="A71" s="258" t="s">
        <v>221</v>
      </c>
      <c r="B71" s="265" t="e">
        <f>IF(B49&lt;&gt;"",B49,IF(B50&lt;&gt;"",B50,IF(B51&lt;&gt;"",B51,IF(B52&lt;&gt;"",B52,IF(B53&lt;&gt;"",B53,IF(B54&lt;&gt;"",B54,IF(B55&lt;&gt;"",B55,IF(B56&lt;&gt;"",B56,""))))))))</f>
        <v>#DIV/0!</v>
      </c>
      <c r="C71" s="266"/>
      <c r="D71" s="260"/>
      <c r="E71" s="260"/>
      <c r="F71" s="260"/>
      <c r="G71" s="260"/>
    </row>
    <row r="72" spans="1:7" x14ac:dyDescent="0.2">
      <c r="A72" s="258" t="s">
        <v>221</v>
      </c>
      <c r="B72" s="265" t="e">
        <f>IF(B57&lt;&gt;"",B57,IF(B58&lt;&gt;"",B58,IF(B59&lt;&gt;"",B59,IF(B60&lt;&gt;"",B60,IF(B61&lt;&gt;"",B61,IF(B62&lt;&gt;"",B62,IF(B63&lt;&gt;"",B63,IF(B64&lt;&gt;"",B64,""))))))))</f>
        <v>#DIV/0!</v>
      </c>
      <c r="C72" s="266"/>
      <c r="D72" s="260"/>
      <c r="E72" s="260"/>
      <c r="F72" s="260"/>
      <c r="G72" s="260"/>
    </row>
    <row r="73" spans="1:7" x14ac:dyDescent="0.2">
      <c r="A73" s="258" t="s">
        <v>221</v>
      </c>
      <c r="B73" s="265" t="e">
        <f>IF(B65&lt;&gt;"",B65,IF(B66&lt;&gt;"",B66,IF(B67&lt;&gt;"",B67,IF(B68&lt;&gt;"",B68,IF(B69&lt;&gt;"",B69,"")))))</f>
        <v>#DIV/0!</v>
      </c>
      <c r="C73" s="266"/>
      <c r="D73" s="260"/>
      <c r="E73" s="260"/>
      <c r="F73" s="260"/>
      <c r="G73" s="260"/>
    </row>
    <row r="74" spans="1:7" x14ac:dyDescent="0.2">
      <c r="A74" s="258" t="s">
        <v>222</v>
      </c>
      <c r="B74" s="262" t="e">
        <f>IF(B70&lt;&gt;"",B70,IF(B71&lt;&gt;"",B71,IF(B72&lt;&gt;"",B72,IF(B73&lt;&gt;"",B73,"-"))))</f>
        <v>#DIV/0!</v>
      </c>
      <c r="C74" s="263"/>
      <c r="D74" s="264"/>
      <c r="E74" s="260"/>
      <c r="F74" s="260"/>
      <c r="G74" s="260"/>
    </row>
    <row r="75" spans="1:7" ht="13.5" thickBot="1" x14ac:dyDescent="0.25">
      <c r="A75" s="267"/>
      <c r="B75" s="268"/>
      <c r="C75" s="269"/>
      <c r="D75" s="268"/>
      <c r="E75" s="268"/>
      <c r="F75" s="268"/>
      <c r="G75" s="268"/>
    </row>
  </sheetData>
  <mergeCells count="23"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  <mergeCell ref="A32:B32"/>
    <mergeCell ref="H15:H16"/>
    <mergeCell ref="B17:B24"/>
    <mergeCell ref="C17:D19"/>
    <mergeCell ref="G17:H18"/>
    <mergeCell ref="C20:D22"/>
    <mergeCell ref="C23:D23"/>
  </mergeCells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4" workbookViewId="0">
      <selection activeCell="A15" sqref="A15:K15"/>
    </sheetView>
  </sheetViews>
  <sheetFormatPr baseColWidth="10" defaultColWidth="11.5703125" defaultRowHeight="12.75" x14ac:dyDescent="0.2"/>
  <cols>
    <col min="1" max="1" width="6.140625" style="89" customWidth="1"/>
    <col min="2" max="2" width="18.85546875" style="89" customWidth="1"/>
    <col min="3" max="3" width="6.42578125" style="89" customWidth="1"/>
    <col min="4" max="15" width="7.85546875" style="89" customWidth="1"/>
    <col min="16" max="17" width="11.5703125" style="22"/>
    <col min="18" max="16384" width="11.5703125" style="89"/>
  </cols>
  <sheetData>
    <row r="1" spans="1:16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33" customHeight="1" thickBot="1" x14ac:dyDescent="0.25">
      <c r="A4" s="21"/>
      <c r="B4" s="1003" t="s">
        <v>42</v>
      </c>
      <c r="C4" s="1004"/>
      <c r="D4" s="1005" t="s">
        <v>43</v>
      </c>
      <c r="E4" s="1005"/>
      <c r="F4" s="1005"/>
      <c r="G4" s="1005"/>
      <c r="H4" s="1005"/>
      <c r="I4" s="1005"/>
      <c r="J4" s="1005"/>
      <c r="K4" s="1006" t="s">
        <v>44</v>
      </c>
      <c r="L4" s="1007"/>
      <c r="M4" s="1007"/>
      <c r="N4" s="1007"/>
      <c r="O4" s="1008"/>
    </row>
    <row r="5" spans="1:16" x14ac:dyDescent="0.2">
      <c r="A5" s="21"/>
      <c r="B5" s="1009" t="s">
        <v>45</v>
      </c>
      <c r="C5" s="1010"/>
      <c r="D5" s="1013" t="s">
        <v>46</v>
      </c>
      <c r="E5" s="1014"/>
      <c r="F5" s="1015" t="s">
        <v>47</v>
      </c>
      <c r="G5" s="1013" t="s">
        <v>48</v>
      </c>
      <c r="H5" s="1017"/>
      <c r="I5" s="1017"/>
      <c r="J5" s="1014"/>
      <c r="K5" s="1018" t="s">
        <v>49</v>
      </c>
      <c r="L5" s="1020" t="s">
        <v>50</v>
      </c>
      <c r="M5" s="1022" t="s">
        <v>51</v>
      </c>
      <c r="N5" s="1024" t="s">
        <v>52</v>
      </c>
      <c r="O5" s="1025"/>
    </row>
    <row r="6" spans="1:16" x14ac:dyDescent="0.2">
      <c r="A6" s="21"/>
      <c r="B6" s="1011"/>
      <c r="C6" s="1012"/>
      <c r="D6" s="25" t="s">
        <v>53</v>
      </c>
      <c r="E6" s="26" t="s">
        <v>54</v>
      </c>
      <c r="F6" s="1016"/>
      <c r="G6" s="25" t="s">
        <v>55</v>
      </c>
      <c r="H6" s="27" t="s">
        <v>56</v>
      </c>
      <c r="I6" s="28" t="s">
        <v>57</v>
      </c>
      <c r="J6" s="26" t="s">
        <v>58</v>
      </c>
      <c r="K6" s="1019"/>
      <c r="L6" s="1021"/>
      <c r="M6" s="1023"/>
      <c r="N6" s="29" t="s">
        <v>59</v>
      </c>
      <c r="O6" s="30" t="s">
        <v>60</v>
      </c>
    </row>
    <row r="7" spans="1:16" x14ac:dyDescent="0.2">
      <c r="A7" s="21"/>
      <c r="B7" s="31"/>
      <c r="C7" s="32"/>
      <c r="D7" s="33"/>
      <c r="E7" s="34"/>
      <c r="F7" s="35"/>
      <c r="G7" s="33"/>
      <c r="H7" s="36"/>
      <c r="I7" s="35"/>
      <c r="J7" s="37"/>
      <c r="K7" s="38"/>
      <c r="L7" s="39"/>
      <c r="M7" s="40"/>
      <c r="N7" s="38"/>
      <c r="O7" s="41"/>
    </row>
    <row r="8" spans="1:16" x14ac:dyDescent="0.2">
      <c r="A8" s="21"/>
      <c r="B8" s="42" t="s">
        <v>61</v>
      </c>
      <c r="C8" s="32"/>
      <c r="D8" s="33"/>
      <c r="E8" s="37"/>
      <c r="F8" s="35"/>
      <c r="G8" s="33"/>
      <c r="H8" s="36"/>
      <c r="I8" s="35"/>
      <c r="J8" s="37"/>
      <c r="K8" s="38"/>
      <c r="L8" s="39"/>
      <c r="M8" s="40"/>
      <c r="N8" s="38"/>
      <c r="O8" s="41"/>
    </row>
    <row r="9" spans="1:16" x14ac:dyDescent="0.2">
      <c r="A9" s="21"/>
      <c r="B9" s="42" t="s">
        <v>62</v>
      </c>
      <c r="C9" s="32"/>
      <c r="D9" s="33"/>
      <c r="E9" s="37"/>
      <c r="F9" s="35"/>
      <c r="G9" s="33"/>
      <c r="H9" s="36"/>
      <c r="I9" s="35"/>
      <c r="J9" s="37"/>
      <c r="K9" s="38"/>
      <c r="L9" s="39"/>
      <c r="M9" s="40"/>
      <c r="N9" s="38"/>
      <c r="O9" s="41"/>
    </row>
    <row r="10" spans="1:16" x14ac:dyDescent="0.2">
      <c r="A10" s="21"/>
      <c r="B10" s="43"/>
      <c r="C10" s="32"/>
      <c r="D10" s="33"/>
      <c r="E10" s="37"/>
      <c r="F10" s="35"/>
      <c r="G10" s="33"/>
      <c r="H10" s="36"/>
      <c r="I10" s="35"/>
      <c r="J10" s="37"/>
      <c r="K10" s="38"/>
      <c r="L10" s="39"/>
      <c r="M10" s="40"/>
      <c r="N10" s="38"/>
      <c r="O10" s="41"/>
    </row>
    <row r="11" spans="1:16" x14ac:dyDescent="0.2">
      <c r="A11" s="21"/>
      <c r="B11" s="44" t="s">
        <v>63</v>
      </c>
      <c r="C11" s="45" t="e">
        <f>+A.Granul!W32</f>
        <v>#DIV/0!</v>
      </c>
      <c r="D11" s="33" t="s">
        <v>64</v>
      </c>
      <c r="E11" s="37"/>
      <c r="F11" s="35"/>
      <c r="G11" s="33"/>
      <c r="H11" s="36"/>
      <c r="I11" s="35"/>
      <c r="J11" s="37"/>
      <c r="K11" s="38"/>
      <c r="L11" s="39"/>
      <c r="M11" s="40"/>
      <c r="N11" s="38"/>
      <c r="O11" s="41"/>
    </row>
    <row r="12" spans="1:16" x14ac:dyDescent="0.2">
      <c r="A12" s="21"/>
      <c r="B12" s="44" t="s">
        <v>65</v>
      </c>
      <c r="C12" s="45" t="e">
        <f>+A.Granul!W35</f>
        <v>#DIV/0!</v>
      </c>
      <c r="D12" s="33" t="s">
        <v>66</v>
      </c>
      <c r="E12" s="37" t="s">
        <v>64</v>
      </c>
      <c r="F12" s="35" t="s">
        <v>67</v>
      </c>
      <c r="G12" s="33"/>
      <c r="H12" s="36"/>
      <c r="I12" s="35"/>
      <c r="J12" s="37"/>
      <c r="K12" s="38"/>
      <c r="L12" s="39"/>
      <c r="M12" s="40"/>
      <c r="N12" s="38"/>
      <c r="O12" s="41"/>
    </row>
    <row r="13" spans="1:16" x14ac:dyDescent="0.2">
      <c r="A13" s="21"/>
      <c r="B13" s="44" t="s">
        <v>68</v>
      </c>
      <c r="C13" s="45" t="e">
        <f>+A.Granul!W38</f>
        <v>#DIV/0!</v>
      </c>
      <c r="D13" s="33" t="s">
        <v>69</v>
      </c>
      <c r="E13" s="37" t="s">
        <v>70</v>
      </c>
      <c r="F13" s="35" t="s">
        <v>71</v>
      </c>
      <c r="G13" s="33" t="s">
        <v>72</v>
      </c>
      <c r="H13" s="36" t="s">
        <v>72</v>
      </c>
      <c r="I13" s="35" t="s">
        <v>72</v>
      </c>
      <c r="J13" s="37" t="s">
        <v>72</v>
      </c>
      <c r="K13" s="38" t="s">
        <v>73</v>
      </c>
      <c r="L13" s="39" t="s">
        <v>73</v>
      </c>
      <c r="M13" s="40" t="s">
        <v>73</v>
      </c>
      <c r="N13" s="38" t="s">
        <v>73</v>
      </c>
      <c r="O13" s="41" t="s">
        <v>73</v>
      </c>
    </row>
    <row r="14" spans="1:16" x14ac:dyDescent="0.2">
      <c r="A14" s="21"/>
      <c r="B14" s="46"/>
      <c r="C14" s="47"/>
      <c r="D14" s="48"/>
      <c r="E14" s="49"/>
      <c r="F14" s="50"/>
      <c r="G14" s="48"/>
      <c r="H14" s="51"/>
      <c r="I14" s="50"/>
      <c r="J14" s="49"/>
      <c r="K14" s="52"/>
      <c r="L14" s="53"/>
      <c r="M14" s="54"/>
      <c r="N14" s="52"/>
      <c r="O14" s="55"/>
    </row>
    <row r="15" spans="1:16" x14ac:dyDescent="0.2">
      <c r="A15" s="21"/>
      <c r="B15" s="56"/>
      <c r="C15" s="57"/>
      <c r="D15" s="58"/>
      <c r="E15" s="59"/>
      <c r="F15" s="60"/>
      <c r="G15" s="58"/>
      <c r="H15" s="61"/>
      <c r="I15" s="60"/>
      <c r="J15" s="59"/>
      <c r="K15" s="62"/>
      <c r="L15" s="63"/>
      <c r="M15" s="64"/>
      <c r="N15" s="62"/>
      <c r="O15" s="65"/>
    </row>
    <row r="16" spans="1:16" x14ac:dyDescent="0.2">
      <c r="A16" s="21"/>
      <c r="B16" s="66" t="s">
        <v>74</v>
      </c>
      <c r="C16" s="67"/>
      <c r="D16" s="58"/>
      <c r="E16" s="59"/>
      <c r="F16" s="60"/>
      <c r="G16" s="58"/>
      <c r="H16" s="61"/>
      <c r="I16" s="60"/>
      <c r="J16" s="59"/>
      <c r="K16" s="62"/>
      <c r="L16" s="63"/>
      <c r="M16" s="64"/>
      <c r="N16" s="62"/>
      <c r="O16" s="65"/>
    </row>
    <row r="17" spans="1:15" x14ac:dyDescent="0.2">
      <c r="A17" s="21"/>
      <c r="B17" s="66" t="s">
        <v>75</v>
      </c>
      <c r="C17" s="67"/>
      <c r="D17" s="58"/>
      <c r="E17" s="59"/>
      <c r="F17" s="60"/>
      <c r="G17" s="58"/>
      <c r="H17" s="61"/>
      <c r="I17" s="60"/>
      <c r="J17" s="59"/>
      <c r="K17" s="62"/>
      <c r="L17" s="63"/>
      <c r="M17" s="64"/>
      <c r="N17" s="62"/>
      <c r="O17" s="65"/>
    </row>
    <row r="18" spans="1:15" x14ac:dyDescent="0.2">
      <c r="A18" s="21"/>
      <c r="B18" s="66" t="s">
        <v>76</v>
      </c>
      <c r="C18" s="67"/>
      <c r="D18" s="58"/>
      <c r="E18" s="59"/>
      <c r="F18" s="60"/>
      <c r="G18" s="58"/>
      <c r="H18" s="61"/>
      <c r="I18" s="60"/>
      <c r="J18" s="59"/>
      <c r="K18" s="62"/>
      <c r="L18" s="63"/>
      <c r="M18" s="64"/>
      <c r="N18" s="62"/>
      <c r="O18" s="65"/>
    </row>
    <row r="19" spans="1:15" x14ac:dyDescent="0.2">
      <c r="A19" s="21"/>
      <c r="B19" s="68"/>
      <c r="C19" s="67"/>
      <c r="D19" s="58"/>
      <c r="E19" s="59"/>
      <c r="F19" s="60"/>
      <c r="G19" s="58"/>
      <c r="H19" s="61"/>
      <c r="I19" s="60"/>
      <c r="J19" s="59"/>
      <c r="K19" s="62"/>
      <c r="L19" s="63"/>
      <c r="M19" s="64"/>
      <c r="N19" s="62"/>
      <c r="O19" s="65"/>
    </row>
    <row r="20" spans="1:15" x14ac:dyDescent="0.2">
      <c r="A20" s="21"/>
      <c r="B20" s="69" t="s">
        <v>77</v>
      </c>
      <c r="C20" s="67" t="str">
        <f>+'LL-LP'!H35</f>
        <v>NP</v>
      </c>
      <c r="D20" s="58"/>
      <c r="E20" s="59"/>
      <c r="F20" s="60"/>
      <c r="G20" s="58" t="s">
        <v>78</v>
      </c>
      <c r="H20" s="61" t="s">
        <v>79</v>
      </c>
      <c r="I20" s="60" t="s">
        <v>78</v>
      </c>
      <c r="J20" s="59" t="s">
        <v>79</v>
      </c>
      <c r="K20" s="62" t="s">
        <v>78</v>
      </c>
      <c r="L20" s="63" t="s">
        <v>79</v>
      </c>
      <c r="M20" s="64" t="s">
        <v>78</v>
      </c>
      <c r="N20" s="62" t="s">
        <v>79</v>
      </c>
      <c r="O20" s="65" t="s">
        <v>79</v>
      </c>
    </row>
    <row r="21" spans="1:15" x14ac:dyDescent="0.2">
      <c r="A21" s="21"/>
      <c r="B21" s="69" t="s">
        <v>80</v>
      </c>
      <c r="C21" s="67" t="str">
        <f>+'LL-LP'!H41</f>
        <v>NP</v>
      </c>
      <c r="D21" s="58" t="s">
        <v>81</v>
      </c>
      <c r="E21" s="59" t="s">
        <v>81</v>
      </c>
      <c r="F21" s="60" t="s">
        <v>82</v>
      </c>
      <c r="G21" s="58" t="s">
        <v>71</v>
      </c>
      <c r="H21" s="61" t="s">
        <v>71</v>
      </c>
      <c r="I21" s="60" t="s">
        <v>83</v>
      </c>
      <c r="J21" s="59" t="s">
        <v>83</v>
      </c>
      <c r="K21" s="62" t="s">
        <v>71</v>
      </c>
      <c r="L21" s="63" t="s">
        <v>71</v>
      </c>
      <c r="M21" s="64" t="s">
        <v>83</v>
      </c>
      <c r="N21" s="62" t="s">
        <v>84</v>
      </c>
      <c r="O21" s="65" t="s">
        <v>84</v>
      </c>
    </row>
    <row r="22" spans="1:15" x14ac:dyDescent="0.2">
      <c r="A22" s="21"/>
      <c r="B22" s="70"/>
      <c r="C22" s="71" t="s">
        <v>85</v>
      </c>
      <c r="D22" s="72"/>
      <c r="E22" s="73"/>
      <c r="F22" s="74"/>
      <c r="G22" s="72"/>
      <c r="H22" s="75"/>
      <c r="I22" s="74"/>
      <c r="J22" s="73"/>
      <c r="K22" s="76"/>
      <c r="L22" s="77"/>
      <c r="M22" s="78"/>
      <c r="N22" s="76"/>
      <c r="O22" s="79"/>
    </row>
    <row r="23" spans="1:15" ht="13.5" thickBot="1" x14ac:dyDescent="0.25">
      <c r="A23" s="21"/>
      <c r="B23" s="80" t="s">
        <v>86</v>
      </c>
      <c r="C23" s="81" t="e">
        <f>+D38</f>
        <v>#DIV/0!</v>
      </c>
      <c r="D23" s="997">
        <v>0</v>
      </c>
      <c r="E23" s="998"/>
      <c r="F23" s="82">
        <v>0</v>
      </c>
      <c r="G23" s="997">
        <v>0</v>
      </c>
      <c r="H23" s="999"/>
      <c r="I23" s="1000" t="s">
        <v>87</v>
      </c>
      <c r="J23" s="998"/>
      <c r="K23" s="83" t="s">
        <v>88</v>
      </c>
      <c r="L23" s="84" t="s">
        <v>89</v>
      </c>
      <c r="M23" s="85" t="s">
        <v>90</v>
      </c>
      <c r="N23" s="83" t="s">
        <v>91</v>
      </c>
      <c r="O23" s="86" t="s">
        <v>91</v>
      </c>
    </row>
    <row r="24" spans="1:15" ht="13.5" thickTop="1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8" x14ac:dyDescent="0.25">
      <c r="A26" s="21"/>
      <c r="B26" s="21"/>
      <c r="C26" s="21"/>
      <c r="D26" s="21"/>
      <c r="E26" s="87" t="s">
        <v>92</v>
      </c>
      <c r="F26" s="23"/>
      <c r="G26" s="88"/>
      <c r="H26" s="23"/>
      <c r="I26" s="23"/>
      <c r="J26" s="1001" t="e">
        <f>+D31&amp;" "&amp;F38</f>
        <v>#DIV/0!</v>
      </c>
      <c r="K26" s="1002"/>
      <c r="L26" s="21"/>
      <c r="M26" s="21"/>
      <c r="N26" s="21"/>
      <c r="O26" s="21"/>
    </row>
    <row r="27" spans="1:15" ht="16.149999999999999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6.149999999999999" hidden="1" customHeight="1" x14ac:dyDescent="0.2"/>
    <row r="29" spans="1:15" ht="16.149999999999999" hidden="1" customHeight="1" x14ac:dyDescent="0.2">
      <c r="D29" s="89" t="e">
        <f>IF(AND(C11&lt;=50,C12&lt;=30,C13&lt;=15,OR(C21&lt;=6,C21="NP"),C23&lt;=0),D6,"--")</f>
        <v>#DIV/0!</v>
      </c>
      <c r="E29" s="89" t="e">
        <f>IF(AND(C12&lt;=50,C13&lt;=25,OR(C21&lt;=6,C21="NP"),C23&lt;=0),E6,"--")</f>
        <v>#DIV/0!</v>
      </c>
      <c r="F29" s="89" t="e">
        <f>IF(AND(C12&gt;50,C13&lt;=10,OR(C20="N.P.",C20="NP",C20=0),OR(C21="N.P.",C21="NP",C21=0),C23&lt;=0),F5,"--")</f>
        <v>#DIV/0!</v>
      </c>
      <c r="G29" s="89" t="e">
        <f>IF(AND(C13&lt;=35,OR(C20&lt;=40,C20="NP"),OR(C21&lt;=10,C21="NP"),C23&lt;=0),G6,"--")</f>
        <v>#DIV/0!</v>
      </c>
      <c r="H29" s="89" t="e">
        <f>IF(AND(C13&lt;=35,C20&gt;40,C20&lt;&gt;"NP",C21&lt;=10,C21&lt;&gt;"NP",C23&lt;=0),H6,"--")</f>
        <v>#DIV/0!</v>
      </c>
      <c r="I29" s="89" t="e">
        <f>IF(AND(C13&lt;=35,C20&lt;=40,C20&lt;&gt;"NP",C23&lt;=4,C21&gt;10,C21&lt;&gt;"NP"),I6,"--")</f>
        <v>#DIV/0!</v>
      </c>
      <c r="J29" s="89" t="e">
        <f>IF(AND(C13&lt;=35,C20&gt;40,C20&lt;&gt;"NP",C21&gt;10,C23&lt;=4,C21&lt;&gt;"NP"),J6,"--")</f>
        <v>#DIV/0!</v>
      </c>
      <c r="K29" s="89" t="e">
        <f>IF(AND(C13&gt;35,OR(C20&lt;=40,C20="NP"),OR(C21&lt;=10,C21="NP"),C23&lt;=8),K5,"--")</f>
        <v>#DIV/0!</v>
      </c>
      <c r="L29" s="89" t="e">
        <f>IF(AND(C13&gt;35,C20&gt;40,C20&lt;&gt;"NP",C21&lt;=10,C21&lt;&gt;"NP",C23&lt;=12),L5,"--")</f>
        <v>#DIV/0!</v>
      </c>
      <c r="M29" s="89" t="e">
        <f>IF(AND(C13&gt;35,C20&lt;=40,C21&gt;10,C23&lt;=16,C21&lt;&gt;"NP"),M5,"--")</f>
        <v>#DIV/0!</v>
      </c>
      <c r="N29" s="89" t="e">
        <f>IF(AND(C13&gt;35,C20&lt;&gt;"NP",C20&gt;40,C21&lt;&gt;"NP",C21&gt;10,C23&lt;=20),IF(C20-C21&gt;30,N6,"--"),"--")</f>
        <v>#DIV/0!</v>
      </c>
      <c r="O29" s="89" t="e">
        <f>IF(AND(C13&gt;35,C20&gt;40,C20&lt;&gt;"NP",C21&gt;10,C21&lt;&gt;"NP",C23&lt;=20),IF(C20-C21&lt;=30,O6,"--"),"--")</f>
        <v>#DIV/0!</v>
      </c>
    </row>
    <row r="30" spans="1:15" ht="16.149999999999999" hidden="1" customHeight="1" x14ac:dyDescent="0.2">
      <c r="D30" s="89" t="e">
        <f>IF(D29&lt;&gt;"--",D29,"")</f>
        <v>#DIV/0!</v>
      </c>
      <c r="E30" s="89" t="e">
        <f>IF(AND(D29="--",E29&lt;&gt;"--"),E29,"")</f>
        <v>#DIV/0!</v>
      </c>
      <c r="F30" s="89" t="e">
        <f>IF(AND(D29="--",E29="--",F29&lt;&gt;"--"),F29,"")</f>
        <v>#DIV/0!</v>
      </c>
      <c r="G30" s="89" t="e">
        <f>IF(AND(D29="--",E29="--",F29="--",G29&lt;&gt;"--"),G29,"")</f>
        <v>#DIV/0!</v>
      </c>
      <c r="H30" s="89" t="e">
        <f>IF(AND(D29="--",E29="--",F29="--",G29="--",H29&lt;&gt;"--"),H29,"")</f>
        <v>#DIV/0!</v>
      </c>
      <c r="I30" s="89" t="e">
        <f>IF(AND(D29="--",E29="--",F29="--",G29="--",H29="--",I29&lt;&gt;"--"),I29,"")</f>
        <v>#DIV/0!</v>
      </c>
      <c r="J30" s="89" t="e">
        <f>IF(AND(D29="--",E29="--",F29="--",G29="--",H29="--",I29="--",J29&lt;&gt;"--"),J29,"")</f>
        <v>#DIV/0!</v>
      </c>
      <c r="K30" s="89" t="e">
        <f>IF(K29&lt;&gt;"--",K29,"")</f>
        <v>#DIV/0!</v>
      </c>
      <c r="L30" s="89" t="e">
        <f>IF(AND(K29="--",L29&lt;&gt;"--"),L29,"")</f>
        <v>#DIV/0!</v>
      </c>
      <c r="M30" s="89" t="e">
        <f>IF(AND(K29="--",L29="--",M29&lt;&gt;"--"),M29,"")</f>
        <v>#DIV/0!</v>
      </c>
      <c r="N30" s="89" t="e">
        <f>IF(AND(K29="--",L29="--",M29="--",N29&lt;&gt;"--"),N29,"")</f>
        <v>#DIV/0!</v>
      </c>
      <c r="O30" s="89" t="e">
        <f>IF(AND(K29="--",L29="--",M29="--",N29="--",O29&lt;&gt;"--"),O29,"")</f>
        <v>#DIV/0!</v>
      </c>
    </row>
    <row r="31" spans="1:15" ht="16.149999999999999" hidden="1" customHeight="1" x14ac:dyDescent="0.2">
      <c r="D31" s="89" t="e">
        <f>+D30&amp;E30&amp;F30&amp;G30&amp;H30&amp;I30&amp;J30&amp;K30&amp;L30&amp;M30&amp;N30&amp;O30</f>
        <v>#DIV/0!</v>
      </c>
    </row>
    <row r="32" spans="1:15" ht="16.149999999999999" hidden="1" customHeight="1" x14ac:dyDescent="0.2"/>
    <row r="33" spans="1:15" ht="16.149999999999999" hidden="1" customHeight="1" x14ac:dyDescent="0.2">
      <c r="C33" s="89" t="s">
        <v>93</v>
      </c>
      <c r="D33" s="90" t="e">
        <f>+IF(C13&gt;75,40,IF(C13&lt;35,1,IF(C13&lt;40,40-C13,C13-40)))</f>
        <v>#DIV/0!</v>
      </c>
    </row>
    <row r="34" spans="1:15" ht="16.149999999999999" hidden="1" customHeight="1" x14ac:dyDescent="0.2">
      <c r="C34" s="89" t="s">
        <v>94</v>
      </c>
      <c r="D34" s="90" t="e">
        <f>+IF(C13&gt;55,40,IF(C13&lt;15,1,C13-15))</f>
        <v>#DIV/0!</v>
      </c>
    </row>
    <row r="35" spans="1:15" ht="16.149999999999999" hidden="1" customHeight="1" x14ac:dyDescent="0.2">
      <c r="C35" s="91" t="s">
        <v>95</v>
      </c>
      <c r="D35" s="90">
        <f>+IF(C20="NP",1,IF(C20&gt;60,20,IF(C20&lt;40,1,C20-40)))</f>
        <v>1</v>
      </c>
    </row>
    <row r="36" spans="1:15" ht="16.149999999999999" hidden="1" customHeight="1" x14ac:dyDescent="0.2">
      <c r="C36" s="89" t="s">
        <v>96</v>
      </c>
      <c r="D36" s="90">
        <f>+IF(C21="NP",1,IF(C21&gt;30,20,IF(C21&lt;10,1,C21-10)))</f>
        <v>1</v>
      </c>
    </row>
    <row r="37" spans="1:15" ht="16.149999999999999" hidden="1" customHeight="1" x14ac:dyDescent="0.2"/>
    <row r="38" spans="1:15" ht="16.149999999999999" hidden="1" customHeight="1" x14ac:dyDescent="0.2">
      <c r="C38" s="92" t="e">
        <f>0.2*D33+0.005*D33*D35+0.01*D34*D36</f>
        <v>#DIV/0!</v>
      </c>
      <c r="D38" s="93" t="e">
        <f>ROUND(C38,0)</f>
        <v>#DIV/0!</v>
      </c>
      <c r="F38" s="89" t="e">
        <f>+"("&amp;D38&amp;")"</f>
        <v>#DIV/0!</v>
      </c>
    </row>
    <row r="39" spans="1:15" ht="16.149999999999999" hidden="1" customHeight="1" x14ac:dyDescent="0.2"/>
    <row r="40" spans="1:15" ht="16.149999999999999" hidden="1" customHeight="1" x14ac:dyDescent="0.2"/>
    <row r="41" spans="1:15" ht="16.149999999999999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1026" t="s">
        <v>10</v>
      </c>
      <c r="B2" s="1026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FORMATO</vt:lpstr>
      <vt:lpstr>A.Granul</vt:lpstr>
      <vt:lpstr>Incertidumbre</vt:lpstr>
      <vt:lpstr>Balanza</vt:lpstr>
      <vt:lpstr>LL-LP</vt:lpstr>
      <vt:lpstr>Sucs </vt:lpstr>
      <vt:lpstr>Aashto</vt:lpstr>
      <vt:lpstr>Hoja1</vt:lpstr>
      <vt:lpstr>A.Granul!Área_de_impresión</vt:lpstr>
      <vt:lpstr>Aashto!Área_de_impresión</vt:lpstr>
      <vt:lpstr>FORMATO!Área_de_impresión</vt:lpstr>
      <vt:lpstr>'LL-LP'!Área_de_impresión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A.Granul!Títulos_a_imprimir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lastPrinted>2026-06-13T15:40:11Z</cp:lastPrinted>
  <dcterms:created xsi:type="dcterms:W3CDTF">1999-11-07T15:11:55Z</dcterms:created>
  <dcterms:modified xsi:type="dcterms:W3CDTF">2026-06-24T14:26:24Z</dcterms:modified>
</cp:coreProperties>
</file>