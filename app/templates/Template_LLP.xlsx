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1775DDB2-9466-4368-8101-2D19EA84638A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LL-LP" sheetId="91" r:id="rId1"/>
    <sheet name="Hoja1" sheetId="49" state="hidden" r:id="rId2"/>
  </sheets>
  <definedNames>
    <definedName name="_xlnm._FilterDatabase" localSheetId="0" hidden="1">'LL-LP'!$B$16:$L$26</definedName>
    <definedName name="_xlnm.Print_Area" localSheetId="0">'LL-LP'!$A$1:$M$56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" i="91" l="1"/>
  <c r="P45" i="91"/>
  <c r="S45" i="91" s="1"/>
  <c r="R40" i="91"/>
  <c r="Q40" i="91" s="1"/>
  <c r="P40" i="91"/>
  <c r="O40" i="91" s="1"/>
  <c r="P32" i="91"/>
  <c r="O32" i="91" s="1"/>
  <c r="P31" i="91"/>
  <c r="P30" i="91"/>
  <c r="O30" i="91" s="1"/>
  <c r="O31" i="91"/>
  <c r="L44" i="91" l="1"/>
  <c r="L43" i="91"/>
  <c r="L45" i="91" s="1"/>
  <c r="K44" i="91"/>
  <c r="K43" i="91"/>
  <c r="K45" i="91" s="1"/>
  <c r="J44" i="91"/>
  <c r="J43" i="91"/>
  <c r="I44" i="91"/>
  <c r="I43" i="91"/>
  <c r="G44" i="91"/>
  <c r="G43" i="91"/>
  <c r="G45" i="91" s="1"/>
  <c r="Q30" i="91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Q33" i="91" l="1"/>
  <c r="O37" i="91"/>
  <c r="P37" i="91" s="1"/>
  <c r="J45" i="91"/>
  <c r="Q32" i="91" s="1"/>
  <c r="I45" i="91"/>
  <c r="Q31" i="91" s="1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<sst xmlns="http://schemas.openxmlformats.org/spreadsheetml/2006/main" count="114" uniqueCount="98">
  <si>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</si>
  <si>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</si>
  <si>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</si>
  <si>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</si>
  <si>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</si>
  <si>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</si>
  <si>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</si>
  <si>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</si>
  <si>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</si>
  <si>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</si>
  <si>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</si>
  <si>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</si>
  <si>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</si>
  <si>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</si>
  <si>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</si>
  <si>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</si>
  <si>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</si>
  <si>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Nº de Golpes</t>
  </si>
  <si>
    <t>Recipiente Nº</t>
  </si>
  <si>
    <t>LIMITE PLASTICO</t>
  </si>
  <si>
    <t>LIMITE LIQUIDO</t>
  </si>
  <si>
    <t>FORMATO N° F-LEM-P-SU-23.01</t>
  </si>
  <si>
    <t>---</t>
  </si>
  <si>
    <t>Equipo utilizado</t>
  </si>
  <si>
    <t>Código</t>
  </si>
  <si>
    <t>Horno 110ºC</t>
  </si>
  <si>
    <t>Copa casagrande</t>
  </si>
  <si>
    <t>Ranurador</t>
  </si>
  <si>
    <t>Prohibido reproducir sin  autorización</t>
  </si>
  <si>
    <t>g</t>
  </si>
  <si>
    <t>Balanza 0.01 g</t>
  </si>
  <si>
    <t>Dispositivo para el limite liquido</t>
  </si>
  <si>
    <t>Descripción de la muestra:</t>
  </si>
  <si>
    <t>Condiciones del ensayo</t>
  </si>
  <si>
    <t>Masa del recipiente y suelo Humedo</t>
  </si>
  <si>
    <t>Masa del recipiente y suelo Seco</t>
  </si>
  <si>
    <t>Masa del recipiente y suelo Seco 1</t>
  </si>
  <si>
    <t>Masa del Recipiente</t>
  </si>
  <si>
    <t>%</t>
  </si>
  <si>
    <t>Método de ensayo en el Límite Líquido</t>
  </si>
  <si>
    <t>Herramienta de ranurado para el límite líquido</t>
  </si>
  <si>
    <t>Método de laminación para el Límite Plástico</t>
  </si>
  <si>
    <t xml:space="preserve">Contenido de humedad de muestra inicial (%) </t>
  </si>
  <si>
    <t>Proceso de selección en caso de muestras Intacta, se retiró lentes de arena</t>
  </si>
  <si>
    <t>Método de preparación de la muestra de ensayo</t>
  </si>
  <si>
    <t>Descripción</t>
  </si>
  <si>
    <t>A</t>
  </si>
  <si>
    <t>B</t>
  </si>
  <si>
    <t>C</t>
  </si>
  <si>
    <t>D</t>
  </si>
  <si>
    <t>G</t>
  </si>
  <si>
    <t>H</t>
  </si>
  <si>
    <t>I</t>
  </si>
  <si>
    <t>Masa del Agua(C-E)</t>
  </si>
  <si>
    <t>Masa del Suelo Seco (E-F)</t>
  </si>
  <si>
    <t>% de Humedad (G/H*100)</t>
  </si>
  <si>
    <t xml:space="preserve">Observaciones: </t>
  </si>
  <si>
    <t>Tipo de muestra</t>
  </si>
  <si>
    <t>Condición de la muestra</t>
  </si>
  <si>
    <t>Tamaño máximo de particula, Visual (in)</t>
  </si>
  <si>
    <t>Forma de la particula</t>
  </si>
  <si>
    <t>Standard Test Methods for Liquid Limit, Plastic Limit, and Plasticity Index of Soils</t>
  </si>
  <si>
    <r>
      <t>ASTM D4318-17</t>
    </r>
    <r>
      <rPr>
        <b/>
        <vertAlign val="superscript"/>
        <sz val="10"/>
        <rFont val="Arial"/>
        <family val="2"/>
      </rPr>
      <t>ε1</t>
    </r>
  </si>
  <si>
    <t>Porcentaje estimado de muestra retenido en el tamiz No. 40 (%)</t>
  </si>
  <si>
    <t>Método de eliminación de partículas más grandes que el tamiz No. 40</t>
  </si>
  <si>
    <t>Mecánicamente empujado a través del tamiz No. 40</t>
  </si>
  <si>
    <t>Mezclado en placa de vidrio y eliminación de partículas de arena medianas</t>
  </si>
  <si>
    <t>Tamizado en seco por el tamiz No. 40</t>
  </si>
  <si>
    <t>Lavado por el tamiz No. 40</t>
  </si>
  <si>
    <t>Versión: 03 (03-08-2023)</t>
  </si>
  <si>
    <t>WEB: www.geofal.com.pe   E-MAIL: laboratorio@geofal.com.pe                                                                                                                                                              Av. Marañon 763, Los Olivos-Lima / Teléfono 01 754-3070</t>
  </si>
  <si>
    <t>MULTIPUNTO O UNIPUNTO</t>
  </si>
  <si>
    <t>METAL O PLASTICO</t>
  </si>
  <si>
    <t>MANUAL O MECANICO</t>
  </si>
  <si>
    <t>MANUAL O DISPOSITIVO DE LAMINACION</t>
  </si>
  <si>
    <t xml:space="preserve">HUMEDO O SECADO AL AIRE O SECADO AL HORNO </t>
  </si>
  <si>
    <t>EQP-0045</t>
  </si>
  <si>
    <t>EQP-0049</t>
  </si>
  <si>
    <t>EQP-0048</t>
  </si>
  <si>
    <t>EQP-0107</t>
  </si>
  <si>
    <t>ALTERADO O INTACTO</t>
  </si>
  <si>
    <t>MUESTRA</t>
  </si>
  <si>
    <t>No OT</t>
  </si>
  <si>
    <t>FECHA ENSAYO</t>
  </si>
  <si>
    <t>REALIZADO</t>
  </si>
  <si>
    <t>748-SU-26</t>
  </si>
  <si>
    <t>256-26</t>
  </si>
  <si>
    <t>LN(N)</t>
  </si>
  <si>
    <t>N</t>
  </si>
  <si>
    <t>Humedad</t>
  </si>
  <si>
    <t>Wpromedio</t>
  </si>
  <si>
    <t>Verificar aquí el grafico Min.095 y Max.1.00</t>
  </si>
  <si>
    <t>PARAMETRO DE CONTROL LIMITE PLASTICO</t>
  </si>
  <si>
    <t>Parametro calculado</t>
  </si>
  <si>
    <t>Limites diferencia Norma</t>
  </si>
  <si>
    <t>Control</t>
  </si>
  <si>
    <t>1S</t>
  </si>
  <si>
    <t>d2s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</si>
</sst>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0\ &quot;/ CO-06&quot;"/>
    <numFmt numFmtId="166" formatCode="#,##0.0"/>
    <numFmt numFmtId="167" formatCode="&quot;FORMATO F-LEM-P-SU-11.01&quot;"/>
    <numFmt numFmtId="168" formatCode="0.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  <font>
      <b/>
      <vertAlign val="superscript"/>
      <sz val="10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2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2" fillId="0" borderId="4" xfId="0" applyFont="1" applyBorder="1" applyProtection="1">
      <protection hidden="1"/>
    </xf>
    <xf numFmtId="0" fontId="12" fillId="0" borderId="20" xfId="0" applyFont="1" applyBorder="1" applyProtection="1">
      <protection hidden="1"/>
    </xf>
    <xf numFmtId="0" fontId="12" fillId="0" borderId="0" xfId="0" applyFont="1" applyProtection="1">
      <protection hidden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21" xfId="0" applyFont="1" applyBorder="1" applyProtection="1">
      <protection hidden="1"/>
    </xf>
    <xf numFmtId="0" fontId="15" fillId="0" borderId="6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" fillId="0" borderId="0" xfId="0" applyFont="1" applyProtection="1">
      <protection hidden="1"/>
    </xf>
    <xf numFmtId="0" fontId="11" fillId="0" borderId="0" xfId="3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1" fillId="0" borderId="0" xfId="3" applyFont="1" applyAlignment="1">
      <alignment horizontal="right" vertical="center"/>
    </xf>
    <xf numFmtId="0" fontId="11" fillId="0" borderId="8" xfId="3" applyFont="1" applyBorder="1" applyAlignment="1">
      <alignment vertical="center"/>
    </xf>
    <xf numFmtId="0" fontId="11" fillId="0" borderId="8" xfId="3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11" fillId="0" borderId="8" xfId="3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8" fillId="0" borderId="14" xfId="5" applyFont="1" applyBorder="1" applyAlignment="1">
      <alignment horizontal="left" vertical="center" indent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 applyProtection="1">
      <alignment horizontal="left" vertical="center"/>
      <protection hidden="1"/>
    </xf>
    <xf numFmtId="0" fontId="8" fillId="0" borderId="0" xfId="5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9" xfId="5" applyFont="1" applyBorder="1" applyAlignment="1">
      <alignment horizontal="left" vertical="center" indent="1"/>
    </xf>
    <xf numFmtId="0" fontId="8" fillId="0" borderId="8" xfId="5" applyFont="1" applyBorder="1" applyAlignment="1" applyProtection="1">
      <alignment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vertical="center"/>
    </xf>
    <xf numFmtId="0" fontId="8" fillId="0" borderId="11" xfId="5" applyFont="1" applyBorder="1" applyAlignment="1">
      <alignment horizontal="left" vertical="center" indent="1"/>
    </xf>
    <xf numFmtId="0" fontId="8" fillId="0" borderId="0" xfId="5" applyFont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0" xfId="5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8" fillId="0" borderId="14" xfId="3" applyFont="1" applyBorder="1" applyAlignment="1">
      <alignment horizontal="left" vertical="center" indent="1"/>
    </xf>
    <xf numFmtId="0" fontId="12" fillId="0" borderId="15" xfId="0" applyFont="1" applyBorder="1" applyProtection="1">
      <protection hidden="1"/>
    </xf>
    <xf numFmtId="0" fontId="8" fillId="0" borderId="15" xfId="3" applyFont="1" applyBorder="1" applyAlignment="1">
      <alignment horizontal="left" vertical="center" indent="1"/>
    </xf>
    <xf numFmtId="0" fontId="6" fillId="0" borderId="15" xfId="3" applyFont="1" applyBorder="1" applyAlignment="1">
      <alignment vertical="center" wrapText="1"/>
    </xf>
    <xf numFmtId="0" fontId="6" fillId="0" borderId="16" xfId="3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 indent="1"/>
    </xf>
    <xf numFmtId="0" fontId="8" fillId="0" borderId="0" xfId="3" applyFont="1" applyAlignment="1">
      <alignment horizontal="left" vertical="center" indent="1"/>
    </xf>
    <xf numFmtId="0" fontId="6" fillId="0" borderId="0" xfId="3" applyFont="1" applyAlignment="1">
      <alignment vertical="center" wrapText="1"/>
    </xf>
    <xf numFmtId="0" fontId="6" fillId="0" borderId="19" xfId="3" applyFont="1" applyBorder="1" applyAlignment="1">
      <alignment vertical="center" wrapText="1"/>
    </xf>
    <xf numFmtId="0" fontId="12" fillId="0" borderId="0" xfId="0" applyFont="1" applyAlignment="1" applyProtection="1">
      <alignment vertical="center"/>
      <protection hidden="1"/>
    </xf>
    <xf numFmtId="0" fontId="8" fillId="0" borderId="15" xfId="3" applyFont="1" applyBorder="1" applyAlignment="1">
      <alignment vertical="center" wrapText="1"/>
    </xf>
    <xf numFmtId="0" fontId="8" fillId="0" borderId="12" xfId="3" applyFont="1" applyBorder="1" applyAlignment="1">
      <alignment horizontal="left" vertical="center" indent="1"/>
    </xf>
    <xf numFmtId="0" fontId="12" fillId="0" borderId="7" xfId="0" applyFont="1" applyBorder="1" applyProtection="1">
      <protection hidden="1"/>
    </xf>
    <xf numFmtId="0" fontId="8" fillId="0" borderId="7" xfId="3" applyFont="1" applyBorder="1" applyAlignment="1">
      <alignment horizontal="left" vertical="center" indent="1"/>
    </xf>
    <xf numFmtId="0" fontId="6" fillId="0" borderId="7" xfId="3" applyFont="1" applyBorder="1" applyAlignment="1">
      <alignment horizontal="left" vertical="center"/>
    </xf>
    <xf numFmtId="0" fontId="6" fillId="0" borderId="13" xfId="0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4" xfId="0" quotePrefix="1" applyNumberFormat="1" applyFont="1" applyBorder="1" applyAlignment="1">
      <alignment horizontal="left" vertical="center"/>
    </xf>
    <xf numFmtId="164" fontId="8" fillId="0" borderId="15" xfId="0" quotePrefix="1" applyNumberFormat="1" applyFont="1" applyBorder="1" applyAlignment="1">
      <alignment horizontal="left" vertical="center"/>
    </xf>
    <xf numFmtId="164" fontId="8" fillId="0" borderId="16" xfId="0" quotePrefix="1" applyNumberFormat="1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 wrapText="1"/>
    </xf>
    <xf numFmtId="0" fontId="12" fillId="0" borderId="18" xfId="0" quotePrefix="1" applyFont="1" applyBorder="1" applyAlignment="1" applyProtection="1">
      <alignment horizontal="center" vertical="center"/>
      <protection hidden="1"/>
    </xf>
    <xf numFmtId="0" fontId="12" fillId="0" borderId="1" xfId="0" quotePrefix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8" fillId="0" borderId="16" xfId="0" quotePrefix="1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 vertical="center"/>
    </xf>
    <xf numFmtId="0" fontId="12" fillId="0" borderId="19" xfId="0" applyFont="1" applyBorder="1" applyProtection="1">
      <protection hidden="1"/>
    </xf>
    <xf numFmtId="0" fontId="6" fillId="0" borderId="14" xfId="0" applyFont="1" applyBorder="1" applyAlignment="1" applyProtection="1">
      <alignment horizontal="left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Protection="1"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>
      <alignment horizontal="left" vertical="center"/>
    </xf>
    <xf numFmtId="0" fontId="8" fillId="0" borderId="8" xfId="5" applyFont="1" applyBorder="1" applyAlignment="1" applyProtection="1">
      <alignment horizontal="left" vertical="center"/>
      <protection hidden="1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7" xfId="5" applyFont="1" applyBorder="1" applyAlignment="1" applyProtection="1">
      <alignment horizontal="left" vertical="center"/>
      <protection hidden="1"/>
    </xf>
    <xf numFmtId="0" fontId="12" fillId="0" borderId="12" xfId="0" applyFont="1" applyBorder="1" applyProtection="1">
      <protection hidden="1"/>
    </xf>
    <xf numFmtId="0" fontId="8" fillId="0" borderId="1" xfId="5" applyFont="1" applyBorder="1" applyAlignment="1">
      <alignment horizontal="left" vertical="center"/>
    </xf>
    <xf numFmtId="0" fontId="8" fillId="0" borderId="1" xfId="5" applyFont="1" applyBorder="1" applyAlignment="1" applyProtection="1">
      <alignment horizontal="left" vertical="center"/>
      <protection hidden="1"/>
    </xf>
    <xf numFmtId="0" fontId="2" fillId="0" borderId="9" xfId="0" applyFont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0" fontId="12" fillId="0" borderId="8" xfId="0" applyFont="1" applyBorder="1" applyProtection="1">
      <protection hidden="1"/>
    </xf>
    <xf numFmtId="0" fontId="12" fillId="0" borderId="10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2" fontId="18" fillId="2" borderId="0" xfId="0" applyNumberFormat="1" applyFont="1" applyFill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68" fontId="8" fillId="0" borderId="1" xfId="0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1" fillId="0" borderId="0" xfId="4" applyProtection="1">
      <protection hidden="1"/>
    </xf>
    <xf numFmtId="0" fontId="1" fillId="2" borderId="1" xfId="4" applyFill="1" applyBorder="1" applyAlignment="1" applyProtection="1">
      <alignment horizontal="center" vertical="center"/>
      <protection hidden="1"/>
    </xf>
    <xf numFmtId="1" fontId="1" fillId="2" borderId="23" xfId="4" applyNumberFormat="1" applyFill="1" applyBorder="1" applyAlignment="1" applyProtection="1">
      <alignment horizontal="center"/>
      <protection hidden="1"/>
    </xf>
    <xf numFmtId="168" fontId="1" fillId="2" borderId="23" xfId="4" applyNumberFormat="1" applyFill="1" applyBorder="1" applyAlignment="1" applyProtection="1">
      <alignment horizontal="center"/>
      <protection hidden="1"/>
    </xf>
    <xf numFmtId="1" fontId="1" fillId="2" borderId="1" xfId="4" applyNumberFormat="1" applyFill="1" applyBorder="1" applyAlignment="1" applyProtection="1">
      <alignment horizontal="center"/>
      <protection hidden="1"/>
    </xf>
    <xf numFmtId="1" fontId="1" fillId="2" borderId="24" xfId="4" applyNumberFormat="1" applyFill="1" applyBorder="1" applyAlignment="1" applyProtection="1">
      <alignment horizontal="center"/>
      <protection hidden="1"/>
    </xf>
    <xf numFmtId="168" fontId="1" fillId="2" borderId="25" xfId="4" applyNumberFormat="1" applyFill="1" applyBorder="1" applyAlignment="1" applyProtection="1">
      <alignment horizontal="center"/>
      <protection hidden="1"/>
    </xf>
    <xf numFmtId="0" fontId="1" fillId="2" borderId="14" xfId="4" applyFill="1" applyBorder="1" applyAlignment="1" applyProtection="1">
      <alignment horizontal="center"/>
      <protection hidden="1"/>
    </xf>
    <xf numFmtId="168" fontId="1" fillId="2" borderId="1" xfId="4" applyNumberForma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2" fontId="8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/>
      <protection hidden="1"/>
    </xf>
    <xf numFmtId="0" fontId="14" fillId="0" borderId="16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14" fillId="0" borderId="9" xfId="0" quotePrefix="1" applyNumberFormat="1" applyFont="1" applyBorder="1" applyAlignment="1">
      <alignment horizontal="center" vertical="center"/>
    </xf>
    <xf numFmtId="164" fontId="14" fillId="0" borderId="8" xfId="0" quotePrefix="1" applyNumberFormat="1" applyFont="1" applyBorder="1" applyAlignment="1">
      <alignment horizontal="center" vertical="center"/>
    </xf>
    <xf numFmtId="164" fontId="14" fillId="0" borderId="10" xfId="0" quotePrefix="1" applyNumberFormat="1" applyFont="1" applyBorder="1" applyAlignment="1">
      <alignment horizontal="center" vertical="center"/>
    </xf>
    <xf numFmtId="164" fontId="14" fillId="0" borderId="12" xfId="0" quotePrefix="1" applyNumberFormat="1" applyFont="1" applyBorder="1" applyAlignment="1">
      <alignment horizontal="center" vertical="center"/>
    </xf>
    <xf numFmtId="164" fontId="14" fillId="0" borderId="7" xfId="0" quotePrefix="1" applyNumberFormat="1" applyFont="1" applyBorder="1" applyAlignment="1">
      <alignment horizontal="center" vertical="center"/>
    </xf>
    <xf numFmtId="164" fontId="14" fillId="0" borderId="13" xfId="0" quotePrefix="1" applyNumberFormat="1" applyFont="1" applyBorder="1" applyAlignment="1">
      <alignment horizontal="center" vertical="center"/>
    </xf>
    <xf numFmtId="0" fontId="8" fillId="0" borderId="14" xfId="5" applyFont="1" applyBorder="1" applyAlignment="1">
      <alignment horizontal="center" vertical="center"/>
    </xf>
    <xf numFmtId="0" fontId="8" fillId="0" borderId="15" xfId="5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8" fillId="0" borderId="7" xfId="5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left" vertical="center" wrapText="1"/>
      <protection hidden="1"/>
    </xf>
    <xf numFmtId="0" fontId="14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center" vertical="center" wrapText="1"/>
    </xf>
    <xf numFmtId="164" fontId="11" fillId="0" borderId="1" xfId="0" quotePrefix="1" applyNumberFormat="1" applyFont="1" applyBorder="1" applyAlignment="1">
      <alignment horizontal="center" vertical="center" wrapText="1"/>
    </xf>
    <xf numFmtId="164" fontId="11" fillId="0" borderId="14" xfId="0" quotePrefix="1" applyNumberFormat="1" applyFont="1" applyBorder="1" applyAlignment="1">
      <alignment horizontal="center" vertical="center" wrapText="1"/>
    </xf>
    <xf numFmtId="164" fontId="11" fillId="0" borderId="17" xfId="0" quotePrefix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 applyProtection="1">
      <alignment horizontal="center"/>
      <protection hidden="1"/>
    </xf>
    <xf numFmtId="2" fontId="8" fillId="0" borderId="14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" fontId="6" fillId="0" borderId="1" xfId="3" applyNumberFormat="1" applyFont="1" applyBorder="1" applyAlignment="1">
      <alignment horizontal="center" vertical="center"/>
    </xf>
    <xf numFmtId="10" fontId="16" fillId="0" borderId="0" xfId="0" applyNumberFormat="1" applyFont="1" applyAlignment="1">
      <alignment horizontal="center" vertical="center" wrapText="1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164" fontId="8" fillId="0" borderId="14" xfId="0" quotePrefix="1" applyNumberFormat="1" applyFont="1" applyBorder="1" applyAlignment="1">
      <alignment horizontal="center" vertical="center"/>
    </xf>
    <xf numFmtId="164" fontId="8" fillId="0" borderId="15" xfId="0" quotePrefix="1" applyNumberFormat="1" applyFont="1" applyBorder="1" applyAlignment="1">
      <alignment horizontal="center" vertical="center"/>
    </xf>
    <xf numFmtId="164" fontId="8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169545</xdr:rowOff>
    </xdr:from>
    <xdr:to>
      <xdr:col>13</xdr:col>
      <xdr:colOff>0</xdr:colOff>
      <xdr:row>54</xdr:row>
      <xdr:rowOff>169545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3342620"/>
          <a:ext cx="68980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48</xdr:row>
      <xdr:rowOff>26671</xdr:rowOff>
    </xdr:from>
    <xdr:to>
      <xdr:col>9</xdr:col>
      <xdr:colOff>506729</xdr:colOff>
      <xdr:row>51</xdr:row>
      <xdr:rowOff>1</xdr:rowOff>
    </xdr:to>
    <xdr:sp macro="" textlink="">
      <xdr:nvSpPr>
        <xdr:cNvPr id="29" name="15 CuadroTexto">
          <a:extLst>
            <a:ext uri="{FF2B5EF4-FFF2-40B4-BE49-F238E27FC236}">
              <a16:creationId xmlns:a16="http://schemas.microsoft.com/office/drawing/2014/main" id="{0F8971B4-6576-4DF8-8BC7-2B604618583D}"/>
            </a:ext>
          </a:extLst>
        </xdr:cNvPr>
        <xdr:cNvSpPr txBox="1"/>
      </xdr:nvSpPr>
      <xdr:spPr>
        <a:xfrm>
          <a:off x="3200400" y="1004697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9</xdr:col>
      <xdr:colOff>621029</xdr:colOff>
      <xdr:row>48</xdr:row>
      <xdr:rowOff>19050</xdr:rowOff>
    </xdr:from>
    <xdr:to>
      <xdr:col>12</xdr:col>
      <xdr:colOff>325754</xdr:colOff>
      <xdr:row>51</xdr:row>
      <xdr:rowOff>9525</xdr:rowOff>
    </xdr:to>
    <xdr:sp macro="" textlink="">
      <xdr:nvSpPr>
        <xdr:cNvPr id="30" name="15 CuadroTexto">
          <a:extLst>
            <a:ext uri="{FF2B5EF4-FFF2-40B4-BE49-F238E27FC236}">
              <a16:creationId xmlns:a16="http://schemas.microsoft.com/office/drawing/2014/main" id="{BCC06F9C-2ED7-4D0F-A7D7-40A77D29D9C9}"/>
            </a:ext>
          </a:extLst>
        </xdr:cNvPr>
        <xdr:cNvSpPr txBox="1"/>
      </xdr:nvSpPr>
      <xdr:spPr>
        <a:xfrm>
          <a:off x="5307329" y="10039350"/>
          <a:ext cx="199072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 editAs="oneCell">
    <xdr:from>
      <xdr:col>5</xdr:col>
      <xdr:colOff>285751</xdr:colOff>
      <xdr:row>0</xdr:row>
      <xdr:rowOff>38100</xdr:rowOff>
    </xdr:from>
    <xdr:to>
      <xdr:col>8</xdr:col>
      <xdr:colOff>407671</xdr:colOff>
      <xdr:row>4</xdr:row>
      <xdr:rowOff>114300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17C655A-8BB9-4D76-BE70-709894D8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6" y="38100"/>
          <a:ext cx="11334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T58"/>
  <sheetViews>
    <sheetView showGridLines="0" tabSelected="1" topLeftCell="A4" zoomScaleNormal="100" zoomScaleSheetLayoutView="100" workbookViewId="0">
      <selection activeCell="A56" sqref="A56:M56"/>
    </sheetView>
  </sheetViews>
  <sheetFormatPr baseColWidth="10" defaultColWidth="10.33203125" defaultRowHeight="13.8" x14ac:dyDescent="0.25"/>
  <cols>
    <col min="1" max="2" width="5.33203125" style="18" customWidth="1"/>
    <col min="3" max="3" width="9.5546875" style="18" customWidth="1"/>
    <col min="4" max="4" width="10.6640625" style="18" customWidth="1"/>
    <col min="5" max="5" width="12.109375" style="18" customWidth="1"/>
    <col min="6" max="6" width="4.44140625" style="18" customWidth="1"/>
    <col min="7" max="7" width="5.77734375" style="18" customWidth="1"/>
    <col min="8" max="8" width="5" style="18" customWidth="1"/>
    <col min="9" max="12" width="11.44140625" style="18" customWidth="1"/>
    <col min="13" max="13" width="6.6640625" style="18" customWidth="1"/>
    <col min="14" max="14" width="6.44140625" style="18" customWidth="1"/>
    <col min="15" max="15" width="10.21875" style="18" customWidth="1"/>
    <col min="16" max="17" width="10.6640625" style="18" customWidth="1"/>
    <col min="18" max="16384" width="10.33203125" style="18"/>
  </cols>
  <sheetData>
    <row r="1" spans="1:15" ht="12" customHeight="1" thickTop="1" x14ac:dyDescent="0.25">
      <c r="A1" s="13"/>
      <c r="B1" s="14"/>
      <c r="C1" s="14"/>
      <c r="D1" s="14"/>
      <c r="E1" s="14"/>
      <c r="F1" s="15"/>
      <c r="G1" s="15"/>
      <c r="H1" s="15"/>
      <c r="I1" s="15"/>
      <c r="J1" s="15"/>
      <c r="K1" s="15"/>
      <c r="L1" s="16"/>
      <c r="M1" s="17"/>
    </row>
    <row r="2" spans="1:15" ht="12" customHeight="1" x14ac:dyDescent="0.25">
      <c r="A2" s="19"/>
      <c r="B2" s="20"/>
      <c r="C2" s="20"/>
      <c r="D2" s="20"/>
      <c r="E2" s="20"/>
      <c r="F2" s="21"/>
      <c r="G2" s="21"/>
      <c r="H2" s="21"/>
      <c r="I2" s="21"/>
      <c r="J2" s="21"/>
      <c r="K2" s="21"/>
      <c r="M2" s="22"/>
    </row>
    <row r="3" spans="1:15" ht="12" customHeight="1" x14ac:dyDescent="0.25">
      <c r="A3" s="19"/>
      <c r="B3" s="20"/>
      <c r="C3" s="20"/>
      <c r="D3" s="20"/>
      <c r="E3" s="20"/>
      <c r="F3" s="21"/>
      <c r="G3" s="21"/>
      <c r="H3" s="21"/>
      <c r="I3" s="21"/>
      <c r="J3" s="21"/>
      <c r="K3" s="21"/>
      <c r="M3" s="22"/>
    </row>
    <row r="4" spans="1:15" ht="12" customHeight="1" x14ac:dyDescent="0.25">
      <c r="A4" s="19"/>
      <c r="B4" s="20"/>
      <c r="C4" s="20"/>
      <c r="D4" s="20"/>
      <c r="E4" s="20"/>
      <c r="F4" s="21"/>
      <c r="G4" s="21"/>
      <c r="H4" s="21"/>
      <c r="I4" s="21"/>
      <c r="J4" s="21"/>
      <c r="K4" s="21"/>
      <c r="M4" s="22"/>
    </row>
    <row r="5" spans="1:15" ht="12" customHeight="1" thickBot="1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5"/>
    </row>
    <row r="6" spans="1:15" ht="6" customHeight="1" thickTop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O6"/>
    </row>
    <row r="7" spans="1:15" ht="15.9" customHeight="1" x14ac:dyDescent="0.25">
      <c r="A7" s="179" t="s">
        <v>15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</row>
    <row r="8" spans="1:15" ht="15.9" customHeight="1" x14ac:dyDescent="0.25">
      <c r="A8" s="180" t="s">
        <v>21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</row>
    <row r="9" spans="1:15" ht="4.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5" ht="15.9" customHeight="1" x14ac:dyDescent="0.25">
      <c r="B10" s="30"/>
      <c r="C10" s="183" t="s">
        <v>81</v>
      </c>
      <c r="D10" s="183"/>
      <c r="E10" s="183" t="s">
        <v>82</v>
      </c>
      <c r="F10" s="183"/>
      <c r="G10" s="183"/>
      <c r="H10" s="183" t="s">
        <v>83</v>
      </c>
      <c r="I10" s="183"/>
      <c r="J10" s="183" t="s">
        <v>84</v>
      </c>
      <c r="K10" s="183"/>
      <c r="L10" s="30"/>
      <c r="M10" s="30"/>
      <c r="N10" s="29"/>
      <c r="O10" s="29"/>
    </row>
    <row r="11" spans="1:15" ht="15.9" customHeight="1" x14ac:dyDescent="0.25">
      <c r="A11" s="30"/>
      <c r="B11" s="30"/>
      <c r="C11" s="184" t="s">
        <v>85</v>
      </c>
      <c r="D11" s="184"/>
      <c r="E11" s="184" t="s">
        <v>86</v>
      </c>
      <c r="F11" s="184"/>
      <c r="G11" s="184"/>
      <c r="H11" s="185"/>
      <c r="I11" s="184"/>
      <c r="J11" s="184"/>
      <c r="K11" s="184"/>
      <c r="L11" s="30"/>
      <c r="M11" s="30"/>
      <c r="N11" s="29"/>
      <c r="O11" s="29"/>
    </row>
    <row r="12" spans="1:15" ht="8.4" customHeight="1" x14ac:dyDescent="0.25">
      <c r="A12" s="30"/>
      <c r="B12" s="28"/>
      <c r="C12" s="31"/>
      <c r="D12" s="31"/>
      <c r="E12" s="31"/>
      <c r="F12" s="31"/>
      <c r="G12" s="31"/>
      <c r="H12" s="31"/>
      <c r="I12" s="31"/>
      <c r="J12" s="31"/>
      <c r="K12" s="31"/>
      <c r="L12" s="32"/>
      <c r="M12" s="28"/>
      <c r="N12" s="29"/>
      <c r="O12" s="29"/>
    </row>
    <row r="13" spans="1:15" ht="13.5" customHeight="1" x14ac:dyDescent="0.25">
      <c r="A13" s="162" t="s">
        <v>61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4"/>
      <c r="N13" s="29"/>
      <c r="O13" s="29"/>
    </row>
    <row r="14" spans="1:15" ht="15" customHeight="1" x14ac:dyDescent="0.25">
      <c r="A14" s="168" t="s">
        <v>62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70"/>
      <c r="N14" s="29"/>
      <c r="O14" s="29"/>
    </row>
    <row r="15" spans="1:15" ht="5.25" customHeight="1" x14ac:dyDescent="0.25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34"/>
      <c r="N15" s="29"/>
      <c r="O15" s="29"/>
    </row>
    <row r="16" spans="1:15" ht="15.9" customHeight="1" x14ac:dyDescent="0.25">
      <c r="B16" s="141" t="s">
        <v>33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3"/>
      <c r="M16" s="37"/>
      <c r="O16" s="29"/>
    </row>
    <row r="17" spans="1:20" ht="19.5" customHeight="1" x14ac:dyDescent="0.25">
      <c r="B17" s="38" t="s">
        <v>39</v>
      </c>
      <c r="C17" s="39"/>
      <c r="D17" s="39"/>
      <c r="E17" s="39"/>
      <c r="F17" s="39"/>
      <c r="G17" s="39"/>
      <c r="H17" s="39"/>
      <c r="I17" s="40"/>
      <c r="J17" s="171" t="s">
        <v>71</v>
      </c>
      <c r="K17" s="171"/>
      <c r="L17" s="171"/>
      <c r="M17" s="42"/>
      <c r="N17" s="43"/>
      <c r="O17" s="29"/>
      <c r="R17" s="44"/>
      <c r="S17" s="44"/>
      <c r="T17" s="44"/>
    </row>
    <row r="18" spans="1:20" ht="19.5" customHeight="1" x14ac:dyDescent="0.25">
      <c r="B18" s="45" t="s">
        <v>40</v>
      </c>
      <c r="C18" s="46"/>
      <c r="D18" s="46"/>
      <c r="E18" s="46"/>
      <c r="F18" s="46"/>
      <c r="G18" s="46"/>
      <c r="H18" s="46"/>
      <c r="I18" s="47"/>
      <c r="J18" s="171" t="s">
        <v>72</v>
      </c>
      <c r="K18" s="171"/>
      <c r="L18" s="171"/>
      <c r="M18" s="42"/>
      <c r="N18" s="43"/>
      <c r="O18" s="29"/>
      <c r="P18" s="48"/>
      <c r="R18" s="44"/>
      <c r="S18" s="44"/>
      <c r="T18" s="44"/>
    </row>
    <row r="19" spans="1:20" ht="19.5" customHeight="1" x14ac:dyDescent="0.25">
      <c r="B19" s="38" t="s">
        <v>31</v>
      </c>
      <c r="C19" s="39"/>
      <c r="D19" s="39"/>
      <c r="E19" s="39"/>
      <c r="F19" s="39"/>
      <c r="G19" s="39"/>
      <c r="H19" s="39"/>
      <c r="I19" s="40"/>
      <c r="J19" s="171" t="s">
        <v>73</v>
      </c>
      <c r="K19" s="171"/>
      <c r="L19" s="171"/>
      <c r="M19" s="42"/>
      <c r="N19" s="43"/>
      <c r="O19" s="29"/>
      <c r="P19" s="48"/>
      <c r="R19" s="44"/>
      <c r="S19" s="44"/>
      <c r="T19" s="44"/>
    </row>
    <row r="20" spans="1:20" ht="19.5" customHeight="1" x14ac:dyDescent="0.25">
      <c r="B20" s="49" t="s">
        <v>41</v>
      </c>
      <c r="C20" s="50"/>
      <c r="D20" s="50"/>
      <c r="E20" s="50"/>
      <c r="F20" s="50"/>
      <c r="G20" s="50"/>
      <c r="H20" s="50"/>
      <c r="I20" s="51"/>
      <c r="J20" s="171" t="s">
        <v>74</v>
      </c>
      <c r="K20" s="171"/>
      <c r="L20" s="171"/>
      <c r="M20" s="42"/>
      <c r="N20" s="43"/>
      <c r="O20" s="29"/>
      <c r="P20" s="48"/>
      <c r="R20" s="44"/>
      <c r="S20" s="44"/>
      <c r="T20" s="44"/>
    </row>
    <row r="21" spans="1:20" ht="19.5" customHeight="1" x14ac:dyDescent="0.25">
      <c r="B21" s="38" t="s">
        <v>42</v>
      </c>
      <c r="C21" s="39"/>
      <c r="D21" s="39"/>
      <c r="E21" s="39"/>
      <c r="F21" s="39"/>
      <c r="G21" s="39"/>
      <c r="H21" s="39"/>
      <c r="I21" s="40"/>
      <c r="J21" s="165"/>
      <c r="K21" s="166"/>
      <c r="L21" s="167"/>
      <c r="M21" s="42"/>
      <c r="O21" s="29"/>
      <c r="P21" s="48"/>
      <c r="Q21" s="44"/>
      <c r="R21" s="43"/>
      <c r="S21" s="44"/>
      <c r="T21" s="44"/>
    </row>
    <row r="22" spans="1:20" ht="19.5" customHeight="1" x14ac:dyDescent="0.25">
      <c r="B22" s="49" t="s">
        <v>43</v>
      </c>
      <c r="C22" s="50"/>
      <c r="D22" s="50"/>
      <c r="E22" s="50"/>
      <c r="F22" s="50"/>
      <c r="G22" s="50"/>
      <c r="H22" s="50"/>
      <c r="I22" s="51"/>
      <c r="J22" s="132"/>
      <c r="K22" s="133"/>
      <c r="L22" s="134"/>
      <c r="M22" s="42"/>
      <c r="O22" s="29"/>
      <c r="P22" s="48"/>
      <c r="Q22" s="44"/>
      <c r="R22" s="43"/>
      <c r="S22" s="44"/>
      <c r="T22" s="44"/>
    </row>
    <row r="23" spans="1:20" ht="19.5" customHeight="1" x14ac:dyDescent="0.25">
      <c r="B23" s="38" t="s">
        <v>44</v>
      </c>
      <c r="C23" s="39"/>
      <c r="D23" s="39"/>
      <c r="E23" s="39"/>
      <c r="F23" s="39"/>
      <c r="G23" s="39"/>
      <c r="H23" s="39"/>
      <c r="I23" s="40"/>
      <c r="J23" s="135" t="s">
        <v>75</v>
      </c>
      <c r="K23" s="136"/>
      <c r="L23" s="137"/>
      <c r="M23" s="42"/>
      <c r="N23" s="43"/>
      <c r="O23" s="29"/>
      <c r="P23" s="48"/>
      <c r="Q23" s="44"/>
      <c r="R23" s="44"/>
      <c r="S23" s="44"/>
      <c r="T23" s="44"/>
    </row>
    <row r="24" spans="1:20" ht="19.5" customHeight="1" x14ac:dyDescent="0.25">
      <c r="B24" s="150" t="s">
        <v>64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2"/>
      <c r="M24" s="97"/>
      <c r="N24" s="43"/>
      <c r="O24" s="29"/>
      <c r="P24" s="48"/>
      <c r="Q24" s="44"/>
      <c r="R24" s="44"/>
      <c r="S24" s="44"/>
      <c r="T24" s="44"/>
    </row>
    <row r="25" spans="1:20" ht="23.25" customHeight="1" x14ac:dyDescent="0.25">
      <c r="B25" s="104"/>
      <c r="C25" s="99" t="s">
        <v>68</v>
      </c>
      <c r="D25" s="99"/>
      <c r="E25" s="99"/>
      <c r="F25" s="99"/>
      <c r="G25" s="99"/>
      <c r="H25" s="105"/>
      <c r="I25" s="99" t="s">
        <v>65</v>
      </c>
      <c r="J25" s="100"/>
      <c r="K25" s="100"/>
      <c r="L25" s="101"/>
      <c r="M25" s="97"/>
      <c r="N25" s="43"/>
      <c r="O25" s="29"/>
      <c r="P25" s="48"/>
      <c r="Q25" s="44"/>
      <c r="R25" s="44"/>
      <c r="S25" s="44"/>
      <c r="T25" s="44"/>
    </row>
    <row r="26" spans="1:20" ht="23.25" customHeight="1" x14ac:dyDescent="0.25">
      <c r="B26" s="104"/>
      <c r="C26" s="102" t="s">
        <v>67</v>
      </c>
      <c r="D26" s="102"/>
      <c r="E26" s="102"/>
      <c r="F26" s="102"/>
      <c r="G26" s="102"/>
      <c r="H26" s="105"/>
      <c r="I26" s="153" t="s">
        <v>66</v>
      </c>
      <c r="J26" s="153"/>
      <c r="K26" s="153"/>
      <c r="L26" s="154"/>
      <c r="M26" s="97"/>
      <c r="N26" s="43"/>
      <c r="O26" s="29"/>
      <c r="P26" s="48"/>
      <c r="Q26" s="44"/>
      <c r="R26" s="44"/>
      <c r="S26" s="44"/>
      <c r="T26" s="44"/>
    </row>
    <row r="27" spans="1:20" ht="6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98"/>
      <c r="L27" s="98"/>
      <c r="M27" s="53"/>
      <c r="N27" s="43"/>
      <c r="O27" s="29"/>
      <c r="P27" s="48"/>
      <c r="Q27" s="44"/>
      <c r="R27" s="44"/>
      <c r="S27" s="44"/>
      <c r="T27" s="44"/>
    </row>
    <row r="28" spans="1:20" ht="19.5" customHeight="1" x14ac:dyDescent="0.25">
      <c r="B28" s="141" t="s">
        <v>32</v>
      </c>
      <c r="C28" s="142"/>
      <c r="D28" s="142"/>
      <c r="E28" s="142"/>
      <c r="F28" s="142"/>
      <c r="G28" s="142"/>
      <c r="H28" s="142"/>
      <c r="I28" s="142"/>
      <c r="J28" s="142"/>
      <c r="K28" s="142"/>
      <c r="L28" s="143"/>
      <c r="M28" s="54"/>
      <c r="N28" s="43"/>
      <c r="O28" s="186" t="s">
        <v>20</v>
      </c>
      <c r="P28" s="186"/>
      <c r="Q28" s="186"/>
      <c r="R28" s="44"/>
      <c r="S28" s="44"/>
      <c r="T28" s="44"/>
    </row>
    <row r="29" spans="1:20" ht="19.5" customHeight="1" x14ac:dyDescent="0.25">
      <c r="B29" s="55" t="s">
        <v>57</v>
      </c>
      <c r="C29" s="56"/>
      <c r="D29" s="57"/>
      <c r="E29" s="57"/>
      <c r="F29" s="58"/>
      <c r="G29" s="58"/>
      <c r="H29" s="58"/>
      <c r="I29" s="59"/>
      <c r="J29" s="138"/>
      <c r="K29" s="139"/>
      <c r="L29" s="140"/>
      <c r="M29" s="54"/>
      <c r="N29" s="43"/>
      <c r="O29" s="111" t="s">
        <v>87</v>
      </c>
      <c r="P29" s="119" t="s">
        <v>88</v>
      </c>
      <c r="Q29" s="119" t="s">
        <v>89</v>
      </c>
      <c r="R29" s="44"/>
      <c r="S29" s="44"/>
      <c r="T29" s="44"/>
    </row>
    <row r="30" spans="1:20" ht="19.5" customHeight="1" x14ac:dyDescent="0.25">
      <c r="B30" s="60" t="s">
        <v>58</v>
      </c>
      <c r="D30" s="61"/>
      <c r="E30" s="61"/>
      <c r="F30" s="62"/>
      <c r="G30" s="62"/>
      <c r="H30" s="62"/>
      <c r="I30" s="63"/>
      <c r="J30" s="172" t="s">
        <v>80</v>
      </c>
      <c r="K30" s="173"/>
      <c r="L30" s="174"/>
      <c r="M30" s="54"/>
      <c r="N30" s="43"/>
      <c r="O30" s="128" t="e">
        <f>+LN(P30)</f>
        <v>#NUM!</v>
      </c>
      <c r="P30" s="120">
        <f>+G38</f>
        <v>0</v>
      </c>
      <c r="Q30" s="121" t="e">
        <f>+G45</f>
        <v>#DIV/0!</v>
      </c>
      <c r="R30" s="44"/>
      <c r="S30" s="44"/>
      <c r="T30" s="44"/>
    </row>
    <row r="31" spans="1:20" ht="19.5" customHeight="1" x14ac:dyDescent="0.25">
      <c r="B31" s="55" t="s">
        <v>59</v>
      </c>
      <c r="C31" s="56"/>
      <c r="D31" s="57"/>
      <c r="E31" s="57"/>
      <c r="F31" s="58"/>
      <c r="G31" s="58"/>
      <c r="H31" s="58"/>
      <c r="I31" s="59"/>
      <c r="J31" s="138"/>
      <c r="K31" s="139"/>
      <c r="L31" s="140"/>
      <c r="M31" s="64"/>
      <c r="N31" s="43"/>
      <c r="O31" s="128" t="e">
        <f t="shared" ref="O31:O32" si="0">+LN(P31)</f>
        <v>#NUM!</v>
      </c>
      <c r="P31" s="122">
        <f>+I38</f>
        <v>0</v>
      </c>
      <c r="Q31" s="121" t="e">
        <f>+I45</f>
        <v>#DIV/0!</v>
      </c>
      <c r="R31" s="44"/>
      <c r="S31" s="44"/>
      <c r="T31" s="44"/>
    </row>
    <row r="32" spans="1:20" ht="19.5" customHeight="1" x14ac:dyDescent="0.25">
      <c r="B32" s="55" t="s">
        <v>63</v>
      </c>
      <c r="C32" s="56"/>
      <c r="D32" s="65"/>
      <c r="E32" s="65"/>
      <c r="F32" s="58"/>
      <c r="G32" s="58"/>
      <c r="H32" s="58"/>
      <c r="I32" s="59"/>
      <c r="J32" s="138"/>
      <c r="K32" s="139"/>
      <c r="L32" s="140"/>
      <c r="N32" s="43"/>
      <c r="O32" s="128" t="e">
        <f t="shared" si="0"/>
        <v>#NUM!</v>
      </c>
      <c r="P32" s="123">
        <f>+J38</f>
        <v>0</v>
      </c>
      <c r="Q32" s="124" t="e">
        <f>+J45</f>
        <v>#DIV/0!</v>
      </c>
    </row>
    <row r="33" spans="1:19" ht="19.5" customHeight="1" x14ac:dyDescent="0.25">
      <c r="B33" s="66" t="s">
        <v>60</v>
      </c>
      <c r="C33" s="67"/>
      <c r="D33" s="68"/>
      <c r="E33" s="68"/>
      <c r="F33" s="69"/>
      <c r="G33" s="69"/>
      <c r="H33" s="69"/>
      <c r="I33" s="70"/>
      <c r="J33" s="138"/>
      <c r="K33" s="139"/>
      <c r="L33" s="140"/>
      <c r="N33" s="43"/>
      <c r="O33" s="112"/>
      <c r="P33" s="125" t="s">
        <v>90</v>
      </c>
      <c r="Q33" s="126" t="e">
        <f>AVERAGE(Q30:Q32)</f>
        <v>#DIV/0!</v>
      </c>
    </row>
    <row r="34" spans="1:19" ht="6" customHeight="1" x14ac:dyDescent="0.25">
      <c r="A34" s="71"/>
      <c r="L34" s="161"/>
      <c r="M34" s="161"/>
      <c r="N34" s="43"/>
      <c r="O34" s="127"/>
    </row>
    <row r="35" spans="1:19" ht="15" customHeight="1" x14ac:dyDescent="0.25">
      <c r="B35" s="144" t="s">
        <v>45</v>
      </c>
      <c r="C35" s="145"/>
      <c r="D35" s="145"/>
      <c r="E35" s="145"/>
      <c r="F35" s="146"/>
      <c r="G35" s="158" t="s">
        <v>20</v>
      </c>
      <c r="H35" s="158"/>
      <c r="I35" s="158"/>
      <c r="J35" s="159"/>
      <c r="K35" s="160" t="s">
        <v>19</v>
      </c>
      <c r="L35" s="158"/>
      <c r="M35" s="72"/>
      <c r="N35" s="43"/>
    </row>
    <row r="36" spans="1:19" ht="15" customHeight="1" x14ac:dyDescent="0.25">
      <c r="B36" s="147"/>
      <c r="C36" s="148"/>
      <c r="D36" s="148"/>
      <c r="E36" s="148"/>
      <c r="F36" s="149"/>
      <c r="G36" s="155">
        <v>1</v>
      </c>
      <c r="H36" s="156"/>
      <c r="I36" s="73">
        <v>2</v>
      </c>
      <c r="J36" s="74">
        <v>3</v>
      </c>
      <c r="K36" s="75">
        <v>1</v>
      </c>
      <c r="L36" s="73">
        <v>2</v>
      </c>
      <c r="M36" s="72"/>
      <c r="N36" s="43"/>
      <c r="O36" s="194" t="s">
        <v>91</v>
      </c>
      <c r="P36" s="195"/>
      <c r="Q36" s="196"/>
      <c r="R36" s="112"/>
      <c r="S36" s="112"/>
    </row>
    <row r="37" spans="1:19" ht="24" customHeight="1" x14ac:dyDescent="0.25">
      <c r="B37" s="76" t="s">
        <v>46</v>
      </c>
      <c r="C37" s="77" t="s">
        <v>18</v>
      </c>
      <c r="D37" s="78"/>
      <c r="E37" s="78"/>
      <c r="F37" s="79"/>
      <c r="G37" s="138"/>
      <c r="H37" s="140"/>
      <c r="I37" s="76"/>
      <c r="J37" s="41"/>
      <c r="K37" s="80"/>
      <c r="L37" s="76"/>
      <c r="M37" s="81"/>
      <c r="N37" s="29"/>
      <c r="O37" s="86" t="e">
        <f>RSQ(Q30:Q32,O30:O32)</f>
        <v>#DIV/0!</v>
      </c>
      <c r="P37" s="181" t="e">
        <f>IF(O37&lt;=0.95,"NO CONFORME","CONFORME")</f>
        <v>#DIV/0!</v>
      </c>
      <c r="Q37" s="182"/>
      <c r="R37" s="112"/>
      <c r="S37" s="112"/>
    </row>
    <row r="38" spans="1:19" ht="24" customHeight="1" x14ac:dyDescent="0.25">
      <c r="B38" s="76" t="s">
        <v>47</v>
      </c>
      <c r="C38" s="77" t="s">
        <v>17</v>
      </c>
      <c r="D38" s="78"/>
      <c r="E38" s="78"/>
      <c r="F38" s="79"/>
      <c r="G38" s="138"/>
      <c r="H38" s="140"/>
      <c r="I38" s="76"/>
      <c r="J38" s="41"/>
      <c r="K38" s="82" t="s">
        <v>22</v>
      </c>
      <c r="L38" s="83" t="s">
        <v>22</v>
      </c>
      <c r="M38" s="84"/>
      <c r="N38" s="29"/>
      <c r="R38" s="112"/>
      <c r="S38" s="112"/>
    </row>
    <row r="39" spans="1:19" ht="24" customHeight="1" x14ac:dyDescent="0.25">
      <c r="B39" s="76" t="s">
        <v>48</v>
      </c>
      <c r="C39" s="77" t="s">
        <v>34</v>
      </c>
      <c r="D39" s="78"/>
      <c r="E39" s="78"/>
      <c r="F39" s="85" t="s">
        <v>29</v>
      </c>
      <c r="G39" s="138"/>
      <c r="H39" s="140"/>
      <c r="I39" s="76"/>
      <c r="J39" s="41"/>
      <c r="K39" s="80"/>
      <c r="L39" s="76"/>
      <c r="M39" s="84"/>
      <c r="N39" s="29"/>
      <c r="O39" s="186" t="s">
        <v>19</v>
      </c>
      <c r="P39" s="186"/>
      <c r="Q39" s="186"/>
      <c r="R39" s="112"/>
      <c r="S39" s="112"/>
    </row>
    <row r="40" spans="1:19" ht="24" customHeight="1" x14ac:dyDescent="0.25">
      <c r="B40" s="76" t="s">
        <v>49</v>
      </c>
      <c r="C40" s="77" t="s">
        <v>35</v>
      </c>
      <c r="D40" s="78"/>
      <c r="E40" s="78"/>
      <c r="F40" s="85" t="s">
        <v>29</v>
      </c>
      <c r="G40" s="138"/>
      <c r="H40" s="140"/>
      <c r="I40" s="76"/>
      <c r="J40" s="41"/>
      <c r="K40" s="80"/>
      <c r="L40" s="76"/>
      <c r="M40" s="84"/>
      <c r="N40" s="29"/>
      <c r="O40" s="76" t="str">
        <f>+IF(P40&gt;=6,"Cumple","No cumple")</f>
        <v>No cumple</v>
      </c>
      <c r="P40" s="86">
        <f>+K39-K42</f>
        <v>0</v>
      </c>
      <c r="Q40" s="76" t="str">
        <f>+IF(R40&gt;=6,"Cumple","No cumple")</f>
        <v>No cumple</v>
      </c>
      <c r="R40" s="86">
        <f>+L39-L42</f>
        <v>0</v>
      </c>
      <c r="S40" s="112"/>
    </row>
    <row r="41" spans="1:19" ht="24" customHeight="1" x14ac:dyDescent="0.25">
      <c r="B41" s="76" t="s">
        <v>12</v>
      </c>
      <c r="C41" s="77" t="s">
        <v>36</v>
      </c>
      <c r="D41" s="78"/>
      <c r="E41" s="78"/>
      <c r="F41" s="85" t="s">
        <v>29</v>
      </c>
      <c r="G41" s="138"/>
      <c r="H41" s="140"/>
      <c r="I41" s="76"/>
      <c r="J41" s="41"/>
      <c r="K41" s="80"/>
      <c r="L41" s="76"/>
      <c r="M41" s="84"/>
      <c r="N41" s="29"/>
      <c r="O41" s="118"/>
      <c r="P41" s="118"/>
      <c r="Q41" s="113"/>
      <c r="R41" s="112"/>
      <c r="S41" s="112"/>
    </row>
    <row r="42" spans="1:19" ht="24" customHeight="1" x14ac:dyDescent="0.25">
      <c r="B42" s="76" t="s">
        <v>13</v>
      </c>
      <c r="C42" s="77" t="s">
        <v>37</v>
      </c>
      <c r="D42" s="78"/>
      <c r="E42" s="78"/>
      <c r="F42" s="85" t="s">
        <v>29</v>
      </c>
      <c r="G42" s="138"/>
      <c r="H42" s="140"/>
      <c r="I42" s="76"/>
      <c r="J42" s="41"/>
      <c r="K42" s="80"/>
      <c r="L42" s="76"/>
      <c r="M42" s="84"/>
      <c r="N42" s="29"/>
      <c r="O42" s="187" t="s">
        <v>92</v>
      </c>
      <c r="P42" s="188"/>
      <c r="Q42" s="188"/>
      <c r="R42" s="188"/>
      <c r="S42" s="189"/>
    </row>
    <row r="43" spans="1:19" ht="24" customHeight="1" x14ac:dyDescent="0.25">
      <c r="B43" s="76" t="s">
        <v>50</v>
      </c>
      <c r="C43" s="77" t="s">
        <v>53</v>
      </c>
      <c r="D43" s="78"/>
      <c r="E43" s="78"/>
      <c r="F43" s="85" t="s">
        <v>29</v>
      </c>
      <c r="G43" s="181">
        <f>+G39-G41</f>
        <v>0</v>
      </c>
      <c r="H43" s="182"/>
      <c r="I43" s="86">
        <f>+I39-I41</f>
        <v>0</v>
      </c>
      <c r="J43" s="87">
        <f>+J39-J41</f>
        <v>0</v>
      </c>
      <c r="K43" s="88">
        <f>+K39-K41</f>
        <v>0</v>
      </c>
      <c r="L43" s="86">
        <f>+L39-L41</f>
        <v>0</v>
      </c>
      <c r="M43" s="84"/>
      <c r="N43" s="29"/>
      <c r="O43" s="190" t="s">
        <v>93</v>
      </c>
      <c r="P43" s="191"/>
      <c r="Q43" s="190" t="s">
        <v>94</v>
      </c>
      <c r="R43" s="191"/>
      <c r="S43" s="192" t="s">
        <v>95</v>
      </c>
    </row>
    <row r="44" spans="1:19" ht="24" customHeight="1" x14ac:dyDescent="0.25">
      <c r="B44" s="76" t="s">
        <v>51</v>
      </c>
      <c r="C44" s="77" t="s">
        <v>54</v>
      </c>
      <c r="D44" s="78"/>
      <c r="E44" s="78"/>
      <c r="F44" s="85" t="s">
        <v>29</v>
      </c>
      <c r="G44" s="138">
        <f>+G41-G42</f>
        <v>0</v>
      </c>
      <c r="H44" s="140"/>
      <c r="I44" s="76">
        <f>+I41-I42</f>
        <v>0</v>
      </c>
      <c r="J44" s="41">
        <f>+J41-J42</f>
        <v>0</v>
      </c>
      <c r="K44" s="80">
        <f>+K41-K42</f>
        <v>0</v>
      </c>
      <c r="L44" s="76">
        <f>+L41-L42</f>
        <v>0</v>
      </c>
      <c r="M44" s="84"/>
      <c r="N44" s="29"/>
      <c r="O44" s="114" t="s">
        <v>96</v>
      </c>
      <c r="P44" s="114" t="s">
        <v>97</v>
      </c>
      <c r="Q44" s="114" t="s">
        <v>96</v>
      </c>
      <c r="R44" s="114" t="s">
        <v>97</v>
      </c>
      <c r="S44" s="193"/>
    </row>
    <row r="45" spans="1:19" ht="24" customHeight="1" x14ac:dyDescent="0.25">
      <c r="B45" s="76" t="s">
        <v>52</v>
      </c>
      <c r="C45" s="77" t="s">
        <v>55</v>
      </c>
      <c r="D45" s="78"/>
      <c r="E45" s="78"/>
      <c r="F45" s="85" t="s">
        <v>38</v>
      </c>
      <c r="G45" s="138" t="e">
        <f>+G43/G44*100</f>
        <v>#DIV/0!</v>
      </c>
      <c r="H45" s="140"/>
      <c r="I45" s="86" t="e">
        <f>+I43/I44*100</f>
        <v>#DIV/0!</v>
      </c>
      <c r="J45" s="87" t="e">
        <f>+J43/J44*100</f>
        <v>#DIV/0!</v>
      </c>
      <c r="K45" s="88" t="e">
        <f>+K43/K44*100</f>
        <v>#DIV/0!</v>
      </c>
      <c r="L45" s="86" t="e">
        <f>+L43/L44*100</f>
        <v>#DIV/0!</v>
      </c>
      <c r="M45" s="84"/>
      <c r="N45" s="29"/>
      <c r="O45" s="115" t="e">
        <f>+STDEV(K45,L45)</f>
        <v>#DIV/0!</v>
      </c>
      <c r="P45" s="116" t="e">
        <f>ROUNDDOWN(O45*2.8,0)</f>
        <v>#DIV/0!</v>
      </c>
      <c r="Q45" s="115">
        <v>0.5</v>
      </c>
      <c r="R45" s="116">
        <v>1</v>
      </c>
      <c r="S45" s="117" t="e">
        <f>IF(P45&lt;R45, "cumple", "no cumple")</f>
        <v>#DIV/0!</v>
      </c>
    </row>
    <row r="46" spans="1:19" ht="6" customHeight="1" x14ac:dyDescent="0.25">
      <c r="A46" s="84"/>
      <c r="J46" s="84"/>
      <c r="K46" s="84"/>
      <c r="L46" s="84"/>
      <c r="M46" s="84"/>
      <c r="N46" s="29"/>
      <c r="O46" s="112"/>
      <c r="P46" s="112"/>
      <c r="Q46" s="112"/>
      <c r="R46" s="112"/>
      <c r="S46" s="112"/>
    </row>
    <row r="47" spans="1:19" ht="15" customHeight="1" x14ac:dyDescent="0.25">
      <c r="A47" s="89"/>
      <c r="B47" s="129" t="s">
        <v>23</v>
      </c>
      <c r="C47" s="131"/>
      <c r="D47" s="129" t="s">
        <v>24</v>
      </c>
      <c r="E47" s="130"/>
      <c r="F47" s="131"/>
      <c r="G47" s="106" t="s">
        <v>56</v>
      </c>
      <c r="H47" s="107"/>
      <c r="I47" s="108"/>
      <c r="J47" s="108"/>
      <c r="K47" s="108"/>
      <c r="L47" s="109"/>
      <c r="N47" s="29"/>
    </row>
    <row r="48" spans="1:19" ht="21" customHeight="1" x14ac:dyDescent="0.25">
      <c r="B48" s="90" t="s">
        <v>30</v>
      </c>
      <c r="C48" s="91"/>
      <c r="D48" s="175" t="s">
        <v>76</v>
      </c>
      <c r="E48" s="176"/>
      <c r="F48" s="177"/>
      <c r="G48" s="103"/>
      <c r="H48" s="67"/>
      <c r="I48" s="67"/>
      <c r="J48" s="67"/>
      <c r="K48" s="67"/>
      <c r="L48" s="110"/>
      <c r="N48" s="29"/>
    </row>
    <row r="49" spans="1:15" ht="21" customHeight="1" x14ac:dyDescent="0.25">
      <c r="B49" s="90" t="s">
        <v>25</v>
      </c>
      <c r="C49" s="91"/>
      <c r="D49" s="175" t="s">
        <v>77</v>
      </c>
      <c r="E49" s="176"/>
      <c r="F49" s="177"/>
      <c r="G49" s="92"/>
      <c r="N49" s="29"/>
    </row>
    <row r="50" spans="1:15" ht="21" customHeight="1" x14ac:dyDescent="0.25">
      <c r="B50" s="90" t="s">
        <v>26</v>
      </c>
      <c r="C50" s="91"/>
      <c r="D50" s="175" t="s">
        <v>78</v>
      </c>
      <c r="E50" s="176"/>
      <c r="F50" s="177"/>
      <c r="N50" s="29"/>
    </row>
    <row r="51" spans="1:15" ht="21" customHeight="1" x14ac:dyDescent="0.25">
      <c r="B51" s="90" t="s">
        <v>27</v>
      </c>
      <c r="C51" s="91"/>
      <c r="D51" s="175" t="s">
        <v>79</v>
      </c>
      <c r="E51" s="176"/>
      <c r="F51" s="177"/>
      <c r="N51" s="29"/>
    </row>
    <row r="52" spans="1:15" ht="8.25" customHeight="1" x14ac:dyDescent="0.25">
      <c r="B52" s="93"/>
      <c r="C52" s="94"/>
      <c r="D52" s="178"/>
      <c r="E52" s="178"/>
      <c r="F52" s="178"/>
      <c r="N52" s="29"/>
      <c r="O52" s="29"/>
    </row>
    <row r="53" spans="1:15" x14ac:dyDescent="0.25">
      <c r="A53" s="95" t="s">
        <v>16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29"/>
      <c r="O53" s="29"/>
    </row>
    <row r="54" spans="1:15" x14ac:dyDescent="0.25">
      <c r="A54" s="95" t="s">
        <v>69</v>
      </c>
      <c r="B54" s="84"/>
      <c r="C54" s="84"/>
      <c r="D54" s="84"/>
      <c r="E54" s="84"/>
      <c r="F54" s="84"/>
      <c r="G54" s="96" t="s">
        <v>28</v>
      </c>
      <c r="H54" s="96"/>
      <c r="I54" s="84"/>
      <c r="J54" s="84"/>
      <c r="K54" s="84"/>
      <c r="L54" s="84"/>
      <c r="M54" s="84"/>
      <c r="N54" s="29"/>
      <c r="O54" s="29"/>
    </row>
    <row r="55" spans="1:15" ht="5.25" customHeight="1" x14ac:dyDescent="0.25"/>
    <row r="56" spans="1:15" ht="27" customHeight="1" x14ac:dyDescent="0.25">
      <c r="A56" s="157" t="s">
        <v>70</v>
      </c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</row>
    <row r="57" spans="1:15" ht="15.9" customHeight="1" x14ac:dyDescent="0.25"/>
    <row r="58" spans="1:15" ht="15.9" customHeight="1" x14ac:dyDescent="0.25"/>
  </sheetData>
  <protectedRanges>
    <protectedRange sqref="C12:E12 C15:E15" name="Rango3_3_1_1_1_1_1_1_1_1"/>
    <protectedRange sqref="C10:E11" name="Rango3_3_1_1_1_1_1_2_1"/>
  </protectedRanges>
  <mergeCells count="58">
    <mergeCell ref="P37:Q37"/>
    <mergeCell ref="O28:Q28"/>
    <mergeCell ref="O42:S42"/>
    <mergeCell ref="O43:P43"/>
    <mergeCell ref="Q43:R43"/>
    <mergeCell ref="S43:S44"/>
    <mergeCell ref="O39:Q39"/>
    <mergeCell ref="O36:Q36"/>
    <mergeCell ref="G42:H42"/>
    <mergeCell ref="G43:H43"/>
    <mergeCell ref="G44:H44"/>
    <mergeCell ref="G45:H45"/>
    <mergeCell ref="C10:D10"/>
    <mergeCell ref="E10:G10"/>
    <mergeCell ref="H10:I10"/>
    <mergeCell ref="C11:D11"/>
    <mergeCell ref="E11:G11"/>
    <mergeCell ref="H11:I11"/>
    <mergeCell ref="A7:M7"/>
    <mergeCell ref="A8:M8"/>
    <mergeCell ref="J17:L17"/>
    <mergeCell ref="J18:L18"/>
    <mergeCell ref="J19:L19"/>
    <mergeCell ref="B16:L16"/>
    <mergeCell ref="J10:K10"/>
    <mergeCell ref="J11:K11"/>
    <mergeCell ref="A56:M56"/>
    <mergeCell ref="G35:J35"/>
    <mergeCell ref="K35:L35"/>
    <mergeCell ref="L34:M34"/>
    <mergeCell ref="A13:M13"/>
    <mergeCell ref="J21:L21"/>
    <mergeCell ref="A14:M14"/>
    <mergeCell ref="J20:L20"/>
    <mergeCell ref="J29:L29"/>
    <mergeCell ref="J30:L30"/>
    <mergeCell ref="D48:F48"/>
    <mergeCell ref="D49:F49"/>
    <mergeCell ref="D50:F50"/>
    <mergeCell ref="D51:F51"/>
    <mergeCell ref="D52:F52"/>
    <mergeCell ref="B47:C47"/>
    <mergeCell ref="D47:F47"/>
    <mergeCell ref="J22:L22"/>
    <mergeCell ref="J23:L23"/>
    <mergeCell ref="J31:L31"/>
    <mergeCell ref="J32:L32"/>
    <mergeCell ref="J33:L33"/>
    <mergeCell ref="B28:L28"/>
    <mergeCell ref="B35:F36"/>
    <mergeCell ref="B24:L24"/>
    <mergeCell ref="I26:L26"/>
    <mergeCell ref="G36:H36"/>
    <mergeCell ref="G37:H37"/>
    <mergeCell ref="G38:H38"/>
    <mergeCell ref="G39:H39"/>
    <mergeCell ref="G40:H40"/>
    <mergeCell ref="G41:H41"/>
  </mergeCells>
  <printOptions horizontalCentered="1" verticalCentered="1"/>
  <pageMargins left="0" right="0.59055118110236227" top="0.78740157480314965" bottom="0" header="0" footer="0"/>
  <pageSetup paperSize="9" scale="8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97" t="s">
        <v>9</v>
      </c>
      <c r="B2" s="197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LL-LP</vt:lpstr>
      <vt:lpstr>Hoja1</vt:lpstr>
      <vt:lpstr>'LL-LP'!Área_de_impresión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2025-11-11T17:31:17Z</cp:lastPrinted>
  <dcterms:created xsi:type="dcterms:W3CDTF">1999-11-07T15:11:55Z</dcterms:created>
  <dcterms:modified xsi:type="dcterms:W3CDTF">2026-02-24T13:31:13Z</dcterms:modified>
</cp:coreProperties>
</file>