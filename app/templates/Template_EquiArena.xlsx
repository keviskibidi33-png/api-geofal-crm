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G:\Mi unidad\3.0 Formatos e informes\2025\2.0 Formatos de ensayo\2.1 Suelo\"/>
    </mc:Choice>
  </mc:AlternateContent>
  <xr:revisionPtr revIDLastSave="0" documentId="13_ncr:1_{0AA0BD9F-75DB-4BDA-B0F1-02A247988E0F}" xr6:coauthVersionLast="47" xr6:coauthVersionMax="47" xr10:uidLastSave="{00000000-0000-0000-0000-000000000000}"/>
  <bookViews>
    <workbookView xWindow="-120" yWindow="-120" windowWidth="29040" windowHeight="15840" tabRatio="723" xr2:uid="{00000000-000D-0000-FFFF-FFFF00000000}"/>
  </bookViews>
  <sheets>
    <sheet name="Equivalente" sheetId="91" r:id="rId1"/>
    <sheet name="Hoja1" sheetId="49" state="hidden" r:id="rId2"/>
  </sheets>
  <definedNames>
    <definedName name="_xlnm.Print_Area" localSheetId="0">Equivalente!$A$1:$J$53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5" i="91" l="1"/>
  <c r="I35" i="91"/>
  <c r="H35" i="91"/>
  <c r="H36" i="91" s="1"/>
  <c r="H27" i="91"/>
  <c r="H30" i="91" s="1"/>
  <c r="H31" i="91" s="1"/>
  <c r="J26" i="91" l="1"/>
  <c r="J27" i="91" s="1"/>
  <c r="J30" i="91" s="1"/>
  <c r="J31" i="91" s="1"/>
  <c r="I26" i="91"/>
  <c r="I27" i="91" s="1"/>
  <c r="I30" i="91" s="1"/>
  <c r="I31" i="91" s="1"/>
  <c r="B3" i="49" l="1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A5" i="49" l="1"/>
  <c r="B5" i="49" l="1"/>
  <c r="A7" i="49" s="1"/>
  <c r="C5" i="49" l="1"/>
  <c r="B7" i="49"/>
  <c r="C7" i="4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H36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EL PROMEDIO DEBE SER AL ENTERO SUPERIOR, NUNCA AL MENOR</t>
        </r>
      </text>
    </comment>
  </commentList>
</comments>
</file>

<file path=xl/sharedStrings.xml><?xml version="1.0" encoding="utf-8"?>
<sst xmlns="http://schemas.openxmlformats.org/spreadsheetml/2006/main" count="85" uniqueCount="73">
  <si>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</si>
  <si>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</si>
  <si>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</si>
  <si>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</si>
  <si>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</si>
  <si>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</si>
  <si>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</si>
  <si>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</si>
  <si>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</si>
  <si>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</si>
  <si>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</si>
  <si>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</si>
  <si>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</si>
  <si>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</si>
  <si>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</si>
  <si>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LABORATORIO DE ENSAYO DE MATERIALES</t>
  </si>
  <si>
    <t>Página 1 de 1</t>
  </si>
  <si>
    <t>%</t>
  </si>
  <si>
    <t>min</t>
  </si>
  <si>
    <t>WEB: www.geofal.com.pe   E-MAIL: laboratorio@geofal.com.pe / geofal.sac@gmail.com                                                                                                                         Av. Marañon 763, Los Olivos-Lima / Teléfono  01 522-1851</t>
  </si>
  <si>
    <t>Observaciones:</t>
  </si>
  <si>
    <t>FORMATO N° F-LEM-P-SU-21.01</t>
  </si>
  <si>
    <t>Equipo utilizado</t>
  </si>
  <si>
    <t>Código</t>
  </si>
  <si>
    <t>Balanza 0.1 g</t>
  </si>
  <si>
    <t>Horno 110ºC</t>
  </si>
  <si>
    <t>Lectura cronómetro de entrada a saturación</t>
  </si>
  <si>
    <t>Lectura cronómetro: salidad de saturación</t>
  </si>
  <si>
    <t>Lectura cronómetro: entrada a decantación</t>
  </si>
  <si>
    <t>Lectura cronómetro: salida de decantación</t>
  </si>
  <si>
    <t>Prohibido resproducir sin  autorización</t>
  </si>
  <si>
    <t>h:min</t>
  </si>
  <si>
    <t>in</t>
  </si>
  <si>
    <t>Lectura de la arcilla</t>
  </si>
  <si>
    <t>Lectura de la arena</t>
  </si>
  <si>
    <t>Equivalente de Arena (promedio)</t>
  </si>
  <si>
    <t>Tiempo decantación (Td), Td = 20min ± 15 seg</t>
  </si>
  <si>
    <t>TIPO DE MUESTRA</t>
  </si>
  <si>
    <t>SUELO</t>
  </si>
  <si>
    <t>AGREGADO FINO</t>
  </si>
  <si>
    <t>MÉTODO DE AGITACIÓN</t>
  </si>
  <si>
    <t>MANUAL</t>
  </si>
  <si>
    <t>MECÁNICO</t>
  </si>
  <si>
    <t>PREPARACIÓN DE LA MUESTRA DE PRUEBA</t>
  </si>
  <si>
    <t>PROCEDIMIENTO A</t>
  </si>
  <si>
    <t>PROCEDIMIENTO B</t>
  </si>
  <si>
    <t>ITEM</t>
  </si>
  <si>
    <t>seg</t>
  </si>
  <si>
    <t>Tiempo de saturación (Ts), Ts = 10min ± 1 min</t>
  </si>
  <si>
    <t>Tiempo de agitación (Ta), Ta = 45seg ± 1 seg</t>
  </si>
  <si>
    <t>A</t>
  </si>
  <si>
    <t>B</t>
  </si>
  <si>
    <t>C</t>
  </si>
  <si>
    <t>D</t>
  </si>
  <si>
    <t>G</t>
  </si>
  <si>
    <t>H</t>
  </si>
  <si>
    <t>I</t>
  </si>
  <si>
    <t>J</t>
  </si>
  <si>
    <t>K</t>
  </si>
  <si>
    <t>Equivalente arena (I/H*100)</t>
  </si>
  <si>
    <t>Prueba Nº 1</t>
  </si>
  <si>
    <t>Prueba Nº 2</t>
  </si>
  <si>
    <t>Prueba Nº 3</t>
  </si>
  <si>
    <t>Descripción</t>
  </si>
  <si>
    <t>Standard Test Method for Sand Equivalent Value of Soils and Fine Aggregate</t>
  </si>
  <si>
    <t>Tamiz No. 4</t>
  </si>
  <si>
    <t>TEMPERATURA DE LA SOLUCIÓN
°C</t>
  </si>
  <si>
    <t>ASTM  D2419-22</t>
  </si>
  <si>
    <t>Agitador de EA</t>
  </si>
  <si>
    <t>Equivalente de arena</t>
  </si>
  <si>
    <t>Termómetro</t>
  </si>
  <si>
    <t>Versión: 05 (15-04-2025)</t>
  </si>
  <si>
    <t>MASA DE LAS 4 MEDIDAS (g)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</si>
</sst>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\ &quot;/ CO-06&quot;"/>
    <numFmt numFmtId="166" formatCode="&quot;FORMATO F-LEM-P-SU-11.01&quot;"/>
    <numFmt numFmtId="167" formatCode="#,##0.000"/>
    <numFmt numFmtId="168" formatCode="h:mm:ss;@"/>
  </numFmts>
  <fonts count="21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9"/>
      <color theme="0"/>
      <name val="Arial"/>
      <family val="2"/>
    </font>
    <font>
      <b/>
      <sz val="9"/>
      <color theme="0"/>
      <name val="Arial"/>
      <family val="2"/>
    </font>
    <font>
      <b/>
      <sz val="11"/>
      <name val="Arial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auto="1"/>
      </right>
      <top/>
      <bottom/>
      <diagonal/>
    </border>
  </borders>
  <cellStyleXfs count="6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1" fillId="0" borderId="0"/>
    <xf numFmtId="0" fontId="1" fillId="0" borderId="0"/>
  </cellStyleXfs>
  <cellXfs count="144">
    <xf numFmtId="0" fontId="0" fillId="0" borderId="0" xfId="0"/>
    <xf numFmtId="0" fontId="0" fillId="0" borderId="1" xfId="0" applyBorder="1"/>
    <xf numFmtId="2" fontId="4" fillId="3" borderId="1" xfId="0" applyNumberFormat="1" applyFont="1" applyFill="1" applyBorder="1" applyAlignment="1">
      <alignment vertical="center" wrapText="1"/>
    </xf>
    <xf numFmtId="10" fontId="5" fillId="3" borderId="1" xfId="0" applyNumberFormat="1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6" fillId="0" borderId="1" xfId="0" applyFont="1" applyBorder="1" applyAlignment="1">
      <alignment horizontal="center"/>
    </xf>
    <xf numFmtId="0" fontId="9" fillId="0" borderId="1" xfId="0" applyFont="1" applyBorder="1"/>
    <xf numFmtId="16" fontId="9" fillId="0" borderId="1" xfId="0" applyNumberFormat="1" applyFont="1" applyBorder="1"/>
    <xf numFmtId="2" fontId="9" fillId="0" borderId="1" xfId="0" applyNumberFormat="1" applyFont="1" applyBorder="1"/>
    <xf numFmtId="2" fontId="10" fillId="3" borderId="1" xfId="0" applyNumberFormat="1" applyFont="1" applyFill="1" applyBorder="1" applyAlignment="1">
      <alignment vertical="center" wrapText="1"/>
    </xf>
    <xf numFmtId="165" fontId="6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2" fillId="3" borderId="0" xfId="0" applyFont="1" applyFill="1" applyAlignment="1">
      <alignment vertical="center"/>
    </xf>
    <xf numFmtId="0" fontId="7" fillId="3" borderId="0" xfId="0" applyFont="1" applyFill="1" applyAlignment="1">
      <alignment vertical="center"/>
    </xf>
    <xf numFmtId="0" fontId="2" fillId="3" borderId="3" xfId="0" applyFont="1" applyFill="1" applyBorder="1" applyAlignment="1">
      <alignment vertical="center"/>
    </xf>
    <xf numFmtId="0" fontId="2" fillId="3" borderId="4" xfId="0" applyFont="1" applyFill="1" applyBorder="1" applyAlignment="1">
      <alignment vertical="center"/>
    </xf>
    <xf numFmtId="0" fontId="7" fillId="3" borderId="4" xfId="0" applyFont="1" applyFill="1" applyBorder="1" applyAlignment="1">
      <alignment vertical="center"/>
    </xf>
    <xf numFmtId="0" fontId="2" fillId="3" borderId="6" xfId="0" applyFont="1" applyFill="1" applyBorder="1" applyAlignment="1">
      <alignment vertical="center"/>
    </xf>
    <xf numFmtId="0" fontId="11" fillId="2" borderId="0" xfId="3" applyFont="1" applyFill="1" applyAlignment="1">
      <alignment vertical="center"/>
    </xf>
    <xf numFmtId="0" fontId="6" fillId="2" borderId="0" xfId="0" applyFont="1" applyFill="1" applyAlignment="1">
      <alignment vertical="center"/>
    </xf>
    <xf numFmtId="17" fontId="6" fillId="2" borderId="0" xfId="0" applyNumberFormat="1" applyFont="1" applyFill="1" applyAlignment="1">
      <alignment vertical="center"/>
    </xf>
    <xf numFmtId="0" fontId="2" fillId="0" borderId="0" xfId="0" applyFont="1" applyProtection="1">
      <protection hidden="1"/>
    </xf>
    <xf numFmtId="0" fontId="2" fillId="0" borderId="0" xfId="0" applyFont="1" applyAlignment="1" applyProtection="1">
      <alignment vertical="center"/>
      <protection hidden="1"/>
    </xf>
    <xf numFmtId="0" fontId="1" fillId="0" borderId="0" xfId="0" applyFont="1" applyAlignment="1" applyProtection="1">
      <alignment horizontal="left" indent="1"/>
      <protection hidden="1"/>
    </xf>
    <xf numFmtId="0" fontId="6" fillId="0" borderId="0" xfId="0" applyFont="1" applyAlignment="1" applyProtection="1">
      <alignment horizontal="left" vertical="center" indent="2"/>
      <protection hidden="1"/>
    </xf>
    <xf numFmtId="0" fontId="11" fillId="2" borderId="11" xfId="3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left" vertical="center" wrapText="1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left" vertical="center" wrapText="1"/>
    </xf>
    <xf numFmtId="0" fontId="11" fillId="2" borderId="0" xfId="0" applyFont="1" applyFill="1" applyAlignment="1">
      <alignment vertical="center"/>
    </xf>
    <xf numFmtId="0" fontId="6" fillId="3" borderId="0" xfId="0" applyFont="1" applyFill="1" applyAlignment="1" applyProtection="1">
      <alignment horizontal="left" indent="1"/>
      <protection hidden="1"/>
    </xf>
    <xf numFmtId="0" fontId="6" fillId="3" borderId="0" xfId="0" applyFont="1" applyFill="1" applyAlignment="1" applyProtection="1">
      <alignment vertical="center"/>
      <protection hidden="1"/>
    </xf>
    <xf numFmtId="0" fontId="8" fillId="0" borderId="0" xfId="0" applyFont="1" applyProtection="1">
      <protection hidden="1"/>
    </xf>
    <xf numFmtId="0" fontId="16" fillId="0" borderId="0" xfId="0" applyFont="1" applyAlignment="1" applyProtection="1">
      <alignment vertical="center"/>
      <protection hidden="1"/>
    </xf>
    <xf numFmtId="0" fontId="8" fillId="2" borderId="0" xfId="4" applyFont="1" applyFill="1" applyAlignment="1">
      <alignment vertical="center"/>
    </xf>
    <xf numFmtId="0" fontId="8" fillId="2" borderId="19" xfId="4" applyFont="1" applyFill="1" applyBorder="1" applyAlignment="1">
      <alignment vertical="center"/>
    </xf>
    <xf numFmtId="3" fontId="8" fillId="3" borderId="0" xfId="0" applyNumberFormat="1" applyFont="1" applyFill="1" applyAlignment="1">
      <alignment horizontal="center" vertical="center" wrapText="1"/>
    </xf>
    <xf numFmtId="2" fontId="13" fillId="3" borderId="0" xfId="0" applyNumberFormat="1" applyFont="1" applyFill="1" applyAlignment="1">
      <alignment horizontal="center" vertical="center"/>
    </xf>
    <xf numFmtId="167" fontId="16" fillId="3" borderId="0" xfId="0" applyNumberFormat="1" applyFont="1" applyFill="1" applyAlignment="1">
      <alignment vertical="center"/>
    </xf>
    <xf numFmtId="2" fontId="16" fillId="3" borderId="0" xfId="0" applyNumberFormat="1" applyFont="1" applyFill="1" applyAlignment="1">
      <alignment vertical="center"/>
    </xf>
    <xf numFmtId="1" fontId="16" fillId="3" borderId="0" xfId="0" applyNumberFormat="1" applyFont="1" applyFill="1" applyAlignment="1">
      <alignment vertical="center"/>
    </xf>
    <xf numFmtId="0" fontId="6" fillId="0" borderId="0" xfId="0" applyFont="1" applyAlignment="1" applyProtection="1">
      <alignment horizontal="left" indent="1"/>
      <protection hidden="1"/>
    </xf>
    <xf numFmtId="0" fontId="8" fillId="2" borderId="18" xfId="3" applyFont="1" applyFill="1" applyBorder="1" applyAlignment="1">
      <alignment vertical="center"/>
    </xf>
    <xf numFmtId="0" fontId="8" fillId="2" borderId="20" xfId="3" applyFont="1" applyFill="1" applyBorder="1" applyAlignment="1">
      <alignment horizontal="right" vertical="center"/>
    </xf>
    <xf numFmtId="0" fontId="8" fillId="0" borderId="19" xfId="0" applyFont="1" applyBorder="1" applyProtection="1">
      <protection hidden="1"/>
    </xf>
    <xf numFmtId="0" fontId="16" fillId="0" borderId="19" xfId="0" applyFont="1" applyBorder="1" applyAlignment="1" applyProtection="1">
      <alignment vertical="center"/>
      <protection hidden="1"/>
    </xf>
    <xf numFmtId="20" fontId="17" fillId="2" borderId="1" xfId="0" quotePrefix="1" applyNumberFormat="1" applyFont="1" applyFill="1" applyBorder="1" applyAlignment="1">
      <alignment horizontal="center"/>
    </xf>
    <xf numFmtId="20" fontId="17" fillId="2" borderId="1" xfId="0" quotePrefix="1" applyNumberFormat="1" applyFont="1" applyFill="1" applyBorder="1" applyAlignment="1" applyProtection="1">
      <alignment horizontal="center"/>
      <protection hidden="1"/>
    </xf>
    <xf numFmtId="20" fontId="17" fillId="3" borderId="1" xfId="4" applyNumberFormat="1" applyFont="1" applyFill="1" applyBorder="1" applyAlignment="1">
      <alignment horizontal="center" vertical="center"/>
    </xf>
    <xf numFmtId="0" fontId="17" fillId="3" borderId="1" xfId="4" applyFont="1" applyFill="1" applyBorder="1" applyAlignment="1">
      <alignment horizontal="center" vertical="center"/>
    </xf>
    <xf numFmtId="164" fontId="17" fillId="3" borderId="1" xfId="0" quotePrefix="1" applyNumberFormat="1" applyFont="1" applyFill="1" applyBorder="1" applyAlignment="1">
      <alignment horizontal="center" vertical="center"/>
    </xf>
    <xf numFmtId="0" fontId="11" fillId="2" borderId="12" xfId="3" applyFont="1" applyFill="1" applyBorder="1" applyAlignment="1">
      <alignment vertical="center"/>
    </xf>
    <xf numFmtId="17" fontId="6" fillId="2" borderId="13" xfId="0" applyNumberFormat="1" applyFont="1" applyFill="1" applyBorder="1" applyAlignment="1">
      <alignment vertical="center"/>
    </xf>
    <xf numFmtId="14" fontId="6" fillId="0" borderId="15" xfId="0" applyNumberFormat="1" applyFont="1" applyBorder="1" applyAlignment="1" applyProtection="1">
      <alignment horizontal="left" vertical="center"/>
      <protection hidden="1"/>
    </xf>
    <xf numFmtId="0" fontId="12" fillId="0" borderId="10" xfId="0" applyFont="1" applyBorder="1" applyProtection="1">
      <protection hidden="1"/>
    </xf>
    <xf numFmtId="0" fontId="12" fillId="0" borderId="0" xfId="0" applyFont="1" applyProtection="1">
      <protection hidden="1"/>
    </xf>
    <xf numFmtId="0" fontId="12" fillId="0" borderId="19" xfId="0" applyFont="1" applyBorder="1" applyProtection="1">
      <protection hidden="1"/>
    </xf>
    <xf numFmtId="0" fontId="15" fillId="2" borderId="0" xfId="0" applyFont="1" applyFill="1" applyAlignment="1">
      <alignment horizontal="center" vertical="center"/>
    </xf>
    <xf numFmtId="0" fontId="11" fillId="2" borderId="0" xfId="3" applyFont="1" applyFill="1" applyAlignment="1">
      <alignment horizontal="center" vertical="center"/>
    </xf>
    <xf numFmtId="0" fontId="8" fillId="0" borderId="18" xfId="3" applyFont="1" applyBorder="1" applyAlignment="1">
      <alignment vertical="center"/>
    </xf>
    <xf numFmtId="0" fontId="16" fillId="0" borderId="18" xfId="0" applyFont="1" applyBorder="1" applyAlignment="1">
      <alignment vertical="center"/>
    </xf>
    <xf numFmtId="168" fontId="1" fillId="0" borderId="22" xfId="0" applyNumberFormat="1" applyFont="1" applyBorder="1" applyAlignment="1" applyProtection="1">
      <alignment vertical="center"/>
      <protection locked="0"/>
    </xf>
    <xf numFmtId="168" fontId="1" fillId="0" borderId="23" xfId="0" applyNumberFormat="1" applyFont="1" applyBorder="1" applyAlignment="1" applyProtection="1">
      <alignment vertical="center"/>
      <protection locked="0"/>
    </xf>
    <xf numFmtId="168" fontId="1" fillId="0" borderId="21" xfId="0" applyNumberFormat="1" applyFont="1" applyBorder="1" applyAlignment="1" applyProtection="1">
      <alignment vertical="center"/>
      <protection locked="0"/>
    </xf>
    <xf numFmtId="1" fontId="17" fillId="0" borderId="1" xfId="0" quotePrefix="1" applyNumberFormat="1" applyFont="1" applyBorder="1" applyAlignment="1" applyProtection="1">
      <alignment horizontal="center" vertical="center"/>
      <protection locked="0"/>
    </xf>
    <xf numFmtId="0" fontId="12" fillId="0" borderId="5" xfId="0" applyFont="1" applyBorder="1" applyProtection="1">
      <protection hidden="1"/>
    </xf>
    <xf numFmtId="0" fontId="12" fillId="0" borderId="7" xfId="0" applyFont="1" applyBorder="1" applyProtection="1">
      <protection hidden="1"/>
    </xf>
    <xf numFmtId="0" fontId="19" fillId="2" borderId="8" xfId="0" applyFont="1" applyFill="1" applyBorder="1" applyAlignment="1">
      <alignment vertical="center"/>
    </xf>
    <xf numFmtId="0" fontId="19" fillId="2" borderId="2" xfId="0" applyFont="1" applyFill="1" applyBorder="1" applyAlignment="1">
      <alignment vertical="center"/>
    </xf>
    <xf numFmtId="0" fontId="19" fillId="2" borderId="9" xfId="0" applyFont="1" applyFill="1" applyBorder="1" applyAlignment="1">
      <alignment vertical="center"/>
    </xf>
    <xf numFmtId="0" fontId="19" fillId="2" borderId="0" xfId="0" applyFont="1" applyFill="1" applyAlignment="1">
      <alignment vertical="center"/>
    </xf>
    <xf numFmtId="0" fontId="1" fillId="0" borderId="0" xfId="0" applyFont="1" applyProtection="1">
      <protection hidden="1"/>
    </xf>
    <xf numFmtId="0" fontId="12" fillId="0" borderId="14" xfId="0" applyFont="1" applyBorder="1" applyProtection="1">
      <protection hidden="1"/>
    </xf>
    <xf numFmtId="0" fontId="12" fillId="0" borderId="16" xfId="0" applyFont="1" applyBorder="1" applyProtection="1">
      <protection hidden="1"/>
    </xf>
    <xf numFmtId="0" fontId="12" fillId="0" borderId="17" xfId="0" applyFont="1" applyBorder="1" applyProtection="1">
      <protection hidden="1"/>
    </xf>
    <xf numFmtId="0" fontId="16" fillId="0" borderId="0" xfId="0" applyFont="1" applyAlignment="1">
      <alignment horizontal="center" vertical="center" wrapText="1"/>
    </xf>
    <xf numFmtId="0" fontId="2" fillId="0" borderId="0" xfId="0" applyFont="1" applyAlignment="1" applyProtection="1">
      <alignment horizontal="center" vertical="center"/>
      <protection hidden="1"/>
    </xf>
    <xf numFmtId="10" fontId="1" fillId="3" borderId="0" xfId="0" applyNumberFormat="1" applyFont="1" applyFill="1" applyAlignment="1">
      <alignment horizontal="center" vertical="center" wrapText="1"/>
    </xf>
    <xf numFmtId="0" fontId="6" fillId="0" borderId="14" xfId="0" applyFont="1" applyBorder="1" applyProtection="1">
      <protection hidden="1"/>
    </xf>
    <xf numFmtId="0" fontId="6" fillId="0" borderId="0" xfId="0" applyFont="1" applyProtection="1">
      <protection hidden="1"/>
    </xf>
    <xf numFmtId="0" fontId="6" fillId="2" borderId="0" xfId="3" applyFont="1" applyFill="1" applyAlignment="1">
      <alignment vertical="center"/>
    </xf>
    <xf numFmtId="0" fontId="6" fillId="2" borderId="1" xfId="3" applyFont="1" applyFill="1" applyBorder="1" applyAlignment="1">
      <alignment vertical="center"/>
    </xf>
    <xf numFmtId="0" fontId="6" fillId="0" borderId="1" xfId="0" applyFont="1" applyBorder="1" applyProtection="1">
      <protection hidden="1"/>
    </xf>
    <xf numFmtId="0" fontId="6" fillId="0" borderId="21" xfId="0" applyFont="1" applyBorder="1" applyProtection="1">
      <protection hidden="1"/>
    </xf>
    <xf numFmtId="0" fontId="11" fillId="2" borderId="11" xfId="3" applyFont="1" applyFill="1" applyBorder="1" applyAlignment="1">
      <alignment vertical="center"/>
    </xf>
    <xf numFmtId="0" fontId="8" fillId="2" borderId="20" xfId="3" applyFont="1" applyFill="1" applyBorder="1" applyAlignment="1">
      <alignment vertical="center"/>
    </xf>
    <xf numFmtId="0" fontId="8" fillId="0" borderId="1" xfId="0" applyFont="1" applyBorder="1" applyAlignment="1" applyProtection="1">
      <alignment horizontal="center"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6" fillId="0" borderId="0" xfId="0" applyFont="1" applyAlignment="1" applyProtection="1">
      <alignment vertical="center"/>
      <protection hidden="1"/>
    </xf>
    <xf numFmtId="0" fontId="1" fillId="0" borderId="0" xfId="0" applyFont="1" applyAlignment="1" applyProtection="1">
      <alignment vertical="center"/>
      <protection hidden="1"/>
    </xf>
    <xf numFmtId="0" fontId="6" fillId="0" borderId="14" xfId="0" applyFont="1" applyBorder="1" applyAlignment="1" applyProtection="1">
      <alignment vertical="center"/>
      <protection hidden="1"/>
    </xf>
    <xf numFmtId="0" fontId="6" fillId="0" borderId="1" xfId="0" applyFont="1" applyBorder="1" applyAlignment="1" applyProtection="1">
      <alignment vertical="center"/>
      <protection hidden="1"/>
    </xf>
    <xf numFmtId="0" fontId="16" fillId="0" borderId="1" xfId="0" applyFont="1" applyBorder="1" applyAlignment="1" applyProtection="1">
      <alignment horizontal="center" vertical="center"/>
      <protection hidden="1"/>
    </xf>
    <xf numFmtId="0" fontId="16" fillId="2" borderId="18" xfId="3" applyFont="1" applyFill="1" applyBorder="1" applyAlignment="1">
      <alignment vertical="center"/>
    </xf>
    <xf numFmtId="0" fontId="16" fillId="2" borderId="19" xfId="3" applyFont="1" applyFill="1" applyBorder="1" applyAlignment="1">
      <alignment vertical="center"/>
    </xf>
    <xf numFmtId="0" fontId="12" fillId="0" borderId="11" xfId="0" applyFont="1" applyBorder="1" applyProtection="1">
      <protection hidden="1"/>
    </xf>
    <xf numFmtId="0" fontId="12" fillId="0" borderId="13" xfId="0" applyFont="1" applyBorder="1" applyProtection="1">
      <protection hidden="1"/>
    </xf>
    <xf numFmtId="0" fontId="2" fillId="0" borderId="12" xfId="0" applyFont="1" applyBorder="1" applyAlignment="1" applyProtection="1">
      <alignment vertical="center"/>
      <protection hidden="1"/>
    </xf>
    <xf numFmtId="0" fontId="6" fillId="2" borderId="1" xfId="0" applyFont="1" applyFill="1" applyBorder="1" applyAlignment="1">
      <alignment horizontal="center" vertical="center"/>
    </xf>
    <xf numFmtId="0" fontId="6" fillId="0" borderId="1" xfId="0" applyFont="1" applyBorder="1" applyAlignment="1" applyProtection="1">
      <alignment horizontal="center" vertical="center"/>
      <protection hidden="1"/>
    </xf>
    <xf numFmtId="0" fontId="6" fillId="2" borderId="1" xfId="0" applyFont="1" applyFill="1" applyBorder="1" applyAlignment="1">
      <alignment vertical="center"/>
    </xf>
    <xf numFmtId="0" fontId="6" fillId="0" borderId="11" xfId="0" applyFont="1" applyBorder="1" applyProtection="1">
      <protection hidden="1"/>
    </xf>
    <xf numFmtId="0" fontId="16" fillId="2" borderId="18" xfId="3" applyFont="1" applyFill="1" applyBorder="1" applyAlignment="1">
      <alignment horizontal="center" vertical="center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8" xfId="0" applyFont="1" applyBorder="1" applyProtection="1">
      <protection hidden="1"/>
    </xf>
    <xf numFmtId="0" fontId="12" fillId="0" borderId="20" xfId="0" applyFont="1" applyBorder="1" applyProtection="1">
      <protection hidden="1"/>
    </xf>
    <xf numFmtId="0" fontId="16" fillId="0" borderId="18" xfId="0" applyFont="1" applyBorder="1" applyAlignment="1" applyProtection="1">
      <alignment horizontal="center" vertical="center"/>
      <protection hidden="1"/>
    </xf>
    <xf numFmtId="0" fontId="16" fillId="0" borderId="20" xfId="0" applyFont="1" applyBorder="1" applyAlignment="1" applyProtection="1">
      <alignment horizontal="center" vertical="center"/>
      <protection hidden="1"/>
    </xf>
    <xf numFmtId="0" fontId="6" fillId="2" borderId="11" xfId="3" applyFont="1" applyFill="1" applyBorder="1" applyAlignment="1">
      <alignment vertical="center"/>
    </xf>
    <xf numFmtId="0" fontId="15" fillId="2" borderId="0" xfId="0" applyFont="1" applyFill="1" applyAlignment="1">
      <alignment horizontal="center" vertical="center"/>
    </xf>
    <xf numFmtId="166" fontId="15" fillId="0" borderId="0" xfId="0" applyNumberFormat="1" applyFont="1" applyAlignment="1" applyProtection="1">
      <alignment horizontal="center"/>
      <protection hidden="1"/>
    </xf>
    <xf numFmtId="1" fontId="18" fillId="0" borderId="18" xfId="0" applyNumberFormat="1" applyFont="1" applyBorder="1" applyAlignment="1">
      <alignment horizontal="center" vertical="center"/>
    </xf>
    <xf numFmtId="1" fontId="18" fillId="0" borderId="19" xfId="0" applyNumberFormat="1" applyFont="1" applyBorder="1" applyAlignment="1">
      <alignment horizontal="center" vertical="center"/>
    </xf>
    <xf numFmtId="1" fontId="18" fillId="0" borderId="20" xfId="0" applyNumberFormat="1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6" fillId="0" borderId="1" xfId="0" applyFont="1" applyBorder="1" applyAlignment="1" applyProtection="1">
      <alignment horizontal="center" vertical="center"/>
      <protection hidden="1"/>
    </xf>
    <xf numFmtId="0" fontId="6" fillId="2" borderId="1" xfId="0" applyFont="1" applyFill="1" applyBorder="1" applyAlignment="1">
      <alignment horizontal="center" vertical="center"/>
    </xf>
    <xf numFmtId="0" fontId="6" fillId="0" borderId="22" xfId="0" applyFont="1" applyBorder="1" applyAlignment="1" applyProtection="1">
      <alignment horizontal="center" vertical="center" wrapText="1"/>
      <protection hidden="1"/>
    </xf>
    <xf numFmtId="0" fontId="6" fillId="0" borderId="21" xfId="0" applyFont="1" applyBorder="1" applyAlignment="1" applyProtection="1">
      <alignment horizontal="center" vertical="center" wrapText="1"/>
      <protection hidden="1"/>
    </xf>
    <xf numFmtId="0" fontId="6" fillId="2" borderId="22" xfId="3" applyFont="1" applyFill="1" applyBorder="1" applyAlignment="1">
      <alignment horizontal="center" vertical="center"/>
    </xf>
    <xf numFmtId="0" fontId="6" fillId="2" borderId="21" xfId="3" applyFont="1" applyFill="1" applyBorder="1" applyAlignment="1">
      <alignment horizontal="center" vertical="center"/>
    </xf>
    <xf numFmtId="0" fontId="8" fillId="0" borderId="0" xfId="1" applyFont="1" applyBorder="1" applyAlignment="1" applyProtection="1">
      <alignment horizontal="center" vertical="center" wrapText="1"/>
    </xf>
    <xf numFmtId="0" fontId="19" fillId="0" borderId="16" xfId="0" applyFont="1" applyBorder="1" applyAlignment="1" applyProtection="1">
      <alignment horizontal="center" vertical="center" wrapText="1"/>
      <protection hidden="1"/>
    </xf>
    <xf numFmtId="0" fontId="19" fillId="0" borderId="10" xfId="0" applyFont="1" applyBorder="1" applyAlignment="1" applyProtection="1">
      <alignment horizontal="center" vertical="center" wrapText="1"/>
      <protection hidden="1"/>
    </xf>
    <xf numFmtId="0" fontId="19" fillId="0" borderId="17" xfId="0" applyFont="1" applyBorder="1" applyAlignment="1" applyProtection="1">
      <alignment horizontal="center" vertical="center" wrapText="1"/>
      <protection hidden="1"/>
    </xf>
    <xf numFmtId="0" fontId="6" fillId="0" borderId="22" xfId="3" applyFont="1" applyBorder="1" applyAlignment="1">
      <alignment horizontal="center" vertical="center" wrapText="1"/>
    </xf>
    <xf numFmtId="0" fontId="6" fillId="0" borderId="23" xfId="3" applyFont="1" applyBorder="1" applyAlignment="1">
      <alignment horizontal="center" vertical="center" wrapText="1"/>
    </xf>
    <xf numFmtId="0" fontId="6" fillId="0" borderId="21" xfId="3" applyFont="1" applyBorder="1" applyAlignment="1">
      <alignment horizontal="center" vertical="center" wrapText="1"/>
    </xf>
    <xf numFmtId="0" fontId="14" fillId="2" borderId="22" xfId="3" applyFont="1" applyFill="1" applyBorder="1" applyAlignment="1">
      <alignment horizontal="center" vertical="center" wrapText="1"/>
    </xf>
    <xf numFmtId="0" fontId="14" fillId="2" borderId="23" xfId="3" applyFont="1" applyFill="1" applyBorder="1" applyAlignment="1">
      <alignment horizontal="center" vertical="center" wrapText="1"/>
    </xf>
    <xf numFmtId="0" fontId="14" fillId="2" borderId="21" xfId="3" applyFont="1" applyFill="1" applyBorder="1" applyAlignment="1">
      <alignment horizontal="center" vertical="center" wrapText="1"/>
    </xf>
    <xf numFmtId="0" fontId="8" fillId="0" borderId="18" xfId="0" applyFont="1" applyBorder="1" applyAlignment="1" applyProtection="1">
      <alignment horizontal="center" vertical="center"/>
      <protection hidden="1"/>
    </xf>
    <xf numFmtId="0" fontId="8" fillId="0" borderId="19" xfId="0" applyFont="1" applyBorder="1" applyAlignment="1" applyProtection="1">
      <alignment horizontal="center" vertical="center"/>
      <protection hidden="1"/>
    </xf>
    <xf numFmtId="0" fontId="8" fillId="0" borderId="20" xfId="0" applyFont="1" applyBorder="1" applyAlignment="1" applyProtection="1">
      <alignment horizontal="center" vertical="center"/>
      <protection hidden="1"/>
    </xf>
    <xf numFmtId="0" fontId="8" fillId="0" borderId="18" xfId="0" applyFont="1" applyBorder="1" applyAlignment="1" applyProtection="1">
      <alignment horizontal="center" vertical="center" wrapText="1"/>
      <protection hidden="1"/>
    </xf>
    <xf numFmtId="0" fontId="8" fillId="0" borderId="19" xfId="0" applyFont="1" applyBorder="1" applyAlignment="1" applyProtection="1">
      <alignment horizontal="center" vertical="center" wrapText="1"/>
      <protection hidden="1"/>
    </xf>
    <xf numFmtId="0" fontId="8" fillId="0" borderId="20" xfId="0" applyFont="1" applyBorder="1" applyAlignment="1" applyProtection="1">
      <alignment horizontal="center" vertical="center" wrapText="1"/>
      <protection hidden="1"/>
    </xf>
    <xf numFmtId="0" fontId="16" fillId="0" borderId="18" xfId="0" applyFont="1" applyBorder="1" applyAlignment="1" applyProtection="1">
      <alignment horizontal="center" vertical="center"/>
      <protection hidden="1"/>
    </xf>
    <xf numFmtId="0" fontId="16" fillId="0" borderId="20" xfId="0" applyFont="1" applyBorder="1" applyAlignment="1" applyProtection="1">
      <alignment horizontal="center" vertical="center"/>
      <protection hidden="1"/>
    </xf>
    <xf numFmtId="0" fontId="16" fillId="0" borderId="19" xfId="0" applyFont="1" applyBorder="1" applyAlignment="1" applyProtection="1">
      <alignment horizontal="center" vertical="center"/>
      <protection hidden="1"/>
    </xf>
    <xf numFmtId="0" fontId="2" fillId="0" borderId="1" xfId="0" applyFont="1" applyBorder="1" applyAlignment="1">
      <alignment horizontal="center"/>
    </xf>
  </cellXfs>
  <cellStyles count="6">
    <cellStyle name="Hipervínculo" xfId="1" builtinId="8"/>
    <cellStyle name="Normal" xfId="0" builtinId="0"/>
    <cellStyle name="Normal 2" xfId="4" xr:uid="{00000000-0005-0000-0000-000002000000}"/>
    <cellStyle name="Normal 2 2" xfId="5" xr:uid="{00000000-0005-0000-0000-000003000000}"/>
    <cellStyle name="Normal 4" xfId="2" xr:uid="{00000000-0005-0000-0000-000004000000}"/>
    <cellStyle name="Normal_ENSAYOS" xfId="3" xr:uid="{00000000-0005-0000-0000-000005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51</xdr:row>
      <xdr:rowOff>169545</xdr:rowOff>
    </xdr:from>
    <xdr:to>
      <xdr:col>9</xdr:col>
      <xdr:colOff>733425</xdr:colOff>
      <xdr:row>51</xdr:row>
      <xdr:rowOff>169545</xdr:rowOff>
    </xdr:to>
    <xdr:cxnSp macro="">
      <xdr:nvCxnSpPr>
        <xdr:cNvPr id="317807" name="2 Conector recto">
          <a:extLst>
            <a:ext uri="{FF2B5EF4-FFF2-40B4-BE49-F238E27FC236}">
              <a16:creationId xmlns:a16="http://schemas.microsoft.com/office/drawing/2014/main" id="{00000000-0008-0000-0000-00006FD90400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1028045"/>
          <a:ext cx="65074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oneCellAnchor>
    <xdr:from>
      <xdr:col>15</xdr:col>
      <xdr:colOff>624840</xdr:colOff>
      <xdr:row>6</xdr:row>
      <xdr:rowOff>7620</xdr:rowOff>
    </xdr:from>
    <xdr:ext cx="184731" cy="264560"/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10698480" y="119634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PE" sz="1100"/>
        </a:p>
      </xdr:txBody>
    </xdr:sp>
    <xdr:clientData/>
  </xdr:oneCellAnchor>
  <xdr:twoCellAnchor>
    <xdr:from>
      <xdr:col>1</xdr:col>
      <xdr:colOff>66675</xdr:colOff>
      <xdr:row>8</xdr:row>
      <xdr:rowOff>57150</xdr:rowOff>
    </xdr:from>
    <xdr:to>
      <xdr:col>3</xdr:col>
      <xdr:colOff>381000</xdr:colOff>
      <xdr:row>9</xdr:row>
      <xdr:rowOff>133350</xdr:rowOff>
    </xdr:to>
    <xdr:sp macro="" textlink="">
      <xdr:nvSpPr>
        <xdr:cNvPr id="17" name="5 CuadroTexto">
          <a:extLst>
            <a:ext uri="{FF2B5EF4-FFF2-40B4-BE49-F238E27FC236}">
              <a16:creationId xmlns:a16="http://schemas.microsoft.com/office/drawing/2014/main" id="{11164CD6-C4CC-4200-B81F-BA61EB186C97}"/>
            </a:ext>
          </a:extLst>
        </xdr:cNvPr>
        <xdr:cNvSpPr txBox="1"/>
      </xdr:nvSpPr>
      <xdr:spPr>
        <a:xfrm>
          <a:off x="523875" y="1524000"/>
          <a:ext cx="1304925" cy="27622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900">
              <a:latin typeface="Arial" panose="020B0604020202020204" pitchFamily="34" charset="0"/>
              <a:cs typeface="Arial" panose="020B0604020202020204" pitchFamily="34" charset="0"/>
            </a:rPr>
            <a:t>MUESTRA</a:t>
          </a:r>
        </a:p>
      </xdr:txBody>
    </xdr:sp>
    <xdr:clientData/>
  </xdr:twoCellAnchor>
  <xdr:twoCellAnchor>
    <xdr:from>
      <xdr:col>3</xdr:col>
      <xdr:colOff>434341</xdr:colOff>
      <xdr:row>8</xdr:row>
      <xdr:rowOff>57150</xdr:rowOff>
    </xdr:from>
    <xdr:to>
      <xdr:col>5</xdr:col>
      <xdr:colOff>400051</xdr:colOff>
      <xdr:row>9</xdr:row>
      <xdr:rowOff>133350</xdr:rowOff>
    </xdr:to>
    <xdr:sp macro="" textlink="">
      <xdr:nvSpPr>
        <xdr:cNvPr id="18" name="6 CuadroTexto">
          <a:extLst>
            <a:ext uri="{FF2B5EF4-FFF2-40B4-BE49-F238E27FC236}">
              <a16:creationId xmlns:a16="http://schemas.microsoft.com/office/drawing/2014/main" id="{D545F7FE-C3B9-46D1-8080-86AA2C54EA11}"/>
            </a:ext>
          </a:extLst>
        </xdr:cNvPr>
        <xdr:cNvSpPr txBox="1"/>
      </xdr:nvSpPr>
      <xdr:spPr>
        <a:xfrm>
          <a:off x="1882141" y="1524000"/>
          <a:ext cx="1184910" cy="27622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900">
              <a:latin typeface="Arial" panose="020B0604020202020204" pitchFamily="34" charset="0"/>
              <a:cs typeface="Arial" panose="020B0604020202020204" pitchFamily="34" charset="0"/>
            </a:rPr>
            <a:t>N°</a:t>
          </a:r>
          <a:r>
            <a:rPr lang="es-PE" sz="900" baseline="0">
              <a:latin typeface="Arial" panose="020B0604020202020204" pitchFamily="34" charset="0"/>
              <a:cs typeface="Arial" panose="020B0604020202020204" pitchFamily="34" charset="0"/>
            </a:rPr>
            <a:t> OT</a:t>
          </a:r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436245</xdr:colOff>
      <xdr:row>8</xdr:row>
      <xdr:rowOff>57150</xdr:rowOff>
    </xdr:from>
    <xdr:to>
      <xdr:col>7</xdr:col>
      <xdr:colOff>200025</xdr:colOff>
      <xdr:row>9</xdr:row>
      <xdr:rowOff>133350</xdr:rowOff>
    </xdr:to>
    <xdr:sp macro="" textlink="">
      <xdr:nvSpPr>
        <xdr:cNvPr id="19" name="8 CuadroTexto">
          <a:extLst>
            <a:ext uri="{FF2B5EF4-FFF2-40B4-BE49-F238E27FC236}">
              <a16:creationId xmlns:a16="http://schemas.microsoft.com/office/drawing/2014/main" id="{CD4B025A-42B4-487F-83AD-43B8DCC10E44}"/>
            </a:ext>
          </a:extLst>
        </xdr:cNvPr>
        <xdr:cNvSpPr txBox="1"/>
      </xdr:nvSpPr>
      <xdr:spPr>
        <a:xfrm>
          <a:off x="3103245" y="1524000"/>
          <a:ext cx="1335405" cy="27622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900">
              <a:latin typeface="Arial" panose="020B0604020202020204" pitchFamily="34" charset="0"/>
              <a:cs typeface="Arial" panose="020B0604020202020204" pitchFamily="34" charset="0"/>
            </a:rPr>
            <a:t>FECHA DE</a:t>
          </a:r>
          <a:r>
            <a:rPr lang="es-PE" sz="900" baseline="0">
              <a:latin typeface="Arial" panose="020B0604020202020204" pitchFamily="34" charset="0"/>
              <a:cs typeface="Arial" panose="020B0604020202020204" pitchFamily="34" charset="0"/>
            </a:rPr>
            <a:t> ENSAYO</a:t>
          </a:r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</xdr:col>
      <xdr:colOff>66675</xdr:colOff>
      <xdr:row>9</xdr:row>
      <xdr:rowOff>163830</xdr:rowOff>
    </xdr:from>
    <xdr:to>
      <xdr:col>3</xdr:col>
      <xdr:colOff>390525</xdr:colOff>
      <xdr:row>11</xdr:row>
      <xdr:rowOff>104775</xdr:rowOff>
    </xdr:to>
    <xdr:sp macro="" textlink="">
      <xdr:nvSpPr>
        <xdr:cNvPr id="20" name="4 Rectángulo">
          <a:extLst>
            <a:ext uri="{FF2B5EF4-FFF2-40B4-BE49-F238E27FC236}">
              <a16:creationId xmlns:a16="http://schemas.microsoft.com/office/drawing/2014/main" id="{2E24768F-4516-4131-8484-CFB70F33D032}"/>
            </a:ext>
          </a:extLst>
        </xdr:cNvPr>
        <xdr:cNvSpPr/>
      </xdr:nvSpPr>
      <xdr:spPr>
        <a:xfrm>
          <a:off x="523875" y="1830705"/>
          <a:ext cx="1314450" cy="340995"/>
        </a:xfrm>
        <a:prstGeom prst="rect">
          <a:avLst/>
        </a:prstGeom>
        <a:ln w="3175">
          <a:solidFill>
            <a:sysClr val="windowText" lastClr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434341</xdr:colOff>
      <xdr:row>9</xdr:row>
      <xdr:rowOff>171450</xdr:rowOff>
    </xdr:from>
    <xdr:to>
      <xdr:col>5</xdr:col>
      <xdr:colOff>400051</xdr:colOff>
      <xdr:row>11</xdr:row>
      <xdr:rowOff>104775</xdr:rowOff>
    </xdr:to>
    <xdr:sp macro="" textlink="">
      <xdr:nvSpPr>
        <xdr:cNvPr id="21" name="4 Rectángulo">
          <a:extLst>
            <a:ext uri="{FF2B5EF4-FFF2-40B4-BE49-F238E27FC236}">
              <a16:creationId xmlns:a16="http://schemas.microsoft.com/office/drawing/2014/main" id="{0DF1856E-2365-4658-9915-70ED8F481094}"/>
            </a:ext>
          </a:extLst>
        </xdr:cNvPr>
        <xdr:cNvSpPr/>
      </xdr:nvSpPr>
      <xdr:spPr>
        <a:xfrm>
          <a:off x="1882141" y="1838325"/>
          <a:ext cx="1184910" cy="333375"/>
        </a:xfrm>
        <a:prstGeom prst="rect">
          <a:avLst/>
        </a:prstGeom>
        <a:ln w="3175">
          <a:solidFill>
            <a:sysClr val="windowText" lastClr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436245</xdr:colOff>
      <xdr:row>9</xdr:row>
      <xdr:rowOff>171450</xdr:rowOff>
    </xdr:from>
    <xdr:to>
      <xdr:col>7</xdr:col>
      <xdr:colOff>200025</xdr:colOff>
      <xdr:row>11</xdr:row>
      <xdr:rowOff>104775</xdr:rowOff>
    </xdr:to>
    <xdr:sp macro="" textlink="">
      <xdr:nvSpPr>
        <xdr:cNvPr id="22" name="4 Rectángulo">
          <a:extLst>
            <a:ext uri="{FF2B5EF4-FFF2-40B4-BE49-F238E27FC236}">
              <a16:creationId xmlns:a16="http://schemas.microsoft.com/office/drawing/2014/main" id="{66AAFD89-47DF-45D6-8F02-2591AD849810}"/>
            </a:ext>
          </a:extLst>
        </xdr:cNvPr>
        <xdr:cNvSpPr/>
      </xdr:nvSpPr>
      <xdr:spPr>
        <a:xfrm>
          <a:off x="3103245" y="1838325"/>
          <a:ext cx="1335405" cy="333375"/>
        </a:xfrm>
        <a:prstGeom prst="rect">
          <a:avLst/>
        </a:prstGeom>
        <a:ln w="3175">
          <a:solidFill>
            <a:sysClr val="windowText" lastClr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7</xdr:col>
      <xdr:colOff>247650</xdr:colOff>
      <xdr:row>8</xdr:row>
      <xdr:rowOff>57150</xdr:rowOff>
    </xdr:from>
    <xdr:to>
      <xdr:col>9</xdr:col>
      <xdr:colOff>381001</xdr:colOff>
      <xdr:row>9</xdr:row>
      <xdr:rowOff>133350</xdr:rowOff>
    </xdr:to>
    <xdr:sp macro="" textlink="">
      <xdr:nvSpPr>
        <xdr:cNvPr id="23" name="8 CuadroTexto">
          <a:extLst>
            <a:ext uri="{FF2B5EF4-FFF2-40B4-BE49-F238E27FC236}">
              <a16:creationId xmlns:a16="http://schemas.microsoft.com/office/drawing/2014/main" id="{2CA7FE3B-CB28-4E2E-998E-52FC0369308B}"/>
            </a:ext>
          </a:extLst>
        </xdr:cNvPr>
        <xdr:cNvSpPr txBox="1"/>
      </xdr:nvSpPr>
      <xdr:spPr>
        <a:xfrm>
          <a:off x="4486275" y="1524000"/>
          <a:ext cx="1790701" cy="27622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900">
              <a:latin typeface="Arial" panose="020B0604020202020204" pitchFamily="34" charset="0"/>
              <a:cs typeface="Arial" panose="020B0604020202020204" pitchFamily="34" charset="0"/>
            </a:rPr>
            <a:t>REALIZADO</a:t>
          </a:r>
        </a:p>
      </xdr:txBody>
    </xdr:sp>
    <xdr:clientData/>
  </xdr:twoCellAnchor>
  <xdr:twoCellAnchor>
    <xdr:from>
      <xdr:col>7</xdr:col>
      <xdr:colOff>248234</xdr:colOff>
      <xdr:row>9</xdr:row>
      <xdr:rowOff>171450</xdr:rowOff>
    </xdr:from>
    <xdr:to>
      <xdr:col>9</xdr:col>
      <xdr:colOff>377010</xdr:colOff>
      <xdr:row>11</xdr:row>
      <xdr:rowOff>104775</xdr:rowOff>
    </xdr:to>
    <xdr:sp macro="" textlink="">
      <xdr:nvSpPr>
        <xdr:cNvPr id="32" name="4 Rectángulo">
          <a:extLst>
            <a:ext uri="{FF2B5EF4-FFF2-40B4-BE49-F238E27FC236}">
              <a16:creationId xmlns:a16="http://schemas.microsoft.com/office/drawing/2014/main" id="{405F4D8D-7343-4D08-9A7F-29C8DCCBF87F}"/>
            </a:ext>
          </a:extLst>
        </xdr:cNvPr>
        <xdr:cNvSpPr/>
      </xdr:nvSpPr>
      <xdr:spPr>
        <a:xfrm>
          <a:off x="4486859" y="1838325"/>
          <a:ext cx="1786126" cy="333375"/>
        </a:xfrm>
        <a:prstGeom prst="rect">
          <a:avLst/>
        </a:prstGeom>
        <a:ln w="3175">
          <a:solidFill>
            <a:sysClr val="windowText" lastClr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314325</xdr:colOff>
      <xdr:row>45</xdr:row>
      <xdr:rowOff>160021</xdr:rowOff>
    </xdr:from>
    <xdr:to>
      <xdr:col>6</xdr:col>
      <xdr:colOff>190500</xdr:colOff>
      <xdr:row>49</xdr:row>
      <xdr:rowOff>95251</xdr:rowOff>
    </xdr:to>
    <xdr:sp macro="" textlink="">
      <xdr:nvSpPr>
        <xdr:cNvPr id="33" name="15 CuadroTexto">
          <a:extLst>
            <a:ext uri="{FF2B5EF4-FFF2-40B4-BE49-F238E27FC236}">
              <a16:creationId xmlns:a16="http://schemas.microsoft.com/office/drawing/2014/main" id="{8581293D-1039-4488-8EB2-14784181F2A8}"/>
            </a:ext>
          </a:extLst>
        </xdr:cNvPr>
        <xdr:cNvSpPr txBox="1"/>
      </xdr:nvSpPr>
      <xdr:spPr>
        <a:xfrm>
          <a:off x="1381125" y="9818371"/>
          <a:ext cx="2228850" cy="77343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</a:t>
          </a:r>
        </a:p>
      </xdr:txBody>
    </xdr:sp>
    <xdr:clientData/>
  </xdr:twoCellAnchor>
  <xdr:twoCellAnchor>
    <xdr:from>
      <xdr:col>6</xdr:col>
      <xdr:colOff>382904</xdr:colOff>
      <xdr:row>45</xdr:row>
      <xdr:rowOff>133350</xdr:rowOff>
    </xdr:from>
    <xdr:to>
      <xdr:col>9</xdr:col>
      <xdr:colOff>133124</xdr:colOff>
      <xdr:row>49</xdr:row>
      <xdr:rowOff>85725</xdr:rowOff>
    </xdr:to>
    <xdr:sp macro="" textlink="">
      <xdr:nvSpPr>
        <xdr:cNvPr id="34" name="15 CuadroTexto">
          <a:extLst>
            <a:ext uri="{FF2B5EF4-FFF2-40B4-BE49-F238E27FC236}">
              <a16:creationId xmlns:a16="http://schemas.microsoft.com/office/drawing/2014/main" id="{FED845A8-FB41-4AB0-AFAB-C6083E3DDD99}"/>
            </a:ext>
          </a:extLst>
        </xdr:cNvPr>
        <xdr:cNvSpPr txBox="1"/>
      </xdr:nvSpPr>
      <xdr:spPr>
        <a:xfrm>
          <a:off x="3802379" y="9791700"/>
          <a:ext cx="2226720" cy="7905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</a:t>
          </a:r>
        </a:p>
      </xdr:txBody>
    </xdr:sp>
    <xdr:clientData/>
  </xdr:twoCellAnchor>
  <xdr:twoCellAnchor editAs="oneCell">
    <xdr:from>
      <xdr:col>5</xdr:col>
      <xdr:colOff>19050</xdr:colOff>
      <xdr:row>0</xdr:row>
      <xdr:rowOff>47624</xdr:rowOff>
    </xdr:from>
    <xdr:to>
      <xdr:col>7</xdr:col>
      <xdr:colOff>28574</xdr:colOff>
      <xdr:row>4</xdr:row>
      <xdr:rowOff>158081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8B68FE3F-23E2-4CDA-AE08-83428F6C3C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86050" y="47624"/>
          <a:ext cx="1504949" cy="910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1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M55"/>
  <sheetViews>
    <sheetView showGridLines="0" tabSelected="1" view="pageBreakPreview" zoomScaleNormal="100" zoomScaleSheetLayoutView="100" workbookViewId="0">
      <selection activeCell="O9" sqref="O9"/>
    </sheetView>
  </sheetViews>
  <sheetFormatPr baseColWidth="10" defaultColWidth="10.28515625" defaultRowHeight="14.25" x14ac:dyDescent="0.2"/>
  <cols>
    <col min="1" max="1" width="6.85546875" style="56" customWidth="1"/>
    <col min="2" max="2" width="9.140625" style="56" customWidth="1"/>
    <col min="3" max="3" width="5.7109375" style="56" customWidth="1"/>
    <col min="4" max="4" width="10.140625" style="56" customWidth="1"/>
    <col min="5" max="5" width="8.140625" style="56" customWidth="1"/>
    <col min="6" max="6" width="11.28515625" style="56" customWidth="1"/>
    <col min="7" max="7" width="11.140625" style="56" customWidth="1"/>
    <col min="8" max="10" width="13" style="56" customWidth="1"/>
    <col min="11" max="11" width="6.42578125" style="56" customWidth="1"/>
    <col min="12" max="12" width="9.42578125" style="56" customWidth="1"/>
    <col min="13" max="14" width="10.7109375" style="56" customWidth="1"/>
    <col min="15" max="16384" width="10.28515625" style="56"/>
  </cols>
  <sheetData>
    <row r="1" spans="1:13" ht="15.75" customHeight="1" thickTop="1" x14ac:dyDescent="0.2">
      <c r="A1" s="15"/>
      <c r="B1" s="16"/>
      <c r="C1" s="16"/>
      <c r="D1" s="16"/>
      <c r="E1" s="17"/>
      <c r="F1" s="17"/>
      <c r="G1" s="17"/>
      <c r="H1" s="17"/>
      <c r="I1" s="17"/>
      <c r="J1" s="66"/>
    </row>
    <row r="2" spans="1:13" ht="15.75" customHeight="1" x14ac:dyDescent="0.2">
      <c r="A2" s="18"/>
      <c r="B2" s="13"/>
      <c r="C2" s="13"/>
      <c r="D2" s="13"/>
      <c r="E2" s="14"/>
      <c r="F2" s="14"/>
      <c r="G2" s="14"/>
      <c r="H2" s="14"/>
      <c r="I2" s="14"/>
      <c r="J2" s="67"/>
    </row>
    <row r="3" spans="1:13" ht="15.75" customHeight="1" x14ac:dyDescent="0.2">
      <c r="A3" s="18"/>
      <c r="B3" s="13"/>
      <c r="C3" s="13"/>
      <c r="D3" s="13"/>
      <c r="E3" s="14"/>
      <c r="F3" s="14"/>
      <c r="G3" s="14"/>
      <c r="H3" s="14"/>
      <c r="I3" s="14"/>
      <c r="J3" s="67"/>
    </row>
    <row r="4" spans="1:13" ht="15.75" customHeight="1" x14ac:dyDescent="0.2">
      <c r="A4" s="18"/>
      <c r="B4" s="13"/>
      <c r="C4" s="13"/>
      <c r="D4" s="13"/>
      <c r="E4" s="14"/>
      <c r="F4" s="14"/>
      <c r="G4" s="14"/>
      <c r="H4" s="14"/>
      <c r="I4" s="14"/>
      <c r="J4" s="67"/>
    </row>
    <row r="5" spans="1:13" ht="15.75" customHeight="1" thickBot="1" x14ac:dyDescent="0.25">
      <c r="A5" s="68"/>
      <c r="B5" s="69"/>
      <c r="C5" s="69"/>
      <c r="D5" s="69"/>
      <c r="E5" s="69"/>
      <c r="F5" s="69"/>
      <c r="G5" s="69"/>
      <c r="H5" s="69"/>
      <c r="I5" s="69"/>
      <c r="J5" s="70"/>
    </row>
    <row r="6" spans="1:13" ht="5.25" customHeight="1" thickTop="1" x14ac:dyDescent="0.2">
      <c r="A6" s="71"/>
      <c r="B6" s="71"/>
      <c r="C6" s="71"/>
      <c r="D6" s="71"/>
      <c r="E6" s="71"/>
      <c r="F6" s="71"/>
      <c r="G6" s="71"/>
      <c r="H6" s="71"/>
      <c r="I6" s="71"/>
      <c r="J6" s="71"/>
    </row>
    <row r="7" spans="1:13" ht="15.95" customHeight="1" x14ac:dyDescent="0.2">
      <c r="A7" s="110" t="s">
        <v>15</v>
      </c>
      <c r="B7" s="110"/>
      <c r="C7" s="110"/>
      <c r="D7" s="110"/>
      <c r="E7" s="110"/>
      <c r="F7" s="110"/>
      <c r="G7" s="110"/>
      <c r="H7" s="110"/>
      <c r="I7" s="110"/>
      <c r="J7" s="110"/>
      <c r="M7"/>
    </row>
    <row r="8" spans="1:13" ht="15.95" customHeight="1" x14ac:dyDescent="0.25">
      <c r="A8" s="111" t="s">
        <v>21</v>
      </c>
      <c r="B8" s="111"/>
      <c r="C8" s="111"/>
      <c r="D8" s="111"/>
      <c r="E8" s="111"/>
      <c r="F8" s="111"/>
      <c r="G8" s="111"/>
      <c r="H8" s="111"/>
      <c r="I8" s="111"/>
      <c r="J8" s="111"/>
    </row>
    <row r="9" spans="1:13" ht="15.95" customHeight="1" x14ac:dyDescent="0.2">
      <c r="A9" s="58"/>
      <c r="B9" s="58"/>
      <c r="C9" s="58"/>
      <c r="D9" s="58"/>
      <c r="E9" s="58"/>
      <c r="F9" s="58"/>
      <c r="G9" s="58"/>
      <c r="H9" s="58"/>
      <c r="I9" s="58"/>
      <c r="J9" s="58"/>
    </row>
    <row r="10" spans="1:13" ht="15.95" customHeight="1" x14ac:dyDescent="0.2">
      <c r="C10" s="19"/>
      <c r="D10" s="19"/>
      <c r="E10" s="19"/>
      <c r="F10" s="19"/>
      <c r="G10" s="19"/>
      <c r="H10" s="19"/>
      <c r="I10" s="19"/>
      <c r="J10" s="30"/>
      <c r="K10" s="72"/>
      <c r="L10" s="72"/>
    </row>
    <row r="11" spans="1:13" ht="15.95" customHeight="1" x14ac:dyDescent="0.2">
      <c r="A11" s="19"/>
      <c r="B11" s="19"/>
      <c r="C11" s="19"/>
      <c r="D11" s="19"/>
      <c r="E11" s="19"/>
      <c r="F11" s="19"/>
      <c r="G11" s="19"/>
      <c r="H11" s="19"/>
      <c r="I11" s="19"/>
      <c r="J11" s="20"/>
      <c r="K11" s="72"/>
      <c r="L11" s="72"/>
    </row>
    <row r="12" spans="1:13" ht="15" customHeight="1" x14ac:dyDescent="0.2">
      <c r="A12" s="19"/>
      <c r="B12" s="19"/>
      <c r="C12" s="59"/>
      <c r="D12" s="29"/>
      <c r="E12" s="29"/>
      <c r="F12" s="29"/>
      <c r="G12" s="29"/>
      <c r="H12" s="29"/>
      <c r="I12" s="29"/>
      <c r="J12" s="21"/>
      <c r="K12" s="72"/>
      <c r="L12" s="72"/>
    </row>
    <row r="13" spans="1:13" ht="18.75" customHeight="1" x14ac:dyDescent="0.2">
      <c r="A13" s="115" t="s">
        <v>64</v>
      </c>
      <c r="B13" s="116"/>
      <c r="C13" s="116"/>
      <c r="D13" s="116"/>
      <c r="E13" s="116"/>
      <c r="F13" s="116"/>
      <c r="G13" s="116"/>
      <c r="H13" s="116"/>
      <c r="I13" s="116"/>
      <c r="J13" s="117"/>
      <c r="K13" s="72"/>
      <c r="L13" s="72"/>
    </row>
    <row r="14" spans="1:13" ht="14.25" customHeight="1" x14ac:dyDescent="0.2">
      <c r="A14" s="125" t="s">
        <v>67</v>
      </c>
      <c r="B14" s="126"/>
      <c r="C14" s="126"/>
      <c r="D14" s="126"/>
      <c r="E14" s="126"/>
      <c r="F14" s="126"/>
      <c r="G14" s="126"/>
      <c r="H14" s="126"/>
      <c r="I14" s="126"/>
      <c r="J14" s="127"/>
      <c r="K14" s="72"/>
      <c r="L14" s="72"/>
    </row>
    <row r="15" spans="1:13" ht="6" customHeight="1" x14ac:dyDescent="0.2">
      <c r="A15" s="52"/>
      <c r="B15" s="85"/>
      <c r="C15" s="26"/>
      <c r="D15" s="27"/>
      <c r="E15" s="27"/>
      <c r="F15" s="27"/>
      <c r="G15" s="27"/>
      <c r="H15" s="27"/>
      <c r="I15" s="27"/>
      <c r="J15" s="53"/>
      <c r="K15" s="72"/>
      <c r="L15" s="72"/>
    </row>
    <row r="16" spans="1:13" ht="15.75" customHeight="1" x14ac:dyDescent="0.2">
      <c r="A16" s="73"/>
      <c r="B16" s="118" t="s">
        <v>37</v>
      </c>
      <c r="C16" s="118"/>
      <c r="D16" s="118"/>
      <c r="E16" s="81"/>
      <c r="F16" s="119" t="s">
        <v>40</v>
      </c>
      <c r="G16" s="119"/>
      <c r="H16" s="81"/>
      <c r="I16" s="128" t="s">
        <v>66</v>
      </c>
      <c r="J16" s="131"/>
      <c r="K16" s="72"/>
      <c r="L16" s="72"/>
    </row>
    <row r="17" spans="1:13" ht="15.75" customHeight="1" x14ac:dyDescent="0.2">
      <c r="A17" s="73"/>
      <c r="B17" s="118" t="s">
        <v>38</v>
      </c>
      <c r="C17" s="118"/>
      <c r="D17" s="82"/>
      <c r="E17" s="80"/>
      <c r="F17" s="100" t="s">
        <v>41</v>
      </c>
      <c r="G17" s="84"/>
      <c r="H17" s="81"/>
      <c r="I17" s="129"/>
      <c r="J17" s="132"/>
      <c r="K17" s="72"/>
      <c r="L17" s="72"/>
    </row>
    <row r="18" spans="1:13" ht="15.75" customHeight="1" x14ac:dyDescent="0.2">
      <c r="A18" s="73"/>
      <c r="B18" s="118" t="s">
        <v>39</v>
      </c>
      <c r="C18" s="118"/>
      <c r="D18" s="82"/>
      <c r="E18" s="80"/>
      <c r="F18" s="99" t="s">
        <v>42</v>
      </c>
      <c r="G18" s="83"/>
      <c r="H18" s="81"/>
      <c r="I18" s="130"/>
      <c r="J18" s="133"/>
      <c r="L18" s="72"/>
      <c r="M18" s="28"/>
    </row>
    <row r="19" spans="1:13" ht="6.75" customHeight="1" x14ac:dyDescent="0.2">
      <c r="A19" s="79"/>
      <c r="B19" s="102"/>
      <c r="C19" s="102"/>
      <c r="D19" s="109"/>
      <c r="E19" s="80"/>
      <c r="F19" s="20"/>
      <c r="G19" s="80"/>
      <c r="H19" s="81"/>
      <c r="I19" s="80"/>
      <c r="J19" s="54"/>
      <c r="L19" s="72"/>
      <c r="M19" s="28"/>
    </row>
    <row r="20" spans="1:13" s="88" customFormat="1" ht="15.75" customHeight="1" x14ac:dyDescent="0.2">
      <c r="A20" s="104"/>
      <c r="B20" s="120" t="s">
        <v>72</v>
      </c>
      <c r="C20" s="120"/>
      <c r="D20" s="122"/>
      <c r="F20" s="92" t="s">
        <v>43</v>
      </c>
      <c r="G20" s="92"/>
      <c r="H20" s="92"/>
      <c r="I20" s="89"/>
      <c r="J20" s="54"/>
      <c r="L20" s="90"/>
      <c r="M20" s="28"/>
    </row>
    <row r="21" spans="1:13" s="88" customFormat="1" ht="15.75" customHeight="1" x14ac:dyDescent="0.2">
      <c r="A21" s="91"/>
      <c r="B21" s="121"/>
      <c r="C21" s="121"/>
      <c r="D21" s="123"/>
      <c r="F21" s="92" t="s">
        <v>44</v>
      </c>
      <c r="G21" s="101"/>
      <c r="H21" s="101"/>
      <c r="I21" s="89"/>
      <c r="J21" s="54"/>
      <c r="L21" s="90"/>
      <c r="M21" s="28"/>
    </row>
    <row r="22" spans="1:13" s="88" customFormat="1" ht="15.75" customHeight="1" x14ac:dyDescent="0.2">
      <c r="A22" s="91"/>
      <c r="B22" s="89"/>
      <c r="C22" s="89"/>
      <c r="D22" s="81"/>
      <c r="F22" s="92" t="s">
        <v>45</v>
      </c>
      <c r="G22" s="101"/>
      <c r="H22" s="101"/>
      <c r="I22" s="89"/>
      <c r="J22" s="54"/>
      <c r="L22" s="90"/>
      <c r="M22" s="28"/>
    </row>
    <row r="23" spans="1:13" ht="7.5" customHeight="1" x14ac:dyDescent="0.2">
      <c r="A23" s="74"/>
      <c r="B23" s="55"/>
      <c r="C23" s="55"/>
      <c r="D23" s="55"/>
      <c r="E23" s="55"/>
      <c r="F23" s="55"/>
      <c r="G23" s="55"/>
      <c r="H23" s="55"/>
      <c r="I23" s="55"/>
      <c r="J23" s="75"/>
      <c r="L23" s="72"/>
    </row>
    <row r="24" spans="1:13" ht="7.5" customHeight="1" x14ac:dyDescent="0.2">
      <c r="A24" s="76"/>
      <c r="B24" s="76"/>
      <c r="J24" s="76"/>
      <c r="K24" s="72"/>
      <c r="L24" s="77"/>
    </row>
    <row r="25" spans="1:13" ht="25.5" customHeight="1" x14ac:dyDescent="0.2">
      <c r="A25" s="93" t="s">
        <v>46</v>
      </c>
      <c r="B25" s="94" t="s">
        <v>63</v>
      </c>
      <c r="C25" s="95"/>
      <c r="D25" s="95"/>
      <c r="E25" s="95"/>
      <c r="F25" s="95"/>
      <c r="G25" s="86"/>
      <c r="H25" s="103" t="s">
        <v>60</v>
      </c>
      <c r="I25" s="103" t="s">
        <v>61</v>
      </c>
      <c r="J25" s="103" t="s">
        <v>62</v>
      </c>
      <c r="K25" s="37"/>
      <c r="L25" s="78"/>
    </row>
    <row r="26" spans="1:13" ht="25.5" customHeight="1" x14ac:dyDescent="0.2">
      <c r="A26" s="87" t="s">
        <v>50</v>
      </c>
      <c r="B26" s="43" t="s">
        <v>26</v>
      </c>
      <c r="C26" s="57"/>
      <c r="D26" s="57"/>
      <c r="E26" s="36"/>
      <c r="F26" s="36"/>
      <c r="G26" s="44" t="s">
        <v>31</v>
      </c>
      <c r="H26" s="47">
        <v>0.57291666666666663</v>
      </c>
      <c r="I26" s="48">
        <f>+H26+0.002</f>
        <v>0.57491666666666663</v>
      </c>
      <c r="J26" s="48">
        <f>+H26+0.003</f>
        <v>0.57591666666666663</v>
      </c>
      <c r="K26" s="38"/>
      <c r="L26" s="62">
        <v>1.3888888888888889E-3</v>
      </c>
    </row>
    <row r="27" spans="1:13" ht="25.5" customHeight="1" x14ac:dyDescent="0.2">
      <c r="A27" s="87" t="s">
        <v>51</v>
      </c>
      <c r="B27" s="43" t="s">
        <v>27</v>
      </c>
      <c r="C27" s="57"/>
      <c r="D27" s="57"/>
      <c r="E27" s="36"/>
      <c r="F27" s="36"/>
      <c r="G27" s="44" t="s">
        <v>31</v>
      </c>
      <c r="H27" s="49">
        <f>H26+$L$27</f>
        <v>0.57986111111111105</v>
      </c>
      <c r="I27" s="49">
        <f t="shared" ref="I27:J27" si="0">I26+$L$27</f>
        <v>0.58186111111111105</v>
      </c>
      <c r="J27" s="49">
        <f t="shared" si="0"/>
        <v>0.58286111111111105</v>
      </c>
      <c r="K27" s="33"/>
      <c r="L27" s="63">
        <v>6.9444444444444441E-3</v>
      </c>
    </row>
    <row r="28" spans="1:13" ht="25.5" customHeight="1" x14ac:dyDescent="0.2">
      <c r="A28" s="87" t="s">
        <v>52</v>
      </c>
      <c r="B28" s="43" t="s">
        <v>48</v>
      </c>
      <c r="C28" s="57"/>
      <c r="D28" s="57"/>
      <c r="E28" s="36"/>
      <c r="F28" s="36"/>
      <c r="G28" s="44" t="s">
        <v>31</v>
      </c>
      <c r="H28" s="50">
        <v>10</v>
      </c>
      <c r="I28" s="50">
        <v>10</v>
      </c>
      <c r="J28" s="50">
        <v>10</v>
      </c>
      <c r="K28" s="34"/>
      <c r="L28" s="64">
        <v>1.3888888888888888E-2</v>
      </c>
    </row>
    <row r="29" spans="1:13" ht="25.5" customHeight="1" x14ac:dyDescent="0.2">
      <c r="A29" s="87" t="s">
        <v>53</v>
      </c>
      <c r="B29" s="43" t="s">
        <v>49</v>
      </c>
      <c r="C29" s="57"/>
      <c r="D29" s="57"/>
      <c r="E29" s="36"/>
      <c r="F29" s="36"/>
      <c r="G29" s="44" t="s">
        <v>47</v>
      </c>
      <c r="H29" s="50">
        <v>45</v>
      </c>
      <c r="I29" s="50">
        <v>45</v>
      </c>
      <c r="J29" s="50">
        <v>45</v>
      </c>
      <c r="K29" s="34"/>
      <c r="L29" s="72"/>
    </row>
    <row r="30" spans="1:13" ht="25.5" customHeight="1" x14ac:dyDescent="0.2">
      <c r="A30" s="87" t="s">
        <v>12</v>
      </c>
      <c r="B30" s="43" t="s">
        <v>28</v>
      </c>
      <c r="C30" s="57"/>
      <c r="D30" s="57"/>
      <c r="E30" s="36"/>
      <c r="F30" s="36"/>
      <c r="G30" s="44" t="s">
        <v>31</v>
      </c>
      <c r="H30" s="49">
        <f>H27+$L$26</f>
        <v>0.58124999999999993</v>
      </c>
      <c r="I30" s="49">
        <f t="shared" ref="I30:J30" si="1">I27+$L$26</f>
        <v>0.58324999999999994</v>
      </c>
      <c r="J30" s="49">
        <f t="shared" si="1"/>
        <v>0.58424999999999994</v>
      </c>
      <c r="K30" s="34"/>
      <c r="L30" s="72"/>
    </row>
    <row r="31" spans="1:13" ht="25.5" customHeight="1" x14ac:dyDescent="0.2">
      <c r="A31" s="87" t="s">
        <v>13</v>
      </c>
      <c r="B31" s="43" t="s">
        <v>29</v>
      </c>
      <c r="C31" s="57"/>
      <c r="D31" s="57"/>
      <c r="E31" s="36"/>
      <c r="F31" s="36"/>
      <c r="G31" s="44" t="s">
        <v>31</v>
      </c>
      <c r="H31" s="49">
        <f>IF(H30=0,0,H30+$L$28)</f>
        <v>0.59513888888888877</v>
      </c>
      <c r="I31" s="49">
        <f t="shared" ref="I31:J31" si="2">IF(I30=0,0,I30+$L$28)</f>
        <v>0.59713888888888877</v>
      </c>
      <c r="J31" s="49">
        <f t="shared" si="2"/>
        <v>0.59813888888888878</v>
      </c>
      <c r="K31" s="34"/>
      <c r="L31" s="72"/>
    </row>
    <row r="32" spans="1:13" ht="25.5" customHeight="1" x14ac:dyDescent="0.2">
      <c r="A32" s="87" t="s">
        <v>54</v>
      </c>
      <c r="B32" s="43" t="s">
        <v>36</v>
      </c>
      <c r="C32" s="57"/>
      <c r="D32" s="57"/>
      <c r="E32" s="36"/>
      <c r="F32" s="36"/>
      <c r="G32" s="44" t="s">
        <v>18</v>
      </c>
      <c r="H32" s="50">
        <v>20</v>
      </c>
      <c r="I32" s="50">
        <v>20</v>
      </c>
      <c r="J32" s="50">
        <v>20</v>
      </c>
      <c r="K32" s="39"/>
      <c r="L32" s="72"/>
    </row>
    <row r="33" spans="1:12" ht="25.5" customHeight="1" x14ac:dyDescent="0.2">
      <c r="A33" s="87" t="s">
        <v>55</v>
      </c>
      <c r="B33" s="60" t="s">
        <v>33</v>
      </c>
      <c r="C33" s="57"/>
      <c r="D33" s="57"/>
      <c r="E33" s="45"/>
      <c r="F33" s="45"/>
      <c r="G33" s="44" t="s">
        <v>32</v>
      </c>
      <c r="H33" s="51">
        <v>11.5</v>
      </c>
      <c r="I33" s="51">
        <v>11.7</v>
      </c>
      <c r="J33" s="51">
        <v>11.8</v>
      </c>
      <c r="K33" s="40"/>
      <c r="L33" s="72"/>
    </row>
    <row r="34" spans="1:12" ht="25.5" customHeight="1" x14ac:dyDescent="0.2">
      <c r="A34" s="87" t="s">
        <v>56</v>
      </c>
      <c r="B34" s="60" t="s">
        <v>34</v>
      </c>
      <c r="C34" s="57"/>
      <c r="D34" s="57"/>
      <c r="E34" s="46"/>
      <c r="F34" s="46"/>
      <c r="G34" s="44" t="s">
        <v>32</v>
      </c>
      <c r="H34" s="51">
        <v>2.9</v>
      </c>
      <c r="I34" s="51">
        <v>2.7</v>
      </c>
      <c r="J34" s="51">
        <v>2.8</v>
      </c>
      <c r="K34" s="41"/>
      <c r="L34" s="72"/>
    </row>
    <row r="35" spans="1:12" ht="25.5" customHeight="1" x14ac:dyDescent="0.2">
      <c r="A35" s="87" t="s">
        <v>57</v>
      </c>
      <c r="B35" s="60" t="s">
        <v>59</v>
      </c>
      <c r="C35" s="57"/>
      <c r="D35" s="57"/>
      <c r="E35" s="46"/>
      <c r="F35" s="46"/>
      <c r="G35" s="44" t="s">
        <v>17</v>
      </c>
      <c r="H35" s="65">
        <f>ROUNDUP((H34/H33*100),0)</f>
        <v>26</v>
      </c>
      <c r="I35" s="65">
        <f t="shared" ref="I35:J35" si="3">ROUNDUP((I34/I33*100),0)</f>
        <v>24</v>
      </c>
      <c r="J35" s="65">
        <f t="shared" si="3"/>
        <v>24</v>
      </c>
      <c r="K35" s="72"/>
      <c r="L35" s="72"/>
    </row>
    <row r="36" spans="1:12" ht="25.5" customHeight="1" x14ac:dyDescent="0.2">
      <c r="A36" s="87" t="s">
        <v>58</v>
      </c>
      <c r="B36" s="61" t="s">
        <v>35</v>
      </c>
      <c r="C36" s="57"/>
      <c r="D36" s="57"/>
      <c r="E36" s="46"/>
      <c r="F36" s="46"/>
      <c r="G36" s="44" t="s">
        <v>17</v>
      </c>
      <c r="H36" s="112">
        <f>ROUNDUP((AVERAGE(H35:J35)),0)</f>
        <v>25</v>
      </c>
      <c r="I36" s="113"/>
      <c r="J36" s="114"/>
      <c r="K36" s="72"/>
      <c r="L36" s="72"/>
    </row>
    <row r="37" spans="1:12" ht="6.75" customHeight="1" x14ac:dyDescent="0.2">
      <c r="A37" s="42"/>
      <c r="B37" s="42"/>
      <c r="C37" s="24"/>
      <c r="D37" s="35"/>
      <c r="E37" s="35"/>
      <c r="F37" s="35"/>
      <c r="G37" s="35"/>
      <c r="H37" s="35"/>
      <c r="I37" s="35"/>
      <c r="J37" s="23"/>
      <c r="K37" s="72"/>
      <c r="L37" s="72"/>
    </row>
    <row r="38" spans="1:12" ht="22.5" customHeight="1" x14ac:dyDescent="0.2">
      <c r="A38" s="140" t="s">
        <v>22</v>
      </c>
      <c r="B38" s="142"/>
      <c r="C38" s="141"/>
      <c r="D38" s="140" t="s">
        <v>23</v>
      </c>
      <c r="E38" s="141"/>
      <c r="F38" s="98" t="s">
        <v>20</v>
      </c>
      <c r="G38" s="96"/>
      <c r="H38" s="96"/>
      <c r="I38" s="96"/>
      <c r="J38" s="97"/>
      <c r="K38" s="72"/>
      <c r="L38" s="72"/>
    </row>
    <row r="39" spans="1:12" ht="24" customHeight="1" x14ac:dyDescent="0.2">
      <c r="A39" s="134" t="s">
        <v>24</v>
      </c>
      <c r="B39" s="135"/>
      <c r="C39" s="136"/>
      <c r="D39" s="140"/>
      <c r="E39" s="141"/>
      <c r="F39" s="74"/>
      <c r="G39" s="55"/>
      <c r="H39" s="55"/>
      <c r="I39" s="55"/>
      <c r="J39" s="75"/>
      <c r="K39" s="72"/>
      <c r="L39" s="72"/>
    </row>
    <row r="40" spans="1:12" ht="24" customHeight="1" x14ac:dyDescent="0.2">
      <c r="A40" s="134" t="s">
        <v>25</v>
      </c>
      <c r="B40" s="135"/>
      <c r="C40" s="136"/>
      <c r="D40" s="140"/>
      <c r="E40" s="141"/>
      <c r="F40" s="105"/>
      <c r="G40" s="57"/>
      <c r="H40" s="57"/>
      <c r="I40" s="57"/>
      <c r="J40" s="106"/>
      <c r="K40" s="72"/>
      <c r="L40" s="72"/>
    </row>
    <row r="41" spans="1:12" ht="24" customHeight="1" x14ac:dyDescent="0.2">
      <c r="A41" s="134" t="s">
        <v>69</v>
      </c>
      <c r="B41" s="135"/>
      <c r="C41" s="136"/>
      <c r="D41" s="107"/>
      <c r="E41" s="108"/>
      <c r="F41" s="105"/>
      <c r="G41" s="57"/>
      <c r="H41" s="57"/>
      <c r="I41" s="57"/>
      <c r="J41" s="106"/>
      <c r="K41" s="72"/>
      <c r="L41" s="72"/>
    </row>
    <row r="42" spans="1:12" ht="24" customHeight="1" x14ac:dyDescent="0.2">
      <c r="A42" s="137" t="s">
        <v>68</v>
      </c>
      <c r="B42" s="138"/>
      <c r="C42" s="139"/>
      <c r="D42" s="107"/>
      <c r="E42" s="108"/>
      <c r="F42" s="105"/>
      <c r="G42" s="57"/>
      <c r="H42" s="57"/>
      <c r="I42" s="57"/>
      <c r="J42" s="106"/>
      <c r="K42" s="72"/>
      <c r="L42" s="72"/>
    </row>
    <row r="43" spans="1:12" ht="24" customHeight="1" x14ac:dyDescent="0.2">
      <c r="A43" s="137" t="s">
        <v>70</v>
      </c>
      <c r="B43" s="138"/>
      <c r="C43" s="139"/>
      <c r="D43" s="140"/>
      <c r="E43" s="141"/>
      <c r="F43" s="105"/>
      <c r="G43" s="57"/>
      <c r="H43" s="57"/>
      <c r="I43" s="57"/>
      <c r="J43" s="106"/>
      <c r="K43" s="72"/>
      <c r="L43" s="72"/>
    </row>
    <row r="44" spans="1:12" ht="24" customHeight="1" x14ac:dyDescent="0.2">
      <c r="A44" s="134" t="s">
        <v>65</v>
      </c>
      <c r="B44" s="135"/>
      <c r="C44" s="136"/>
      <c r="D44" s="140"/>
      <c r="E44" s="141"/>
      <c r="F44" s="74"/>
      <c r="G44" s="55"/>
      <c r="H44" s="55"/>
      <c r="I44" s="55"/>
      <c r="J44" s="75"/>
      <c r="K44" s="72"/>
      <c r="L44" s="72"/>
    </row>
    <row r="45" spans="1:12" ht="7.5" customHeight="1" x14ac:dyDescent="0.2">
      <c r="A45" s="22"/>
      <c r="B45" s="22"/>
      <c r="C45" s="23"/>
      <c r="D45" s="23"/>
      <c r="E45" s="23"/>
      <c r="F45" s="23"/>
      <c r="G45" s="23"/>
      <c r="H45" s="23"/>
      <c r="I45" s="23"/>
      <c r="J45" s="23"/>
      <c r="K45" s="72"/>
      <c r="L45" s="72"/>
    </row>
    <row r="46" spans="1:12" ht="16.5" customHeight="1" x14ac:dyDescent="0.2">
      <c r="A46" s="31"/>
      <c r="B46" s="31"/>
      <c r="C46" s="23"/>
      <c r="J46" s="23"/>
      <c r="K46" s="72"/>
      <c r="L46" s="72"/>
    </row>
    <row r="47" spans="1:12" ht="16.5" customHeight="1" x14ac:dyDescent="0.2">
      <c r="A47" s="31"/>
      <c r="B47" s="31"/>
      <c r="C47" s="23"/>
      <c r="J47" s="23"/>
      <c r="K47" s="72"/>
      <c r="L47" s="72"/>
    </row>
    <row r="48" spans="1:12" ht="16.5" customHeight="1" x14ac:dyDescent="0.2">
      <c r="A48" s="31"/>
      <c r="B48" s="31"/>
      <c r="C48" s="23"/>
      <c r="J48" s="23"/>
      <c r="K48" s="72"/>
      <c r="L48" s="72"/>
    </row>
    <row r="49" spans="1:12" ht="16.5" customHeight="1" x14ac:dyDescent="0.2">
      <c r="A49" s="25"/>
      <c r="B49" s="25"/>
      <c r="C49" s="23"/>
      <c r="D49" s="23"/>
      <c r="E49" s="23"/>
      <c r="F49" s="23"/>
      <c r="G49" s="23"/>
      <c r="H49" s="23"/>
      <c r="I49" s="23"/>
      <c r="J49" s="23"/>
      <c r="K49" s="72"/>
      <c r="L49" s="72"/>
    </row>
    <row r="50" spans="1:12" ht="15.75" customHeight="1" x14ac:dyDescent="0.2">
      <c r="A50" s="32" t="s">
        <v>16</v>
      </c>
      <c r="B50" s="32"/>
      <c r="C50" s="23"/>
      <c r="D50" s="23"/>
      <c r="E50" s="23"/>
      <c r="F50" s="23"/>
      <c r="G50" s="23"/>
      <c r="H50" s="23"/>
      <c r="I50" s="23"/>
      <c r="J50" s="23"/>
      <c r="K50" s="72"/>
      <c r="L50" s="72"/>
    </row>
    <row r="51" spans="1:12" ht="15.95" customHeight="1" x14ac:dyDescent="0.2">
      <c r="A51" s="32" t="s">
        <v>71</v>
      </c>
      <c r="B51" s="32"/>
      <c r="C51" s="23"/>
      <c r="D51" s="23"/>
      <c r="E51" s="23"/>
      <c r="F51" s="33" t="s">
        <v>30</v>
      </c>
      <c r="G51" s="23"/>
      <c r="H51" s="23"/>
      <c r="I51" s="23"/>
      <c r="J51" s="23"/>
      <c r="K51" s="72"/>
      <c r="L51" s="72"/>
    </row>
    <row r="52" spans="1:12" ht="6" customHeight="1" x14ac:dyDescent="0.2"/>
    <row r="53" spans="1:12" ht="30.75" customHeight="1" x14ac:dyDescent="0.2">
      <c r="A53" s="124" t="s">
        <v>19</v>
      </c>
      <c r="B53" s="124"/>
      <c r="C53" s="124"/>
      <c r="D53" s="124"/>
      <c r="E53" s="124"/>
      <c r="F53" s="124"/>
      <c r="G53" s="124"/>
      <c r="H53" s="124"/>
      <c r="I53" s="124"/>
      <c r="J53" s="124"/>
    </row>
    <row r="54" spans="1:12" ht="15.95" customHeight="1" x14ac:dyDescent="0.2"/>
    <row r="55" spans="1:12" ht="15.95" customHeight="1" x14ac:dyDescent="0.2"/>
  </sheetData>
  <protectedRanges>
    <protectedRange sqref="D12 D15" name="Rango3_3_1_1_1_1_1_1_1_1"/>
    <protectedRange sqref="D10:D11" name="Rango3_3_1_1_1_1_1_2_1"/>
    <protectedRange sqref="H31:J31" name="Rango8"/>
    <protectedRange sqref="H35:J35" name="Rango8_1_1"/>
  </protectedRanges>
  <mergeCells count="26">
    <mergeCell ref="A53:J53"/>
    <mergeCell ref="A14:J14"/>
    <mergeCell ref="I16:I18"/>
    <mergeCell ref="J16:J18"/>
    <mergeCell ref="A39:C39"/>
    <mergeCell ref="A40:C40"/>
    <mergeCell ref="A43:C43"/>
    <mergeCell ref="A44:C44"/>
    <mergeCell ref="D38:E38"/>
    <mergeCell ref="D39:E39"/>
    <mergeCell ref="D40:E40"/>
    <mergeCell ref="D43:E43"/>
    <mergeCell ref="D44:E44"/>
    <mergeCell ref="A38:C38"/>
    <mergeCell ref="A41:C41"/>
    <mergeCell ref="A42:C42"/>
    <mergeCell ref="A7:J7"/>
    <mergeCell ref="A8:J8"/>
    <mergeCell ref="H36:J36"/>
    <mergeCell ref="A13:J13"/>
    <mergeCell ref="B16:D16"/>
    <mergeCell ref="B17:C17"/>
    <mergeCell ref="B18:C18"/>
    <mergeCell ref="F16:G16"/>
    <mergeCell ref="B20:C21"/>
    <mergeCell ref="D20:D21"/>
  </mergeCells>
  <phoneticPr fontId="6" type="noConversion"/>
  <printOptions horizontalCentered="1" verticalCentered="1"/>
  <pageMargins left="0" right="0.39370078740157483" top="0" bottom="0" header="0" footer="0"/>
  <pageSetup scale="80" orientation="portrait" horizontalDpi="360" verticalDpi="360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2:M9"/>
  <sheetViews>
    <sheetView workbookViewId="0">
      <selection activeCell="D26" sqref="D26"/>
    </sheetView>
  </sheetViews>
  <sheetFormatPr baseColWidth="10" defaultRowHeight="12.75" x14ac:dyDescent="0.2"/>
  <cols>
    <col min="1" max="2" width="10.42578125" customWidth="1"/>
    <col min="3" max="3" width="18.28515625" customWidth="1"/>
    <col min="4" max="4" width="20" customWidth="1"/>
    <col min="6" max="6" width="12.42578125" customWidth="1"/>
    <col min="11" max="11" width="17.7109375" customWidth="1"/>
    <col min="12" max="12" width="12.42578125" customWidth="1"/>
    <col min="13" max="13" width="15.42578125" customWidth="1"/>
  </cols>
  <sheetData>
    <row r="2" spans="1:13" ht="18.75" customHeight="1" x14ac:dyDescent="0.2">
      <c r="A2" s="143" t="s">
        <v>9</v>
      </c>
      <c r="B2" s="143"/>
      <c r="C2" s="5" t="s">
        <v>10</v>
      </c>
      <c r="D2" s="4" t="s">
        <v>2</v>
      </c>
      <c r="E2" s="4" t="s">
        <v>0</v>
      </c>
      <c r="F2" s="4" t="s">
        <v>1</v>
      </c>
      <c r="G2" s="4" t="s">
        <v>3</v>
      </c>
      <c r="H2" s="4" t="s">
        <v>4</v>
      </c>
      <c r="I2" s="4" t="s">
        <v>6</v>
      </c>
      <c r="J2" s="4" t="s">
        <v>5</v>
      </c>
      <c r="K2" s="4" t="s">
        <v>7</v>
      </c>
      <c r="L2" s="4" t="s">
        <v>8</v>
      </c>
      <c r="M2" s="4" t="s">
        <v>11</v>
      </c>
    </row>
    <row r="3" spans="1:13" ht="18.75" customHeight="1" x14ac:dyDescent="0.2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14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12</v>
      </c>
    </row>
    <row r="4" spans="1:13" ht="18.75" customHeight="1" x14ac:dyDescent="0.2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13</v>
      </c>
    </row>
    <row r="5" spans="1:13" ht="18.75" customHeight="1" x14ac:dyDescent="0.2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13</v>
      </c>
    </row>
    <row r="6" spans="1:13" ht="18.75" customHeight="1" x14ac:dyDescent="0.2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13</v>
      </c>
    </row>
    <row r="7" spans="1:13" ht="18.75" customHeight="1" x14ac:dyDescent="0.2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13</v>
      </c>
    </row>
    <row r="8" spans="1:13" ht="18.75" customHeight="1" x14ac:dyDescent="0.2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12</v>
      </c>
    </row>
    <row r="9" spans="1:13" ht="15" customHeight="1" x14ac:dyDescent="0.2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Equivalente</vt:lpstr>
      <vt:lpstr>Hoja1</vt:lpstr>
      <vt:lpstr>Equivalente!Área_de_impresión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Jazmin Grandez</cp:lastModifiedBy>
  <cp:lastPrinted>2025-08-04T16:14:31Z</cp:lastPrinted>
  <dcterms:created xsi:type="dcterms:W3CDTF">1999-11-07T15:11:55Z</dcterms:created>
  <dcterms:modified xsi:type="dcterms:W3CDTF">2025-08-04T16:14:33Z</dcterms:modified>
</cp:coreProperties>
</file>