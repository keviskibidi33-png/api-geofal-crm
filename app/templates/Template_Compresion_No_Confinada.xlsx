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DB32C467-D4E3-46C6-8768-633D802F9BCC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CNC" sheetId="91" state="hidden" r:id="rId1"/>
    <sheet name="CNC (2)" sheetId="92" r:id="rId2"/>
  </sheets>
  <definedNames>
    <definedName name="_xlnm.Print_Area" localSheetId="0">CNC!$A$1:$H$61</definedName>
    <definedName name="_xlnm.Print_Area" localSheetId="1">'CNC (2)'!$A$1:$H$61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92" l="1"/>
  <c r="D49" i="92" s="1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27" i="92"/>
  <c r="C49" i="92" l="1"/>
  <c r="D50" i="92"/>
  <c r="C50" i="92" s="1"/>
  <c r="C48" i="92"/>
  <c r="L32" i="91" l="1"/>
  <c r="L29" i="91"/>
  <c r="L30" i="91"/>
  <c r="L31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J28" i="91"/>
  <c r="I28" i="91" l="1"/>
  <c r="J44" i="91"/>
  <c r="I44" i="91" s="1"/>
  <c r="J45" i="91"/>
  <c r="I45" i="91" s="1"/>
  <c r="J46" i="91"/>
  <c r="I46" i="91" s="1"/>
  <c r="J47" i="91"/>
  <c r="I47" i="91" s="1"/>
  <c r="C27" i="91"/>
  <c r="L28" i="91" s="1"/>
  <c r="J27" i="91"/>
  <c r="I27" i="91" s="1"/>
  <c r="B27" i="91" s="1"/>
  <c r="J43" i="91"/>
  <c r="I43" i="91" s="1"/>
  <c r="J42" i="91"/>
  <c r="I42" i="91" s="1"/>
  <c r="J41" i="91"/>
  <c r="I41" i="91" s="1"/>
  <c r="J40" i="91"/>
  <c r="I40" i="91" s="1"/>
  <c r="J37" i="91" l="1"/>
  <c r="I37" i="91" s="1"/>
  <c r="J39" i="91"/>
  <c r="I39" i="91" s="1"/>
  <c r="J38" i="91"/>
  <c r="I38" i="91" s="1"/>
  <c r="J36" i="91"/>
  <c r="I36" i="91" s="1"/>
  <c r="J35" i="91"/>
  <c r="I35" i="91" s="1"/>
  <c r="J34" i="91"/>
  <c r="I34" i="91" s="1"/>
  <c r="J33" i="91"/>
  <c r="I33" i="91" s="1"/>
  <c r="J32" i="91"/>
  <c r="I32" i="91" s="1"/>
  <c r="J31" i="91"/>
  <c r="I31" i="91" s="1"/>
  <c r="J30" i="91"/>
  <c r="I30" i="91" s="1"/>
  <c r="J29" i="91"/>
  <c r="I29" i="91" s="1"/>
</calcChain>
</file>

<file path=xl/sharedStrings.xml><?xml version="1.0" encoding="utf-8"?>
<sst xmlns="http://schemas.openxmlformats.org/spreadsheetml/2006/main" count="137" uniqueCount="92">
  <si>
    <t>LABORATORIO DE ENSAYO DE MATERIALES</t>
  </si>
  <si>
    <t>Página 1 de 1</t>
  </si>
  <si>
    <t>tiempo</t>
  </si>
  <si>
    <t>Penetración</t>
  </si>
  <si>
    <t>(Pulg.)</t>
  </si>
  <si>
    <t>(mm.)</t>
  </si>
  <si>
    <t>gr</t>
  </si>
  <si>
    <t>cm3</t>
  </si>
  <si>
    <t>gr/cm3</t>
  </si>
  <si>
    <t>%</t>
  </si>
  <si>
    <t>FORMATO N° F-LEM-P-SU-07.01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</si>
  <si>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</si>
  <si>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Observaciones:</t>
  </si>
  <si>
    <t>Versión : 03 (17-05-2021)</t>
  </si>
  <si>
    <t>METODO DE ENSAYO NORMALIZADO PARA LA RESISTENCIA A LA COMPRESION NO CONFINADA DE SUELO COHESIVOS</t>
  </si>
  <si>
    <t>NORMA  NTP 339.167 - 2002 (revisadado el 2015)</t>
  </si>
  <si>
    <t>(a) Tara Nº</t>
  </si>
  <si>
    <t>(b) Tara+suelo húmedo</t>
  </si>
  <si>
    <t>(c) Tara+suelo seco</t>
  </si>
  <si>
    <t>(e) Peso de tara</t>
  </si>
  <si>
    <t>(d) Peso de agua (b-c)</t>
  </si>
  <si>
    <t>(f) Peso de suelo seco (c-e)</t>
  </si>
  <si>
    <t>(g) Humedad (d/f*100)</t>
  </si>
  <si>
    <t>Altura</t>
  </si>
  <si>
    <t>Area</t>
  </si>
  <si>
    <t>Volumen</t>
  </si>
  <si>
    <t>Diametro</t>
  </si>
  <si>
    <t>Peso</t>
  </si>
  <si>
    <t>P. Unitario Humedo</t>
  </si>
  <si>
    <t>P. Unitario Seco</t>
  </si>
  <si>
    <t>cm2</t>
  </si>
  <si>
    <t>cm</t>
  </si>
  <si>
    <t>Nº</t>
  </si>
  <si>
    <t>(segundos)</t>
  </si>
  <si>
    <t>Kg</t>
  </si>
  <si>
    <t>Contenido de Humedad</t>
  </si>
  <si>
    <t>Datos Muestra de Ensayo</t>
  </si>
  <si>
    <t>1:10</t>
  </si>
  <si>
    <t>1:30</t>
  </si>
  <si>
    <t>2:00</t>
  </si>
  <si>
    <t>2:30</t>
  </si>
  <si>
    <t>3:00</t>
  </si>
  <si>
    <t>3:30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</si>
  <si>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</si>
  <si>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</si>
  <si>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</si>
  <si>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</si>
  <si>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</si>
  <si>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</si>
  <si>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</si>
  <si>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</si>
  <si>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</si>
  <si>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</si>
  <si>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</si>
  <si>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</si>
  <si>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</si>
  <si>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Lectura Carga</t>
  </si>
  <si>
    <t>0:00</t>
  </si>
  <si>
    <t>1:16</t>
  </si>
  <si>
    <t>0:15</t>
  </si>
  <si>
    <t>0:46</t>
  </si>
  <si>
    <t>1:47</t>
  </si>
  <si>
    <t>2:17</t>
  </si>
  <si>
    <t>2:48</t>
  </si>
  <si>
    <t>3:19</t>
  </si>
  <si>
    <t>3:49</t>
  </si>
  <si>
    <t>4:20</t>
  </si>
  <si>
    <t>4:50</t>
  </si>
  <si>
    <t>5:21</t>
  </si>
  <si>
    <t>5:51</t>
  </si>
  <si>
    <t>6:22</t>
  </si>
  <si>
    <t>6:52</t>
  </si>
  <si>
    <t>7:23</t>
  </si>
  <si>
    <t>7:53</t>
  </si>
  <si>
    <t>8:24</t>
  </si>
  <si>
    <t>8:55</t>
  </si>
  <si>
    <t>9:25</t>
  </si>
  <si>
    <t>9:56</t>
  </si>
  <si>
    <t>10:26</t>
  </si>
  <si>
    <t>10:56</t>
  </si>
  <si>
    <t>11:27</t>
  </si>
  <si>
    <r>
      <t xml:space="preserve">Deformacion </t>
    </r>
    <r>
      <rPr>
        <sz val="8"/>
        <rFont val="Calibri"/>
        <family val="2"/>
      </rPr>
      <t>Δ</t>
    </r>
    <r>
      <rPr>
        <sz val="8"/>
        <rFont val="Arial"/>
        <family val="2"/>
      </rPr>
      <t>L</t>
    </r>
  </si>
  <si>
    <t>Altura (Lo)</t>
  </si>
  <si>
    <t>Area (Ao)</t>
  </si>
  <si>
    <t>MÉTODO DE ENSAYO NORMALIZADO PARA LA RESISTENCIA A LA COMPRESIÓN NO CONFINADA DE SUELO COHESIVOS</t>
  </si>
  <si>
    <t>FORMATO N° F-LEM-P-SU-33.01</t>
  </si>
  <si>
    <t>Versión : 01 (03-10-2022)</t>
  </si>
  <si>
    <t>(0,01 Pulg.)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</si>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</sst>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FORMATO F-LEM-P-SU-11.01&quot;"/>
    <numFmt numFmtId="166" formatCode="000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8"/>
      <color rgb="FF0000FF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b/>
      <sz val="10"/>
      <color rgb="FFFF0000"/>
      <name val="Times New Roman"/>
      <family val="1"/>
    </font>
    <font>
      <b/>
      <u/>
      <sz val="11"/>
      <color theme="0"/>
      <name val="Arial"/>
      <family val="2"/>
    </font>
    <font>
      <sz val="8"/>
      <name val="Calibri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7" fillId="0" borderId="0"/>
  </cellStyleXfs>
  <cellXfs count="91">
    <xf numFmtId="0" fontId="0" fillId="0" borderId="0" xfId="0"/>
    <xf numFmtId="0" fontId="5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0" fontId="2" fillId="0" borderId="0" xfId="0" applyFont="1" applyAlignment="1" applyProtection="1">
      <alignment vertical="center"/>
      <protection hidden="1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9" fillId="3" borderId="0" xfId="0" applyFont="1" applyFill="1" applyAlignment="1" applyProtection="1">
      <alignment vertical="center"/>
      <protection hidden="1"/>
    </xf>
    <xf numFmtId="0" fontId="13" fillId="2" borderId="0" xfId="3" applyFont="1" applyFill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18" xfId="0" applyFont="1" applyBorder="1" applyProtection="1"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15" xfId="0" applyFont="1" applyBorder="1" applyAlignment="1" applyProtection="1">
      <alignment horizontal="left" vertical="center"/>
      <protection hidden="1"/>
    </xf>
    <xf numFmtId="0" fontId="6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7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0" borderId="1" xfId="0" applyFont="1" applyBorder="1" applyProtection="1">
      <protection hidden="1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0" fontId="5" fillId="0" borderId="17" xfId="0" applyFont="1" applyBorder="1" applyProtection="1">
      <protection hidden="1"/>
    </xf>
    <xf numFmtId="0" fontId="5" fillId="0" borderId="19" xfId="0" applyFont="1" applyBorder="1" applyProtection="1">
      <protection hidden="1"/>
    </xf>
    <xf numFmtId="2" fontId="9" fillId="2" borderId="0" xfId="0" applyNumberFormat="1" applyFont="1" applyFill="1" applyAlignment="1">
      <alignment horizontal="center" vertical="center"/>
    </xf>
    <xf numFmtId="2" fontId="19" fillId="3" borderId="10" xfId="5" applyNumberFormat="1" applyFont="1" applyFill="1" applyBorder="1" applyAlignment="1" applyProtection="1">
      <alignment horizontal="center"/>
      <protection locked="0"/>
    </xf>
    <xf numFmtId="0" fontId="5" fillId="0" borderId="21" xfId="0" applyFont="1" applyBorder="1" applyProtection="1">
      <protection hidden="1"/>
    </xf>
    <xf numFmtId="0" fontId="9" fillId="2" borderId="21" xfId="0" applyFont="1" applyFill="1" applyBorder="1" applyAlignment="1">
      <alignment vertical="center"/>
    </xf>
    <xf numFmtId="0" fontId="9" fillId="0" borderId="21" xfId="0" applyFont="1" applyBorder="1" applyAlignment="1" applyProtection="1">
      <alignment horizontal="left" vertical="center" indent="2"/>
      <protection hidden="1"/>
    </xf>
    <xf numFmtId="0" fontId="2" fillId="0" borderId="21" xfId="0" applyFont="1" applyBorder="1" applyAlignment="1" applyProtection="1">
      <alignment horizontal="left" vertical="center"/>
      <protection hidden="1"/>
    </xf>
    <xf numFmtId="0" fontId="15" fillId="2" borderId="1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9" fillId="2" borderId="0" xfId="0" applyNumberFormat="1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64" fontId="8" fillId="2" borderId="14" xfId="0" applyNumberFormat="1" applyFont="1" applyFill="1" applyBorder="1" applyAlignment="1">
      <alignment vertical="center"/>
    </xf>
    <xf numFmtId="164" fontId="8" fillId="2" borderId="16" xfId="0" applyNumberFormat="1" applyFont="1" applyFill="1" applyBorder="1" applyAlignment="1">
      <alignment vertical="center"/>
    </xf>
    <xf numFmtId="0" fontId="2" fillId="0" borderId="11" xfId="0" applyFont="1" applyBorder="1" applyAlignment="1" applyProtection="1">
      <alignment horizontal="left" vertical="center"/>
      <protection hidden="1"/>
    </xf>
    <xf numFmtId="2" fontId="5" fillId="0" borderId="0" xfId="0" applyNumberFormat="1" applyFont="1" applyProtection="1">
      <protection hidden="1"/>
    </xf>
    <xf numFmtId="0" fontId="9" fillId="2" borderId="1" xfId="0" quotePrefix="1" applyFont="1" applyFill="1" applyBorder="1" applyAlignment="1">
      <alignment horizontal="center" vertical="center"/>
    </xf>
    <xf numFmtId="0" fontId="2" fillId="0" borderId="23" xfId="0" applyFont="1" applyBorder="1" applyAlignment="1" applyProtection="1">
      <alignment horizontal="left" vertical="center"/>
      <protection hidden="1"/>
    </xf>
    <xf numFmtId="0" fontId="9" fillId="0" borderId="24" xfId="0" applyFont="1" applyBorder="1" applyAlignment="1" applyProtection="1">
      <alignment horizontal="left" vertical="center" indent="2"/>
      <protection hidden="1"/>
    </xf>
    <xf numFmtId="0" fontId="2" fillId="0" borderId="24" xfId="0" applyFont="1" applyBorder="1" applyAlignment="1" applyProtection="1">
      <alignment vertical="center"/>
      <protection hidden="1"/>
    </xf>
    <xf numFmtId="166" fontId="18" fillId="3" borderId="24" xfId="0" quotePrefix="1" applyNumberFormat="1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vertical="center"/>
    </xf>
    <xf numFmtId="2" fontId="19" fillId="3" borderId="25" xfId="5" applyNumberFormat="1" applyFont="1" applyFill="1" applyBorder="1" applyAlignment="1" applyProtection="1">
      <alignment horizontal="center"/>
      <protection locked="0"/>
    </xf>
    <xf numFmtId="0" fontId="6" fillId="2" borderId="25" xfId="0" applyFont="1" applyFill="1" applyBorder="1" applyAlignment="1">
      <alignment vertical="center"/>
    </xf>
    <xf numFmtId="164" fontId="8" fillId="2" borderId="25" xfId="0" applyNumberFormat="1" applyFont="1" applyFill="1" applyBorder="1" applyAlignment="1">
      <alignment vertical="center"/>
    </xf>
    <xf numFmtId="1" fontId="5" fillId="0" borderId="0" xfId="0" applyNumberFormat="1" applyFont="1" applyProtection="1"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12" fillId="0" borderId="0" xfId="1" applyFont="1" applyBorder="1" applyAlignment="1" applyProtection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165" fontId="20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5" fillId="2" borderId="1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/>
    </xf>
    <xf numFmtId="0" fontId="15" fillId="2" borderId="1" xfId="3" applyFont="1" applyFill="1" applyBorder="1" applyAlignment="1">
      <alignment vertical="center"/>
    </xf>
    <xf numFmtId="0" fontId="5" fillId="0" borderId="1" xfId="0" applyFont="1" applyBorder="1" applyAlignment="1" applyProtection="1">
      <alignment horizontal="center"/>
      <protection hidden="1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 8" xfId="5" xr:uid="{126D2E20-640E-4C61-B575-DEDC78094132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59</xdr:row>
      <xdr:rowOff>121920</xdr:rowOff>
    </xdr:from>
    <xdr:to>
      <xdr:col>8</xdr:col>
      <xdr:colOff>0</xdr:colOff>
      <xdr:row>59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33760"/>
          <a:ext cx="666000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320040</xdr:colOff>
      <xdr:row>7</xdr:row>
      <xdr:rowOff>182880</xdr:rowOff>
    </xdr:from>
    <xdr:to>
      <xdr:col>2</xdr:col>
      <xdr:colOff>655140</xdr:colOff>
      <xdr:row>9</xdr:row>
      <xdr:rowOff>44160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40180" y="1562100"/>
          <a:ext cx="1455240" cy="288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2</xdr:col>
      <xdr:colOff>693420</xdr:colOff>
      <xdr:row>7</xdr:row>
      <xdr:rowOff>190500</xdr:rowOff>
    </xdr:from>
    <xdr:to>
      <xdr:col>3</xdr:col>
      <xdr:colOff>1013280</xdr:colOff>
      <xdr:row>9</xdr:row>
      <xdr:rowOff>51780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33700" y="1569720"/>
          <a:ext cx="1440000" cy="288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1051560</xdr:colOff>
      <xdr:row>7</xdr:row>
      <xdr:rowOff>190500</xdr:rowOff>
    </xdr:from>
    <xdr:to>
      <xdr:col>5</xdr:col>
      <xdr:colOff>236040</xdr:colOff>
      <xdr:row>9</xdr:row>
      <xdr:rowOff>51780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411980" y="1569720"/>
          <a:ext cx="1424760" cy="288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320040</xdr:colOff>
      <xdr:row>9</xdr:row>
      <xdr:rowOff>83820</xdr:rowOff>
    </xdr:from>
    <xdr:to>
      <xdr:col>2</xdr:col>
      <xdr:colOff>655140</xdr:colOff>
      <xdr:row>10</xdr:row>
      <xdr:rowOff>173700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40180" y="1889760"/>
          <a:ext cx="1455240" cy="28800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693420</xdr:colOff>
      <xdr:row>9</xdr:row>
      <xdr:rowOff>91440</xdr:rowOff>
    </xdr:from>
    <xdr:to>
      <xdr:col>3</xdr:col>
      <xdr:colOff>1013280</xdr:colOff>
      <xdr:row>10</xdr:row>
      <xdr:rowOff>181320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933700" y="1897380"/>
          <a:ext cx="1440000" cy="28800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1051560</xdr:colOff>
      <xdr:row>9</xdr:row>
      <xdr:rowOff>91440</xdr:rowOff>
    </xdr:from>
    <xdr:to>
      <xdr:col>5</xdr:col>
      <xdr:colOff>236040</xdr:colOff>
      <xdr:row>10</xdr:row>
      <xdr:rowOff>181320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11980" y="1897380"/>
          <a:ext cx="1424760" cy="28800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518160</xdr:colOff>
      <xdr:row>7</xdr:row>
      <xdr:rowOff>182880</xdr:rowOff>
    </xdr:from>
    <xdr:to>
      <xdr:col>16</xdr:col>
      <xdr:colOff>238440</xdr:colOff>
      <xdr:row>8</xdr:row>
      <xdr:rowOff>170280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142220" y="1600200"/>
          <a:ext cx="255492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12</xdr:col>
      <xdr:colOff>518160</xdr:colOff>
      <xdr:row>8</xdr:row>
      <xdr:rowOff>167640</xdr:rowOff>
    </xdr:from>
    <xdr:to>
      <xdr:col>15</xdr:col>
      <xdr:colOff>128040</xdr:colOff>
      <xdr:row>9</xdr:row>
      <xdr:rowOff>185520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142220" y="18135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12</xdr:col>
      <xdr:colOff>518160</xdr:colOff>
      <xdr:row>9</xdr:row>
      <xdr:rowOff>182880</xdr:rowOff>
    </xdr:from>
    <xdr:to>
      <xdr:col>15</xdr:col>
      <xdr:colOff>128040</xdr:colOff>
      <xdr:row>11</xdr:row>
      <xdr:rowOff>2640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142220" y="202692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15</xdr:col>
      <xdr:colOff>129540</xdr:colOff>
      <xdr:row>8</xdr:row>
      <xdr:rowOff>167640</xdr:rowOff>
    </xdr:from>
    <xdr:to>
      <xdr:col>16</xdr:col>
      <xdr:colOff>239940</xdr:colOff>
      <xdr:row>9</xdr:row>
      <xdr:rowOff>185520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879580" y="181356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129540</xdr:colOff>
      <xdr:row>9</xdr:row>
      <xdr:rowOff>182880</xdr:rowOff>
    </xdr:from>
    <xdr:to>
      <xdr:col>16</xdr:col>
      <xdr:colOff>239940</xdr:colOff>
      <xdr:row>11</xdr:row>
      <xdr:rowOff>2640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879580" y="202692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11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129541</xdr:colOff>
      <xdr:row>53</xdr:row>
      <xdr:rowOff>175260</xdr:rowOff>
    </xdr:from>
    <xdr:to>
      <xdr:col>2</xdr:col>
      <xdr:colOff>434161</xdr:colOff>
      <xdr:row>57</xdr:row>
      <xdr:rowOff>15240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249681" y="11071860"/>
          <a:ext cx="1424760" cy="63246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129540</xdr:colOff>
      <xdr:row>57</xdr:row>
      <xdr:rowOff>53340</xdr:rowOff>
    </xdr:from>
    <xdr:to>
      <xdr:col>2</xdr:col>
      <xdr:colOff>434160</xdr:colOff>
      <xdr:row>58</xdr:row>
      <xdr:rowOff>137160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249680" y="11742420"/>
          <a:ext cx="142476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2</xdr:col>
      <xdr:colOff>613410</xdr:colOff>
      <xdr:row>53</xdr:row>
      <xdr:rowOff>184785</xdr:rowOff>
    </xdr:from>
    <xdr:to>
      <xdr:col>3</xdr:col>
      <xdr:colOff>933270</xdr:colOff>
      <xdr:row>57</xdr:row>
      <xdr:rowOff>24765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853690" y="11081385"/>
          <a:ext cx="1440000" cy="63246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2</xdr:col>
      <xdr:colOff>611506</xdr:colOff>
      <xdr:row>57</xdr:row>
      <xdr:rowOff>53340</xdr:rowOff>
    </xdr:from>
    <xdr:to>
      <xdr:col>3</xdr:col>
      <xdr:colOff>931366</xdr:colOff>
      <xdr:row>58</xdr:row>
      <xdr:rowOff>137160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51786" y="117424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3</xdr:col>
      <xdr:colOff>1102996</xdr:colOff>
      <xdr:row>53</xdr:row>
      <xdr:rowOff>175260</xdr:rowOff>
    </xdr:from>
    <xdr:to>
      <xdr:col>5</xdr:col>
      <xdr:colOff>356056</xdr:colOff>
      <xdr:row>57</xdr:row>
      <xdr:rowOff>15240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463416" y="11071860"/>
          <a:ext cx="1493340" cy="63246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1104900</xdr:colOff>
      <xdr:row>57</xdr:row>
      <xdr:rowOff>53340</xdr:rowOff>
    </xdr:from>
    <xdr:to>
      <xdr:col>5</xdr:col>
      <xdr:colOff>357960</xdr:colOff>
      <xdr:row>58</xdr:row>
      <xdr:rowOff>137160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465320" y="11742420"/>
          <a:ext cx="149334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1</xdr:col>
      <xdr:colOff>950594</xdr:colOff>
      <xdr:row>0</xdr:row>
      <xdr:rowOff>45719</xdr:rowOff>
    </xdr:from>
    <xdr:to>
      <xdr:col>4</xdr:col>
      <xdr:colOff>708660</xdr:colOff>
      <xdr:row>4</xdr:row>
      <xdr:rowOff>152400</xdr:rowOff>
    </xdr:to>
    <xdr:pic>
      <xdr:nvPicPr>
        <xdr:cNvPr id="25" name="1 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2070734" y="45719"/>
          <a:ext cx="3118486" cy="899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59</xdr:row>
      <xdr:rowOff>121920</xdr:rowOff>
    </xdr:from>
    <xdr:to>
      <xdr:col>8</xdr:col>
      <xdr:colOff>0</xdr:colOff>
      <xdr:row>59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8CC5046-F0FA-48C9-A88B-AC38CE4B4667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2207240"/>
          <a:ext cx="777240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518160</xdr:colOff>
      <xdr:row>7</xdr:row>
      <xdr:rowOff>182880</xdr:rowOff>
    </xdr:from>
    <xdr:to>
      <xdr:col>16</xdr:col>
      <xdr:colOff>238440</xdr:colOff>
      <xdr:row>8</xdr:row>
      <xdr:rowOff>170280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633EC1FD-75A0-4FCB-BF2A-FD627D8749BD}"/>
            </a:ext>
          </a:extLst>
        </xdr:cNvPr>
        <xdr:cNvSpPr txBox="1"/>
      </xdr:nvSpPr>
      <xdr:spPr>
        <a:xfrm>
          <a:off x="11216640" y="1562100"/>
          <a:ext cx="255492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12</xdr:col>
      <xdr:colOff>518160</xdr:colOff>
      <xdr:row>8</xdr:row>
      <xdr:rowOff>167640</xdr:rowOff>
    </xdr:from>
    <xdr:to>
      <xdr:col>15</xdr:col>
      <xdr:colOff>128040</xdr:colOff>
      <xdr:row>9</xdr:row>
      <xdr:rowOff>185520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BE146D0B-7EA9-4ED9-8CCC-A25AF7EB1A55}"/>
            </a:ext>
          </a:extLst>
        </xdr:cNvPr>
        <xdr:cNvSpPr txBox="1"/>
      </xdr:nvSpPr>
      <xdr:spPr>
        <a:xfrm>
          <a:off x="11216640" y="17754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12</xdr:col>
      <xdr:colOff>518160</xdr:colOff>
      <xdr:row>9</xdr:row>
      <xdr:rowOff>182880</xdr:rowOff>
    </xdr:from>
    <xdr:to>
      <xdr:col>15</xdr:col>
      <xdr:colOff>128040</xdr:colOff>
      <xdr:row>11</xdr:row>
      <xdr:rowOff>2640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E27F785E-7A48-40A8-8C89-40DA24A2E034}"/>
            </a:ext>
          </a:extLst>
        </xdr:cNvPr>
        <xdr:cNvSpPr txBox="1"/>
      </xdr:nvSpPr>
      <xdr:spPr>
        <a:xfrm>
          <a:off x="11216640" y="198882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15</xdr:col>
      <xdr:colOff>129540</xdr:colOff>
      <xdr:row>8</xdr:row>
      <xdr:rowOff>167640</xdr:rowOff>
    </xdr:from>
    <xdr:to>
      <xdr:col>16</xdr:col>
      <xdr:colOff>239940</xdr:colOff>
      <xdr:row>9</xdr:row>
      <xdr:rowOff>185520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7BDC7F85-D401-4BB7-83AB-3F6A73901B5A}"/>
            </a:ext>
          </a:extLst>
        </xdr:cNvPr>
        <xdr:cNvSpPr txBox="1"/>
      </xdr:nvSpPr>
      <xdr:spPr>
        <a:xfrm>
          <a:off x="12954000" y="177546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129540</xdr:colOff>
      <xdr:row>9</xdr:row>
      <xdr:rowOff>182880</xdr:rowOff>
    </xdr:from>
    <xdr:to>
      <xdr:col>16</xdr:col>
      <xdr:colOff>239940</xdr:colOff>
      <xdr:row>11</xdr:row>
      <xdr:rowOff>2640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655B078-FF43-4645-A623-7824BF84D767}"/>
            </a:ext>
          </a:extLst>
        </xdr:cNvPr>
        <xdr:cNvSpPr txBox="1"/>
      </xdr:nvSpPr>
      <xdr:spPr>
        <a:xfrm>
          <a:off x="12954000" y="198882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11</xdr:col>
      <xdr:colOff>624840</xdr:colOff>
      <xdr:row>6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0F68660-DEB8-4786-9904-B5F40B68C69E}"/>
            </a:ext>
          </a:extLst>
        </xdr:cNvPr>
        <xdr:cNvSpPr txBox="1"/>
      </xdr:nvSpPr>
      <xdr:spPr>
        <a:xfrm>
          <a:off x="10614660" y="11582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984885</xdr:colOff>
      <xdr:row>53</xdr:row>
      <xdr:rowOff>108585</xdr:rowOff>
    </xdr:from>
    <xdr:to>
      <xdr:col>3</xdr:col>
      <xdr:colOff>725411</xdr:colOff>
      <xdr:row>56</xdr:row>
      <xdr:rowOff>148590</xdr:rowOff>
    </xdr:to>
    <xdr:sp macro="" textlink="">
      <xdr:nvSpPr>
        <xdr:cNvPr id="17" name="14 Rectángulo">
          <a:extLst>
            <a:ext uri="{FF2B5EF4-FFF2-40B4-BE49-F238E27FC236}">
              <a16:creationId xmlns:a16="http://schemas.microsoft.com/office/drawing/2014/main" id="{FE40A39D-870E-489A-AB58-57ADF16F0AC3}"/>
            </a:ext>
          </a:extLst>
        </xdr:cNvPr>
        <xdr:cNvSpPr/>
      </xdr:nvSpPr>
      <xdr:spPr>
        <a:xfrm>
          <a:off x="2070735" y="10843260"/>
          <a:ext cx="1912226" cy="6400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982981</xdr:colOff>
      <xdr:row>56</xdr:row>
      <xdr:rowOff>177165</xdr:rowOff>
    </xdr:from>
    <xdr:to>
      <xdr:col>3</xdr:col>
      <xdr:colOff>723507</xdr:colOff>
      <xdr:row>58</xdr:row>
      <xdr:rowOff>60960</xdr:rowOff>
    </xdr:to>
    <xdr:sp macro="" textlink="">
      <xdr:nvSpPr>
        <xdr:cNvPr id="18" name="15 CuadroTexto">
          <a:extLst>
            <a:ext uri="{FF2B5EF4-FFF2-40B4-BE49-F238E27FC236}">
              <a16:creationId xmlns:a16="http://schemas.microsoft.com/office/drawing/2014/main" id="{5D76F493-B5BE-47B9-824B-1B3CD3F2913B}"/>
            </a:ext>
          </a:extLst>
        </xdr:cNvPr>
        <xdr:cNvSpPr txBox="1"/>
      </xdr:nvSpPr>
      <xdr:spPr>
        <a:xfrm>
          <a:off x="2068831" y="11511915"/>
          <a:ext cx="1912226" cy="2838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3</xdr:col>
      <xdr:colOff>769620</xdr:colOff>
      <xdr:row>53</xdr:row>
      <xdr:rowOff>99060</xdr:rowOff>
    </xdr:from>
    <xdr:to>
      <xdr:col>5</xdr:col>
      <xdr:colOff>561975</xdr:colOff>
      <xdr:row>56</xdr:row>
      <xdr:rowOff>139065</xdr:rowOff>
    </xdr:to>
    <xdr:sp macro="" textlink="">
      <xdr:nvSpPr>
        <xdr:cNvPr id="19" name="16 Rectángulo">
          <a:extLst>
            <a:ext uri="{FF2B5EF4-FFF2-40B4-BE49-F238E27FC236}">
              <a16:creationId xmlns:a16="http://schemas.microsoft.com/office/drawing/2014/main" id="{D0FEE8E9-6926-4638-A99A-73396B529A5A}"/>
            </a:ext>
          </a:extLst>
        </xdr:cNvPr>
        <xdr:cNvSpPr/>
      </xdr:nvSpPr>
      <xdr:spPr>
        <a:xfrm>
          <a:off x="4027170" y="10833735"/>
          <a:ext cx="1964055" cy="6400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771524</xdr:colOff>
      <xdr:row>56</xdr:row>
      <xdr:rowOff>177165</xdr:rowOff>
    </xdr:from>
    <xdr:to>
      <xdr:col>5</xdr:col>
      <xdr:colOff>563879</xdr:colOff>
      <xdr:row>58</xdr:row>
      <xdr:rowOff>60960</xdr:rowOff>
    </xdr:to>
    <xdr:sp macro="" textlink="">
      <xdr:nvSpPr>
        <xdr:cNvPr id="20" name="17 CuadroTexto">
          <a:extLst>
            <a:ext uri="{FF2B5EF4-FFF2-40B4-BE49-F238E27FC236}">
              <a16:creationId xmlns:a16="http://schemas.microsoft.com/office/drawing/2014/main" id="{18770D20-4A09-420C-92D0-BD24ECE79C0D}"/>
            </a:ext>
          </a:extLst>
        </xdr:cNvPr>
        <xdr:cNvSpPr txBox="1"/>
      </xdr:nvSpPr>
      <xdr:spPr>
        <a:xfrm>
          <a:off x="4029074" y="11511915"/>
          <a:ext cx="1964055" cy="2838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2</xdr:col>
      <xdr:colOff>1066801</xdr:colOff>
      <xdr:row>0</xdr:row>
      <xdr:rowOff>38100</xdr:rowOff>
    </xdr:from>
    <xdr:to>
      <xdr:col>4</xdr:col>
      <xdr:colOff>280459</xdr:colOff>
      <xdr:row>4</xdr:row>
      <xdr:rowOff>152400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75B39E3-86E5-4636-89F4-5544CF2C7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1" y="38100"/>
          <a:ext cx="1385358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63"/>
  <sheetViews>
    <sheetView showGridLines="0" topLeftCell="A19" zoomScaleNormal="100" zoomScaleSheetLayoutView="100" workbookViewId="0">
      <selection activeCell="M21" sqref="M21"/>
    </sheetView>
  </sheetViews>
  <sheetFormatPr baseColWidth="10" defaultColWidth="10.33203125" defaultRowHeight="13.8" x14ac:dyDescent="0.25"/>
  <cols>
    <col min="1" max="5" width="16.33203125" style="1" customWidth="1"/>
    <col min="6" max="10" width="10.6640625" style="1" customWidth="1"/>
    <col min="11" max="16384" width="10.33203125" style="1"/>
  </cols>
  <sheetData>
    <row r="1" spans="1:9" ht="15.75" customHeight="1" thickTop="1" x14ac:dyDescent="0.25">
      <c r="A1" s="5"/>
      <c r="B1" s="6"/>
      <c r="C1" s="6"/>
      <c r="D1" s="7"/>
      <c r="E1" s="7"/>
      <c r="F1" s="7"/>
      <c r="G1" s="7"/>
      <c r="H1" s="31"/>
    </row>
    <row r="2" spans="1:9" ht="15.75" customHeight="1" x14ac:dyDescent="0.25">
      <c r="A2" s="8"/>
      <c r="B2" s="32"/>
      <c r="C2" s="32"/>
      <c r="D2" s="33"/>
      <c r="E2" s="33"/>
      <c r="F2" s="33"/>
      <c r="G2" s="33"/>
      <c r="H2" s="34"/>
    </row>
    <row r="3" spans="1:9" ht="15.75" customHeight="1" x14ac:dyDescent="0.25">
      <c r="A3" s="8"/>
      <c r="B3" s="32"/>
      <c r="C3" s="32"/>
      <c r="D3" s="33"/>
      <c r="E3" s="33"/>
      <c r="F3" s="33"/>
      <c r="G3" s="33"/>
      <c r="H3" s="34"/>
    </row>
    <row r="4" spans="1:9" ht="15.75" customHeight="1" x14ac:dyDescent="0.25">
      <c r="A4" s="8"/>
      <c r="B4" s="32"/>
      <c r="C4" s="32"/>
      <c r="D4" s="33"/>
      <c r="E4" s="33"/>
      <c r="F4" s="33"/>
      <c r="G4" s="33"/>
      <c r="H4" s="34"/>
    </row>
    <row r="5" spans="1:9" ht="15.75" customHeight="1" thickBot="1" x14ac:dyDescent="0.3">
      <c r="A5" s="9"/>
      <c r="B5" s="4"/>
      <c r="C5" s="4"/>
      <c r="D5" s="4"/>
      <c r="E5" s="4"/>
      <c r="F5" s="4"/>
      <c r="G5" s="4"/>
      <c r="H5" s="35"/>
    </row>
    <row r="6" spans="1:9" ht="12.75" customHeight="1" thickTop="1" x14ac:dyDescent="0.25">
      <c r="A6" s="3"/>
      <c r="B6" s="3"/>
      <c r="C6" s="3"/>
      <c r="D6" s="3"/>
      <c r="E6" s="3"/>
      <c r="F6" s="3"/>
      <c r="G6" s="3"/>
      <c r="H6" s="3"/>
    </row>
    <row r="7" spans="1:9" ht="18" customHeight="1" x14ac:dyDescent="0.25">
      <c r="A7" s="78" t="s">
        <v>0</v>
      </c>
      <c r="B7" s="78"/>
      <c r="C7" s="78"/>
      <c r="D7" s="78"/>
      <c r="E7" s="78"/>
      <c r="F7" s="78"/>
      <c r="G7" s="78"/>
      <c r="H7" s="78"/>
    </row>
    <row r="8" spans="1:9" ht="18" customHeight="1" x14ac:dyDescent="0.25">
      <c r="A8" s="79" t="s">
        <v>10</v>
      </c>
      <c r="B8" s="79"/>
      <c r="C8" s="79"/>
      <c r="D8" s="79"/>
      <c r="E8" s="79"/>
      <c r="F8" s="79"/>
      <c r="G8" s="79"/>
      <c r="H8" s="79"/>
    </row>
    <row r="9" spans="1:9" ht="15.75" customHeight="1" x14ac:dyDescent="0.25">
      <c r="A9" s="10"/>
      <c r="B9" s="10"/>
      <c r="C9" s="10"/>
      <c r="D9" s="10"/>
      <c r="E9" s="10"/>
      <c r="F9" s="10"/>
      <c r="G9" s="10"/>
      <c r="H9" s="10"/>
    </row>
    <row r="10" spans="1:9" ht="15.75" customHeight="1" x14ac:dyDescent="0.25">
      <c r="B10" s="11"/>
      <c r="C10" s="11"/>
      <c r="D10" s="11"/>
      <c r="E10" s="11"/>
      <c r="F10" s="11"/>
      <c r="G10" s="11"/>
      <c r="H10" s="11"/>
    </row>
    <row r="11" spans="1:9" ht="15.75" customHeight="1" x14ac:dyDescent="0.25">
      <c r="A11" s="11"/>
      <c r="B11" s="11"/>
      <c r="C11" s="11"/>
      <c r="D11" s="11"/>
      <c r="E11" s="11"/>
      <c r="F11" s="11"/>
      <c r="G11" s="11"/>
      <c r="H11" s="11"/>
    </row>
    <row r="12" spans="1:9" ht="15.75" customHeight="1" x14ac:dyDescent="0.25">
      <c r="A12" s="11"/>
      <c r="B12" s="16"/>
      <c r="C12" s="14"/>
      <c r="D12" s="14"/>
      <c r="E12" s="14"/>
      <c r="F12" s="14"/>
      <c r="G12" s="14"/>
      <c r="H12" s="14"/>
    </row>
    <row r="13" spans="1:9" ht="30" customHeight="1" x14ac:dyDescent="0.25">
      <c r="A13" s="80" t="s">
        <v>14</v>
      </c>
      <c r="B13" s="81"/>
      <c r="C13" s="81"/>
      <c r="D13" s="81"/>
      <c r="E13" s="81"/>
      <c r="F13" s="81"/>
      <c r="G13" s="81"/>
      <c r="H13" s="82"/>
    </row>
    <row r="14" spans="1:9" ht="18" customHeight="1" x14ac:dyDescent="0.25">
      <c r="A14" s="74" t="s">
        <v>15</v>
      </c>
      <c r="B14" s="75"/>
      <c r="C14" s="75"/>
      <c r="D14" s="75"/>
      <c r="E14" s="75"/>
      <c r="F14" s="75"/>
      <c r="G14" s="75"/>
      <c r="H14" s="76"/>
    </row>
    <row r="15" spans="1:9" ht="15" customHeight="1" x14ac:dyDescent="0.25">
      <c r="A15" s="11"/>
      <c r="B15" s="16"/>
      <c r="C15" s="14"/>
      <c r="D15" s="14"/>
      <c r="E15" s="14"/>
      <c r="F15" s="14"/>
      <c r="G15" s="14"/>
      <c r="H15" s="14"/>
    </row>
    <row r="16" spans="1:9" ht="16.5" customHeight="1" x14ac:dyDescent="0.25">
      <c r="A16" s="83" t="s">
        <v>35</v>
      </c>
      <c r="B16" s="83"/>
      <c r="C16" s="83"/>
      <c r="D16" s="83" t="s">
        <v>36</v>
      </c>
      <c r="E16" s="83"/>
      <c r="F16" s="83"/>
      <c r="G16" s="83"/>
      <c r="H16" s="83"/>
      <c r="I16" s="13"/>
    </row>
    <row r="17" spans="1:12" ht="16.5" customHeight="1" x14ac:dyDescent="0.25">
      <c r="A17" s="18" t="s">
        <v>16</v>
      </c>
      <c r="B17" s="19" t="s">
        <v>32</v>
      </c>
      <c r="C17" s="22"/>
      <c r="D17" s="18" t="s">
        <v>26</v>
      </c>
      <c r="E17" s="19" t="s">
        <v>31</v>
      </c>
      <c r="F17" s="36"/>
      <c r="G17" s="36"/>
      <c r="H17" s="36"/>
    </row>
    <row r="18" spans="1:12" ht="16.5" customHeight="1" x14ac:dyDescent="0.25">
      <c r="A18" s="18" t="s">
        <v>17</v>
      </c>
      <c r="B18" s="19" t="s">
        <v>6</v>
      </c>
      <c r="C18" s="22"/>
      <c r="D18" s="18" t="s">
        <v>23</v>
      </c>
      <c r="E18" s="19" t="s">
        <v>31</v>
      </c>
      <c r="F18" s="42"/>
      <c r="G18" s="25"/>
      <c r="H18" s="43"/>
    </row>
    <row r="19" spans="1:12" ht="16.5" customHeight="1" x14ac:dyDescent="0.25">
      <c r="A19" s="18" t="s">
        <v>18</v>
      </c>
      <c r="B19" s="19" t="s">
        <v>6</v>
      </c>
      <c r="C19" s="22"/>
      <c r="D19" s="18" t="s">
        <v>24</v>
      </c>
      <c r="E19" s="19" t="s">
        <v>30</v>
      </c>
      <c r="F19" s="42"/>
      <c r="G19" s="25"/>
      <c r="H19" s="43"/>
    </row>
    <row r="20" spans="1:12" ht="16.5" customHeight="1" x14ac:dyDescent="0.25">
      <c r="A20" s="18" t="s">
        <v>20</v>
      </c>
      <c r="B20" s="19" t="s">
        <v>6</v>
      </c>
      <c r="C20" s="24"/>
      <c r="D20" s="18" t="s">
        <v>25</v>
      </c>
      <c r="E20" s="19" t="s">
        <v>7</v>
      </c>
      <c r="F20" s="42"/>
      <c r="G20" s="25"/>
      <c r="H20" s="43"/>
    </row>
    <row r="21" spans="1:12" ht="16.5" customHeight="1" x14ac:dyDescent="0.25">
      <c r="A21" s="18" t="s">
        <v>19</v>
      </c>
      <c r="B21" s="19" t="s">
        <v>6</v>
      </c>
      <c r="C21" s="22"/>
      <c r="D21" s="18" t="s">
        <v>27</v>
      </c>
      <c r="E21" s="19" t="s">
        <v>6</v>
      </c>
      <c r="F21" s="42"/>
      <c r="G21" s="25"/>
      <c r="H21" s="43"/>
    </row>
    <row r="22" spans="1:12" ht="16.5" customHeight="1" x14ac:dyDescent="0.25">
      <c r="A22" s="18" t="s">
        <v>21</v>
      </c>
      <c r="B22" s="19" t="s">
        <v>6</v>
      </c>
      <c r="C22" s="24"/>
      <c r="D22" s="18" t="s">
        <v>28</v>
      </c>
      <c r="E22" s="19" t="s">
        <v>8</v>
      </c>
      <c r="F22" s="42"/>
      <c r="G22" s="25"/>
      <c r="H22" s="43"/>
    </row>
    <row r="23" spans="1:12" ht="16.5" customHeight="1" x14ac:dyDescent="0.25">
      <c r="A23" s="18" t="s">
        <v>22</v>
      </c>
      <c r="B23" s="19" t="s">
        <v>9</v>
      </c>
      <c r="C23" s="24"/>
      <c r="D23" s="18" t="s">
        <v>29</v>
      </c>
      <c r="E23" s="19" t="s">
        <v>8</v>
      </c>
      <c r="F23" s="42"/>
      <c r="G23" s="25"/>
      <c r="H23" s="43"/>
    </row>
    <row r="24" spans="1:12" ht="10.199999999999999" customHeight="1" x14ac:dyDescent="0.25">
      <c r="A24" s="50"/>
      <c r="B24" s="55"/>
      <c r="C24" s="55"/>
      <c r="D24" s="55"/>
      <c r="E24" s="55"/>
      <c r="F24" s="55"/>
      <c r="G24" s="55"/>
      <c r="H24" s="56"/>
    </row>
    <row r="25" spans="1:12" ht="16.350000000000001" customHeight="1" x14ac:dyDescent="0.25">
      <c r="A25" s="46"/>
      <c r="B25" s="17" t="s">
        <v>2</v>
      </c>
      <c r="C25" s="84" t="s">
        <v>3</v>
      </c>
      <c r="D25" s="85"/>
      <c r="E25" s="17" t="s">
        <v>56</v>
      </c>
      <c r="F25" s="40"/>
      <c r="G25" s="40"/>
      <c r="H25" s="39"/>
    </row>
    <row r="26" spans="1:12" ht="16.350000000000001" customHeight="1" x14ac:dyDescent="0.25">
      <c r="A26" s="46"/>
      <c r="B26" s="21" t="s">
        <v>33</v>
      </c>
      <c r="C26" s="20" t="s">
        <v>4</v>
      </c>
      <c r="D26" s="20" t="s">
        <v>5</v>
      </c>
      <c r="E26" s="21" t="s">
        <v>34</v>
      </c>
      <c r="F26" s="40"/>
      <c r="G26" s="40"/>
      <c r="H26" s="39"/>
    </row>
    <row r="27" spans="1:12" ht="16.5" customHeight="1" x14ac:dyDescent="0.25">
      <c r="A27" s="46"/>
      <c r="B27" s="37">
        <f>+I27</f>
        <v>0</v>
      </c>
      <c r="C27" s="23">
        <f>D27/2.54</f>
        <v>0</v>
      </c>
      <c r="D27" s="23">
        <v>0</v>
      </c>
      <c r="E27" s="24"/>
      <c r="F27" s="41"/>
      <c r="G27" s="54"/>
      <c r="H27" s="39"/>
      <c r="I27" s="53">
        <f>J27*60</f>
        <v>0</v>
      </c>
      <c r="J27" s="44">
        <f t="shared" ref="J27:J43" si="0">D27/3</f>
        <v>0</v>
      </c>
    </row>
    <row r="28" spans="1:12" ht="16.5" customHeight="1" x14ac:dyDescent="0.25">
      <c r="A28" s="46"/>
      <c r="B28" s="37">
        <v>10</v>
      </c>
      <c r="C28" s="23">
        <v>0.1</v>
      </c>
      <c r="D28" s="23">
        <v>0.41233766233766228</v>
      </c>
      <c r="E28" s="24"/>
      <c r="F28" s="41"/>
      <c r="G28" s="54"/>
      <c r="H28" s="57"/>
      <c r="I28" s="53">
        <f t="shared" ref="I28:I46" si="1">J28*60</f>
        <v>8.2467532467532454</v>
      </c>
      <c r="J28" s="44">
        <f t="shared" si="0"/>
        <v>0.13744588744588743</v>
      </c>
      <c r="L28" s="63">
        <f t="shared" ref="L28:L47" si="2">C28-C27</f>
        <v>0.1</v>
      </c>
    </row>
    <row r="29" spans="1:12" ht="16.5" customHeight="1" x14ac:dyDescent="0.25">
      <c r="A29" s="46"/>
      <c r="B29" s="37">
        <v>20</v>
      </c>
      <c r="C29" s="23">
        <v>0.2</v>
      </c>
      <c r="D29" s="23">
        <v>1.2370129870129871</v>
      </c>
      <c r="E29" s="24"/>
      <c r="F29" s="41"/>
      <c r="G29" s="54"/>
      <c r="H29" s="57"/>
      <c r="I29" s="53">
        <f t="shared" si="1"/>
        <v>24.740259740259745</v>
      </c>
      <c r="J29" s="44">
        <f t="shared" si="0"/>
        <v>0.41233766233766239</v>
      </c>
      <c r="L29" s="63">
        <f t="shared" si="2"/>
        <v>0.1</v>
      </c>
    </row>
    <row r="30" spans="1:12" ht="16.5" customHeight="1" x14ac:dyDescent="0.25">
      <c r="A30" s="46"/>
      <c r="B30" s="37">
        <v>30</v>
      </c>
      <c r="C30" s="23">
        <v>0.3</v>
      </c>
      <c r="D30" s="23">
        <v>2.0616883116883118</v>
      </c>
      <c r="E30" s="24"/>
      <c r="F30" s="41"/>
      <c r="G30" s="54"/>
      <c r="H30" s="57"/>
      <c r="I30" s="53">
        <f t="shared" si="1"/>
        <v>41.233766233766239</v>
      </c>
      <c r="J30" s="44">
        <f t="shared" si="0"/>
        <v>0.6872294372294373</v>
      </c>
      <c r="L30" s="63">
        <f t="shared" si="2"/>
        <v>9.9999999999999978E-2</v>
      </c>
    </row>
    <row r="31" spans="1:12" ht="16.5" customHeight="1" x14ac:dyDescent="0.25">
      <c r="A31" s="46"/>
      <c r="B31" s="37">
        <v>50</v>
      </c>
      <c r="C31" s="23">
        <v>0.6</v>
      </c>
      <c r="D31" s="23">
        <v>2.8863636363636358</v>
      </c>
      <c r="E31" s="24"/>
      <c r="F31" s="41"/>
      <c r="G31" s="54"/>
      <c r="H31" s="57"/>
      <c r="I31" s="53">
        <f t="shared" si="1"/>
        <v>57.72727272727272</v>
      </c>
      <c r="J31" s="44">
        <f t="shared" si="0"/>
        <v>0.96212121212121193</v>
      </c>
      <c r="L31" s="63">
        <f t="shared" si="2"/>
        <v>0.3</v>
      </c>
    </row>
    <row r="32" spans="1:12" ht="16.5" customHeight="1" x14ac:dyDescent="0.25">
      <c r="A32" s="46"/>
      <c r="B32" s="64" t="s">
        <v>37</v>
      </c>
      <c r="C32" s="23">
        <v>0.9</v>
      </c>
      <c r="D32" s="23">
        <v>3.7110389610389607</v>
      </c>
      <c r="E32" s="24"/>
      <c r="F32" s="41"/>
      <c r="G32" s="54"/>
      <c r="H32" s="57"/>
      <c r="I32" s="53">
        <f t="shared" si="1"/>
        <v>74.220779220779207</v>
      </c>
      <c r="J32" s="44">
        <f t="shared" si="0"/>
        <v>1.2370129870129869</v>
      </c>
      <c r="L32" s="63">
        <f t="shared" si="2"/>
        <v>0.30000000000000004</v>
      </c>
    </row>
    <row r="33" spans="1:12" ht="16.5" customHeight="1" x14ac:dyDescent="0.25">
      <c r="A33" s="46"/>
      <c r="B33" s="64" t="s">
        <v>38</v>
      </c>
      <c r="C33" s="23">
        <v>1.25</v>
      </c>
      <c r="D33" s="23">
        <v>4.5357142857142865</v>
      </c>
      <c r="E33" s="24"/>
      <c r="F33" s="41"/>
      <c r="G33" s="54"/>
      <c r="H33" s="57"/>
      <c r="I33" s="53">
        <f t="shared" si="1"/>
        <v>90.714285714285722</v>
      </c>
      <c r="J33" s="44">
        <f t="shared" si="0"/>
        <v>1.5119047619047621</v>
      </c>
      <c r="L33" s="63">
        <f t="shared" si="2"/>
        <v>0.35</v>
      </c>
    </row>
    <row r="34" spans="1:12" ht="16.5" customHeight="1" x14ac:dyDescent="0.25">
      <c r="A34" s="46"/>
      <c r="B34" s="64" t="s">
        <v>39</v>
      </c>
      <c r="C34" s="23">
        <v>1.6</v>
      </c>
      <c r="D34" s="23">
        <v>5.3603896103896105</v>
      </c>
      <c r="E34" s="24"/>
      <c r="F34" s="41"/>
      <c r="G34" s="54"/>
      <c r="H34" s="57"/>
      <c r="I34" s="53">
        <f t="shared" si="1"/>
        <v>107.20779220779221</v>
      </c>
      <c r="J34" s="44">
        <f t="shared" si="0"/>
        <v>1.7867965367965368</v>
      </c>
      <c r="L34" s="63">
        <f t="shared" si="2"/>
        <v>0.35000000000000009</v>
      </c>
    </row>
    <row r="35" spans="1:12" ht="16.5" customHeight="1" x14ac:dyDescent="0.25">
      <c r="A35" s="46"/>
      <c r="B35" s="64" t="s">
        <v>40</v>
      </c>
      <c r="C35" s="23">
        <v>1.95</v>
      </c>
      <c r="D35" s="23">
        <v>6.1850649350649345</v>
      </c>
      <c r="E35" s="24"/>
      <c r="F35" s="41"/>
      <c r="G35" s="54"/>
      <c r="H35" s="57"/>
      <c r="I35" s="53">
        <f t="shared" si="1"/>
        <v>123.70129870129868</v>
      </c>
      <c r="J35" s="44">
        <f t="shared" si="0"/>
        <v>2.0616883116883113</v>
      </c>
      <c r="L35" s="63">
        <f t="shared" si="2"/>
        <v>0.34999999999999987</v>
      </c>
    </row>
    <row r="36" spans="1:12" ht="16.5" customHeight="1" x14ac:dyDescent="0.25">
      <c r="A36" s="46"/>
      <c r="B36" s="64" t="s">
        <v>41</v>
      </c>
      <c r="C36" s="23">
        <v>2.2999999999999998</v>
      </c>
      <c r="D36" s="23">
        <v>7.0097402597402585</v>
      </c>
      <c r="E36" s="24"/>
      <c r="F36" s="41"/>
      <c r="G36" s="54"/>
      <c r="H36" s="57"/>
      <c r="I36" s="53">
        <f t="shared" si="1"/>
        <v>140.19480519480518</v>
      </c>
      <c r="J36" s="44">
        <f t="shared" si="0"/>
        <v>2.3365800865800863</v>
      </c>
      <c r="L36" s="63">
        <f t="shared" si="2"/>
        <v>0.34999999999999987</v>
      </c>
    </row>
    <row r="37" spans="1:12" ht="16.5" customHeight="1" x14ac:dyDescent="0.25">
      <c r="A37" s="46"/>
      <c r="B37" s="64" t="s">
        <v>42</v>
      </c>
      <c r="C37" s="23">
        <v>2.65</v>
      </c>
      <c r="D37" s="23">
        <v>7.8344155844155834</v>
      </c>
      <c r="E37" s="24"/>
      <c r="F37" s="41"/>
      <c r="G37" s="54"/>
      <c r="H37" s="57"/>
      <c r="I37" s="53">
        <f t="shared" si="1"/>
        <v>156.68831168831167</v>
      </c>
      <c r="J37" s="44">
        <f t="shared" si="0"/>
        <v>2.6114718614718613</v>
      </c>
      <c r="L37" s="63">
        <f t="shared" si="2"/>
        <v>0.35000000000000009</v>
      </c>
    </row>
    <row r="38" spans="1:12" ht="16.5" customHeight="1" x14ac:dyDescent="0.25">
      <c r="A38" s="46"/>
      <c r="B38" s="64" t="s">
        <v>43</v>
      </c>
      <c r="C38" s="23">
        <v>2.65</v>
      </c>
      <c r="D38" s="23">
        <v>7.8344155844155834</v>
      </c>
      <c r="E38" s="24"/>
      <c r="F38" s="41"/>
      <c r="G38" s="54"/>
      <c r="H38" s="57"/>
      <c r="I38" s="53">
        <f t="shared" si="1"/>
        <v>156.68831168831167</v>
      </c>
      <c r="J38" s="44">
        <f t="shared" si="0"/>
        <v>2.6114718614718613</v>
      </c>
      <c r="L38" s="63">
        <f t="shared" si="2"/>
        <v>0</v>
      </c>
    </row>
    <row r="39" spans="1:12" ht="16.5" customHeight="1" x14ac:dyDescent="0.25">
      <c r="A39" s="46"/>
      <c r="B39" s="64" t="s">
        <v>44</v>
      </c>
      <c r="C39" s="23">
        <v>3</v>
      </c>
      <c r="D39" s="23">
        <v>8.6590909090909101</v>
      </c>
      <c r="E39" s="24"/>
      <c r="F39" s="41"/>
      <c r="G39" s="54"/>
      <c r="H39" s="57"/>
      <c r="I39" s="53">
        <f t="shared" si="1"/>
        <v>173.18181818181819</v>
      </c>
      <c r="J39" s="44">
        <f t="shared" si="0"/>
        <v>2.8863636363636367</v>
      </c>
      <c r="L39" s="63">
        <f t="shared" si="2"/>
        <v>0.35000000000000009</v>
      </c>
    </row>
    <row r="40" spans="1:12" ht="16.5" customHeight="1" x14ac:dyDescent="0.25">
      <c r="A40" s="46"/>
      <c r="B40" s="64" t="s">
        <v>45</v>
      </c>
      <c r="C40" s="23">
        <v>3.35</v>
      </c>
      <c r="D40" s="23">
        <v>9.4837662337662323</v>
      </c>
      <c r="E40" s="24"/>
      <c r="F40" s="41"/>
      <c r="G40" s="54"/>
      <c r="H40" s="57"/>
      <c r="I40" s="53">
        <f t="shared" si="1"/>
        <v>189.67532467532465</v>
      </c>
      <c r="J40" s="44">
        <f t="shared" si="0"/>
        <v>3.1612554112554108</v>
      </c>
      <c r="L40" s="63">
        <f t="shared" si="2"/>
        <v>0.35000000000000009</v>
      </c>
    </row>
    <row r="41" spans="1:12" ht="16.5" customHeight="1" x14ac:dyDescent="0.25">
      <c r="A41" s="46"/>
      <c r="B41" s="64" t="s">
        <v>46</v>
      </c>
      <c r="C41" s="23">
        <v>3.7</v>
      </c>
      <c r="D41" s="23">
        <v>10.308441558441558</v>
      </c>
      <c r="E41" s="24"/>
      <c r="F41" s="41"/>
      <c r="G41" s="54"/>
      <c r="H41" s="57"/>
      <c r="I41" s="53">
        <f t="shared" si="1"/>
        <v>206.16883116883116</v>
      </c>
      <c r="J41" s="44">
        <f t="shared" si="0"/>
        <v>3.4361471861471862</v>
      </c>
      <c r="L41" s="63">
        <f t="shared" si="2"/>
        <v>0.35000000000000009</v>
      </c>
    </row>
    <row r="42" spans="1:12" ht="16.5" customHeight="1" x14ac:dyDescent="0.25">
      <c r="A42" s="46"/>
      <c r="B42" s="64" t="s">
        <v>47</v>
      </c>
      <c r="C42" s="23">
        <v>4.05</v>
      </c>
      <c r="D42" s="23">
        <v>11.133116883116884</v>
      </c>
      <c r="E42" s="24"/>
      <c r="F42" s="41"/>
      <c r="G42" s="54"/>
      <c r="H42" s="57"/>
      <c r="I42" s="53">
        <f t="shared" si="1"/>
        <v>222.66233766233768</v>
      </c>
      <c r="J42" s="44">
        <f t="shared" si="0"/>
        <v>3.7110389610389611</v>
      </c>
      <c r="L42" s="63">
        <f t="shared" si="2"/>
        <v>0.34999999999999964</v>
      </c>
    </row>
    <row r="43" spans="1:12" ht="16.5" customHeight="1" x14ac:dyDescent="0.25">
      <c r="A43" s="46"/>
      <c r="B43" s="64" t="s">
        <v>48</v>
      </c>
      <c r="C43" s="23">
        <v>4.4000000000000004</v>
      </c>
      <c r="D43" s="23">
        <v>11.957792207792206</v>
      </c>
      <c r="E43" s="24"/>
      <c r="F43" s="41"/>
      <c r="G43" s="54"/>
      <c r="H43" s="57"/>
      <c r="I43" s="53">
        <f t="shared" si="1"/>
        <v>239.15584415584411</v>
      </c>
      <c r="J43" s="44">
        <f t="shared" si="0"/>
        <v>3.9859307359307352</v>
      </c>
      <c r="L43" s="63">
        <f t="shared" si="2"/>
        <v>0.35000000000000053</v>
      </c>
    </row>
    <row r="44" spans="1:12" ht="16.5" customHeight="1" x14ac:dyDescent="0.25">
      <c r="A44" s="47"/>
      <c r="B44" s="64" t="s">
        <v>49</v>
      </c>
      <c r="C44" s="23">
        <v>4.75</v>
      </c>
      <c r="D44" s="23">
        <v>12.782467532467534</v>
      </c>
      <c r="E44" s="24"/>
      <c r="F44" s="38"/>
      <c r="G44" s="54"/>
      <c r="H44" s="58"/>
      <c r="I44" s="53">
        <f t="shared" si="1"/>
        <v>255.64935064935068</v>
      </c>
      <c r="J44" s="44">
        <f t="shared" ref="J44:J47" si="3">D44/3</f>
        <v>4.2608225108225115</v>
      </c>
      <c r="L44" s="63">
        <f t="shared" si="2"/>
        <v>0.34999999999999964</v>
      </c>
    </row>
    <row r="45" spans="1:12" ht="16.5" customHeight="1" x14ac:dyDescent="0.25">
      <c r="A45" s="46"/>
      <c r="B45" s="64" t="s">
        <v>50</v>
      </c>
      <c r="C45" s="23">
        <v>5.0999999999999996</v>
      </c>
      <c r="D45" s="23">
        <v>13.607142857142856</v>
      </c>
      <c r="E45" s="51"/>
      <c r="F45" s="38"/>
      <c r="G45" s="54"/>
      <c r="H45" s="58"/>
      <c r="I45" s="53">
        <f t="shared" si="1"/>
        <v>272.14285714285711</v>
      </c>
      <c r="J45" s="44">
        <f t="shared" si="3"/>
        <v>4.5357142857142856</v>
      </c>
      <c r="L45" s="63">
        <f t="shared" si="2"/>
        <v>0.34999999999999964</v>
      </c>
    </row>
    <row r="46" spans="1:12" ht="16.5" customHeight="1" x14ac:dyDescent="0.25">
      <c r="A46" s="48"/>
      <c r="B46" s="64" t="s">
        <v>51</v>
      </c>
      <c r="C46" s="23">
        <v>5.45</v>
      </c>
      <c r="D46" s="23">
        <v>14.431818181818182</v>
      </c>
      <c r="E46" s="51"/>
      <c r="F46" s="38"/>
      <c r="G46" s="54"/>
      <c r="H46" s="58"/>
      <c r="I46" s="53">
        <f t="shared" si="1"/>
        <v>288.63636363636363</v>
      </c>
      <c r="J46" s="44">
        <f t="shared" si="3"/>
        <v>4.8106060606060606</v>
      </c>
      <c r="L46" s="63">
        <f t="shared" si="2"/>
        <v>0.35000000000000053</v>
      </c>
    </row>
    <row r="47" spans="1:12" ht="16.5" customHeight="1" x14ac:dyDescent="0.25">
      <c r="A47" s="49"/>
      <c r="B47" s="64" t="s">
        <v>52</v>
      </c>
      <c r="C47" s="23">
        <v>5.8</v>
      </c>
      <c r="D47" s="23">
        <v>15.256493506493509</v>
      </c>
      <c r="E47" s="51"/>
      <c r="F47" s="59"/>
      <c r="G47" s="54"/>
      <c r="H47" s="60"/>
      <c r="I47" s="53">
        <f>J47*60</f>
        <v>305.1298701298702</v>
      </c>
      <c r="J47" s="44">
        <f t="shared" si="3"/>
        <v>5.0854978354978364</v>
      </c>
      <c r="L47" s="63">
        <f t="shared" si="2"/>
        <v>0.34999999999999964</v>
      </c>
    </row>
    <row r="48" spans="1:12" ht="16.5" customHeight="1" x14ac:dyDescent="0.25">
      <c r="A48" s="65"/>
      <c r="B48" s="64" t="s">
        <v>53</v>
      </c>
      <c r="C48" s="23">
        <v>6.15</v>
      </c>
      <c r="D48" s="23">
        <v>16.081168831168831</v>
      </c>
      <c r="E48" s="52"/>
      <c r="F48" s="59"/>
      <c r="G48" s="54"/>
      <c r="H48" s="60"/>
      <c r="I48" s="53"/>
      <c r="J48" s="44"/>
      <c r="L48" s="63"/>
    </row>
    <row r="49" spans="1:12" ht="16.5" customHeight="1" x14ac:dyDescent="0.25">
      <c r="A49" s="65"/>
      <c r="B49" s="64" t="s">
        <v>54</v>
      </c>
      <c r="C49" s="23">
        <v>6.15</v>
      </c>
      <c r="D49" s="23">
        <v>16.081168831168831</v>
      </c>
      <c r="E49" s="52"/>
      <c r="F49" s="59"/>
      <c r="G49" s="54"/>
      <c r="H49" s="60"/>
      <c r="I49" s="53"/>
      <c r="J49" s="44"/>
      <c r="L49" s="63"/>
    </row>
    <row r="50" spans="1:12" ht="16.5" customHeight="1" x14ac:dyDescent="0.25">
      <c r="A50" s="65"/>
      <c r="B50" s="64" t="s">
        <v>55</v>
      </c>
      <c r="C50" s="23">
        <v>6.15</v>
      </c>
      <c r="D50" s="23">
        <v>16.081168831168831</v>
      </c>
      <c r="E50" s="52"/>
      <c r="F50" s="59"/>
      <c r="G50" s="54"/>
      <c r="H50" s="60"/>
      <c r="I50" s="53"/>
      <c r="J50" s="44"/>
      <c r="L50" s="63"/>
    </row>
    <row r="51" spans="1:12" ht="10.199999999999999" customHeight="1" x14ac:dyDescent="0.25">
      <c r="A51" s="28"/>
      <c r="B51" s="30"/>
      <c r="C51" s="30"/>
      <c r="D51" s="45"/>
      <c r="E51" s="29"/>
      <c r="F51" s="30"/>
      <c r="G51" s="30"/>
      <c r="H51" s="61"/>
    </row>
    <row r="52" spans="1:12" ht="18" customHeight="1" x14ac:dyDescent="0.25">
      <c r="A52" s="62" t="s">
        <v>12</v>
      </c>
      <c r="B52" s="69"/>
      <c r="C52" s="69"/>
      <c r="D52" s="70"/>
      <c r="E52" s="71"/>
      <c r="F52" s="69"/>
      <c r="G52" s="69"/>
      <c r="H52" s="72"/>
    </row>
    <row r="53" spans="1:12" ht="18" customHeight="1" x14ac:dyDescent="0.25">
      <c r="A53" s="66"/>
      <c r="B53" s="67"/>
      <c r="C53" s="67"/>
      <c r="D53" s="67"/>
      <c r="E53" s="67"/>
      <c r="F53" s="67"/>
      <c r="G53" s="67"/>
      <c r="H53" s="68"/>
    </row>
    <row r="54" spans="1:12" ht="15.75" customHeight="1" x14ac:dyDescent="0.25">
      <c r="A54" s="27"/>
      <c r="B54" s="12"/>
      <c r="C54" s="12"/>
      <c r="D54" s="12"/>
      <c r="E54" s="12"/>
      <c r="F54" s="12"/>
      <c r="G54" s="12"/>
      <c r="H54" s="12"/>
    </row>
    <row r="55" spans="1:12" ht="15.75" customHeight="1" x14ac:dyDescent="0.25">
      <c r="A55" s="26"/>
      <c r="B55" s="12"/>
      <c r="C55" s="12"/>
      <c r="D55" s="12"/>
      <c r="E55" s="12"/>
      <c r="F55" s="12"/>
      <c r="G55" s="12"/>
      <c r="H55" s="12"/>
    </row>
    <row r="56" spans="1:12" ht="15.75" customHeight="1" x14ac:dyDescent="0.25"/>
    <row r="57" spans="1:12" ht="15.75" customHeight="1" x14ac:dyDescent="0.25"/>
    <row r="58" spans="1:12" ht="15.75" customHeight="1" x14ac:dyDescent="0.25">
      <c r="A58" s="15" t="s">
        <v>1</v>
      </c>
      <c r="B58" s="12"/>
      <c r="C58" s="12"/>
      <c r="D58" s="12"/>
      <c r="E58" s="12"/>
      <c r="F58" s="12"/>
      <c r="G58" s="12"/>
      <c r="H58" s="12"/>
    </row>
    <row r="59" spans="1:12" ht="15.75" customHeight="1" x14ac:dyDescent="0.25">
      <c r="A59" s="15" t="s">
        <v>13</v>
      </c>
      <c r="B59" s="2"/>
      <c r="C59" s="2"/>
      <c r="D59" s="2"/>
      <c r="E59" s="2"/>
      <c r="F59" s="2"/>
      <c r="G59" s="2"/>
      <c r="H59" s="2"/>
    </row>
    <row r="60" spans="1:12" ht="15.9" customHeight="1" x14ac:dyDescent="0.25"/>
    <row r="61" spans="1:12" ht="30.75" customHeight="1" x14ac:dyDescent="0.25">
      <c r="A61" s="77" t="s">
        <v>11</v>
      </c>
      <c r="B61" s="77"/>
      <c r="C61" s="77"/>
      <c r="D61" s="77"/>
      <c r="E61" s="77"/>
      <c r="F61" s="77"/>
      <c r="G61" s="77"/>
      <c r="H61" s="77"/>
    </row>
    <row r="62" spans="1:12" ht="15.9" customHeight="1" x14ac:dyDescent="0.25"/>
    <row r="63" spans="1:12" ht="15.9" customHeight="1" x14ac:dyDescent="0.25"/>
  </sheetData>
  <protectedRanges>
    <protectedRange sqref="C12 C15" name="Rango3_3_1_1_1_1_1_1_1_1"/>
    <protectedRange sqref="C10:C11" name="Rango3_3_1_1_1_1_1_2_1"/>
  </protectedRanges>
  <mergeCells count="8">
    <mergeCell ref="A14:H14"/>
    <mergeCell ref="A61:H61"/>
    <mergeCell ref="A7:H7"/>
    <mergeCell ref="A8:H8"/>
    <mergeCell ref="A13:H13"/>
    <mergeCell ref="A16:C16"/>
    <mergeCell ref="D16:H16"/>
    <mergeCell ref="C25:D25"/>
  </mergeCells>
  <phoneticPr fontId="9" type="noConversion"/>
  <printOptions horizontalCentered="1" verticalCentered="1"/>
  <pageMargins left="0.59055118110236227" right="0.59055118110236227" top="0.59055118110236227" bottom="0.39370078740157483" header="0" footer="0"/>
  <pageSetup paperSize="274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E6A3-930A-45B3-AF53-5429714F5DA3}">
  <dimension ref="A1:M63"/>
  <sheetViews>
    <sheetView showGridLines="0" tabSelected="1" zoomScaleNormal="100" zoomScaleSheetLayoutView="100" workbookViewId="0">
      <selection activeCell="H5" sqref="H5"/>
    </sheetView>
  </sheetViews>
  <sheetFormatPr baseColWidth="10" defaultColWidth="10.33203125" defaultRowHeight="13.8" x14ac:dyDescent="0.25"/>
  <cols>
    <col min="1" max="4" width="16.33203125" style="1" customWidth="1"/>
    <col min="5" max="5" width="18.33203125" style="1" customWidth="1"/>
    <col min="6" max="6" width="16.109375" style="1" customWidth="1"/>
    <col min="7" max="10" width="10.6640625" style="1" customWidth="1"/>
    <col min="11" max="16384" width="10.33203125" style="1"/>
  </cols>
  <sheetData>
    <row r="1" spans="1:10" ht="14.25" customHeight="1" thickTop="1" x14ac:dyDescent="0.25">
      <c r="A1" s="5"/>
      <c r="B1" s="6"/>
      <c r="C1" s="6"/>
      <c r="D1" s="7"/>
      <c r="E1" s="7"/>
      <c r="F1" s="7"/>
      <c r="G1" s="7"/>
      <c r="H1" s="31"/>
    </row>
    <row r="2" spans="1:10" ht="14.25" customHeight="1" x14ac:dyDescent="0.25">
      <c r="A2" s="8"/>
      <c r="B2" s="32"/>
      <c r="C2" s="32"/>
      <c r="D2" s="33"/>
      <c r="E2" s="33"/>
      <c r="F2" s="33"/>
      <c r="G2" s="33"/>
      <c r="H2" s="34"/>
    </row>
    <row r="3" spans="1:10" ht="14.25" customHeight="1" x14ac:dyDescent="0.25">
      <c r="A3" s="8"/>
      <c r="B3" s="32"/>
      <c r="C3" s="32"/>
      <c r="D3" s="33"/>
      <c r="E3" s="33"/>
      <c r="F3" s="33"/>
      <c r="G3" s="33"/>
      <c r="H3" s="34"/>
    </row>
    <row r="4" spans="1:10" ht="14.25" customHeight="1" x14ac:dyDescent="0.25">
      <c r="A4" s="8"/>
      <c r="B4" s="32"/>
      <c r="C4" s="32"/>
      <c r="D4" s="33"/>
      <c r="E4" s="33"/>
      <c r="F4" s="33"/>
      <c r="G4" s="33"/>
      <c r="H4" s="34"/>
    </row>
    <row r="5" spans="1:10" ht="14.25" customHeight="1" thickBot="1" x14ac:dyDescent="0.3">
      <c r="A5" s="9"/>
      <c r="B5" s="4"/>
      <c r="C5" s="4"/>
      <c r="D5" s="4"/>
      <c r="E5" s="4"/>
      <c r="F5" s="4"/>
      <c r="G5" s="4"/>
      <c r="H5" s="35"/>
    </row>
    <row r="6" spans="1:10" ht="5.25" customHeight="1" thickTop="1" x14ac:dyDescent="0.25">
      <c r="A6" s="3"/>
      <c r="B6" s="3"/>
      <c r="C6" s="3"/>
      <c r="D6" s="3"/>
      <c r="E6" s="3"/>
      <c r="F6" s="3"/>
      <c r="G6" s="3"/>
      <c r="H6" s="3"/>
      <c r="J6"/>
    </row>
    <row r="7" spans="1:10" ht="18" customHeight="1" x14ac:dyDescent="0.25">
      <c r="A7" s="78" t="s">
        <v>0</v>
      </c>
      <c r="B7" s="78"/>
      <c r="C7" s="78"/>
      <c r="D7" s="78"/>
      <c r="E7" s="78"/>
      <c r="F7" s="78"/>
      <c r="G7" s="78"/>
      <c r="H7" s="78"/>
    </row>
    <row r="8" spans="1:10" ht="20.25" customHeight="1" x14ac:dyDescent="0.25">
      <c r="A8" s="78" t="s">
        <v>85</v>
      </c>
      <c r="B8" s="78"/>
      <c r="C8" s="78"/>
      <c r="D8" s="78"/>
      <c r="E8" s="78"/>
      <c r="F8" s="78"/>
      <c r="G8" s="78"/>
      <c r="H8" s="78"/>
    </row>
    <row r="9" spans="1:10" ht="15.75" customHeight="1" x14ac:dyDescent="0.25">
      <c r="A9" s="10"/>
      <c r="B9" s="10"/>
      <c r="C9" s="10"/>
      <c r="D9" s="10"/>
      <c r="E9" s="10"/>
      <c r="F9" s="10"/>
      <c r="G9" s="10"/>
      <c r="H9" s="10"/>
    </row>
    <row r="10" spans="1:10" ht="15.75" customHeight="1" x14ac:dyDescent="0.25">
      <c r="B10" s="86" t="s">
        <v>88</v>
      </c>
      <c r="C10" s="86"/>
      <c r="D10" s="87" t="s">
        <v>89</v>
      </c>
      <c r="E10" s="87" t="s">
        <v>90</v>
      </c>
      <c r="F10" s="86" t="s">
        <v>91</v>
      </c>
      <c r="G10" s="86"/>
      <c r="H10"/>
    </row>
    <row r="11" spans="1:10" ht="15.75" customHeight="1" x14ac:dyDescent="0.25">
      <c r="A11" s="11"/>
      <c r="B11" s="90"/>
      <c r="C11" s="90"/>
      <c r="D11" s="89"/>
      <c r="E11" s="89"/>
      <c r="F11" s="88"/>
      <c r="G11" s="88"/>
      <c r="H11"/>
    </row>
    <row r="12" spans="1:10" ht="12.6" customHeight="1" x14ac:dyDescent="0.25">
      <c r="A12" s="11"/>
      <c r="B12" s="16"/>
      <c r="C12" s="14"/>
      <c r="D12" s="14"/>
      <c r="E12" s="14"/>
      <c r="F12" s="14"/>
      <c r="G12" s="14"/>
      <c r="H12" s="14"/>
    </row>
    <row r="13" spans="1:10" ht="30" customHeight="1" x14ac:dyDescent="0.25">
      <c r="A13" s="80" t="s">
        <v>84</v>
      </c>
      <c r="B13" s="81"/>
      <c r="C13" s="81"/>
      <c r="D13" s="81"/>
      <c r="E13" s="81"/>
      <c r="F13" s="81"/>
      <c r="G13" s="81"/>
      <c r="H13" s="82"/>
    </row>
    <row r="14" spans="1:10" ht="18" customHeight="1" x14ac:dyDescent="0.25">
      <c r="A14" s="74" t="s">
        <v>15</v>
      </c>
      <c r="B14" s="75"/>
      <c r="C14" s="75"/>
      <c r="D14" s="75"/>
      <c r="E14" s="75"/>
      <c r="F14" s="75"/>
      <c r="G14" s="75"/>
      <c r="H14" s="76"/>
    </row>
    <row r="15" spans="1:10" ht="6" customHeight="1" x14ac:dyDescent="0.25">
      <c r="A15" s="11"/>
      <c r="B15" s="16"/>
      <c r="C15" s="14"/>
      <c r="D15" s="14"/>
      <c r="E15" s="14"/>
      <c r="F15" s="14"/>
      <c r="G15" s="14"/>
      <c r="H15" s="14"/>
    </row>
    <row r="16" spans="1:10" ht="16.5" customHeight="1" x14ac:dyDescent="0.25">
      <c r="A16" s="83" t="s">
        <v>35</v>
      </c>
      <c r="B16" s="83"/>
      <c r="C16" s="83"/>
      <c r="D16" s="83" t="s">
        <v>36</v>
      </c>
      <c r="E16" s="83"/>
      <c r="F16" s="83"/>
      <c r="G16" s="83"/>
      <c r="H16" s="83"/>
      <c r="I16" s="13"/>
    </row>
    <row r="17" spans="1:13" ht="18" customHeight="1" x14ac:dyDescent="0.25">
      <c r="A17" s="18" t="s">
        <v>16</v>
      </c>
      <c r="B17" s="19" t="s">
        <v>32</v>
      </c>
      <c r="C17" s="22"/>
      <c r="D17" s="18" t="s">
        <v>26</v>
      </c>
      <c r="E17" s="19" t="s">
        <v>31</v>
      </c>
      <c r="F17" s="36"/>
      <c r="G17" s="36"/>
      <c r="H17" s="36"/>
    </row>
    <row r="18" spans="1:13" ht="18" customHeight="1" x14ac:dyDescent="0.25">
      <c r="A18" s="18" t="s">
        <v>17</v>
      </c>
      <c r="B18" s="19" t="s">
        <v>6</v>
      </c>
      <c r="C18" s="22"/>
      <c r="D18" s="18" t="s">
        <v>82</v>
      </c>
      <c r="E18" s="19" t="s">
        <v>31</v>
      </c>
      <c r="F18" s="42"/>
      <c r="G18" s="25"/>
      <c r="H18" s="43"/>
    </row>
    <row r="19" spans="1:13" ht="18" customHeight="1" x14ac:dyDescent="0.25">
      <c r="A19" s="18" t="s">
        <v>18</v>
      </c>
      <c r="B19" s="19" t="s">
        <v>6</v>
      </c>
      <c r="C19" s="22"/>
      <c r="D19" s="18" t="s">
        <v>83</v>
      </c>
      <c r="E19" s="19" t="s">
        <v>30</v>
      </c>
      <c r="F19" s="42"/>
      <c r="G19" s="25"/>
      <c r="H19" s="43"/>
    </row>
    <row r="20" spans="1:13" ht="18" customHeight="1" x14ac:dyDescent="0.25">
      <c r="A20" s="18" t="s">
        <v>20</v>
      </c>
      <c r="B20" s="19" t="s">
        <v>6</v>
      </c>
      <c r="C20" s="24"/>
      <c r="D20" s="18" t="s">
        <v>25</v>
      </c>
      <c r="E20" s="19" t="s">
        <v>7</v>
      </c>
      <c r="F20" s="42"/>
      <c r="G20" s="25"/>
      <c r="H20" s="43"/>
    </row>
    <row r="21" spans="1:13" ht="18" customHeight="1" x14ac:dyDescent="0.25">
      <c r="A21" s="18" t="s">
        <v>19</v>
      </c>
      <c r="B21" s="19" t="s">
        <v>6</v>
      </c>
      <c r="C21" s="22"/>
      <c r="D21" s="18" t="s">
        <v>27</v>
      </c>
      <c r="E21" s="19" t="s">
        <v>6</v>
      </c>
      <c r="F21" s="42"/>
      <c r="G21" s="25"/>
      <c r="H21" s="43"/>
    </row>
    <row r="22" spans="1:13" ht="18" customHeight="1" x14ac:dyDescent="0.25">
      <c r="A22" s="18" t="s">
        <v>21</v>
      </c>
      <c r="B22" s="19" t="s">
        <v>6</v>
      </c>
      <c r="C22" s="24"/>
      <c r="D22" s="18" t="s">
        <v>28</v>
      </c>
      <c r="E22" s="19" t="s">
        <v>8</v>
      </c>
      <c r="F22" s="42"/>
      <c r="G22" s="25"/>
      <c r="H22" s="43"/>
    </row>
    <row r="23" spans="1:13" ht="18" customHeight="1" x14ac:dyDescent="0.25">
      <c r="A23" s="18" t="s">
        <v>22</v>
      </c>
      <c r="B23" s="19" t="s">
        <v>9</v>
      </c>
      <c r="C23" s="24"/>
      <c r="D23" s="18" t="s">
        <v>29</v>
      </c>
      <c r="E23" s="19" t="s">
        <v>8</v>
      </c>
      <c r="F23" s="42"/>
      <c r="G23" s="25"/>
      <c r="H23" s="43"/>
    </row>
    <row r="24" spans="1:13" ht="2.25" customHeight="1" x14ac:dyDescent="0.25">
      <c r="A24" s="50"/>
      <c r="B24" s="55"/>
      <c r="C24" s="55"/>
      <c r="D24" s="55"/>
      <c r="E24" s="55"/>
      <c r="F24" s="55"/>
      <c r="G24" s="55"/>
      <c r="H24" s="56"/>
    </row>
    <row r="25" spans="1:13" ht="16.350000000000001" customHeight="1" x14ac:dyDescent="0.25">
      <c r="A25" s="46"/>
      <c r="B25" s="17" t="s">
        <v>2</v>
      </c>
      <c r="C25" s="84" t="s">
        <v>81</v>
      </c>
      <c r="D25" s="85"/>
      <c r="E25" s="17" t="s">
        <v>56</v>
      </c>
      <c r="F25" s="40"/>
      <c r="G25" s="40"/>
      <c r="H25" s="39"/>
    </row>
    <row r="26" spans="1:13" ht="16.350000000000001" customHeight="1" x14ac:dyDescent="0.25">
      <c r="A26" s="46"/>
      <c r="B26" s="21" t="s">
        <v>33</v>
      </c>
      <c r="C26" s="20" t="s">
        <v>87</v>
      </c>
      <c r="D26" s="20" t="s">
        <v>5</v>
      </c>
      <c r="E26" s="21" t="s">
        <v>34</v>
      </c>
      <c r="F26" s="40"/>
      <c r="G26" s="40"/>
      <c r="H26" s="39"/>
    </row>
    <row r="27" spans="1:13" ht="16.5" customHeight="1" x14ac:dyDescent="0.25">
      <c r="A27" s="46"/>
      <c r="B27" s="64" t="s">
        <v>57</v>
      </c>
      <c r="C27" s="23">
        <f>D27/2.54</f>
        <v>0</v>
      </c>
      <c r="D27" s="23">
        <v>0</v>
      </c>
      <c r="E27" s="24"/>
      <c r="F27" s="41"/>
      <c r="G27" s="54"/>
      <c r="H27" s="39"/>
      <c r="I27" s="53"/>
      <c r="J27" s="44"/>
    </row>
    <row r="28" spans="1:13" ht="16.5" customHeight="1" x14ac:dyDescent="0.25">
      <c r="A28" s="46"/>
      <c r="B28" s="64" t="s">
        <v>59</v>
      </c>
      <c r="C28" s="23">
        <f t="shared" ref="C28:C50" si="0">D28/2.54</f>
        <v>0.16233766233766231</v>
      </c>
      <c r="D28" s="23">
        <v>0.41233766233766228</v>
      </c>
      <c r="E28" s="24"/>
      <c r="F28" s="41"/>
      <c r="G28" s="54"/>
      <c r="H28" s="57"/>
      <c r="I28" s="53"/>
      <c r="J28" s="44"/>
      <c r="M28" s="63"/>
    </row>
    <row r="29" spans="1:13" ht="16.5" customHeight="1" x14ac:dyDescent="0.25">
      <c r="A29" s="46"/>
      <c r="B29" s="64" t="s">
        <v>60</v>
      </c>
      <c r="C29" s="23">
        <f t="shared" si="0"/>
        <v>0.48701298701298706</v>
      </c>
      <c r="D29" s="23">
        <v>1.2370129870129871</v>
      </c>
      <c r="E29" s="24"/>
      <c r="F29" s="41"/>
      <c r="G29" s="54"/>
      <c r="H29" s="57"/>
      <c r="I29" s="53"/>
      <c r="J29" s="44"/>
      <c r="M29" s="63"/>
    </row>
    <row r="30" spans="1:13" ht="16.5" customHeight="1" x14ac:dyDescent="0.25">
      <c r="A30" s="46"/>
      <c r="B30" s="64" t="s">
        <v>58</v>
      </c>
      <c r="C30" s="23">
        <f t="shared" si="0"/>
        <v>0.81168831168831168</v>
      </c>
      <c r="D30" s="23">
        <v>2.0616883116883118</v>
      </c>
      <c r="E30" s="24"/>
      <c r="F30" s="41"/>
      <c r="G30" s="54"/>
      <c r="H30" s="57"/>
      <c r="I30" s="53"/>
      <c r="J30" s="44"/>
      <c r="K30" s="63"/>
      <c r="L30" s="73"/>
      <c r="M30" s="63"/>
    </row>
    <row r="31" spans="1:13" ht="16.5" customHeight="1" x14ac:dyDescent="0.25">
      <c r="A31" s="46"/>
      <c r="B31" s="64" t="s">
        <v>61</v>
      </c>
      <c r="C31" s="23">
        <f t="shared" si="0"/>
        <v>1.136363636363636</v>
      </c>
      <c r="D31" s="23">
        <v>2.8863636363636358</v>
      </c>
      <c r="E31" s="24"/>
      <c r="F31" s="41"/>
      <c r="G31" s="54"/>
      <c r="H31" s="57"/>
      <c r="I31" s="53"/>
      <c r="J31" s="44"/>
      <c r="K31" s="63"/>
      <c r="L31" s="73"/>
      <c r="M31" s="63"/>
    </row>
    <row r="32" spans="1:13" ht="16.5" customHeight="1" x14ac:dyDescent="0.25">
      <c r="A32" s="46"/>
      <c r="B32" s="64" t="s">
        <v>62</v>
      </c>
      <c r="C32" s="23">
        <f t="shared" si="0"/>
        <v>1.4610389610389609</v>
      </c>
      <c r="D32" s="23">
        <v>3.7110389610389607</v>
      </c>
      <c r="E32" s="24"/>
      <c r="F32" s="41"/>
      <c r="G32" s="54"/>
      <c r="H32" s="57"/>
      <c r="I32" s="53"/>
      <c r="J32" s="44"/>
      <c r="K32" s="63"/>
      <c r="L32" s="73"/>
      <c r="M32" s="63"/>
    </row>
    <row r="33" spans="1:13" ht="16.5" customHeight="1" x14ac:dyDescent="0.25">
      <c r="A33" s="46"/>
      <c r="B33" s="64" t="s">
        <v>63</v>
      </c>
      <c r="C33" s="23">
        <f t="shared" si="0"/>
        <v>1.785714285714286</v>
      </c>
      <c r="D33" s="23">
        <v>4.5357142857142865</v>
      </c>
      <c r="E33" s="24"/>
      <c r="F33" s="41"/>
      <c r="G33" s="54"/>
      <c r="H33" s="57"/>
      <c r="I33" s="53"/>
      <c r="J33" s="44"/>
      <c r="K33" s="63"/>
      <c r="L33" s="73"/>
      <c r="M33" s="63"/>
    </row>
    <row r="34" spans="1:13" ht="16.5" customHeight="1" x14ac:dyDescent="0.25">
      <c r="A34" s="46"/>
      <c r="B34" s="64" t="s">
        <v>64</v>
      </c>
      <c r="C34" s="23">
        <f t="shared" si="0"/>
        <v>2.1103896103896105</v>
      </c>
      <c r="D34" s="23">
        <v>5.3603896103896105</v>
      </c>
      <c r="E34" s="24"/>
      <c r="F34" s="41"/>
      <c r="G34" s="54"/>
      <c r="H34" s="57"/>
      <c r="I34" s="53"/>
      <c r="J34" s="44"/>
      <c r="K34" s="63"/>
      <c r="L34" s="73"/>
      <c r="M34" s="63"/>
    </row>
    <row r="35" spans="1:13" ht="16.5" customHeight="1" x14ac:dyDescent="0.25">
      <c r="A35" s="46"/>
      <c r="B35" s="64" t="s">
        <v>65</v>
      </c>
      <c r="C35" s="23">
        <f t="shared" si="0"/>
        <v>2.4350649350649349</v>
      </c>
      <c r="D35" s="23">
        <v>6.1850649350649345</v>
      </c>
      <c r="E35" s="24"/>
      <c r="F35" s="41"/>
      <c r="G35" s="54"/>
      <c r="H35" s="57"/>
      <c r="I35" s="53"/>
      <c r="J35" s="44"/>
      <c r="K35" s="63"/>
      <c r="L35" s="73"/>
      <c r="M35" s="63"/>
    </row>
    <row r="36" spans="1:13" ht="16.5" customHeight="1" x14ac:dyDescent="0.25">
      <c r="A36" s="46"/>
      <c r="B36" s="64" t="s">
        <v>66</v>
      </c>
      <c r="C36" s="23">
        <f t="shared" si="0"/>
        <v>2.7597402597402594</v>
      </c>
      <c r="D36" s="23">
        <v>7.0097402597402585</v>
      </c>
      <c r="E36" s="24"/>
      <c r="F36" s="41"/>
      <c r="G36" s="54"/>
      <c r="H36" s="57"/>
      <c r="I36" s="53"/>
      <c r="J36" s="44"/>
      <c r="K36" s="63"/>
      <c r="L36" s="73"/>
      <c r="M36" s="63"/>
    </row>
    <row r="37" spans="1:13" ht="16.5" customHeight="1" x14ac:dyDescent="0.25">
      <c r="A37" s="46"/>
      <c r="B37" s="64" t="s">
        <v>67</v>
      </c>
      <c r="C37" s="23">
        <f t="shared" si="0"/>
        <v>3.0844155844155838</v>
      </c>
      <c r="D37" s="23">
        <v>7.8344155844155834</v>
      </c>
      <c r="E37" s="24"/>
      <c r="F37" s="41"/>
      <c r="G37" s="54"/>
      <c r="H37" s="57"/>
      <c r="I37" s="53"/>
      <c r="J37" s="44"/>
      <c r="K37" s="63"/>
      <c r="L37" s="73"/>
      <c r="M37" s="63"/>
    </row>
    <row r="38" spans="1:13" ht="16.5" customHeight="1" x14ac:dyDescent="0.25">
      <c r="A38" s="46"/>
      <c r="B38" s="64" t="s">
        <v>68</v>
      </c>
      <c r="C38" s="23">
        <f t="shared" si="0"/>
        <v>3.4090909090909096</v>
      </c>
      <c r="D38" s="23">
        <v>8.6590909090909101</v>
      </c>
      <c r="E38" s="24"/>
      <c r="F38" s="41"/>
      <c r="G38" s="54"/>
      <c r="H38" s="57"/>
      <c r="I38" s="53"/>
      <c r="J38" s="44"/>
      <c r="K38" s="63"/>
      <c r="L38" s="73"/>
      <c r="M38" s="63"/>
    </row>
    <row r="39" spans="1:13" ht="16.5" customHeight="1" x14ac:dyDescent="0.25">
      <c r="A39" s="46"/>
      <c r="B39" s="64" t="s">
        <v>69</v>
      </c>
      <c r="C39" s="23">
        <f t="shared" si="0"/>
        <v>3.7337662337662332</v>
      </c>
      <c r="D39" s="23">
        <v>9.4837662337662323</v>
      </c>
      <c r="E39" s="24"/>
      <c r="F39" s="41"/>
      <c r="G39" s="54"/>
      <c r="H39" s="57"/>
      <c r="I39" s="53"/>
      <c r="J39" s="44"/>
      <c r="K39" s="63"/>
      <c r="L39" s="73"/>
      <c r="M39" s="63"/>
    </row>
    <row r="40" spans="1:13" ht="16.5" customHeight="1" x14ac:dyDescent="0.25">
      <c r="A40" s="46"/>
      <c r="B40" s="64" t="s">
        <v>70</v>
      </c>
      <c r="C40" s="23">
        <f t="shared" si="0"/>
        <v>4.0584415584415581</v>
      </c>
      <c r="D40" s="23">
        <v>10.308441558441558</v>
      </c>
      <c r="E40" s="24"/>
      <c r="F40" s="41"/>
      <c r="G40" s="54"/>
      <c r="H40" s="57"/>
      <c r="I40" s="53"/>
      <c r="J40" s="44"/>
      <c r="K40" s="63"/>
      <c r="L40" s="73"/>
      <c r="M40" s="63"/>
    </row>
    <row r="41" spans="1:13" ht="16.5" customHeight="1" x14ac:dyDescent="0.25">
      <c r="A41" s="46"/>
      <c r="B41" s="64" t="s">
        <v>71</v>
      </c>
      <c r="C41" s="23">
        <f t="shared" si="0"/>
        <v>4.383116883116883</v>
      </c>
      <c r="D41" s="23">
        <v>11.133116883116884</v>
      </c>
      <c r="E41" s="24"/>
      <c r="F41" s="41"/>
      <c r="G41" s="54"/>
      <c r="H41" s="57"/>
      <c r="I41" s="53"/>
      <c r="J41" s="44"/>
      <c r="K41" s="63"/>
      <c r="L41" s="73"/>
      <c r="M41" s="63"/>
    </row>
    <row r="42" spans="1:13" ht="16.5" customHeight="1" x14ac:dyDescent="0.25">
      <c r="A42" s="46"/>
      <c r="B42" s="64" t="s">
        <v>72</v>
      </c>
      <c r="C42" s="23">
        <f t="shared" si="0"/>
        <v>4.707792207792207</v>
      </c>
      <c r="D42" s="23">
        <v>11.957792207792206</v>
      </c>
      <c r="E42" s="24"/>
      <c r="F42" s="41"/>
      <c r="G42" s="54"/>
      <c r="H42" s="57"/>
      <c r="I42" s="53"/>
      <c r="J42" s="44"/>
      <c r="K42" s="63"/>
      <c r="L42" s="73"/>
      <c r="M42" s="63"/>
    </row>
    <row r="43" spans="1:13" ht="16.5" customHeight="1" x14ac:dyDescent="0.25">
      <c r="A43" s="46"/>
      <c r="B43" s="64" t="s">
        <v>73</v>
      </c>
      <c r="C43" s="23">
        <f t="shared" si="0"/>
        <v>5.0324675324675328</v>
      </c>
      <c r="D43" s="23">
        <v>12.782467532467534</v>
      </c>
      <c r="E43" s="24"/>
      <c r="F43" s="41"/>
      <c r="G43" s="54"/>
      <c r="H43" s="57"/>
      <c r="I43" s="53"/>
      <c r="J43" s="44"/>
      <c r="K43" s="63"/>
      <c r="L43" s="73"/>
      <c r="M43" s="63"/>
    </row>
    <row r="44" spans="1:13" ht="16.5" customHeight="1" x14ac:dyDescent="0.25">
      <c r="A44" s="47"/>
      <c r="B44" s="64" t="s">
        <v>74</v>
      </c>
      <c r="C44" s="23">
        <f t="shared" si="0"/>
        <v>5.3571428571428568</v>
      </c>
      <c r="D44" s="23">
        <v>13.607142857142856</v>
      </c>
      <c r="E44" s="24"/>
      <c r="F44" s="38"/>
      <c r="G44" s="54"/>
      <c r="H44" s="58"/>
      <c r="I44" s="53"/>
      <c r="J44" s="44"/>
      <c r="K44" s="63"/>
      <c r="L44" s="73"/>
      <c r="M44" s="63"/>
    </row>
    <row r="45" spans="1:13" ht="16.5" customHeight="1" x14ac:dyDescent="0.25">
      <c r="A45" s="46"/>
      <c r="B45" s="64" t="s">
        <v>75</v>
      </c>
      <c r="C45" s="23">
        <f t="shared" si="0"/>
        <v>5.6818181818181817</v>
      </c>
      <c r="D45" s="23">
        <v>14.431818181818182</v>
      </c>
      <c r="E45" s="51"/>
      <c r="F45" s="38"/>
      <c r="G45" s="54"/>
      <c r="H45" s="58"/>
      <c r="I45" s="53"/>
      <c r="J45" s="44"/>
      <c r="K45" s="63"/>
      <c r="L45" s="73"/>
      <c r="M45" s="63"/>
    </row>
    <row r="46" spans="1:13" ht="16.5" customHeight="1" x14ac:dyDescent="0.25">
      <c r="A46" s="48"/>
      <c r="B46" s="64" t="s">
        <v>76</v>
      </c>
      <c r="C46" s="23">
        <f t="shared" si="0"/>
        <v>6.0064935064935074</v>
      </c>
      <c r="D46" s="23">
        <v>15.256493506493509</v>
      </c>
      <c r="E46" s="51"/>
      <c r="F46" s="38"/>
      <c r="G46" s="54"/>
      <c r="H46" s="58"/>
      <c r="I46" s="53"/>
      <c r="J46" s="44"/>
      <c r="K46" s="63"/>
      <c r="L46" s="73"/>
      <c r="M46" s="63"/>
    </row>
    <row r="47" spans="1:13" ht="16.5" customHeight="1" x14ac:dyDescent="0.25">
      <c r="A47" s="49"/>
      <c r="B47" s="64" t="s">
        <v>77</v>
      </c>
      <c r="C47" s="23">
        <f t="shared" si="0"/>
        <v>6.3311688311688314</v>
      </c>
      <c r="D47" s="23">
        <v>16.081168831168831</v>
      </c>
      <c r="E47" s="51"/>
      <c r="F47" s="59"/>
      <c r="G47" s="54"/>
      <c r="H47" s="60"/>
      <c r="I47" s="53"/>
      <c r="J47" s="44"/>
      <c r="K47" s="63"/>
      <c r="L47" s="73"/>
      <c r="M47" s="63"/>
    </row>
    <row r="48" spans="1:13" ht="16.5" customHeight="1" x14ac:dyDescent="0.25">
      <c r="A48" s="65"/>
      <c r="B48" s="64" t="s">
        <v>78</v>
      </c>
      <c r="C48" s="23">
        <f t="shared" si="0"/>
        <v>6.6540034768381222</v>
      </c>
      <c r="D48" s="23">
        <f>D47+0.82</f>
        <v>16.901168831168832</v>
      </c>
      <c r="E48" s="52"/>
      <c r="F48" s="59"/>
      <c r="G48" s="54"/>
      <c r="H48" s="60"/>
      <c r="I48" s="53"/>
      <c r="J48" s="44"/>
      <c r="K48" s="63"/>
      <c r="L48" s="73"/>
      <c r="M48" s="63"/>
    </row>
    <row r="49" spans="1:13" ht="16.5" customHeight="1" x14ac:dyDescent="0.25">
      <c r="A49" s="65"/>
      <c r="B49" s="64" t="s">
        <v>79</v>
      </c>
      <c r="C49" s="23">
        <f t="shared" si="0"/>
        <v>6.9768381225074139</v>
      </c>
      <c r="D49" s="23">
        <f t="shared" ref="D49:D50" si="1">D48+0.82</f>
        <v>17.721168831168832</v>
      </c>
      <c r="E49" s="52"/>
      <c r="F49" s="59"/>
      <c r="G49" s="54"/>
      <c r="H49" s="60"/>
      <c r="I49" s="53"/>
      <c r="J49" s="44"/>
      <c r="K49" s="63"/>
      <c r="L49" s="73"/>
      <c r="M49" s="63"/>
    </row>
    <row r="50" spans="1:13" ht="16.5" customHeight="1" x14ac:dyDescent="0.25">
      <c r="A50" s="65"/>
      <c r="B50" s="64" t="s">
        <v>80</v>
      </c>
      <c r="C50" s="23">
        <f t="shared" si="0"/>
        <v>7.2996727681767055</v>
      </c>
      <c r="D50" s="23">
        <f t="shared" si="1"/>
        <v>18.541168831168832</v>
      </c>
      <c r="E50" s="52"/>
      <c r="F50" s="59"/>
      <c r="G50" s="54"/>
      <c r="H50" s="60"/>
      <c r="I50" s="53"/>
      <c r="J50" s="44"/>
      <c r="K50" s="63"/>
      <c r="L50" s="73"/>
      <c r="M50" s="63"/>
    </row>
    <row r="51" spans="1:13" ht="10.199999999999999" customHeight="1" x14ac:dyDescent="0.25">
      <c r="A51" s="28"/>
      <c r="B51" s="30"/>
      <c r="C51" s="30"/>
      <c r="D51" s="45"/>
      <c r="E51" s="29"/>
      <c r="F51" s="30"/>
      <c r="G51" s="30"/>
      <c r="H51" s="61"/>
    </row>
    <row r="52" spans="1:13" ht="18" customHeight="1" x14ac:dyDescent="0.25">
      <c r="A52" s="62" t="s">
        <v>12</v>
      </c>
      <c r="B52" s="69"/>
      <c r="C52" s="69"/>
      <c r="D52" s="70"/>
      <c r="E52" s="71"/>
      <c r="F52" s="69"/>
      <c r="G52" s="69"/>
      <c r="H52" s="72"/>
    </row>
    <row r="53" spans="1:13" ht="18" customHeight="1" x14ac:dyDescent="0.25">
      <c r="A53" s="66"/>
      <c r="B53" s="67"/>
      <c r="C53" s="67"/>
      <c r="D53" s="67"/>
      <c r="E53" s="67"/>
      <c r="F53" s="67"/>
      <c r="G53" s="67"/>
      <c r="H53" s="68"/>
    </row>
    <row r="54" spans="1:13" ht="15.75" customHeight="1" x14ac:dyDescent="0.25">
      <c r="A54" s="27"/>
      <c r="B54" s="12"/>
      <c r="C54" s="12"/>
      <c r="D54" s="12"/>
      <c r="E54" s="12"/>
      <c r="F54" s="12"/>
      <c r="G54" s="12"/>
      <c r="H54" s="12"/>
    </row>
    <row r="55" spans="1:13" ht="15.75" customHeight="1" x14ac:dyDescent="0.25">
      <c r="A55" s="26"/>
      <c r="B55" s="12"/>
      <c r="C55" s="12"/>
      <c r="D55" s="12"/>
      <c r="E55" s="12"/>
      <c r="F55" s="12"/>
      <c r="G55" s="12"/>
      <c r="H55" s="12"/>
    </row>
    <row r="56" spans="1:13" ht="15.75" customHeight="1" x14ac:dyDescent="0.25"/>
    <row r="57" spans="1:13" ht="15.75" customHeight="1" x14ac:dyDescent="0.25"/>
    <row r="58" spans="1:13" ht="15.75" customHeight="1" x14ac:dyDescent="0.25">
      <c r="A58" s="15" t="s">
        <v>1</v>
      </c>
      <c r="B58" s="12"/>
      <c r="C58" s="12"/>
      <c r="D58" s="12"/>
      <c r="E58" s="12"/>
      <c r="F58" s="12"/>
      <c r="G58" s="12"/>
      <c r="H58" s="12"/>
    </row>
    <row r="59" spans="1:13" ht="15.75" customHeight="1" x14ac:dyDescent="0.25">
      <c r="A59" s="15" t="s">
        <v>86</v>
      </c>
      <c r="B59" s="2"/>
      <c r="C59" s="2"/>
      <c r="D59" s="2"/>
      <c r="E59" s="2"/>
      <c r="F59" s="2"/>
      <c r="G59" s="2"/>
      <c r="H59" s="2"/>
    </row>
    <row r="60" spans="1:13" ht="15.9" customHeight="1" x14ac:dyDescent="0.25"/>
    <row r="61" spans="1:13" ht="30.75" customHeight="1" x14ac:dyDescent="0.25">
      <c r="A61" s="77" t="s">
        <v>11</v>
      </c>
      <c r="B61" s="77"/>
      <c r="C61" s="77"/>
      <c r="D61" s="77"/>
      <c r="E61" s="77"/>
      <c r="F61" s="77"/>
      <c r="G61" s="77"/>
      <c r="H61" s="77"/>
    </row>
    <row r="62" spans="1:13" ht="15.9" customHeight="1" x14ac:dyDescent="0.25"/>
    <row r="63" spans="1:13" ht="15.9" customHeight="1" x14ac:dyDescent="0.25"/>
  </sheetData>
  <protectedRanges>
    <protectedRange sqref="C12 C15" name="Rango3_3_1_1_1_1_1_1_1_1"/>
  </protectedRanges>
  <mergeCells count="12">
    <mergeCell ref="F10:G10"/>
    <mergeCell ref="F11:G11"/>
    <mergeCell ref="C25:D25"/>
    <mergeCell ref="A61:H61"/>
    <mergeCell ref="A7:H7"/>
    <mergeCell ref="A8:H8"/>
    <mergeCell ref="A13:H13"/>
    <mergeCell ref="A14:H14"/>
    <mergeCell ref="A16:C16"/>
    <mergeCell ref="D16:H16"/>
    <mergeCell ref="B10:C10"/>
    <mergeCell ref="B11:C11"/>
  </mergeCells>
  <printOptions horizontalCentered="1" verticalCentered="1"/>
  <pageMargins left="0.59055118110236227" right="0.59055118110236227" top="0.59055118110236227" bottom="0.39370078740157483" header="0" footer="0"/>
  <pageSetup paperSize="9" scale="78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CNC</vt:lpstr>
      <vt:lpstr>CNC (2)</vt:lpstr>
      <vt:lpstr>CNC!Área_de_impresión</vt:lpstr>
      <vt:lpstr>'CNC (2)'!Área_de_impresión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2025-09-01T20:51:19Z</cp:lastPrinted>
  <dcterms:created xsi:type="dcterms:W3CDTF">1999-11-07T15:11:55Z</dcterms:created>
  <dcterms:modified xsi:type="dcterms:W3CDTF">2026-03-12T16:09:34Z</dcterms:modified>
</cp:coreProperties>
</file>