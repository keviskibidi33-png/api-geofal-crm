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2" autoFilterDateGrouping="1"/>
  </bookViews>
  <sheets>
    <sheet xmlns:r="http://schemas.openxmlformats.org/officeDocument/2006/relationships" name="." sheetId="1" state="hidden" r:id="rId1"/>
    <sheet xmlns:r="http://schemas.openxmlformats.org/officeDocument/2006/relationships" name="ABANCAY" sheetId="2" state="hidden" r:id="rId2"/>
    <sheet xmlns:r="http://schemas.openxmlformats.org/officeDocument/2006/relationships" name="MYP" sheetId="3" state="visible" r:id="rId3"/>
    <sheet xmlns:r="http://schemas.openxmlformats.org/officeDocument/2006/relationships" name="AYACUCHO" sheetId="4" state="hidden" r:id="rId4"/>
  </sheets>
  <definedNames>
    <definedName name="_xlnm.Print_Area" localSheetId="0">'.'!$A$1:$J$40</definedName>
    <definedName name="_xlnm.Print_Area" localSheetId="1">'ABANCAY'!$A$1:$J$40</definedName>
    <definedName name="_xlnm.Print_Area" localSheetId="2">'MYP'!$A$1:$J$34</definedName>
    <definedName name="_xlnm.Print_Area" localSheetId="3">'AYACUCHO'!$A$1:$J$40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0&quot;0"/>
    <numFmt numFmtId="165" formatCode="000\-&quot;24&quot;"/>
    <numFmt numFmtId="166" formatCode="000\-&quot;24-ING&quot;"/>
    <numFmt numFmtId="167" formatCode="000\-&quot;26&quot;"/>
    <numFmt numFmtId="168" formatCode="000\-&quot;26-LEM&quot;"/>
    <numFmt numFmtId="169" formatCode="000\-&quot;24-LEM&quot;"/>
    <numFmt numFmtId="170" formatCode="000&quot;-SU-23&quot;"/>
    <numFmt numFmtId="171" formatCode="000&quot;-SU-24&quot;"/>
    <numFmt numFmtId="172" formatCode="000&quot;-AG-24&quot;"/>
    <numFmt numFmtId="173" formatCode="000&quot;-CO-24&quot;"/>
  </numFmts>
  <fonts count="17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rial"/>
      <family val="2"/>
      <color indexed="8"/>
      <sz val="11"/>
      <vertAlign val="superscript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8"/>
    </font>
    <font>
      <name val="Arial"/>
      <family val="2"/>
      <b val="1"/>
      <color theme="1"/>
      <sz val="16"/>
    </font>
    <font>
      <name val="Arial"/>
      <b val="1"/>
      <sz val="9"/>
    </font>
    <font>
      <name val="Arial"/>
      <sz val="9"/>
    </font>
    <font>
      <name val="Arial"/>
      <family val="2"/>
      <sz val="9"/>
    </font>
    <font>
      <name val="Arial"/>
      <family val="2"/>
      <sz val="11"/>
    </font>
    <font>
      <name val="Arial"/>
      <family val="2"/>
      <b val="1"/>
      <sz val="9"/>
    </font>
    <font>
      <name val="Arial"/>
      <family val="2"/>
      <color theme="1"/>
      <sz val="9"/>
      <u val="single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1F497D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6" fillId="2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/>
    </xf>
    <xf numFmtId="14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6" fillId="2" borderId="1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vertical="center" wrapText="1"/>
    </xf>
    <xf numFmtId="165" fontId="6" fillId="2" borderId="1" applyAlignment="1" pivotButton="0" quotePrefix="0" xfId="0">
      <alignment horizontal="center" vertical="center"/>
    </xf>
    <xf numFmtId="166" fontId="6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/>
    </xf>
    <xf numFmtId="0" fontId="6" fillId="2" borderId="6" pivotButton="0" quotePrefix="0" xfId="0"/>
    <xf numFmtId="0" fontId="6" fillId="2" borderId="7" pivotButton="0" quotePrefix="0" xfId="0"/>
    <xf numFmtId="0" fontId="6" fillId="2" borderId="8" pivotButton="0" quotePrefix="0" xfId="0"/>
    <xf numFmtId="167" fontId="6" fillId="2" borderId="1" applyAlignment="1" pivotButton="0" quotePrefix="0" xfId="0">
      <alignment horizontal="center" vertical="center"/>
    </xf>
    <xf numFmtId="168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 indent="1"/>
    </xf>
    <xf numFmtId="164" fontId="5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wrapText="1"/>
    </xf>
    <xf numFmtId="14" fontId="1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top"/>
    </xf>
    <xf numFmtId="0" fontId="6" fillId="2" borderId="7" applyAlignment="1" pivotButton="0" quotePrefix="0" xfId="0">
      <alignment vertical="top"/>
    </xf>
    <xf numFmtId="0" fontId="6" fillId="2" borderId="9" applyAlignment="1" pivotButton="0" quotePrefix="0" xfId="0">
      <alignment vertical="top"/>
    </xf>
    <xf numFmtId="0" fontId="15" fillId="5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169" fontId="6" fillId="2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 indent="1"/>
    </xf>
    <xf numFmtId="0" fontId="6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6" fillId="2" borderId="5" applyAlignment="1" applyProtection="1" pivotButton="0" quotePrefix="1" xfId="0">
      <alignment horizontal="center" vertical="center" wrapText="1"/>
      <protection locked="0" hidden="0"/>
    </xf>
    <xf numFmtId="0" fontId="6" fillId="2" borderId="9" applyAlignment="1" applyProtection="1" pivotButton="0" quotePrefix="0" xfId="0">
      <alignment horizontal="center" vertical="center" wrapText="1"/>
      <protection locked="0" hidden="0"/>
    </xf>
    <xf numFmtId="0" fontId="6" fillId="2" borderId="10" applyAlignment="1" applyProtection="1" pivotButton="0" quotePrefix="0" xfId="0">
      <alignment horizontal="center" vertical="center" wrapText="1"/>
      <protection locked="0" hidden="0"/>
    </xf>
    <xf numFmtId="170" fontId="6" fillId="2" borderId="1" applyAlignment="1" pivotButton="0" quotePrefix="1" xfId="0">
      <alignment horizontal="center" vertical="center"/>
    </xf>
    <xf numFmtId="170" fontId="6" fillId="2" borderId="1" applyAlignment="1" pivotButton="0" quotePrefix="0" xfId="0">
      <alignment horizontal="center" vertical="center"/>
    </xf>
    <xf numFmtId="0" fontId="6" fillId="2" borderId="5" applyAlignment="1" applyProtection="1" pivotButton="0" quotePrefix="0" xfId="0">
      <alignment horizontal="center" vertical="center" wrapText="1"/>
      <protection locked="0" hidden="0"/>
    </xf>
    <xf numFmtId="0" fontId="6" fillId="2" borderId="1" applyAlignment="1" pivotButton="0" quotePrefix="1" xfId="0">
      <alignment horizontal="center" vertical="center"/>
    </xf>
    <xf numFmtId="171" fontId="6" fillId="2" borderId="1" applyAlignment="1" pivotButton="0" quotePrefix="1" xfId="0">
      <alignment horizontal="center" vertical="center"/>
    </xf>
    <xf numFmtId="171" fontId="6" fillId="2" borderId="1" applyAlignment="1" pivotButton="0" quotePrefix="0" xfId="0">
      <alignment horizontal="center" vertical="center"/>
    </xf>
    <xf numFmtId="0" fontId="6" fillId="2" borderId="5" applyAlignment="1" pivotButton="0" quotePrefix="1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top"/>
    </xf>
    <xf numFmtId="0" fontId="6" fillId="2" borderId="1" applyAlignment="1" pivotButton="0" quotePrefix="0" xfId="0">
      <alignment horizontal="center" vertical="center" wrapText="1"/>
    </xf>
    <xf numFmtId="0" fontId="9" fillId="2" borderId="5" applyAlignment="1" pivotButton="0" quotePrefix="0" xfId="0">
      <alignment horizontal="left" vertical="center" wrapText="1"/>
    </xf>
    <xf numFmtId="0" fontId="9" fillId="2" borderId="10" applyAlignment="1" pivotButton="0" quotePrefix="0" xfId="0">
      <alignment horizontal="left" vertical="center" wrapText="1"/>
    </xf>
    <xf numFmtId="1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172" fontId="6" fillId="2" borderId="1" applyAlignment="1" pivotButton="0" quotePrefix="1" xfId="0">
      <alignment horizontal="center" vertical="center"/>
    </xf>
    <xf numFmtId="172" fontId="6" fillId="2" borderId="1" applyAlignment="1" pivotButton="0" quotePrefix="0" xfId="0">
      <alignment horizontal="center" vertical="center"/>
    </xf>
    <xf numFmtId="0" fontId="6" fillId="0" borderId="1" applyAlignment="1" pivotButton="0" quotePrefix="1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 wrapText="1"/>
    </xf>
    <xf numFmtId="173" fontId="6" fillId="2" borderId="1" applyAlignment="1" pivotButton="0" quotePrefix="1" xfId="0">
      <alignment horizontal="center" vertical="center"/>
    </xf>
    <xf numFmtId="173" fontId="6" fillId="2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6" fillId="2" borderId="5" applyAlignment="1" pivotButton="0" quotePrefix="1" xfId="0">
      <alignment horizontal="center" vertical="center" wrapText="1"/>
    </xf>
    <xf numFmtId="0" fontId="6" fillId="2" borderId="9" applyAlignment="1" pivotButton="0" quotePrefix="1" xfId="0">
      <alignment horizontal="center" vertical="center" wrapText="1"/>
    </xf>
    <xf numFmtId="0" fontId="6" fillId="2" borderId="10" applyAlignment="1" pivotButton="0" quotePrefix="1" xfId="0">
      <alignment horizontal="center" vertical="center" wrapText="1"/>
    </xf>
    <xf numFmtId="0" fontId="6" fillId="0" borderId="5" applyAlignment="1" pivotButton="0" quotePrefix="1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6" fillId="2" borderId="1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 wrapText="1"/>
    </xf>
    <xf numFmtId="14" fontId="14" fillId="0" borderId="5" applyAlignment="1" pivotButton="0" quotePrefix="0" xfId="0">
      <alignment horizontal="center" vertical="center" wrapText="1"/>
    </xf>
    <xf numFmtId="14" fontId="14" fillId="0" borderId="1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2" borderId="12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/>
    </xf>
    <xf numFmtId="0" fontId="6" fillId="2" borderId="1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10" fillId="2" borderId="1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10" fillId="2" borderId="13" applyAlignment="1" pivotButton="0" quotePrefix="0" xfId="0">
      <alignment horizontal="center" vertical="center" wrapText="1"/>
    </xf>
    <xf numFmtId="0" fontId="10" fillId="2" borderId="1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15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7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9" fontId="6" fillId="2" borderId="1" applyAlignment="1" pivotButton="0" quotePrefix="0" xfId="0">
      <alignment horizontal="center" vertical="center"/>
    </xf>
    <xf numFmtId="0" fontId="0" fillId="0" borderId="10" pivotButton="0" quotePrefix="0" xfId="0"/>
    <xf numFmtId="165" fontId="6" fillId="2" borderId="1" applyAlignment="1" pivotButton="0" quotePrefix="0" xfId="0">
      <alignment horizontal="center" vertical="center"/>
    </xf>
    <xf numFmtId="166" fontId="6" fillId="2" borderId="1" applyAlignment="1" pivotButton="0" quotePrefix="0" xfId="0">
      <alignment horizontal="center" vertical="center"/>
    </xf>
    <xf numFmtId="173" fontId="6" fillId="2" borderId="1" applyAlignment="1" pivotButton="0" quotePrefix="1" xfId="0">
      <alignment horizontal="center" vertical="center"/>
    </xf>
    <xf numFmtId="0" fontId="0" fillId="0" borderId="9" pivotButton="0" quotePrefix="0" xfId="0"/>
    <xf numFmtId="170" fontId="6" fillId="2" borderId="1" applyAlignment="1" pivotButton="0" quotePrefix="1" xfId="0">
      <alignment horizontal="center" vertical="center"/>
    </xf>
    <xf numFmtId="0" fontId="6" fillId="2" borderId="1" applyAlignment="1" applyProtection="1" pivotButton="0" quotePrefix="1" xfId="0">
      <alignment horizontal="center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172" fontId="6" fillId="2" borderId="1" applyAlignment="1" pivotButton="0" quotePrefix="1" xfId="0">
      <alignment horizontal="center" vertical="center"/>
    </xf>
    <xf numFmtId="171" fontId="6" fillId="2" borderId="1" applyAlignment="1" pivotButton="0" quotePrefix="1" xfId="0">
      <alignment horizontal="center" vertical="center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0" fontId="9" fillId="2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2" borderId="1" applyAlignment="1" pivotButton="0" quotePrefix="1" xfId="0">
      <alignment horizontal="center" vertical="center" wrapText="1"/>
    </xf>
    <xf numFmtId="0" fontId="6" fillId="0" borderId="1" applyAlignment="1" pivotButton="0" quotePrefix="1" xfId="0">
      <alignment horizontal="center" vertical="center" wrapText="1"/>
    </xf>
    <xf numFmtId="168" fontId="6" fillId="2" borderId="1" applyAlignment="1" pivotButton="0" quotePrefix="0" xfId="0">
      <alignment horizontal="center" vertical="center"/>
    </xf>
    <xf numFmtId="167" fontId="6" fillId="2" borderId="1" applyAlignment="1" pivotButton="0" quotePrefix="0" xfId="0">
      <alignment horizontal="center" vertical="center"/>
    </xf>
    <xf numFmtId="0" fontId="12" fillId="2" borderId="16" applyAlignment="1" pivotButton="0" quotePrefix="0" xfId="0">
      <alignment horizontal="center" vertical="center"/>
    </xf>
    <xf numFmtId="0" fontId="12" fillId="2" borderId="16" applyAlignment="1" pivotButton="0" quotePrefix="0" xfId="0">
      <alignment horizontal="center" vertical="center" wrapText="1"/>
    </xf>
    <xf numFmtId="0" fontId="12" fillId="4" borderId="1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comments/comment2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comments/comment3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38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3357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181580</colOff>
      <row>0</row>
      <rowOff>96356</rowOff>
    </from>
    <to>
      <col>1</col>
      <colOff>838200</colOff>
      <row>3</row>
      <rowOff>86028</rowOff>
    </to>
    <pic>
      <nvPicPr>
        <cNvPr id="14363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81580" y="96356"/>
          <a:ext cx="1198487" cy="75167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5377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716</v>
      </c>
      <c r="C6" s="124" t="n"/>
      <c r="D6" s="16" t="n"/>
      <c r="E6" s="15" t="n"/>
      <c r="F6" s="15" t="inlineStr">
        <is>
          <t>Nº RECEPCIÓN:</t>
        </is>
      </c>
      <c r="G6" s="125" t="n">
        <v>690</v>
      </c>
      <c r="H6" s="16" t="n"/>
      <c r="I6" s="17" t="inlineStr">
        <is>
          <t>REFERENCIA:</t>
        </is>
      </c>
      <c r="J6" s="126" t="inlineStr">
        <is>
          <t>-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27" t="n">
        <v>2547</v>
      </c>
      <c r="C10" s="128" t="n"/>
      <c r="D10" s="124" t="n"/>
      <c r="E10" s="57" t="inlineStr">
        <is>
          <t xml:space="preserve">COMPRENSION DE PROBETAS </t>
        </is>
      </c>
      <c r="F10" s="128" t="n"/>
      <c r="G10" s="128" t="n"/>
      <c r="H10" s="128" t="n"/>
      <c r="I10" s="124" t="n"/>
      <c r="J10" s="22" t="n">
        <v>24</v>
      </c>
    </row>
    <row r="11" ht="33" customHeight="1">
      <c r="A11" s="49" t="n"/>
      <c r="B11" s="129" t="inlineStr">
        <is>
          <t>AL</t>
        </is>
      </c>
      <c r="C11" s="128" t="n"/>
      <c r="D11" s="124" t="n"/>
      <c r="E11" s="130" t="n"/>
      <c r="F11" s="131" t="n"/>
      <c r="G11" s="131" t="n"/>
      <c r="H11" s="131" t="n"/>
      <c r="I11" s="132" t="n"/>
      <c r="J11" s="49" t="n"/>
    </row>
    <row r="12" ht="33" customHeight="1">
      <c r="A12" s="49" t="n"/>
      <c r="B12" s="127" t="n">
        <v>2570</v>
      </c>
      <c r="C12" s="128" t="n"/>
      <c r="D12" s="124" t="n"/>
      <c r="E12" s="75" t="n"/>
      <c r="F12" s="128" t="n"/>
      <c r="G12" s="128" t="n"/>
      <c r="H12" s="128" t="n"/>
      <c r="I12" s="124" t="n"/>
      <c r="J12" s="49" t="n"/>
    </row>
    <row r="13" ht="33" customHeight="1">
      <c r="A13" s="49" t="n"/>
      <c r="B13" s="133" t="n"/>
      <c r="C13" s="128" t="n"/>
      <c r="D13" s="124" t="n"/>
      <c r="E13" s="130" t="n"/>
      <c r="F13" s="131" t="n"/>
      <c r="G13" s="131" t="n"/>
      <c r="H13" s="131" t="n"/>
      <c r="I13" s="132" t="n"/>
      <c r="J13" s="49" t="n"/>
    </row>
    <row r="14" ht="33" customHeight="1">
      <c r="A14" s="49" t="n"/>
      <c r="B14" s="129" t="n"/>
      <c r="C14" s="128" t="n"/>
      <c r="D14" s="124" t="n"/>
      <c r="E14" s="130" t="n"/>
      <c r="F14" s="131" t="n"/>
      <c r="G14" s="131" t="n"/>
      <c r="H14" s="131" t="n"/>
      <c r="I14" s="132" t="n"/>
      <c r="J14" s="49" t="n"/>
    </row>
    <row r="15" ht="33" customHeight="1">
      <c r="A15" s="49" t="n"/>
      <c r="B15" s="49" t="n"/>
      <c r="C15" s="128" t="n"/>
      <c r="D15" s="124" t="n"/>
      <c r="E15" s="57" t="n"/>
      <c r="F15" s="128" t="n"/>
      <c r="G15" s="128" t="n"/>
      <c r="H15" s="128" t="n"/>
      <c r="I15" s="124" t="n"/>
      <c r="J15" s="22" t="n"/>
    </row>
    <row r="16" ht="33" customHeight="1">
      <c r="A16" s="49" t="n"/>
      <c r="B16" s="133" t="n"/>
      <c r="C16" s="128" t="n"/>
      <c r="D16" s="124" t="n"/>
      <c r="E16" s="130" t="n"/>
      <c r="F16" s="131" t="n"/>
      <c r="G16" s="131" t="n"/>
      <c r="H16" s="131" t="n"/>
      <c r="I16" s="132" t="n"/>
      <c r="J16" s="49" t="n"/>
    </row>
    <row r="17" ht="33" customHeight="1">
      <c r="A17" s="49" t="n"/>
      <c r="B17" s="129" t="n"/>
      <c r="C17" s="128" t="n"/>
      <c r="D17" s="124" t="n"/>
      <c r="E17" s="130" t="n"/>
      <c r="F17" s="131" t="n"/>
      <c r="G17" s="131" t="n"/>
      <c r="H17" s="131" t="n"/>
      <c r="I17" s="132" t="n"/>
      <c r="J17" s="49" t="n"/>
    </row>
    <row r="18" ht="33" customHeight="1">
      <c r="A18" s="49" t="n"/>
      <c r="B18" s="134" t="n"/>
      <c r="C18" s="128" t="n"/>
      <c r="D18" s="124" t="n"/>
      <c r="E18" s="57" t="n"/>
      <c r="F18" s="128" t="n"/>
      <c r="G18" s="128" t="n"/>
      <c r="H18" s="128" t="n"/>
      <c r="I18" s="124" t="n"/>
      <c r="J18" s="22" t="n"/>
    </row>
    <row r="19" ht="33" customHeight="1">
      <c r="A19" s="49" t="n"/>
      <c r="B19" s="134" t="n"/>
      <c r="C19" s="128" t="n"/>
      <c r="D19" s="124" t="n"/>
      <c r="E19" s="130" t="n"/>
      <c r="F19" s="131" t="n"/>
      <c r="G19" s="131" t="n"/>
      <c r="H19" s="131" t="n"/>
      <c r="I19" s="132" t="n"/>
      <c r="J19" s="49" t="n"/>
    </row>
    <row r="20" ht="33" customHeight="1">
      <c r="A20" s="49" t="n"/>
      <c r="B20" s="129" t="n"/>
      <c r="C20" s="128" t="n"/>
      <c r="D20" s="124" t="n"/>
      <c r="E20" s="75" t="n"/>
      <c r="F20" s="128" t="n"/>
      <c r="G20" s="128" t="n"/>
      <c r="H20" s="128" t="n"/>
      <c r="I20" s="124" t="n"/>
      <c r="J20" s="49" t="n"/>
    </row>
    <row r="21" ht="33" customHeight="1">
      <c r="A21" s="49" t="n"/>
      <c r="B21" s="134" t="n"/>
      <c r="C21" s="128" t="n"/>
      <c r="D21" s="124" t="n"/>
      <c r="E21" s="130" t="n"/>
      <c r="F21" s="131" t="n"/>
      <c r="G21" s="131" t="n"/>
      <c r="H21" s="131" t="n"/>
      <c r="I21" s="132" t="n"/>
      <c r="J21" s="49" t="n"/>
    </row>
    <row r="22" ht="33" customHeight="1">
      <c r="A22" s="49" t="n"/>
      <c r="B22" s="133" t="n"/>
      <c r="C22" s="128" t="n"/>
      <c r="D22" s="124" t="n"/>
      <c r="E22" s="130" t="n"/>
      <c r="F22" s="131" t="n"/>
      <c r="G22" s="131" t="n"/>
      <c r="H22" s="131" t="n"/>
      <c r="I22" s="132" t="n"/>
      <c r="J22" s="49" t="n"/>
    </row>
    <row r="23" ht="33" customHeight="1">
      <c r="A23" s="49" t="n"/>
      <c r="B23" s="129" t="n"/>
      <c r="C23" s="128" t="n"/>
      <c r="D23" s="124" t="n"/>
      <c r="E23" s="130" t="n"/>
      <c r="F23" s="131" t="n"/>
      <c r="G23" s="131" t="n"/>
      <c r="H23" s="131" t="n"/>
      <c r="I23" s="132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45524</v>
      </c>
      <c r="D32" s="124" t="n"/>
      <c r="E32" s="64" t="inlineStr">
        <is>
          <t>INICIO PROGRAMADO</t>
        </is>
      </c>
      <c r="F32" s="21" t="n">
        <v>45524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45537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9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B9:D9"/>
    <mergeCell ref="E19:I19"/>
    <mergeCell ref="E13:I13"/>
    <mergeCell ref="A34:J34"/>
    <mergeCell ref="B30:D30"/>
    <mergeCell ref="B15:D15"/>
    <mergeCell ref="E31:I31"/>
    <mergeCell ref="B24:D24"/>
    <mergeCell ref="E9:I9"/>
    <mergeCell ref="B20:D20"/>
    <mergeCell ref="E30:I30"/>
    <mergeCell ref="E15:I15"/>
    <mergeCell ref="E22:I22"/>
    <mergeCell ref="A33:B33"/>
    <mergeCell ref="B26:D26"/>
    <mergeCell ref="A32:B32"/>
    <mergeCell ref="E11:I11"/>
    <mergeCell ref="E27:I27"/>
    <mergeCell ref="A35:J38"/>
    <mergeCell ref="B25:D25"/>
    <mergeCell ref="B16:D16"/>
    <mergeCell ref="E26:I26"/>
    <mergeCell ref="B6:C6"/>
    <mergeCell ref="C32:D32"/>
    <mergeCell ref="B31:D31"/>
    <mergeCell ref="E16:I16"/>
    <mergeCell ref="B22:D22"/>
    <mergeCell ref="E25:I25"/>
    <mergeCell ref="B18:D18"/>
    <mergeCell ref="B27:D27"/>
    <mergeCell ref="B21:D21"/>
    <mergeCell ref="B12:D12"/>
    <mergeCell ref="H39:J39"/>
    <mergeCell ref="A39:B39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839</v>
      </c>
      <c r="C6" s="124" t="n"/>
      <c r="D6" s="16" t="n"/>
      <c r="E6" s="15" t="n"/>
      <c r="F6" s="15" t="inlineStr">
        <is>
          <t>Nº RECEPCIÓN:</t>
        </is>
      </c>
      <c r="G6" s="125" t="n">
        <v>806</v>
      </c>
      <c r="H6" s="16" t="n"/>
      <c r="I6" s="17" t="inlineStr">
        <is>
          <t>REFERENCIA:</t>
        </is>
      </c>
      <c r="J6" s="126" t="inlineStr">
        <is>
          <t>-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33" t="inlineStr">
        <is>
          <t>670-SU-24</t>
        </is>
      </c>
      <c r="C10" s="128" t="n"/>
      <c r="D10" s="124" t="n"/>
      <c r="E10" s="137" t="inlineStr">
        <is>
          <t>ANÁLISIS GRANULOMÉTRICO POR TAMIZADO EN SUELOS / ASTM D6913/D6913M-17</t>
        </is>
      </c>
      <c r="F10" s="128" t="n"/>
      <c r="G10" s="128" t="n"/>
      <c r="H10" s="128" t="n"/>
      <c r="I10" s="124" t="n"/>
      <c r="J10" s="22" t="n">
        <v>1</v>
      </c>
    </row>
    <row r="11" ht="33" customHeight="1">
      <c r="A11" s="49" t="n"/>
      <c r="B11" s="129" t="n"/>
      <c r="C11" s="128" t="n"/>
      <c r="D11" s="124" t="n"/>
      <c r="E11" s="130" t="inlineStr">
        <is>
          <t>LÍMITE LÍQUIDO Y LÍMITE PLÁSTICO DEL SUELO /ASTM D4318-17ε1</t>
        </is>
      </c>
      <c r="F11" s="131" t="n"/>
      <c r="G11" s="131" t="n"/>
      <c r="H11" s="131" t="n"/>
      <c r="I11" s="132" t="n"/>
      <c r="J11" s="49" t="n">
        <v>1</v>
      </c>
    </row>
    <row r="12" ht="33" customHeight="1">
      <c r="A12" s="49" t="n"/>
      <c r="B12" s="127" t="n"/>
      <c r="C12" s="128" t="n"/>
      <c r="D12" s="124" t="n"/>
      <c r="E12" s="137" t="inlineStr">
        <is>
          <t>CONTENIDO DE HUMEDAD EN SUELOS/ ASTM D2216-19</t>
        </is>
      </c>
      <c r="F12" s="128" t="n"/>
      <c r="G12" s="128" t="n"/>
      <c r="H12" s="128" t="n"/>
      <c r="I12" s="124" t="n"/>
      <c r="J12" s="22" t="n">
        <v>1</v>
      </c>
    </row>
    <row r="13" ht="33" customHeight="1">
      <c r="A13" s="49" t="n"/>
      <c r="B13" s="49" t="n"/>
      <c r="C13" s="128" t="n"/>
      <c r="D13" s="124" t="n"/>
      <c r="E13" s="130" t="inlineStr">
        <is>
          <t>CLASIFICACION SUCS-ASHTO / ASTM D2487</t>
        </is>
      </c>
      <c r="F13" s="131" t="n"/>
      <c r="G13" s="131" t="n"/>
      <c r="H13" s="131" t="n"/>
      <c r="I13" s="132" t="n"/>
      <c r="J13" s="49" t="n">
        <v>1</v>
      </c>
    </row>
    <row r="14" ht="33" customHeight="1">
      <c r="A14" s="49" t="n"/>
      <c r="B14" s="133" t="n"/>
      <c r="C14" s="128" t="n"/>
      <c r="D14" s="124" t="n"/>
      <c r="E14" s="49" t="inlineStr">
        <is>
          <t>SALES SOLUBLES / NTP 339.152</t>
        </is>
      </c>
      <c r="F14" s="128" t="n"/>
      <c r="G14" s="128" t="n"/>
      <c r="H14" s="128" t="n"/>
      <c r="I14" s="124" t="n"/>
      <c r="J14" s="22" t="n">
        <v>1</v>
      </c>
    </row>
    <row r="15" ht="33" customHeight="1">
      <c r="A15" s="49" t="n"/>
      <c r="B15" s="133" t="n"/>
      <c r="C15" s="128" t="n"/>
      <c r="D15" s="124" t="n"/>
      <c r="E15" s="76" t="inlineStr">
        <is>
          <t>CLORUROS SOLUBLES / NTP 339.177</t>
        </is>
      </c>
      <c r="F15" s="128" t="n"/>
      <c r="G15" s="128" t="n"/>
      <c r="H15" s="128" t="n"/>
      <c r="I15" s="124" t="n"/>
      <c r="J15" s="49" t="n">
        <v>1</v>
      </c>
    </row>
    <row r="16" ht="33" customHeight="1">
      <c r="A16" s="49" t="n"/>
      <c r="B16" s="49" t="n"/>
      <c r="C16" s="128" t="n"/>
      <c r="D16" s="124" t="n"/>
      <c r="E16" s="138" t="inlineStr">
        <is>
          <t>SULFATOS SOLUBLES / NTP 339.178</t>
        </is>
      </c>
      <c r="F16" s="128" t="n"/>
      <c r="G16" s="128" t="n"/>
      <c r="H16" s="128" t="n"/>
      <c r="I16" s="124" t="n"/>
      <c r="J16" s="22" t="n">
        <v>1</v>
      </c>
    </row>
    <row r="17" ht="33" customHeight="1">
      <c r="A17" s="49" t="n"/>
      <c r="B17" s="49" t="n"/>
      <c r="C17" s="128" t="n"/>
      <c r="D17" s="124" t="n"/>
      <c r="E17" s="137" t="inlineStr">
        <is>
          <t>PH / NTP 339.176</t>
        </is>
      </c>
      <c r="F17" s="128" t="n"/>
      <c r="G17" s="128" t="n"/>
      <c r="H17" s="128" t="n"/>
      <c r="I17" s="124" t="n"/>
      <c r="J17" s="49" t="n">
        <v>1</v>
      </c>
    </row>
    <row r="18" ht="33" customHeight="1">
      <c r="A18" s="49" t="n"/>
      <c r="B18" s="49" t="n"/>
      <c r="C18" s="128" t="n"/>
      <c r="D18" s="124" t="n"/>
      <c r="E18" s="139" t="inlineStr">
        <is>
          <t>DENSIDAD DEL SUELO IN-SITU /  NTP 339.143</t>
        </is>
      </c>
      <c r="F18" s="128" t="n"/>
      <c r="G18" s="128" t="n"/>
      <c r="H18" s="128" t="n"/>
      <c r="I18" s="124" t="n"/>
      <c r="J18" s="22" t="n">
        <v>1</v>
      </c>
    </row>
    <row r="19" ht="33" customHeight="1">
      <c r="A19" s="49" t="n"/>
      <c r="B19" s="134" t="n"/>
      <c r="C19" s="128" t="n"/>
      <c r="D19" s="124" t="n"/>
      <c r="E19" s="130" t="inlineStr">
        <is>
          <t xml:space="preserve">CORTE DIRECTO / NTP 339.171				</t>
        </is>
      </c>
      <c r="F19" s="131" t="n"/>
      <c r="G19" s="131" t="n"/>
      <c r="H19" s="131" t="n"/>
      <c r="I19" s="132" t="n"/>
      <c r="J19" s="49" t="n">
        <v>1</v>
      </c>
    </row>
    <row r="20" ht="33" customHeight="1">
      <c r="A20" s="49" t="n"/>
      <c r="B20" s="129" t="n"/>
      <c r="C20" s="128" t="n"/>
      <c r="D20" s="124" t="n"/>
      <c r="E20" s="57" t="inlineStr">
        <is>
          <t>GRAVEDADESPECIFICA Y ABSORCIÓN DE AGREGADO GRUESO / ASTM C127-24</t>
        </is>
      </c>
      <c r="F20" s="128" t="n"/>
      <c r="G20" s="128" t="n"/>
      <c r="H20" s="128" t="n"/>
      <c r="I20" s="124" t="n"/>
      <c r="J20" s="49" t="n">
        <v>1</v>
      </c>
    </row>
    <row r="21" ht="33" customHeight="1">
      <c r="A21" s="49" t="n"/>
      <c r="B21" s="134" t="n"/>
      <c r="C21" s="128" t="n"/>
      <c r="D21" s="124" t="n"/>
      <c r="E21" s="57" t="n"/>
      <c r="F21" s="128" t="n"/>
      <c r="G21" s="128" t="n"/>
      <c r="H21" s="128" t="n"/>
      <c r="I21" s="124" t="n"/>
      <c r="J21" s="49" t="n"/>
    </row>
    <row r="22" ht="33" customHeight="1">
      <c r="A22" s="49" t="n"/>
      <c r="B22" s="133" t="n"/>
      <c r="C22" s="128" t="n"/>
      <c r="D22" s="124" t="n"/>
      <c r="E22" s="23" t="n"/>
      <c r="F22" s="24" t="n"/>
      <c r="G22" s="24" t="n"/>
      <c r="H22" s="24" t="n"/>
      <c r="I22" s="25" t="n"/>
      <c r="J22" s="49" t="n"/>
    </row>
    <row r="23" ht="33" customHeight="1">
      <c r="A23" s="49" t="n"/>
      <c r="B23" s="129" t="n"/>
      <c r="C23" s="128" t="n"/>
      <c r="D23" s="124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45555</v>
      </c>
      <c r="D32" s="124" t="n"/>
      <c r="E32" s="64" t="inlineStr">
        <is>
          <t>INICIO PROGRAMADO</t>
        </is>
      </c>
      <c r="F32" s="21" t="n">
        <v>45556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45560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
HARNOLD PRETEL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7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E19:I19"/>
    <mergeCell ref="A34:J34"/>
    <mergeCell ref="E13:I13"/>
    <mergeCell ref="B9:D9"/>
    <mergeCell ref="B30:D30"/>
    <mergeCell ref="B15:D15"/>
    <mergeCell ref="E31:I31"/>
    <mergeCell ref="B24:D24"/>
    <mergeCell ref="B20:D20"/>
    <mergeCell ref="E9:I9"/>
    <mergeCell ref="E30:I30"/>
    <mergeCell ref="E15:I15"/>
    <mergeCell ref="A33:B33"/>
    <mergeCell ref="B26:D26"/>
    <mergeCell ref="A32:B32"/>
    <mergeCell ref="E11:I11"/>
    <mergeCell ref="E27:I27"/>
    <mergeCell ref="B25:D25"/>
    <mergeCell ref="E26:I26"/>
    <mergeCell ref="B16:D16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A39:B39"/>
    <mergeCell ref="B12:D12"/>
    <mergeCell ref="H39:J39"/>
    <mergeCell ref="A35:J38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tabSelected="1" topLeftCell="A25" zoomScale="90" zoomScaleNormal="90" zoomScaleSheetLayoutView="90" zoomScalePageLayoutView="90" workbookViewId="0">
      <selection activeCell="K29" sqref="K29"/>
    </sheetView>
  </sheetViews>
  <sheetFormatPr baseColWidth="10" defaultColWidth="11.44140625" defaultRowHeight="13.8"/>
  <cols>
    <col width="7.88671875" customWidth="1" style="2" min="1" max="1"/>
    <col width="14.33203125" customWidth="1" style="2" min="2" max="2"/>
    <col width="13.6640625" customWidth="1" style="2" min="3" max="3"/>
    <col width="15.109375" customWidth="1" style="2" min="4" max="4"/>
    <col width="9.109375" customWidth="1" style="2" min="5" max="5"/>
    <col width="11.77734375" customWidth="1" style="2" min="6" max="6"/>
    <col width="13.109375" customWidth="1" style="2" min="7" max="7"/>
    <col width="10.33203125" customWidth="1" style="2" min="8" max="8"/>
    <col width="10" customWidth="1" style="2" min="9" max="9"/>
    <col width="14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7" t="n"/>
      <c r="C1" s="50" t="inlineStr">
        <is>
          <t>ORDEN DE TRABAJO                                                                                                                                                     DE LABORATORIO CONCRETO</t>
        </is>
      </c>
      <c r="D1" s="116" t="n"/>
      <c r="E1" s="116" t="n"/>
      <c r="F1" s="116" t="n"/>
      <c r="G1" s="116" t="n"/>
      <c r="H1" s="117" t="n"/>
      <c r="I1" s="1" t="inlineStr">
        <is>
          <t>CÓDIGO:</t>
        </is>
      </c>
      <c r="J1" s="9" t="inlineStr">
        <is>
          <t>F-LEM-P-02.02</t>
        </is>
      </c>
    </row>
    <row r="2" ht="19.95" customHeight="1">
      <c r="A2" s="118" t="n"/>
      <c r="B2" s="119" t="n"/>
      <c r="C2" s="118" t="n"/>
      <c r="H2" s="119" t="n"/>
      <c r="I2" s="1" t="inlineStr">
        <is>
          <t>VERSIÓN:</t>
        </is>
      </c>
      <c r="J2" s="29" t="n">
        <v>1</v>
      </c>
      <c r="L2" s="45" t="inlineStr">
        <is>
          <t>Resistencia a la Flexión del concreto en vigas NTP 339.078/079</t>
        </is>
      </c>
    </row>
    <row r="3" ht="19.95" customHeight="1">
      <c r="A3" s="118" t="n"/>
      <c r="B3" s="119" t="n"/>
      <c r="C3" s="118" t="n"/>
      <c r="H3" s="119" t="n"/>
      <c r="I3" s="1" t="inlineStr">
        <is>
          <t>FECHA:</t>
        </is>
      </c>
      <c r="J3" s="30" t="n">
        <v>46251</v>
      </c>
      <c r="L3" s="45" t="inlineStr">
        <is>
          <t>Resistencia a la compresión de mortero con especimen cubicos de 50 mm. NTP 334.051</t>
        </is>
      </c>
    </row>
    <row r="4" ht="19.95" customHeight="1">
      <c r="A4" s="120" t="n"/>
      <c r="B4" s="122" t="n"/>
      <c r="C4" s="120" t="n"/>
      <c r="D4" s="121" t="n"/>
      <c r="E4" s="121" t="n"/>
      <c r="F4" s="121" t="n"/>
      <c r="G4" s="121" t="n"/>
      <c r="H4" s="122" t="n"/>
      <c r="I4" s="1" t="inlineStr">
        <is>
          <t>PÁGINA:</t>
        </is>
      </c>
      <c r="J4" s="1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B6" s="15" t="inlineStr">
        <is>
          <t>N° OT:</t>
        </is>
      </c>
      <c r="C6" s="140" t="n">
        <v>1680</v>
      </c>
      <c r="D6" s="17" t="n"/>
      <c r="E6" s="28" t="inlineStr">
        <is>
          <t>Nº RECEPCIÓN:</t>
        </is>
      </c>
      <c r="F6" s="28" t="n"/>
      <c r="G6" s="141">
        <f>+C6-4</f>
        <v/>
      </c>
      <c r="H6" s="16" t="n"/>
      <c r="I6" s="17" t="n"/>
      <c r="J6" s="17" t="n"/>
    </row>
    <row r="7" ht="24.75" customHeight="1">
      <c r="A7" s="15" t="n"/>
      <c r="B7" s="17" t="n"/>
      <c r="C7" s="17" t="n"/>
      <c r="D7" s="17" t="n"/>
      <c r="E7" s="15" t="n"/>
      <c r="F7" s="15" t="n"/>
      <c r="H7" s="16" t="n"/>
      <c r="I7" s="48" t="n"/>
    </row>
    <row r="8" ht="33" customHeight="1">
      <c r="A8" s="115" t="inlineStr">
        <is>
          <t>ITEM</t>
        </is>
      </c>
      <c r="B8" s="115" t="inlineStr">
        <is>
          <t>CÓDIGO LEM</t>
        </is>
      </c>
      <c r="C8" s="115" t="inlineStr">
        <is>
          <t>DESCRIPCIÓN</t>
        </is>
      </c>
      <c r="D8" s="128" t="n"/>
      <c r="E8" s="124" t="n"/>
      <c r="F8" s="115" t="inlineStr">
        <is>
          <t>ELEMENTO</t>
        </is>
      </c>
      <c r="G8" s="115" t="inlineStr">
        <is>
          <t>F. ROTURA</t>
        </is>
      </c>
      <c r="H8" s="115" t="inlineStr">
        <is>
          <t>DENSIDAD</t>
        </is>
      </c>
      <c r="I8" s="115" t="inlineStr">
        <is>
          <t>EDAD</t>
        </is>
      </c>
      <c r="J8" s="115" t="inlineStr">
        <is>
          <t>F'C</t>
        </is>
      </c>
    </row>
    <row r="9" ht="33" customHeight="1">
      <c r="A9" s="142" t="n">
        <v>1</v>
      </c>
      <c r="B9" s="142" t="inlineStr">
        <is>
          <t>15316-CO-26</t>
        </is>
      </c>
      <c r="C9" s="143" t="inlineStr">
        <is>
          <t>COMPRESION PROBETAS ASTM C39/C39M</t>
        </is>
      </c>
      <c r="D9" s="128" t="n"/>
      <c r="E9" s="124" t="n"/>
      <c r="F9" s="142" t="inlineStr">
        <is>
          <t>-</t>
        </is>
      </c>
      <c r="G9" s="142" t="inlineStr">
        <is>
          <t>2026/08/15</t>
        </is>
      </c>
      <c r="H9" s="142" t="inlineStr">
        <is>
          <t>SI</t>
        </is>
      </c>
      <c r="I9" s="142" t="n">
        <v>7</v>
      </c>
      <c r="J9" s="142" t="n">
        <v>280</v>
      </c>
    </row>
    <row r="10" ht="33" customHeight="1">
      <c r="A10" s="144" t="n">
        <v>2</v>
      </c>
      <c r="B10" s="144" t="inlineStr">
        <is>
          <t>15317-CO-26</t>
        </is>
      </c>
      <c r="C10" s="143" t="inlineStr">
        <is>
          <t>COMPRESION PROBETAS ASTM C39/C39M</t>
        </is>
      </c>
      <c r="D10" s="128" t="n"/>
      <c r="E10" s="124" t="n"/>
      <c r="F10" s="142" t="inlineStr">
        <is>
          <t>4 in x 8 in</t>
        </is>
      </c>
      <c r="G10" s="144" t="inlineStr">
        <is>
          <t>2026/08/15</t>
        </is>
      </c>
      <c r="H10" s="144" t="inlineStr">
        <is>
          <t>SI</t>
        </is>
      </c>
      <c r="I10" s="144" t="n">
        <v>7</v>
      </c>
      <c r="J10" s="144" t="n">
        <v>280</v>
      </c>
    </row>
    <row r="11" ht="33" customHeight="1">
      <c r="A11" s="142" t="n">
        <v>3</v>
      </c>
      <c r="B11" s="142" t="inlineStr">
        <is>
          <t>15318-CO-26</t>
        </is>
      </c>
      <c r="C11" s="143" t="inlineStr">
        <is>
          <t>COMPRESION PROBETAS ASTM C39/C39M</t>
        </is>
      </c>
      <c r="D11" s="128" t="n"/>
      <c r="E11" s="124" t="n"/>
      <c r="F11" s="142" t="inlineStr">
        <is>
          <t>6 in x 12 in</t>
        </is>
      </c>
      <c r="G11" s="142" t="inlineStr">
        <is>
          <t>2026/08/15</t>
        </is>
      </c>
      <c r="H11" s="142" t="inlineStr">
        <is>
          <t>SI</t>
        </is>
      </c>
      <c r="I11" s="142" t="n">
        <v>7</v>
      </c>
      <c r="J11" s="142" t="n">
        <v>280</v>
      </c>
    </row>
    <row r="12" ht="33" customHeight="1">
      <c r="A12" s="142" t="n">
        <v>4</v>
      </c>
      <c r="B12" s="144" t="inlineStr">
        <is>
          <t>15319-CO-26</t>
        </is>
      </c>
      <c r="C12" s="143" t="inlineStr">
        <is>
          <t>COMPRESION PROBETAS ASTM C39/C39M</t>
        </is>
      </c>
      <c r="D12" s="128" t="n"/>
      <c r="E12" s="124" t="n"/>
      <c r="F12" s="142" t="inlineStr">
        <is>
          <t>VIGA</t>
        </is>
      </c>
      <c r="G12" s="144" t="inlineStr">
        <is>
          <t>2026/08/15</t>
        </is>
      </c>
      <c r="H12" s="144" t="inlineStr">
        <is>
          <t>SI</t>
        </is>
      </c>
      <c r="I12" s="144" t="n">
        <v>28</v>
      </c>
      <c r="J12" s="144" t="n">
        <v>100</v>
      </c>
    </row>
    <row r="13" ht="33" customHeight="1">
      <c r="A13" s="144" t="n">
        <v>5</v>
      </c>
      <c r="B13" s="142" t="inlineStr">
        <is>
          <t>15320-CO-26</t>
        </is>
      </c>
      <c r="C13" s="143" t="inlineStr">
        <is>
          <t>COMPRESION PROBETAS ASTM C39/C39M</t>
        </is>
      </c>
      <c r="D13" s="128" t="n"/>
      <c r="E13" s="124" t="n"/>
      <c r="F13" s="142" t="inlineStr">
        <is>
          <t>CUBO</t>
        </is>
      </c>
      <c r="G13" s="142" t="inlineStr">
        <is>
          <t>2026/08/15</t>
        </is>
      </c>
      <c r="H13" s="142" t="inlineStr">
        <is>
          <t>SI</t>
        </is>
      </c>
      <c r="I13" s="142" t="n">
        <v>28</v>
      </c>
      <c r="J13" s="142" t="n">
        <v>100</v>
      </c>
    </row>
    <row r="14" ht="33" customHeight="1">
      <c r="A14" s="142" t="n">
        <v>6</v>
      </c>
      <c r="B14" s="144" t="inlineStr">
        <is>
          <t>15321-CO-26</t>
        </is>
      </c>
      <c r="C14" s="143" t="inlineStr">
        <is>
          <t>COMPRESION PROBETAS ASTM C39/C39M</t>
        </is>
      </c>
      <c r="D14" s="128" t="n"/>
      <c r="E14" s="124" t="n"/>
      <c r="F14" s="142" t="n"/>
      <c r="G14" s="144" t="inlineStr">
        <is>
          <t>2026/08/15</t>
        </is>
      </c>
      <c r="H14" s="144" t="inlineStr">
        <is>
          <t>SI</t>
        </is>
      </c>
      <c r="I14" s="144" t="n">
        <v>28</v>
      </c>
      <c r="J14" s="144" t="n">
        <v>100</v>
      </c>
    </row>
    <row r="15" ht="33" customHeight="1">
      <c r="A15" s="142" t="n">
        <v>7</v>
      </c>
      <c r="B15" s="144" t="inlineStr">
        <is>
          <t>15321-CO-26</t>
        </is>
      </c>
      <c r="C15" s="143" t="inlineStr">
        <is>
          <t>COMPRESION PROBETAS ASTM C39/C39M</t>
        </is>
      </c>
      <c r="D15" s="128" t="n"/>
      <c r="E15" s="124" t="n"/>
      <c r="F15" s="142" t="n"/>
      <c r="G15" s="144" t="inlineStr">
        <is>
          <t>2026/08/15</t>
        </is>
      </c>
      <c r="H15" s="144" t="inlineStr">
        <is>
          <t>SI</t>
        </is>
      </c>
      <c r="I15" s="144" t="n">
        <v>28</v>
      </c>
      <c r="J15" s="144" t="n">
        <v>100</v>
      </c>
    </row>
    <row r="16" ht="33" customHeight="1">
      <c r="A16" s="144" t="n">
        <v>8</v>
      </c>
      <c r="B16" s="144" t="inlineStr">
        <is>
          <t>15321-CO-26</t>
        </is>
      </c>
      <c r="C16" s="143" t="inlineStr">
        <is>
          <t>COMPRESION PROBETAS ASTM C39/C39M</t>
        </is>
      </c>
      <c r="D16" s="128" t="n"/>
      <c r="E16" s="124" t="n"/>
      <c r="F16" s="142" t="n"/>
      <c r="G16" s="144" t="inlineStr">
        <is>
          <t>2026/08/15</t>
        </is>
      </c>
      <c r="H16" s="144" t="inlineStr">
        <is>
          <t>SI</t>
        </is>
      </c>
      <c r="I16" s="144" t="n">
        <v>28</v>
      </c>
      <c r="J16" s="144" t="n">
        <v>100</v>
      </c>
    </row>
    <row r="17" ht="33" customHeight="1">
      <c r="A17" s="142" t="n">
        <v>9</v>
      </c>
      <c r="B17" s="144" t="inlineStr">
        <is>
          <t>15321-CO-26</t>
        </is>
      </c>
      <c r="C17" s="143" t="inlineStr">
        <is>
          <t>COMPRESION PROBETAS ASTM C39/C39M</t>
        </is>
      </c>
      <c r="D17" s="128" t="n"/>
      <c r="E17" s="124" t="n"/>
      <c r="F17" s="142" t="n"/>
      <c r="G17" s="144" t="inlineStr">
        <is>
          <t>2026/08/15</t>
        </is>
      </c>
      <c r="H17" s="144" t="inlineStr">
        <is>
          <t>SI</t>
        </is>
      </c>
      <c r="I17" s="144" t="n">
        <v>28</v>
      </c>
      <c r="J17" s="144" t="n">
        <v>100</v>
      </c>
    </row>
    <row r="18" ht="33" customHeight="1">
      <c r="A18" s="142" t="n">
        <v>10</v>
      </c>
      <c r="B18" s="144" t="inlineStr">
        <is>
          <t>15321-CO-26</t>
        </is>
      </c>
      <c r="C18" s="143" t="inlineStr">
        <is>
          <t>COMPRESION PROBETAS ASTM C39/C39M</t>
        </is>
      </c>
      <c r="D18" s="128" t="n"/>
      <c r="E18" s="124" t="n"/>
      <c r="F18" s="142" t="n"/>
      <c r="G18" s="144" t="inlineStr">
        <is>
          <t>2026/08/15</t>
        </is>
      </c>
      <c r="H18" s="144" t="inlineStr">
        <is>
          <t>SI</t>
        </is>
      </c>
      <c r="I18" s="144" t="n">
        <v>28</v>
      </c>
      <c r="J18" s="144" t="n">
        <v>100</v>
      </c>
    </row>
    <row r="19" ht="33" customHeight="1">
      <c r="A19" s="144" t="n">
        <v>11</v>
      </c>
      <c r="B19" s="144" t="inlineStr">
        <is>
          <t>15321-CO-26</t>
        </is>
      </c>
      <c r="C19" s="143" t="inlineStr">
        <is>
          <t>COMPRESION PROBETAS ASTM C39/C39M</t>
        </is>
      </c>
      <c r="D19" s="128" t="n"/>
      <c r="E19" s="124" t="n"/>
      <c r="F19" s="142" t="n"/>
      <c r="G19" s="144" t="inlineStr">
        <is>
          <t>2026/08/15</t>
        </is>
      </c>
      <c r="H19" s="144" t="inlineStr">
        <is>
          <t>SI</t>
        </is>
      </c>
      <c r="I19" s="144" t="n">
        <v>28</v>
      </c>
      <c r="J19" s="144" t="n">
        <v>100</v>
      </c>
    </row>
    <row r="20" ht="33" customHeight="1">
      <c r="A20" s="142" t="n">
        <v>12</v>
      </c>
      <c r="B20" s="144" t="inlineStr">
        <is>
          <t>15321-CO-26</t>
        </is>
      </c>
      <c r="C20" s="143" t="inlineStr">
        <is>
          <t>COMPRESION PROBETAS ASTM C39/C39M</t>
        </is>
      </c>
      <c r="D20" s="128" t="n"/>
      <c r="E20" s="124" t="n"/>
      <c r="F20" s="142" t="n"/>
      <c r="G20" s="144" t="inlineStr">
        <is>
          <t>2026/08/15</t>
        </is>
      </c>
      <c r="H20" s="144" t="inlineStr">
        <is>
          <t>SI</t>
        </is>
      </c>
      <c r="I20" s="144" t="n">
        <v>28</v>
      </c>
      <c r="J20" s="144" t="n">
        <v>100</v>
      </c>
    </row>
    <row r="21" ht="27.6" customHeight="1">
      <c r="A21" s="39" t="n"/>
      <c r="B21" s="40" t="n"/>
      <c r="C21" s="41" t="n"/>
      <c r="D21" s="41" t="n"/>
      <c r="E21" s="41" t="n"/>
      <c r="F21" s="41" t="n"/>
      <c r="G21" s="40" t="n"/>
      <c r="H21" s="40" t="n"/>
      <c r="I21" s="40" t="n"/>
      <c r="J21" s="42" t="n"/>
    </row>
    <row r="22" ht="27.6" customHeight="1">
      <c r="A22" s="39" t="n"/>
      <c r="B22" s="40" t="n"/>
      <c r="C22" s="41" t="n"/>
      <c r="D22" s="41" t="n"/>
      <c r="E22" s="41" t="n"/>
      <c r="F22" s="41" t="n"/>
      <c r="G22" s="40" t="n"/>
      <c r="H22" s="40" t="n"/>
      <c r="I22" s="40" t="n"/>
      <c r="J22" s="42" t="n"/>
    </row>
    <row r="23" ht="27.6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 ht="36.6" customHeight="1">
      <c r="A24" s="96" t="inlineStr">
        <is>
          <t>FECHA DE RECEPCIÓN</t>
        </is>
      </c>
      <c r="B24" s="124" t="n"/>
      <c r="C24" s="34" t="n">
        <v>46249</v>
      </c>
      <c r="D24" s="96" t="inlineStr">
        <is>
          <t>INICIO PROGRAMADO</t>
        </is>
      </c>
      <c r="E24" s="124" t="n"/>
      <c r="F24" s="34">
        <f>+G9</f>
        <v/>
      </c>
      <c r="G24" s="124" t="n"/>
      <c r="H24" s="96" t="inlineStr">
        <is>
          <t>FIN PROGRAMADO</t>
        </is>
      </c>
      <c r="I24" s="124" t="n"/>
      <c r="J24" s="34">
        <f>+F24</f>
        <v/>
      </c>
    </row>
    <row r="25" ht="16.8" customHeight="1">
      <c r="A25" s="31" t="n"/>
      <c r="B25" s="31" t="n"/>
      <c r="C25" s="31" t="n"/>
      <c r="D25" s="31" t="n"/>
      <c r="E25" s="32" t="n"/>
      <c r="F25" s="32" t="n"/>
      <c r="G25" s="33" t="n"/>
      <c r="H25" s="31" t="n"/>
      <c r="I25" s="31" t="n"/>
      <c r="J25" s="16" t="n"/>
    </row>
    <row r="26" ht="25.2" customHeight="1">
      <c r="A26" s="95" t="inlineStr">
        <is>
          <t>OBSERVACIONES: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</row>
    <row r="27" ht="25.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</row>
    <row r="28" ht="25.8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25.8" customHeight="1">
      <c r="A29" s="35" t="n"/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</row>
    <row r="30" ht="25.8" customHeight="1">
      <c r="A30" s="35" t="n"/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</row>
    <row r="31" ht="18" customHeight="1">
      <c r="A31" s="35" t="n"/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</row>
    <row r="32" ht="18" customHeight="1"/>
    <row r="33" ht="63.75" customHeight="1">
      <c r="A33" s="1" t="inlineStr">
        <is>
          <t>O/T APERTURADA POR:</t>
        </is>
      </c>
      <c r="B33" s="124" t="n"/>
      <c r="C33" s="49" t="inlineStr">
        <is>
          <t>BETZABETH ZARABIA</t>
        </is>
      </c>
      <c r="D33" s="128" t="n"/>
      <c r="E33" s="124" t="n"/>
      <c r="F33" s="70" t="inlineStr">
        <is>
          <t>OT DESIGNADA A:
(Colocar el nombre de los técnicos)</t>
        </is>
      </c>
      <c r="G33" s="145" t="n"/>
      <c r="H33" s="146" t="n"/>
      <c r="I33" s="49" t="n"/>
      <c r="J33" s="124" t="n"/>
    </row>
    <row r="40" ht="14.4" customHeight="1" thickBot="1"/>
    <row r="41" ht="14.4" customHeight="1" thickBot="1">
      <c r="H41" s="4" t="n"/>
    </row>
  </sheetData>
  <mergeCells count="25">
    <mergeCell ref="C16:E16"/>
    <mergeCell ref="A24:B24"/>
    <mergeCell ref="F33:H33"/>
    <mergeCell ref="C9:E9"/>
    <mergeCell ref="C12:E12"/>
    <mergeCell ref="C11:E11"/>
    <mergeCell ref="F24:G24"/>
    <mergeCell ref="I7:J7"/>
    <mergeCell ref="C8:E8"/>
    <mergeCell ref="C17:E17"/>
    <mergeCell ref="A26:B26"/>
    <mergeCell ref="C13:E13"/>
    <mergeCell ref="C1:H4"/>
    <mergeCell ref="C19:E19"/>
    <mergeCell ref="A33:B33"/>
    <mergeCell ref="I33:J33"/>
    <mergeCell ref="C18:E18"/>
    <mergeCell ref="C15:E15"/>
    <mergeCell ref="C33:E33"/>
    <mergeCell ref="C14:E14"/>
    <mergeCell ref="D24:E24"/>
    <mergeCell ref="H24:I24"/>
    <mergeCell ref="A1:B4"/>
    <mergeCell ref="C20:E20"/>
    <mergeCell ref="C10:E10"/>
  </mergeCells>
  <printOptions horizontalCentered="1"/>
  <pageMargins left="0.3937007874015748" right="0.3937007874015748" top="0.7874015748031497" bottom="0.3937007874015748" header="0" footer="0"/>
  <pageSetup orientation="portrait" paperSize="9" scale="77" horizontalDpi="360" verticalDpi="36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875</v>
      </c>
      <c r="C6" s="124" t="n"/>
      <c r="D6" s="16" t="n"/>
      <c r="E6" s="15" t="n"/>
      <c r="F6" s="15" t="inlineStr">
        <is>
          <t>Nº RECEPCIÓN:</t>
        </is>
      </c>
      <c r="G6" s="125" t="n">
        <v>842</v>
      </c>
      <c r="H6" s="16" t="n"/>
      <c r="I6" s="17" t="inlineStr">
        <is>
          <t>REFERENCIA:</t>
        </is>
      </c>
      <c r="J6" s="126" t="inlineStr">
        <is>
          <t xml:space="preserve"> - 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33" t="inlineStr">
        <is>
          <t>688-SU-24</t>
        </is>
      </c>
      <c r="C10" s="128" t="n"/>
      <c r="D10" s="124" t="n"/>
      <c r="E10" s="137" t="inlineStr">
        <is>
          <t>ANÁLISIS GRANULOMÉTRICO POR TAMIZADO EN SUELOS / ASTM D6913/D6913M-17</t>
        </is>
      </c>
      <c r="F10" s="128" t="n"/>
      <c r="G10" s="128" t="n"/>
      <c r="H10" s="128" t="n"/>
      <c r="I10" s="124" t="n"/>
      <c r="J10" s="22" t="n">
        <v>1</v>
      </c>
    </row>
    <row r="11" ht="33" customHeight="1">
      <c r="A11" s="49" t="n"/>
      <c r="B11" s="129" t="n"/>
      <c r="C11" s="128" t="n"/>
      <c r="D11" s="124" t="n"/>
      <c r="E11" s="130" t="inlineStr">
        <is>
          <t>LÍMITE LÍQUIDO Y LÍMITE PLÁSTICO DEL SUELO /ASTM D4318-17ε1</t>
        </is>
      </c>
      <c r="F11" s="131" t="n"/>
      <c r="G11" s="131" t="n"/>
      <c r="H11" s="131" t="n"/>
      <c r="I11" s="132" t="n"/>
      <c r="J11" s="49" t="n">
        <v>1</v>
      </c>
    </row>
    <row r="12" ht="33" customHeight="1">
      <c r="A12" s="49" t="n"/>
      <c r="B12" s="127" t="n"/>
      <c r="C12" s="128" t="n"/>
      <c r="D12" s="124" t="n"/>
      <c r="E12" s="137" t="inlineStr">
        <is>
          <t>CONTENIDO DE HUMEDAD EN SUELOS/ ASTM D2216-19</t>
        </is>
      </c>
      <c r="F12" s="128" t="n"/>
      <c r="G12" s="128" t="n"/>
      <c r="H12" s="128" t="n"/>
      <c r="I12" s="124" t="n"/>
      <c r="J12" s="22" t="n">
        <v>1</v>
      </c>
    </row>
    <row r="13" ht="33" customHeight="1">
      <c r="A13" s="49" t="n"/>
      <c r="B13" s="49" t="n"/>
      <c r="C13" s="128" t="n"/>
      <c r="D13" s="124" t="n"/>
      <c r="E13" s="130" t="inlineStr">
        <is>
          <t>CLASIFICACION SUCS-ASHTO / ASTM D2487</t>
        </is>
      </c>
      <c r="F13" s="131" t="n"/>
      <c r="G13" s="131" t="n"/>
      <c r="H13" s="131" t="n"/>
      <c r="I13" s="132" t="n"/>
      <c r="J13" s="49" t="n">
        <v>1</v>
      </c>
    </row>
    <row r="14" ht="33" customHeight="1">
      <c r="A14" s="49" t="n"/>
      <c r="B14" s="133" t="n"/>
      <c r="C14" s="128" t="n"/>
      <c r="D14" s="124" t="n"/>
      <c r="E14" s="49" t="inlineStr">
        <is>
          <t>SALES SOLUBLES / NTP 339.152</t>
        </is>
      </c>
      <c r="F14" s="128" t="n"/>
      <c r="G14" s="128" t="n"/>
      <c r="H14" s="128" t="n"/>
      <c r="I14" s="124" t="n"/>
      <c r="J14" s="22" t="n">
        <v>1</v>
      </c>
    </row>
    <row r="15" ht="33" customHeight="1">
      <c r="A15" s="49" t="n"/>
      <c r="B15" s="133" t="n"/>
      <c r="C15" s="128" t="n"/>
      <c r="D15" s="124" t="n"/>
      <c r="E15" s="76" t="inlineStr">
        <is>
          <t>CLORUROS SOLUBLES / NTP 339.177</t>
        </is>
      </c>
      <c r="F15" s="128" t="n"/>
      <c r="G15" s="128" t="n"/>
      <c r="H15" s="128" t="n"/>
      <c r="I15" s="124" t="n"/>
      <c r="J15" s="49" t="n">
        <v>1</v>
      </c>
    </row>
    <row r="16" ht="33" customHeight="1">
      <c r="A16" s="49" t="n"/>
      <c r="B16" s="133" t="n"/>
      <c r="C16" s="128" t="n"/>
      <c r="D16" s="124" t="n"/>
      <c r="E16" s="138" t="inlineStr">
        <is>
          <t>SULFATOS SOLUBLES / NTP 339.178</t>
        </is>
      </c>
      <c r="F16" s="128" t="n"/>
      <c r="G16" s="128" t="n"/>
      <c r="H16" s="128" t="n"/>
      <c r="I16" s="124" t="n"/>
      <c r="J16" s="22" t="n">
        <v>1</v>
      </c>
    </row>
    <row r="17" ht="33" customHeight="1">
      <c r="A17" s="49" t="n"/>
      <c r="B17" s="49" t="n"/>
      <c r="C17" s="128" t="n"/>
      <c r="D17" s="124" t="n"/>
      <c r="E17" s="137" t="inlineStr">
        <is>
          <t>CORTE DIRECTO / NTP 339.171</t>
        </is>
      </c>
      <c r="F17" s="128" t="n"/>
      <c r="G17" s="128" t="n"/>
      <c r="H17" s="128" t="n"/>
      <c r="I17" s="124" t="n"/>
      <c r="J17" s="49" t="n">
        <v>1</v>
      </c>
    </row>
    <row r="18" ht="33" customHeight="1">
      <c r="A18" s="49" t="n"/>
      <c r="B18" s="133" t="n"/>
      <c r="C18" s="128" t="n"/>
      <c r="D18" s="124" t="n"/>
      <c r="E18" s="139" t="inlineStr">
        <is>
          <t>Gravedad especifica de los solidos del suelo / ASTM D854-14</t>
        </is>
      </c>
      <c r="F18" s="128" t="n"/>
      <c r="G18" s="128" t="n"/>
      <c r="H18" s="128" t="n"/>
      <c r="I18" s="124" t="n"/>
      <c r="J18" s="22" t="n">
        <v>1</v>
      </c>
    </row>
    <row r="19" ht="33" customHeight="1">
      <c r="A19" s="49" t="n"/>
      <c r="B19" s="134" t="n"/>
      <c r="C19" s="128" t="n"/>
      <c r="D19" s="124" t="n"/>
      <c r="E19" s="130" t="n"/>
      <c r="F19" s="131" t="n"/>
      <c r="G19" s="131" t="n"/>
      <c r="H19" s="131" t="n"/>
      <c r="I19" s="132" t="n"/>
      <c r="J19" s="49" t="n"/>
    </row>
    <row r="20" ht="33" customHeight="1">
      <c r="A20" s="49" t="n"/>
      <c r="B20" s="129" t="n"/>
      <c r="C20" s="128" t="n"/>
      <c r="D20" s="124" t="n"/>
      <c r="E20" s="137" t="n"/>
      <c r="F20" s="128" t="n"/>
      <c r="G20" s="128" t="n"/>
      <c r="H20" s="128" t="n"/>
      <c r="I20" s="124" t="n"/>
      <c r="J20" s="49" t="n"/>
    </row>
    <row r="21" ht="33" customHeight="1">
      <c r="A21" s="49" t="n"/>
      <c r="B21" s="134" t="n"/>
      <c r="C21" s="128" t="n"/>
      <c r="D21" s="124" t="n"/>
      <c r="E21" s="130" t="n"/>
      <c r="F21" s="131" t="n"/>
      <c r="G21" s="131" t="n"/>
      <c r="H21" s="131" t="n"/>
      <c r="I21" s="132" t="n"/>
      <c r="J21" s="49" t="n"/>
    </row>
    <row r="22" ht="33" customHeight="1">
      <c r="A22" s="49" t="n"/>
      <c r="B22" s="133" t="n"/>
      <c r="C22" s="128" t="n"/>
      <c r="D22" s="124" t="n"/>
      <c r="E22" s="138" t="n"/>
      <c r="F22" s="128" t="n"/>
      <c r="G22" s="128" t="n"/>
      <c r="H22" s="128" t="n"/>
      <c r="I22" s="124" t="n"/>
      <c r="J22" s="49" t="n"/>
    </row>
    <row r="23" ht="33" customHeight="1">
      <c r="A23" s="49" t="n"/>
      <c r="B23" s="129" t="n"/>
      <c r="C23" s="128" t="n"/>
      <c r="D23" s="124" t="n"/>
      <c r="E23" s="137" t="n"/>
      <c r="F23" s="128" t="n"/>
      <c r="G23" s="128" t="n"/>
      <c r="H23" s="128" t="n"/>
      <c r="I23" s="124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45566</v>
      </c>
      <c r="D32" s="124" t="n"/>
      <c r="E32" s="64" t="inlineStr">
        <is>
          <t>INICIO PROGRAMADO</t>
        </is>
      </c>
      <c r="F32" s="21" t="n">
        <v>45566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45569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
HARNOLD PRETEL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9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A34:J34"/>
    <mergeCell ref="E19:I19"/>
    <mergeCell ref="E13:I13"/>
    <mergeCell ref="B9:D9"/>
    <mergeCell ref="B30:D30"/>
    <mergeCell ref="B15:D15"/>
    <mergeCell ref="E31:I31"/>
    <mergeCell ref="B24:D24"/>
    <mergeCell ref="B20:D20"/>
    <mergeCell ref="E9:I9"/>
    <mergeCell ref="E30:I30"/>
    <mergeCell ref="E15:I15"/>
    <mergeCell ref="E22:I22"/>
    <mergeCell ref="A33:B33"/>
    <mergeCell ref="B26:D26"/>
    <mergeCell ref="A32:B32"/>
    <mergeCell ref="E11:I11"/>
    <mergeCell ref="E27:I27"/>
    <mergeCell ref="B25:D25"/>
    <mergeCell ref="E26:I26"/>
    <mergeCell ref="B16:D16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A39:B39"/>
    <mergeCell ref="B12:D12"/>
    <mergeCell ref="H39:J39"/>
    <mergeCell ref="A35:J38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RUBEN</dc:creator>
  <dcterms:created xmlns:dcterms="http://purl.org/dc/terms/" xmlns:xsi="http://www.w3.org/2001/XMLSchema-instance" xsi:type="dcterms:W3CDTF">2014-11-12T08:32:46Z</dcterms:created>
  <dcterms:modified xmlns:dcterms="http://purl.org/dc/terms/" xmlns:xsi="http://www.w3.org/2001/XMLSchema-instance" xsi:type="dcterms:W3CDTF">2026-08-18T17:02:37Z</dcterms:modified>
  <cp:lastModifiedBy>kevin skibidi</cp:lastModifiedBy>
  <cp:lastPrinted>2026-08-17T17:41:41Z</cp:lastPrinted>
</cp:coreProperties>
</file>