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3EF2DCA6-9964-4DE2-866D-F41AAA6485A8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SST" sheetId="91" state="hidden" r:id="rId1"/>
    <sheet name="PRT. LIVIANAS" sheetId="92" r:id="rId2"/>
    <sheet name="Hoja1" sheetId="49" state="hidden" r:id="rId3"/>
  </sheets>
  <definedNames>
    <definedName name="_xlnm.Print_Area" localSheetId="1">'PRT. LIVIANAS'!$A$1:$I$51</definedName>
    <definedName name="_xlnm.Print_Area" localSheetId="0">SST!$A$1:$H$53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91" l="1"/>
  <c r="F38" i="91" s="1"/>
  <c r="E37" i="91"/>
  <c r="E38" i="91" s="1"/>
  <c r="F36" i="91"/>
  <c r="E36" i="91"/>
  <c r="F28" i="91"/>
  <c r="F29" i="91" s="1"/>
  <c r="E28" i="91"/>
  <c r="E29" i="91" s="1"/>
  <c r="F27" i="91"/>
  <c r="E27" i="91"/>
  <c r="G38" i="91" l="1"/>
  <c r="G29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/>
  <c r="B7" i="49" l="1"/>
  <c r="C7" i="49" s="1"/>
</calcChain>
</file>

<file path=xl/sharedStrings.xml><?xml version="1.0" encoding="utf-8"?>
<sst xmlns="http://schemas.openxmlformats.org/spreadsheetml/2006/main" count="74" uniqueCount="51">
  <si>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</si>
  <si>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</si>
  <si>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</si>
  <si>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</si>
  <si>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</si>
  <si>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</si>
  <si>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</si>
  <si>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</si>
  <si>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</si>
  <si>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</si>
  <si>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</si>
  <si>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</si>
  <si>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</si>
  <si>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</si>
  <si>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</si>
  <si>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</si>
  <si>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</si>
  <si>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SALES SOLUBLES EN AGREGADOS</t>
  </si>
  <si>
    <t>NORMA  MTC E-219</t>
  </si>
  <si>
    <t>ANALISIS DEL AGREGADO GRUESO</t>
  </si>
  <si>
    <t>MUESTRA</t>
  </si>
  <si>
    <t>Peso de Frasco                            (gr)</t>
  </si>
  <si>
    <t>(1)</t>
  </si>
  <si>
    <t>Peso de Frasco + agua + sal        (gr)</t>
  </si>
  <si>
    <t>(2)</t>
  </si>
  <si>
    <t>Peso de Frasco Seco + sal          (gr)</t>
  </si>
  <si>
    <t>(3)</t>
  </si>
  <si>
    <t>Peso de Sal                                (gr)</t>
  </si>
  <si>
    <t>(4) = (3)-(1)</t>
  </si>
  <si>
    <t>Peso de Agua                             (gr)</t>
  </si>
  <si>
    <t>(5)=(2)-(3)</t>
  </si>
  <si>
    <t>Prmedio</t>
  </si>
  <si>
    <t>Porcentaje de Sal                        (%)</t>
  </si>
  <si>
    <t>100 x (4) / (5)</t>
  </si>
  <si>
    <t>ANALISIS DEL AGREGADO FINO</t>
  </si>
  <si>
    <t>FORMATO N° F-LEM-P-AG-11.01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</si>
  <si>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</si>
  <si>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Versión : 02 (02-01-2021)</t>
  </si>
  <si>
    <t>FORMATO N° F-LEM-P-AG-13.01</t>
  </si>
  <si>
    <t>METODO DE ENSAYO ESTÁNDAR PARA IMPURESAS ORGÁNICA EN AGREGADO FINO</t>
  </si>
  <si>
    <t>NORMA  ASTM C40</t>
  </si>
  <si>
    <t>N⁰ de color en la placa orgánica</t>
  </si>
  <si>
    <t>Color estándar Garden N⁰</t>
  </si>
  <si>
    <t>3 (estándar)</t>
  </si>
  <si>
    <t>FECHA INICIO ENSAYO</t>
  </si>
  <si>
    <t>FECHA FIN ENSAYO</t>
  </si>
  <si>
    <t>TEMPERATURA DE LA SOLUCION</t>
  </si>
  <si>
    <t>TAMAÑO DE LA PARTICULA</t>
  </si>
  <si>
    <t>No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</si>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</sst>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00"/>
    <numFmt numFmtId="166" formatCode="0\ &quot;/ CO-06&quot;"/>
    <numFmt numFmtId="167" formatCode="&quot;FORMATO F-LEM-P-SU-11.01&quot;"/>
    <numFmt numFmtId="168" formatCode="#,##0.0"/>
    <numFmt numFmtId="169" formatCode="#,##0.000"/>
    <numFmt numFmtId="170" formatCode="0.000%"/>
  </numFmts>
  <fonts count="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8"/>
      <color theme="1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color theme="0"/>
      <name val="Arial"/>
      <family val="2"/>
    </font>
    <font>
      <b/>
      <sz val="9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</cellStyleXfs>
  <cellXfs count="171">
    <xf numFmtId="0" fontId="0" fillId="0" borderId="0" xfId="0"/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3" borderId="1" xfId="0" applyNumberFormat="1" applyFont="1" applyFill="1" applyBorder="1" applyAlignment="1">
      <alignment vertical="center" wrapText="1"/>
    </xf>
    <xf numFmtId="166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2" fillId="3" borderId="6" xfId="0" applyFont="1" applyFill="1" applyBorder="1" applyAlignment="1">
      <alignment vertical="center"/>
    </xf>
    <xf numFmtId="0" fontId="5" fillId="0" borderId="7" xfId="0" applyFont="1" applyBorder="1" applyProtection="1">
      <protection hidden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0" borderId="10" xfId="0" applyFont="1" applyBorder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10" fontId="7" fillId="3" borderId="0" xfId="0" applyNumberFormat="1" applyFont="1" applyFill="1" applyAlignment="1">
      <alignment horizontal="center" vertical="center" wrapText="1"/>
    </xf>
    <xf numFmtId="0" fontId="16" fillId="2" borderId="0" xfId="3" applyFont="1" applyFill="1" applyAlignment="1">
      <alignment vertical="center"/>
    </xf>
    <xf numFmtId="0" fontId="16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" fontId="9" fillId="2" borderId="0" xfId="0" applyNumberFormat="1" applyFont="1" applyFill="1" applyAlignment="1">
      <alignment vertical="center"/>
    </xf>
    <xf numFmtId="0" fontId="17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9" fillId="2" borderId="1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6" fillId="2" borderId="11" xfId="3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9" fillId="2" borderId="0" xfId="3" applyFont="1" applyFill="1" applyAlignment="1">
      <alignment vertical="center" wrapText="1"/>
    </xf>
    <xf numFmtId="0" fontId="9" fillId="3" borderId="0" xfId="0" applyFont="1" applyFill="1" applyAlignment="1" applyProtection="1">
      <alignment horizontal="left" indent="1"/>
      <protection hidden="1"/>
    </xf>
    <xf numFmtId="17" fontId="9" fillId="2" borderId="11" xfId="0" applyNumberFormat="1" applyFont="1" applyFill="1" applyBorder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22" fillId="2" borderId="0" xfId="3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2" fillId="0" borderId="0" xfId="0" applyFont="1" applyProtection="1">
      <protection hidden="1"/>
    </xf>
    <xf numFmtId="0" fontId="18" fillId="2" borderId="12" xfId="0" applyFont="1" applyFill="1" applyBorder="1" applyAlignment="1">
      <alignment vertical="center"/>
    </xf>
    <xf numFmtId="0" fontId="18" fillId="2" borderId="11" xfId="0" applyFont="1" applyFill="1" applyBorder="1" applyAlignment="1">
      <alignment vertical="center"/>
    </xf>
    <xf numFmtId="0" fontId="18" fillId="2" borderId="13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14" xfId="0" applyFont="1" applyFill="1" applyBorder="1" applyAlignment="1">
      <alignment vertical="center"/>
    </xf>
    <xf numFmtId="0" fontId="18" fillId="2" borderId="15" xfId="0" applyFont="1" applyFill="1" applyBorder="1" applyAlignment="1">
      <alignment vertical="center"/>
    </xf>
    <xf numFmtId="0" fontId="18" fillId="2" borderId="10" xfId="0" applyFont="1" applyFill="1" applyBorder="1" applyAlignment="1">
      <alignment vertical="center"/>
    </xf>
    <xf numFmtId="0" fontId="9" fillId="3" borderId="0" xfId="4" applyFont="1" applyFill="1" applyAlignment="1">
      <alignment vertical="center" wrapText="1"/>
    </xf>
    <xf numFmtId="3" fontId="9" fillId="3" borderId="0" xfId="0" applyNumberFormat="1" applyFont="1" applyFill="1" applyAlignment="1">
      <alignment vertical="center" wrapText="1"/>
    </xf>
    <xf numFmtId="0" fontId="9" fillId="3" borderId="20" xfId="4" applyFont="1" applyFill="1" applyBorder="1" applyAlignment="1">
      <alignment vertical="center"/>
    </xf>
    <xf numFmtId="0" fontId="9" fillId="3" borderId="21" xfId="4" applyFont="1" applyFill="1" applyBorder="1" applyAlignment="1">
      <alignment horizontal="center" vertical="center"/>
    </xf>
    <xf numFmtId="0" fontId="9" fillId="3" borderId="22" xfId="4" applyFont="1" applyFill="1" applyBorder="1" applyAlignment="1">
      <alignment horizontal="center" vertical="center"/>
    </xf>
    <xf numFmtId="0" fontId="9" fillId="3" borderId="24" xfId="4" applyFont="1" applyFill="1" applyBorder="1" applyAlignment="1">
      <alignment vertical="center"/>
    </xf>
    <xf numFmtId="0" fontId="9" fillId="3" borderId="25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horizontal="center" vertical="center"/>
    </xf>
    <xf numFmtId="1" fontId="9" fillId="3" borderId="0" xfId="4" applyNumberFormat="1" applyFont="1" applyFill="1" applyAlignment="1">
      <alignment vertical="center" wrapText="1"/>
    </xf>
    <xf numFmtId="168" fontId="21" fillId="3" borderId="0" xfId="0" applyNumberFormat="1" applyFont="1" applyFill="1" applyAlignment="1">
      <alignment vertical="center" wrapText="1"/>
    </xf>
    <xf numFmtId="0" fontId="9" fillId="3" borderId="0" xfId="4" applyFont="1" applyFill="1" applyAlignment="1">
      <alignment horizontal="center" vertical="center" wrapText="1"/>
    </xf>
    <xf numFmtId="0" fontId="16" fillId="0" borderId="0" xfId="0" applyFont="1" applyAlignment="1" applyProtection="1">
      <alignment vertical="center"/>
      <protection hidden="1"/>
    </xf>
    <xf numFmtId="4" fontId="9" fillId="3" borderId="0" xfId="4" applyNumberFormat="1" applyFont="1" applyFill="1" applyAlignment="1">
      <alignment horizontal="center" vertical="center" wrapText="1"/>
    </xf>
    <xf numFmtId="0" fontId="9" fillId="3" borderId="28" xfId="4" applyFont="1" applyFill="1" applyBorder="1" applyAlignment="1">
      <alignment vertical="center"/>
    </xf>
    <xf numFmtId="0" fontId="9" fillId="3" borderId="29" xfId="4" applyFont="1" applyFill="1" applyBorder="1" applyAlignment="1">
      <alignment horizontal="center" vertical="center"/>
    </xf>
    <xf numFmtId="0" fontId="9" fillId="3" borderId="30" xfId="4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9" fillId="3" borderId="17" xfId="4" applyFont="1" applyFill="1" applyBorder="1" applyAlignment="1">
      <alignment horizontal="center" vertical="center" wrapText="1"/>
    </xf>
    <xf numFmtId="0" fontId="9" fillId="3" borderId="18" xfId="4" applyFont="1" applyFill="1" applyBorder="1" applyAlignment="1">
      <alignment horizontal="center" vertical="center" wrapText="1"/>
    </xf>
    <xf numFmtId="0" fontId="9" fillId="3" borderId="19" xfId="4" applyFont="1" applyFill="1" applyBorder="1" applyAlignment="1">
      <alignment horizontal="center" vertical="center" wrapText="1"/>
    </xf>
    <xf numFmtId="169" fontId="16" fillId="3" borderId="0" xfId="4" applyNumberFormat="1" applyFont="1" applyFill="1" applyAlignment="1">
      <alignment wrapText="1"/>
    </xf>
    <xf numFmtId="170" fontId="24" fillId="0" borderId="0" xfId="5" applyNumberFormat="1" applyFont="1" applyBorder="1" applyAlignment="1" applyProtection="1">
      <alignment wrapText="1"/>
    </xf>
    <xf numFmtId="0" fontId="5" fillId="0" borderId="14" xfId="0" applyFont="1" applyBorder="1" applyProtection="1">
      <protection hidden="1"/>
    </xf>
    <xf numFmtId="169" fontId="16" fillId="3" borderId="1" xfId="4" applyNumberFormat="1" applyFont="1" applyFill="1" applyBorder="1" applyAlignment="1">
      <alignment horizontal="center" wrapText="1"/>
    </xf>
    <xf numFmtId="169" fontId="16" fillId="3" borderId="17" xfId="4" applyNumberFormat="1" applyFont="1" applyFill="1" applyBorder="1" applyAlignment="1">
      <alignment horizontal="center" wrapText="1"/>
    </xf>
    <xf numFmtId="3" fontId="9" fillId="3" borderId="14" xfId="0" applyNumberFormat="1" applyFont="1" applyFill="1" applyBorder="1" applyAlignment="1">
      <alignment vertical="center" wrapText="1"/>
    </xf>
    <xf numFmtId="168" fontId="21" fillId="3" borderId="14" xfId="0" applyNumberFormat="1" applyFont="1" applyFill="1" applyBorder="1" applyAlignment="1">
      <alignment vertical="center" wrapText="1"/>
    </xf>
    <xf numFmtId="0" fontId="16" fillId="0" borderId="14" xfId="0" applyFont="1" applyBorder="1" applyAlignment="1" applyProtection="1">
      <alignment vertical="center"/>
      <protection hidden="1"/>
    </xf>
    <xf numFmtId="169" fontId="16" fillId="3" borderId="32" xfId="4" applyNumberFormat="1" applyFont="1" applyFill="1" applyBorder="1" applyAlignment="1">
      <alignment wrapText="1"/>
    </xf>
    <xf numFmtId="170" fontId="24" fillId="0" borderId="32" xfId="5" applyNumberFormat="1" applyFont="1" applyBorder="1" applyAlignment="1" applyProtection="1">
      <alignment wrapText="1"/>
    </xf>
    <xf numFmtId="0" fontId="9" fillId="0" borderId="15" xfId="0" applyFont="1" applyBorder="1" applyAlignment="1" applyProtection="1">
      <alignment horizontal="left" vertical="center" indent="2"/>
      <protection hidden="1"/>
    </xf>
    <xf numFmtId="0" fontId="2" fillId="0" borderId="10" xfId="0" applyFont="1" applyBorder="1" applyAlignment="1" applyProtection="1">
      <alignment vertical="center"/>
      <protection hidden="1"/>
    </xf>
    <xf numFmtId="165" fontId="21" fillId="3" borderId="10" xfId="0" quotePrefix="1" applyNumberFormat="1" applyFont="1" applyFill="1" applyBorder="1" applyAlignment="1">
      <alignment horizontal="center" vertical="center" wrapText="1"/>
    </xf>
    <xf numFmtId="164" fontId="10" fillId="2" borderId="10" xfId="0" applyNumberFormat="1" applyFont="1" applyFill="1" applyBorder="1" applyAlignment="1">
      <alignment horizontal="center" vertical="center"/>
    </xf>
    <xf numFmtId="0" fontId="6" fillId="0" borderId="16" xfId="0" applyFont="1" applyBorder="1" applyAlignment="1" applyProtection="1">
      <alignment vertical="center"/>
      <protection hidden="1"/>
    </xf>
    <xf numFmtId="2" fontId="25" fillId="0" borderId="27" xfId="0" applyNumberFormat="1" applyFont="1" applyBorder="1" applyAlignment="1">
      <alignment horizontal="center"/>
    </xf>
    <xf numFmtId="170" fontId="25" fillId="0" borderId="31" xfId="5" applyNumberFormat="1" applyFont="1" applyBorder="1" applyAlignment="1" applyProtection="1">
      <alignment horizontal="center"/>
    </xf>
    <xf numFmtId="170" fontId="25" fillId="0" borderId="17" xfId="5" applyNumberFormat="1" applyFont="1" applyBorder="1" applyAlignment="1" applyProtection="1">
      <alignment horizontal="center" wrapText="1"/>
    </xf>
    <xf numFmtId="170" fontId="25" fillId="0" borderId="1" xfId="5" applyNumberFormat="1" applyFont="1" applyBorder="1" applyAlignment="1" applyProtection="1">
      <alignment horizontal="center" wrapText="1"/>
    </xf>
    <xf numFmtId="170" fontId="25" fillId="0" borderId="31" xfId="5" applyNumberFormat="1" applyFont="1" applyFill="1" applyBorder="1" applyAlignment="1" applyProtection="1">
      <alignment horizontal="center"/>
    </xf>
    <xf numFmtId="2" fontId="25" fillId="4" borderId="23" xfId="0" applyNumberFormat="1" applyFont="1" applyFill="1" applyBorder="1" applyAlignment="1" applyProtection="1">
      <alignment horizontal="center"/>
      <protection locked="0"/>
    </xf>
    <xf numFmtId="2" fontId="25" fillId="4" borderId="27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vertical="center"/>
      <protection hidden="1"/>
    </xf>
    <xf numFmtId="0" fontId="9" fillId="3" borderId="0" xfId="4" applyFont="1" applyFill="1" applyAlignment="1">
      <alignment vertical="center"/>
    </xf>
    <xf numFmtId="0" fontId="9" fillId="3" borderId="0" xfId="4" applyFont="1" applyFill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170" fontId="25" fillId="0" borderId="0" xfId="5" applyNumberFormat="1" applyFont="1" applyBorder="1" applyAlignment="1" applyProtection="1">
      <alignment horizontal="center"/>
    </xf>
    <xf numFmtId="170" fontId="25" fillId="0" borderId="0" xfId="5" applyNumberFormat="1" applyFont="1" applyBorder="1" applyAlignment="1" applyProtection="1">
      <alignment horizontal="center" wrapText="1"/>
    </xf>
    <xf numFmtId="0" fontId="18" fillId="0" borderId="0" xfId="0" applyFont="1" applyAlignment="1">
      <alignment horizontal="center" vertical="center"/>
    </xf>
    <xf numFmtId="2" fontId="25" fillId="0" borderId="0" xfId="0" applyNumberFormat="1" applyFont="1" applyAlignment="1">
      <alignment horizontal="center"/>
    </xf>
    <xf numFmtId="0" fontId="9" fillId="3" borderId="0" xfId="4" applyFont="1" applyFill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8" fillId="0" borderId="15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9" fillId="0" borderId="0" xfId="0" applyFont="1" applyAlignment="1" applyProtection="1">
      <alignment horizontal="center" vertical="center"/>
      <protection hidden="1"/>
    </xf>
    <xf numFmtId="0" fontId="20" fillId="2" borderId="0" xfId="0" applyFont="1" applyFill="1" applyAlignment="1">
      <alignment horizontal="center" vertical="center"/>
    </xf>
    <xf numFmtId="0" fontId="17" fillId="0" borderId="5" xfId="0" applyFont="1" applyBorder="1" applyProtection="1">
      <protection hidden="1"/>
    </xf>
    <xf numFmtId="0" fontId="17" fillId="0" borderId="0" xfId="0" applyFont="1" applyProtection="1">
      <protection hidden="1"/>
    </xf>
    <xf numFmtId="0" fontId="17" fillId="0" borderId="7" xfId="0" applyFont="1" applyBorder="1" applyProtection="1">
      <protection hidden="1"/>
    </xf>
    <xf numFmtId="0" fontId="27" fillId="2" borderId="8" xfId="0" applyFont="1" applyFill="1" applyBorder="1" applyAlignment="1">
      <alignment vertical="center"/>
    </xf>
    <xf numFmtId="0" fontId="27" fillId="2" borderId="2" xfId="0" applyFont="1" applyFill="1" applyBorder="1" applyAlignment="1">
      <alignment vertical="center"/>
    </xf>
    <xf numFmtId="0" fontId="27" fillId="2" borderId="9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Protection="1">
      <protection hidden="1"/>
    </xf>
    <xf numFmtId="0" fontId="17" fillId="0" borderId="1" xfId="0" applyFont="1" applyBorder="1" applyProtection="1">
      <protection hidden="1"/>
    </xf>
    <xf numFmtId="10" fontId="1" fillId="3" borderId="0" xfId="0" applyNumberFormat="1" applyFont="1" applyFill="1" applyAlignment="1">
      <alignment horizontal="center" vertical="center" wrapText="1"/>
    </xf>
    <xf numFmtId="164" fontId="26" fillId="2" borderId="0" xfId="0" applyNumberFormat="1" applyFont="1" applyFill="1" applyAlignment="1">
      <alignment horizontal="center" vertical="center"/>
    </xf>
    <xf numFmtId="0" fontId="16" fillId="2" borderId="12" xfId="3" applyFont="1" applyFill="1" applyBorder="1" applyAlignment="1">
      <alignment vertical="center"/>
    </xf>
    <xf numFmtId="17" fontId="9" fillId="2" borderId="13" xfId="0" applyNumberFormat="1" applyFont="1" applyFill="1" applyBorder="1" applyAlignment="1">
      <alignment vertical="center"/>
    </xf>
    <xf numFmtId="0" fontId="17" fillId="0" borderId="33" xfId="0" applyFont="1" applyBorder="1" applyProtection="1">
      <protection hidden="1"/>
    </xf>
    <xf numFmtId="0" fontId="17" fillId="0" borderId="14" xfId="0" applyFont="1" applyBorder="1" applyProtection="1">
      <protection hidden="1"/>
    </xf>
    <xf numFmtId="0" fontId="17" fillId="0" borderId="15" xfId="0" applyFont="1" applyBorder="1" applyProtection="1">
      <protection hidden="1"/>
    </xf>
    <xf numFmtId="0" fontId="17" fillId="0" borderId="10" xfId="0" applyFont="1" applyBorder="1" applyProtection="1">
      <protection hidden="1"/>
    </xf>
    <xf numFmtId="0" fontId="17" fillId="0" borderId="16" xfId="0" applyFont="1" applyBorder="1" applyProtection="1">
      <protection hidden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9" fillId="3" borderId="17" xfId="4" applyFont="1" applyFill="1" applyBorder="1" applyAlignment="1">
      <alignment horizontal="center" vertical="center" wrapText="1"/>
    </xf>
    <xf numFmtId="0" fontId="9" fillId="3" borderId="18" xfId="4" applyFont="1" applyFill="1" applyBorder="1" applyAlignment="1">
      <alignment horizontal="center" vertical="center" wrapText="1"/>
    </xf>
    <xf numFmtId="0" fontId="9" fillId="3" borderId="19" xfId="4" applyFont="1" applyFill="1" applyBorder="1" applyAlignment="1">
      <alignment horizontal="center" vertical="center" wrapText="1"/>
    </xf>
    <xf numFmtId="0" fontId="13" fillId="0" borderId="0" xfId="1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0" fillId="2" borderId="0" xfId="0" applyFont="1" applyFill="1" applyAlignment="1">
      <alignment horizontal="center" vertical="center"/>
    </xf>
    <xf numFmtId="167" fontId="20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6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left" vertical="center" indent="1"/>
      <protection hidden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6" fillId="5" borderId="17" xfId="0" applyFont="1" applyFill="1" applyBorder="1" applyAlignment="1" applyProtection="1">
      <alignment horizontal="center" vertical="center"/>
      <protection locked="0"/>
    </xf>
    <xf numFmtId="0" fontId="16" fillId="5" borderId="19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protection hidden="1"/>
    </xf>
    <xf numFmtId="0" fontId="16" fillId="5" borderId="1" xfId="0" applyFont="1" applyFill="1" applyBorder="1" applyAlignment="1" applyProtection="1">
      <alignment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  <cellStyle name="Porcentaje" xfId="5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51</xdr:row>
      <xdr:rowOff>121920</xdr:rowOff>
    </xdr:from>
    <xdr:to>
      <xdr:col>8</xdr:col>
      <xdr:colOff>0</xdr:colOff>
      <xdr:row>51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198120</xdr:colOff>
      <xdr:row>9</xdr:row>
      <xdr:rowOff>68580</xdr:rowOff>
    </xdr:from>
    <xdr:to>
      <xdr:col>3</xdr:col>
      <xdr:colOff>22680</xdr:colOff>
      <xdr:row>10</xdr:row>
      <xdr:rowOff>144780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0584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3</xdr:col>
      <xdr:colOff>60960</xdr:colOff>
      <xdr:row>9</xdr:row>
      <xdr:rowOff>68580</xdr:rowOff>
    </xdr:from>
    <xdr:to>
      <xdr:col>4</xdr:col>
      <xdr:colOff>693240</xdr:colOff>
      <xdr:row>10</xdr:row>
      <xdr:rowOff>144780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48412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739140</xdr:colOff>
      <xdr:row>9</xdr:row>
      <xdr:rowOff>68580</xdr:rowOff>
    </xdr:from>
    <xdr:to>
      <xdr:col>6</xdr:col>
      <xdr:colOff>563700</xdr:colOff>
      <xdr:row>10</xdr:row>
      <xdr:rowOff>144780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97002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1</xdr:col>
      <xdr:colOff>198120</xdr:colOff>
      <xdr:row>10</xdr:row>
      <xdr:rowOff>175260</xdr:rowOff>
    </xdr:from>
    <xdr:to>
      <xdr:col>3</xdr:col>
      <xdr:colOff>22680</xdr:colOff>
      <xdr:row>12</xdr:row>
      <xdr:rowOff>97500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05840" y="195834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60960</xdr:colOff>
      <xdr:row>10</xdr:row>
      <xdr:rowOff>182880</xdr:rowOff>
    </xdr:from>
    <xdr:to>
      <xdr:col>4</xdr:col>
      <xdr:colOff>693240</xdr:colOff>
      <xdr:row>12</xdr:row>
      <xdr:rowOff>105120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484120" y="196596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739140</xdr:colOff>
      <xdr:row>10</xdr:row>
      <xdr:rowOff>182880</xdr:rowOff>
    </xdr:from>
    <xdr:to>
      <xdr:col>6</xdr:col>
      <xdr:colOff>563700</xdr:colOff>
      <xdr:row>12</xdr:row>
      <xdr:rowOff>105120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970020" y="196596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0</xdr:colOff>
      <xdr:row>6</xdr:row>
      <xdr:rowOff>190500</xdr:rowOff>
    </xdr:from>
    <xdr:to>
      <xdr:col>16</xdr:col>
      <xdr:colOff>428940</xdr:colOff>
      <xdr:row>8</xdr:row>
      <xdr:rowOff>10260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624060" y="1181100"/>
          <a:ext cx="255492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13</xdr:col>
      <xdr:colOff>0</xdr:colOff>
      <xdr:row>8</xdr:row>
      <xdr:rowOff>7620</xdr:rowOff>
    </xdr:from>
    <xdr:to>
      <xdr:col>15</xdr:col>
      <xdr:colOff>318540</xdr:colOff>
      <xdr:row>9</xdr:row>
      <xdr:rowOff>25500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624060" y="139446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13</xdr:col>
      <xdr:colOff>0</xdr:colOff>
      <xdr:row>9</xdr:row>
      <xdr:rowOff>22860</xdr:rowOff>
    </xdr:from>
    <xdr:to>
      <xdr:col>15</xdr:col>
      <xdr:colOff>318540</xdr:colOff>
      <xdr:row>10</xdr:row>
      <xdr:rowOff>40740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624060" y="160782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15</xdr:col>
      <xdr:colOff>320040</xdr:colOff>
      <xdr:row>8</xdr:row>
      <xdr:rowOff>7620</xdr:rowOff>
    </xdr:from>
    <xdr:to>
      <xdr:col>16</xdr:col>
      <xdr:colOff>430440</xdr:colOff>
      <xdr:row>9</xdr:row>
      <xdr:rowOff>25500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361420" y="139446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320040</xdr:colOff>
      <xdr:row>9</xdr:row>
      <xdr:rowOff>22860</xdr:rowOff>
    </xdr:from>
    <xdr:to>
      <xdr:col>16</xdr:col>
      <xdr:colOff>430440</xdr:colOff>
      <xdr:row>10</xdr:row>
      <xdr:rowOff>40740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1361420" y="160782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13</xdr:col>
      <xdr:colOff>624840</xdr:colOff>
      <xdr:row>7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152401</xdr:colOff>
      <xdr:row>43</xdr:row>
      <xdr:rowOff>45720</xdr:rowOff>
    </xdr:from>
    <xdr:to>
      <xdr:col>2</xdr:col>
      <xdr:colOff>784681</xdr:colOff>
      <xdr:row>46</xdr:row>
      <xdr:rowOff>53340</xdr:rowOff>
    </xdr:to>
    <xdr:sp macro="" textlink="">
      <xdr:nvSpPr>
        <xdr:cNvPr id="18" name="12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60121" y="931164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152400</xdr:colOff>
      <xdr:row>46</xdr:row>
      <xdr:rowOff>91440</xdr:rowOff>
    </xdr:from>
    <xdr:to>
      <xdr:col>2</xdr:col>
      <xdr:colOff>784680</xdr:colOff>
      <xdr:row>47</xdr:row>
      <xdr:rowOff>175260</xdr:rowOff>
    </xdr:to>
    <xdr:sp macro="" textlink="">
      <xdr:nvSpPr>
        <xdr:cNvPr id="19" name="13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60120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3</xdr:col>
      <xdr:colOff>156210</xdr:colOff>
      <xdr:row>43</xdr:row>
      <xdr:rowOff>55245</xdr:rowOff>
    </xdr:from>
    <xdr:to>
      <xdr:col>4</xdr:col>
      <xdr:colOff>788490</xdr:colOff>
      <xdr:row>46</xdr:row>
      <xdr:rowOff>62865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79370" y="9321165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154306</xdr:colOff>
      <xdr:row>46</xdr:row>
      <xdr:rowOff>91440</xdr:rowOff>
    </xdr:from>
    <xdr:to>
      <xdr:col>4</xdr:col>
      <xdr:colOff>786586</xdr:colOff>
      <xdr:row>47</xdr:row>
      <xdr:rowOff>175260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577466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5</xdr:col>
      <xdr:colOff>150496</xdr:colOff>
      <xdr:row>43</xdr:row>
      <xdr:rowOff>45720</xdr:rowOff>
    </xdr:from>
    <xdr:to>
      <xdr:col>6</xdr:col>
      <xdr:colOff>782776</xdr:colOff>
      <xdr:row>46</xdr:row>
      <xdr:rowOff>53340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189096" y="931164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5</xdr:col>
      <xdr:colOff>152400</xdr:colOff>
      <xdr:row>46</xdr:row>
      <xdr:rowOff>91440</xdr:rowOff>
    </xdr:from>
    <xdr:to>
      <xdr:col>6</xdr:col>
      <xdr:colOff>784680</xdr:colOff>
      <xdr:row>47</xdr:row>
      <xdr:rowOff>175260</xdr:rowOff>
    </xdr:to>
    <xdr:sp macro="" textlink="">
      <xdr:nvSpPr>
        <xdr:cNvPr id="23" name="17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91000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>
    <xdr:from>
      <xdr:col>2</xdr:col>
      <xdr:colOff>144780</xdr:colOff>
      <xdr:row>15</xdr:row>
      <xdr:rowOff>106680</xdr:rowOff>
    </xdr:from>
    <xdr:to>
      <xdr:col>5</xdr:col>
      <xdr:colOff>154620</xdr:colOff>
      <xdr:row>16</xdr:row>
      <xdr:rowOff>185520</xdr:rowOff>
    </xdr:to>
    <xdr:sp macro="" textlink="">
      <xdr:nvSpPr>
        <xdr:cNvPr id="24" name="8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836420" y="3139440"/>
          <a:ext cx="25473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2</xdr:col>
      <xdr:colOff>144780</xdr:colOff>
      <xdr:row>16</xdr:row>
      <xdr:rowOff>182880</xdr:rowOff>
    </xdr:from>
    <xdr:to>
      <xdr:col>4</xdr:col>
      <xdr:colOff>189000</xdr:colOff>
      <xdr:row>18</xdr:row>
      <xdr:rowOff>2640</xdr:rowOff>
    </xdr:to>
    <xdr:sp macro="" textlink="">
      <xdr:nvSpPr>
        <xdr:cNvPr id="25" name="8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836420" y="335280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2</xdr:col>
      <xdr:colOff>144780</xdr:colOff>
      <xdr:row>18</xdr:row>
      <xdr:rowOff>0</xdr:rowOff>
    </xdr:from>
    <xdr:to>
      <xdr:col>4</xdr:col>
      <xdr:colOff>189000</xdr:colOff>
      <xdr:row>19</xdr:row>
      <xdr:rowOff>17880</xdr:rowOff>
    </xdr:to>
    <xdr:sp macro="" textlink="">
      <xdr:nvSpPr>
        <xdr:cNvPr id="26" name="8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836420" y="356616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4</xdr:col>
      <xdr:colOff>190500</xdr:colOff>
      <xdr:row>16</xdr:row>
      <xdr:rowOff>182880</xdr:rowOff>
    </xdr:from>
    <xdr:to>
      <xdr:col>5</xdr:col>
      <xdr:colOff>156120</xdr:colOff>
      <xdr:row>18</xdr:row>
      <xdr:rowOff>2640</xdr:rowOff>
    </xdr:to>
    <xdr:sp macro="" textlink="">
      <xdr:nvSpPr>
        <xdr:cNvPr id="27" name="8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573780" y="3352800"/>
          <a:ext cx="81144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190500</xdr:colOff>
      <xdr:row>18</xdr:row>
      <xdr:rowOff>0</xdr:rowOff>
    </xdr:from>
    <xdr:to>
      <xdr:col>5</xdr:col>
      <xdr:colOff>156120</xdr:colOff>
      <xdr:row>19</xdr:row>
      <xdr:rowOff>17880</xdr:rowOff>
    </xdr:to>
    <xdr:sp macro="" textlink="">
      <xdr:nvSpPr>
        <xdr:cNvPr id="28" name="8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573780" y="3566160"/>
          <a:ext cx="81144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15240</xdr:colOff>
      <xdr:row>0</xdr:row>
      <xdr:rowOff>62865</xdr:rowOff>
    </xdr:from>
    <xdr:to>
      <xdr:col>5</xdr:col>
      <xdr:colOff>556260</xdr:colOff>
      <xdr:row>4</xdr:row>
      <xdr:rowOff>134669</xdr:rowOff>
    </xdr:to>
    <xdr:pic>
      <xdr:nvPicPr>
        <xdr:cNvPr id="29" name="1 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706880" y="62865"/>
          <a:ext cx="3078480" cy="864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49</xdr:row>
      <xdr:rowOff>121920</xdr:rowOff>
    </xdr:from>
    <xdr:to>
      <xdr:col>9</xdr:col>
      <xdr:colOff>0</xdr:colOff>
      <xdr:row>49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18520"/>
          <a:ext cx="672084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14</xdr:col>
      <xdr:colOff>624840</xdr:colOff>
      <xdr:row>7</xdr:row>
      <xdr:rowOff>7620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0553700" y="139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 editAs="oneCell">
    <xdr:from>
      <xdr:col>4</xdr:col>
      <xdr:colOff>314324</xdr:colOff>
      <xdr:row>0</xdr:row>
      <xdr:rowOff>57149</xdr:rowOff>
    </xdr:from>
    <xdr:to>
      <xdr:col>5</xdr:col>
      <xdr:colOff>781181</xdr:colOff>
      <xdr:row>4</xdr:row>
      <xdr:rowOff>161924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19A55AB-9E83-4777-B83B-8F2A91A3A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49" y="57149"/>
          <a:ext cx="149555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457200</xdr:colOff>
      <xdr:row>42</xdr:row>
      <xdr:rowOff>38100</xdr:rowOff>
    </xdr:from>
    <xdr:to>
      <xdr:col>4</xdr:col>
      <xdr:colOff>647700</xdr:colOff>
      <xdr:row>45</xdr:row>
      <xdr:rowOff>60960</xdr:rowOff>
    </xdr:to>
    <xdr:sp macro="" textlink="">
      <xdr:nvSpPr>
        <xdr:cNvPr id="36" name="14 Rectángulo">
          <a:extLst>
            <a:ext uri="{FF2B5EF4-FFF2-40B4-BE49-F238E27FC236}">
              <a16:creationId xmlns:a16="http://schemas.microsoft.com/office/drawing/2014/main" id="{1A602B6B-FDD5-47B0-8620-AA27DBBE610F}"/>
            </a:ext>
          </a:extLst>
        </xdr:cNvPr>
        <xdr:cNvSpPr/>
      </xdr:nvSpPr>
      <xdr:spPr>
        <a:xfrm>
          <a:off x="457200" y="9418320"/>
          <a:ext cx="2712720" cy="6934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</a:t>
          </a:r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endParaRPr lang="es-PE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973456</xdr:colOff>
      <xdr:row>42</xdr:row>
      <xdr:rowOff>38101</xdr:rowOff>
    </xdr:from>
    <xdr:to>
      <xdr:col>8</xdr:col>
      <xdr:colOff>102870</xdr:colOff>
      <xdr:row>45</xdr:row>
      <xdr:rowOff>51436</xdr:rowOff>
    </xdr:to>
    <xdr:sp macro="" textlink="">
      <xdr:nvSpPr>
        <xdr:cNvPr id="37" name="16 Rectángulo">
          <a:extLst>
            <a:ext uri="{FF2B5EF4-FFF2-40B4-BE49-F238E27FC236}">
              <a16:creationId xmlns:a16="http://schemas.microsoft.com/office/drawing/2014/main" id="{B2AC0C07-D3D4-4E10-A4B7-859CD13DB168}"/>
            </a:ext>
          </a:extLst>
        </xdr:cNvPr>
        <xdr:cNvSpPr/>
      </xdr:nvSpPr>
      <xdr:spPr>
        <a:xfrm>
          <a:off x="3495676" y="9418321"/>
          <a:ext cx="2726054" cy="6838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2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K55"/>
  <sheetViews>
    <sheetView showGridLines="0" topLeftCell="A22" zoomScaleNormal="100" zoomScaleSheetLayoutView="100" workbookViewId="0">
      <selection activeCell="F26" sqref="F26"/>
    </sheetView>
  </sheetViews>
  <sheetFormatPr baseColWidth="10" defaultColWidth="10.33203125" defaultRowHeight="13.8" x14ac:dyDescent="0.25"/>
  <cols>
    <col min="1" max="8" width="12.33203125" style="1" customWidth="1"/>
    <col min="9" max="9" width="6.44140625" style="1" customWidth="1"/>
    <col min="10" max="10" width="8" style="1" customWidth="1"/>
    <col min="11" max="12" width="10.6640625" style="1" customWidth="1"/>
    <col min="13" max="16384" width="10.33203125" style="1"/>
  </cols>
  <sheetData>
    <row r="1" spans="1:10" ht="15.75" customHeight="1" thickTop="1" x14ac:dyDescent="0.25">
      <c r="A1" s="20"/>
      <c r="B1" s="21"/>
      <c r="C1" s="22"/>
      <c r="D1" s="22"/>
      <c r="E1" s="22"/>
      <c r="F1" s="22"/>
      <c r="G1" s="22"/>
      <c r="H1" s="23"/>
    </row>
    <row r="2" spans="1:10" ht="15.75" customHeight="1" x14ac:dyDescent="0.25">
      <c r="A2" s="24"/>
      <c r="B2" s="17"/>
      <c r="C2" s="18"/>
      <c r="D2" s="18"/>
      <c r="E2" s="18"/>
      <c r="F2" s="18"/>
      <c r="G2" s="18"/>
      <c r="H2" s="25"/>
    </row>
    <row r="3" spans="1:10" ht="15.75" customHeight="1" x14ac:dyDescent="0.25">
      <c r="A3" s="24"/>
      <c r="B3" s="17"/>
      <c r="C3" s="18"/>
      <c r="D3" s="18"/>
      <c r="E3" s="18"/>
      <c r="F3" s="18"/>
      <c r="G3" s="18"/>
      <c r="H3" s="25"/>
    </row>
    <row r="4" spans="1:10" ht="15.75" customHeight="1" x14ac:dyDescent="0.25">
      <c r="A4" s="24"/>
      <c r="B4" s="17"/>
      <c r="C4" s="18"/>
      <c r="D4" s="18"/>
      <c r="E4" s="18"/>
      <c r="F4" s="18"/>
      <c r="G4" s="18"/>
      <c r="H4" s="25"/>
    </row>
    <row r="5" spans="1:10" ht="15.75" customHeight="1" thickBot="1" x14ac:dyDescent="0.3">
      <c r="A5" s="26"/>
      <c r="B5" s="19"/>
      <c r="C5" s="19"/>
      <c r="D5" s="19"/>
      <c r="E5" s="19"/>
      <c r="F5" s="19"/>
      <c r="G5" s="19"/>
      <c r="H5" s="27"/>
    </row>
    <row r="6" spans="1:10" ht="15.75" customHeight="1" thickTop="1" x14ac:dyDescent="0.25">
      <c r="A6" s="16"/>
      <c r="B6" s="16"/>
      <c r="C6" s="16"/>
      <c r="D6" s="16"/>
      <c r="E6" s="16"/>
      <c r="F6" s="16"/>
      <c r="G6" s="16"/>
      <c r="H6" s="16"/>
    </row>
    <row r="7" spans="1:10" ht="15.9" customHeight="1" x14ac:dyDescent="0.25">
      <c r="A7" s="16"/>
      <c r="B7" s="16"/>
      <c r="C7" s="16"/>
      <c r="D7" s="16"/>
      <c r="E7" s="16"/>
      <c r="F7" s="16"/>
      <c r="G7" s="16"/>
      <c r="H7" s="16"/>
    </row>
    <row r="8" spans="1:10" ht="15.9" customHeight="1" x14ac:dyDescent="0.25">
      <c r="A8" s="150" t="s">
        <v>15</v>
      </c>
      <c r="B8" s="150"/>
      <c r="C8" s="150"/>
      <c r="D8" s="150"/>
      <c r="E8" s="150"/>
      <c r="F8" s="150"/>
      <c r="G8" s="150"/>
      <c r="H8" s="150"/>
    </row>
    <row r="9" spans="1:10" ht="15.9" customHeight="1" x14ac:dyDescent="0.25">
      <c r="A9" s="151" t="s">
        <v>35</v>
      </c>
      <c r="B9" s="151"/>
      <c r="C9" s="151"/>
      <c r="D9" s="151"/>
      <c r="E9" s="151"/>
      <c r="F9" s="151"/>
      <c r="G9" s="151"/>
      <c r="H9" s="151"/>
    </row>
    <row r="10" spans="1:10" ht="15.9" customHeight="1" x14ac:dyDescent="0.25">
      <c r="A10" s="28"/>
      <c r="B10" s="28"/>
      <c r="C10" s="28"/>
      <c r="D10" s="28"/>
      <c r="E10" s="28"/>
      <c r="F10" s="28"/>
      <c r="G10" s="28"/>
      <c r="H10" s="28"/>
    </row>
    <row r="11" spans="1:10" ht="15.9" customHeight="1" x14ac:dyDescent="0.25">
      <c r="B11" s="32"/>
      <c r="C11" s="32"/>
      <c r="D11" s="32"/>
      <c r="E11" s="32"/>
      <c r="F11" s="32"/>
      <c r="G11" s="32"/>
      <c r="H11" s="44"/>
      <c r="I11" s="15"/>
      <c r="J11" s="15"/>
    </row>
    <row r="12" spans="1:10" ht="15.9" customHeight="1" x14ac:dyDescent="0.25">
      <c r="A12" s="32"/>
      <c r="B12" s="32"/>
      <c r="C12" s="32"/>
      <c r="D12" s="32"/>
      <c r="E12" s="32"/>
      <c r="F12" s="32"/>
      <c r="G12" s="32"/>
      <c r="H12" s="34"/>
      <c r="I12" s="15"/>
      <c r="J12" s="15"/>
    </row>
    <row r="13" spans="1:10" ht="15.9" customHeight="1" x14ac:dyDescent="0.25">
      <c r="A13" s="32"/>
      <c r="B13" s="42"/>
      <c r="C13" s="42"/>
      <c r="D13" s="42"/>
      <c r="E13" s="42"/>
      <c r="F13" s="42"/>
      <c r="G13" s="42"/>
      <c r="H13" s="35"/>
      <c r="I13" s="15"/>
      <c r="J13" s="15"/>
    </row>
    <row r="14" spans="1:10" ht="18" customHeight="1" x14ac:dyDescent="0.25">
      <c r="A14" s="152" t="s">
        <v>17</v>
      </c>
      <c r="B14" s="153"/>
      <c r="C14" s="153"/>
      <c r="D14" s="153"/>
      <c r="E14" s="153"/>
      <c r="F14" s="153"/>
      <c r="G14" s="153"/>
      <c r="H14" s="154"/>
      <c r="I14" s="15"/>
      <c r="J14" s="15"/>
    </row>
    <row r="15" spans="1:10" ht="18" customHeight="1" x14ac:dyDescent="0.25">
      <c r="A15" s="147" t="s">
        <v>18</v>
      </c>
      <c r="B15" s="148"/>
      <c r="C15" s="148"/>
      <c r="D15" s="148"/>
      <c r="E15" s="148"/>
      <c r="F15" s="148"/>
      <c r="G15" s="148"/>
      <c r="H15" s="149"/>
      <c r="I15" s="15"/>
      <c r="J15" s="15"/>
    </row>
    <row r="16" spans="1:10" ht="11.25" customHeight="1" x14ac:dyDescent="0.25">
      <c r="A16" s="43"/>
      <c r="B16" s="40"/>
      <c r="C16" s="40"/>
      <c r="D16" s="40"/>
      <c r="E16" s="40"/>
      <c r="F16" s="40"/>
      <c r="G16" s="40"/>
      <c r="H16" s="47"/>
      <c r="I16" s="15"/>
      <c r="J16" s="15"/>
    </row>
    <row r="17" spans="1:11" ht="15.9" customHeight="1" x14ac:dyDescent="0.25">
      <c r="B17" s="156"/>
      <c r="C17" s="156"/>
      <c r="D17" s="156"/>
      <c r="F17" s="156"/>
      <c r="G17" s="156"/>
      <c r="H17" s="45"/>
      <c r="J17" s="15"/>
    </row>
    <row r="18" spans="1:11" ht="15.9" customHeight="1" x14ac:dyDescent="0.25">
      <c r="B18" s="50"/>
      <c r="C18" s="52"/>
      <c r="D18" s="51"/>
      <c r="F18" s="50"/>
      <c r="H18" s="36"/>
      <c r="J18" s="15"/>
    </row>
    <row r="19" spans="1:11" ht="15.9" customHeight="1" x14ac:dyDescent="0.25">
      <c r="B19" s="50"/>
      <c r="C19" s="52"/>
      <c r="D19" s="51"/>
      <c r="F19" s="50"/>
      <c r="H19" s="48"/>
      <c r="J19" s="15"/>
      <c r="K19" s="41"/>
    </row>
    <row r="20" spans="1:11" ht="12" customHeight="1" x14ac:dyDescent="0.25">
      <c r="A20" s="29"/>
      <c r="B20" s="29"/>
      <c r="C20" s="29"/>
      <c r="D20" s="29"/>
      <c r="E20" s="29"/>
      <c r="F20" s="29"/>
      <c r="G20" s="29"/>
      <c r="H20" s="29"/>
      <c r="J20" s="15"/>
    </row>
    <row r="21" spans="1:11" ht="18.75" customHeight="1" x14ac:dyDescent="0.25">
      <c r="A21" s="53"/>
      <c r="B21" s="54"/>
      <c r="C21" s="54"/>
      <c r="D21" s="54"/>
      <c r="E21" s="54"/>
      <c r="F21" s="54"/>
      <c r="G21" s="54"/>
      <c r="H21" s="55"/>
      <c r="I21" s="15"/>
      <c r="J21" s="30"/>
    </row>
    <row r="22" spans="1:11" ht="18.75" customHeight="1" x14ac:dyDescent="0.25">
      <c r="A22" s="157" t="s">
        <v>19</v>
      </c>
      <c r="B22" s="158"/>
      <c r="C22" s="158"/>
      <c r="D22" s="158"/>
      <c r="E22" s="158"/>
      <c r="F22" s="159"/>
      <c r="G22" s="76"/>
      <c r="H22" s="82"/>
      <c r="I22" s="76"/>
      <c r="J22" s="31"/>
    </row>
    <row r="23" spans="1:11" ht="18.75" customHeight="1" x14ac:dyDescent="0.25">
      <c r="A23" s="77" t="s">
        <v>20</v>
      </c>
      <c r="B23" s="78"/>
      <c r="C23" s="78"/>
      <c r="D23" s="79"/>
      <c r="E23" s="7">
        <v>1</v>
      </c>
      <c r="F23" s="7">
        <v>2</v>
      </c>
      <c r="G23" s="60"/>
      <c r="H23" s="82"/>
      <c r="I23" s="61"/>
      <c r="J23" s="31"/>
    </row>
    <row r="24" spans="1:11" ht="18.75" customHeight="1" x14ac:dyDescent="0.25">
      <c r="A24" s="62" t="s">
        <v>21</v>
      </c>
      <c r="B24" s="63"/>
      <c r="C24" s="63"/>
      <c r="D24" s="64" t="s">
        <v>22</v>
      </c>
      <c r="E24" s="100"/>
      <c r="F24" s="100"/>
      <c r="G24" s="60"/>
      <c r="H24" s="82"/>
      <c r="I24" s="61"/>
      <c r="J24" s="31"/>
    </row>
    <row r="25" spans="1:11" ht="18.75" customHeight="1" x14ac:dyDescent="0.25">
      <c r="A25" s="65" t="s">
        <v>23</v>
      </c>
      <c r="B25" s="66"/>
      <c r="C25" s="66"/>
      <c r="D25" s="67" t="s">
        <v>24</v>
      </c>
      <c r="E25" s="101"/>
      <c r="F25" s="101"/>
      <c r="G25" s="68"/>
      <c r="H25" s="82"/>
      <c r="I25" s="69"/>
      <c r="J25" s="15"/>
    </row>
    <row r="26" spans="1:11" ht="18.75" customHeight="1" x14ac:dyDescent="0.25">
      <c r="A26" s="65" t="s">
        <v>25</v>
      </c>
      <c r="B26" s="66"/>
      <c r="C26" s="66"/>
      <c r="D26" s="67" t="s">
        <v>26</v>
      </c>
      <c r="E26" s="101"/>
      <c r="F26" s="101"/>
      <c r="G26" s="70"/>
      <c r="H26" s="82"/>
      <c r="I26" s="71"/>
      <c r="J26" s="15"/>
    </row>
    <row r="27" spans="1:11" ht="18.75" customHeight="1" x14ac:dyDescent="0.25">
      <c r="A27" s="65" t="s">
        <v>27</v>
      </c>
      <c r="B27" s="66"/>
      <c r="C27" s="66"/>
      <c r="D27" s="67" t="s">
        <v>28</v>
      </c>
      <c r="E27" s="95">
        <f>E26-E24</f>
        <v>0</v>
      </c>
      <c r="F27" s="95">
        <f>F26-F24</f>
        <v>0</v>
      </c>
      <c r="G27" s="72"/>
      <c r="H27" s="82"/>
      <c r="I27" s="71"/>
      <c r="J27" s="15"/>
    </row>
    <row r="28" spans="1:11" ht="18.75" customHeight="1" x14ac:dyDescent="0.25">
      <c r="A28" s="65" t="s">
        <v>29</v>
      </c>
      <c r="B28" s="66"/>
      <c r="C28" s="66"/>
      <c r="D28" s="67" t="s">
        <v>30</v>
      </c>
      <c r="E28" s="95">
        <f>+E25-E26</f>
        <v>0</v>
      </c>
      <c r="F28" s="95">
        <f>+F25-F26</f>
        <v>0</v>
      </c>
      <c r="G28" s="83" t="s">
        <v>31</v>
      </c>
      <c r="H28" s="82"/>
      <c r="I28" s="80"/>
      <c r="J28" s="15"/>
    </row>
    <row r="29" spans="1:11" ht="18.75" customHeight="1" x14ac:dyDescent="0.25">
      <c r="A29" s="73" t="s">
        <v>32</v>
      </c>
      <c r="B29" s="74"/>
      <c r="C29" s="74"/>
      <c r="D29" s="75" t="s">
        <v>33</v>
      </c>
      <c r="E29" s="99">
        <f>IF(E28=0,0,ROUND(E27/E28,6))</f>
        <v>0</v>
      </c>
      <c r="F29" s="99">
        <f>IF(F28=0,0,ROUND(F27/F28,6))</f>
        <v>0</v>
      </c>
      <c r="G29" s="98">
        <f>AVERAGE(E29:F29)</f>
        <v>0</v>
      </c>
      <c r="H29" s="82"/>
      <c r="I29" s="81"/>
      <c r="J29" s="15"/>
    </row>
    <row r="30" spans="1:11" ht="18.75" customHeight="1" x14ac:dyDescent="0.25">
      <c r="A30" s="58"/>
      <c r="B30" s="59"/>
      <c r="C30" s="59"/>
      <c r="D30" s="59"/>
      <c r="E30" s="59"/>
      <c r="F30" s="59"/>
      <c r="G30" s="56"/>
      <c r="H30" s="57"/>
      <c r="I30" s="15"/>
      <c r="J30" s="15"/>
    </row>
    <row r="31" spans="1:11" ht="18.75" customHeight="1" x14ac:dyDescent="0.25">
      <c r="A31" s="157" t="s">
        <v>34</v>
      </c>
      <c r="B31" s="158"/>
      <c r="C31" s="158"/>
      <c r="D31" s="158"/>
      <c r="E31" s="158"/>
      <c r="F31" s="159"/>
      <c r="G31" s="141"/>
      <c r="H31" s="142"/>
      <c r="I31" s="15"/>
      <c r="J31" s="15"/>
    </row>
    <row r="32" spans="1:11" ht="18.75" customHeight="1" x14ac:dyDescent="0.25">
      <c r="A32" s="143" t="s">
        <v>20</v>
      </c>
      <c r="B32" s="144"/>
      <c r="C32" s="144"/>
      <c r="D32" s="145"/>
      <c r="E32" s="7">
        <v>1</v>
      </c>
      <c r="F32" s="7">
        <v>2</v>
      </c>
      <c r="G32" s="60"/>
      <c r="H32" s="85"/>
      <c r="I32" s="15"/>
      <c r="J32" s="15"/>
    </row>
    <row r="33" spans="1:10" ht="18.75" customHeight="1" x14ac:dyDescent="0.25">
      <c r="A33" s="62" t="s">
        <v>21</v>
      </c>
      <c r="B33" s="63"/>
      <c r="C33" s="63"/>
      <c r="D33" s="64" t="s">
        <v>22</v>
      </c>
      <c r="E33" s="100"/>
      <c r="F33" s="100"/>
      <c r="G33" s="60"/>
      <c r="H33" s="85"/>
      <c r="I33" s="15"/>
      <c r="J33" s="15"/>
    </row>
    <row r="34" spans="1:10" ht="18.75" customHeight="1" x14ac:dyDescent="0.25">
      <c r="A34" s="65" t="s">
        <v>23</v>
      </c>
      <c r="B34" s="66"/>
      <c r="C34" s="66"/>
      <c r="D34" s="67" t="s">
        <v>24</v>
      </c>
      <c r="E34" s="101"/>
      <c r="F34" s="101"/>
      <c r="G34" s="68"/>
      <c r="H34" s="86"/>
      <c r="I34" s="15"/>
      <c r="J34" s="15"/>
    </row>
    <row r="35" spans="1:10" ht="18.75" customHeight="1" x14ac:dyDescent="0.25">
      <c r="A35" s="65" t="s">
        <v>25</v>
      </c>
      <c r="B35" s="66"/>
      <c r="C35" s="66"/>
      <c r="D35" s="67" t="s">
        <v>26</v>
      </c>
      <c r="E35" s="101"/>
      <c r="F35" s="101"/>
      <c r="G35" s="70"/>
      <c r="H35" s="87"/>
      <c r="I35" s="15"/>
      <c r="J35" s="15"/>
    </row>
    <row r="36" spans="1:10" ht="18.75" customHeight="1" x14ac:dyDescent="0.25">
      <c r="A36" s="65" t="s">
        <v>27</v>
      </c>
      <c r="B36" s="66"/>
      <c r="C36" s="66"/>
      <c r="D36" s="67" t="s">
        <v>28</v>
      </c>
      <c r="E36" s="95">
        <f>E35-E33</f>
        <v>0</v>
      </c>
      <c r="F36" s="95">
        <f>F35-F33</f>
        <v>0</v>
      </c>
      <c r="G36" s="72"/>
      <c r="H36" s="87"/>
      <c r="I36" s="15"/>
      <c r="J36" s="15"/>
    </row>
    <row r="37" spans="1:10" ht="18.75" customHeight="1" x14ac:dyDescent="0.25">
      <c r="A37" s="65" t="s">
        <v>29</v>
      </c>
      <c r="B37" s="66"/>
      <c r="C37" s="66"/>
      <c r="D37" s="67" t="s">
        <v>30</v>
      </c>
      <c r="E37" s="95">
        <f>+E34-E35</f>
        <v>0</v>
      </c>
      <c r="F37" s="95">
        <f>+F34-F35</f>
        <v>0</v>
      </c>
      <c r="G37" s="84" t="s">
        <v>31</v>
      </c>
      <c r="H37" s="88"/>
      <c r="I37" s="15"/>
      <c r="J37" s="15"/>
    </row>
    <row r="38" spans="1:10" ht="18.75" customHeight="1" x14ac:dyDescent="0.25">
      <c r="A38" s="73" t="s">
        <v>32</v>
      </c>
      <c r="B38" s="74"/>
      <c r="C38" s="74"/>
      <c r="D38" s="75" t="s">
        <v>33</v>
      </c>
      <c r="E38" s="96">
        <f>IF(E37=0,0,ROUND(E36/E37,6))</f>
        <v>0</v>
      </c>
      <c r="F38" s="96">
        <f>IF(F37=0,0,ROUND(F36/F37,6))</f>
        <v>0</v>
      </c>
      <c r="G38" s="97">
        <f>AVERAGE(E38:F38)</f>
        <v>0</v>
      </c>
      <c r="H38" s="89"/>
      <c r="I38" s="15"/>
      <c r="J38" s="15"/>
    </row>
    <row r="39" spans="1:10" ht="18.75" customHeight="1" x14ac:dyDescent="0.25">
      <c r="A39" s="90"/>
      <c r="B39" s="91"/>
      <c r="C39" s="91"/>
      <c r="D39" s="91"/>
      <c r="E39" s="91"/>
      <c r="F39" s="92"/>
      <c r="G39" s="93"/>
      <c r="H39" s="94"/>
      <c r="I39" s="15"/>
      <c r="J39" s="15"/>
    </row>
    <row r="40" spans="1:10" ht="18.75" customHeight="1" x14ac:dyDescent="0.25">
      <c r="A40" s="39"/>
      <c r="B40" s="38"/>
      <c r="C40" s="38"/>
      <c r="D40" s="38"/>
      <c r="E40" s="38"/>
      <c r="F40" s="38"/>
      <c r="G40" s="14"/>
      <c r="H40" s="14"/>
      <c r="I40" s="15"/>
      <c r="J40" s="15"/>
    </row>
    <row r="41" spans="1:10" ht="18.75" customHeight="1" x14ac:dyDescent="0.25">
      <c r="A41" s="39"/>
      <c r="B41" s="38"/>
      <c r="C41" s="38"/>
      <c r="D41" s="38"/>
      <c r="E41" s="38"/>
      <c r="F41" s="38"/>
      <c r="G41" s="14"/>
      <c r="H41" s="14"/>
      <c r="I41" s="15"/>
      <c r="J41" s="15"/>
    </row>
    <row r="42" spans="1:10" ht="18.75" customHeight="1" x14ac:dyDescent="0.25">
      <c r="A42" s="39"/>
      <c r="B42" s="38"/>
      <c r="C42" s="38"/>
      <c r="D42" s="38"/>
      <c r="E42" s="38"/>
      <c r="F42" s="38"/>
      <c r="G42" s="14"/>
      <c r="H42" s="14"/>
      <c r="I42" s="15"/>
      <c r="J42" s="15"/>
    </row>
    <row r="43" spans="1:10" ht="15.9" customHeight="1" x14ac:dyDescent="0.25">
      <c r="A43" s="37"/>
      <c r="B43" s="38"/>
      <c r="C43" s="38"/>
      <c r="D43" s="38"/>
      <c r="E43" s="38"/>
      <c r="F43" s="38"/>
      <c r="G43" s="14"/>
      <c r="H43" s="14"/>
      <c r="I43" s="15"/>
      <c r="J43" s="15"/>
    </row>
    <row r="44" spans="1:10" ht="15.9" customHeight="1" x14ac:dyDescent="0.25">
      <c r="A44" s="37"/>
      <c r="B44" s="38"/>
      <c r="C44" s="38"/>
      <c r="D44" s="38"/>
      <c r="E44" s="38"/>
      <c r="F44" s="38"/>
      <c r="G44" s="14"/>
      <c r="H44" s="14"/>
      <c r="I44" s="15"/>
      <c r="J44" s="15"/>
    </row>
    <row r="45" spans="1:10" ht="15.9" customHeight="1" x14ac:dyDescent="0.25">
      <c r="A45" s="37"/>
      <c r="B45" s="38"/>
      <c r="C45" s="38"/>
      <c r="D45" s="38"/>
      <c r="E45" s="38"/>
      <c r="F45" s="38"/>
      <c r="G45" s="14"/>
      <c r="H45" s="14"/>
      <c r="I45" s="15"/>
      <c r="J45" s="15"/>
    </row>
    <row r="46" spans="1:10" ht="15.9" customHeight="1" x14ac:dyDescent="0.25">
      <c r="A46" s="37"/>
      <c r="B46" s="38"/>
      <c r="C46" s="38"/>
      <c r="D46" s="38"/>
      <c r="E46" s="38"/>
      <c r="F46" s="38"/>
      <c r="G46" s="14"/>
      <c r="H46" s="14"/>
      <c r="I46" s="15"/>
      <c r="J46" s="15"/>
    </row>
    <row r="47" spans="1:10" ht="15.9" customHeight="1" x14ac:dyDescent="0.25">
      <c r="A47" s="46"/>
      <c r="H47" s="14"/>
      <c r="I47" s="15"/>
      <c r="J47" s="15"/>
    </row>
    <row r="48" spans="1:10" ht="15.9" customHeight="1" x14ac:dyDescent="0.25">
      <c r="A48" s="39"/>
      <c r="B48" s="38"/>
      <c r="C48" s="38"/>
      <c r="D48" s="38"/>
      <c r="E48" s="38"/>
      <c r="F48" s="38"/>
      <c r="G48" s="14"/>
      <c r="H48" s="14"/>
      <c r="I48" s="15"/>
      <c r="J48" s="15"/>
    </row>
    <row r="49" spans="1:10" ht="15.9" customHeight="1" x14ac:dyDescent="0.25">
      <c r="B49" s="155"/>
      <c r="C49" s="155"/>
      <c r="D49" s="155"/>
      <c r="E49" s="155"/>
      <c r="F49" s="155"/>
      <c r="G49" s="33"/>
      <c r="H49" s="14"/>
      <c r="I49" s="15"/>
      <c r="J49" s="15"/>
    </row>
    <row r="50" spans="1:10" ht="15.9" customHeight="1" x14ac:dyDescent="0.25">
      <c r="A50" s="49" t="s">
        <v>16</v>
      </c>
      <c r="B50" s="38"/>
      <c r="C50" s="38"/>
      <c r="D50" s="38"/>
      <c r="E50" s="38"/>
      <c r="F50" s="38"/>
      <c r="G50" s="14"/>
      <c r="H50" s="14"/>
      <c r="I50" s="15"/>
      <c r="J50" s="15"/>
    </row>
    <row r="51" spans="1:10" ht="15.9" customHeight="1" x14ac:dyDescent="0.25">
      <c r="A51" s="49" t="s">
        <v>37</v>
      </c>
      <c r="B51" s="14"/>
      <c r="C51" s="14"/>
      <c r="D51" s="14"/>
      <c r="E51" s="14"/>
      <c r="F51" s="14"/>
      <c r="G51" s="14"/>
      <c r="H51" s="14"/>
      <c r="I51" s="15"/>
      <c r="J51" s="15"/>
    </row>
    <row r="52" spans="1:10" ht="15.9" customHeight="1" x14ac:dyDescent="0.25"/>
    <row r="53" spans="1:10" ht="30.75" customHeight="1" x14ac:dyDescent="0.25">
      <c r="A53" s="146" t="s">
        <v>36</v>
      </c>
      <c r="B53" s="146"/>
      <c r="C53" s="146"/>
      <c r="D53" s="146"/>
      <c r="E53" s="146"/>
      <c r="F53" s="146"/>
      <c r="G53" s="146"/>
      <c r="H53" s="146"/>
    </row>
    <row r="54" spans="1:10" ht="15.9" customHeight="1" x14ac:dyDescent="0.25"/>
    <row r="55" spans="1:10" ht="15.9" customHeight="1" x14ac:dyDescent="0.25"/>
  </sheetData>
  <protectedRanges>
    <protectedRange sqref="B13 B16" name="Rango3_3_1_1_1_1_1_1_1_1"/>
    <protectedRange sqref="B11:B12 B49" name="Rango3_3_1_1_1_1_1_2_1"/>
  </protectedRanges>
  <mergeCells count="13">
    <mergeCell ref="G31:H31"/>
    <mergeCell ref="A32:D32"/>
    <mergeCell ref="A53:H53"/>
    <mergeCell ref="A15:H15"/>
    <mergeCell ref="A8:H8"/>
    <mergeCell ref="A9:H9"/>
    <mergeCell ref="A14:H14"/>
    <mergeCell ref="B49:C49"/>
    <mergeCell ref="B17:D17"/>
    <mergeCell ref="F17:G17"/>
    <mergeCell ref="D49:F49"/>
    <mergeCell ref="A22:F22"/>
    <mergeCell ref="A31:F31"/>
  </mergeCells>
  <printOptions horizontalCentered="1" verticalCentered="1"/>
  <pageMargins left="0.78740157480314965" right="0.78740157480314965" top="0.78740157480314965" bottom="0.39370078740157483" header="0" footer="0"/>
  <pageSetup paperSize="274"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53"/>
  <sheetViews>
    <sheetView showGridLines="0" tabSelected="1" zoomScaleNormal="100" zoomScaleSheetLayoutView="100" workbookViewId="0">
      <selection activeCell="H11" sqref="H11"/>
    </sheetView>
  </sheetViews>
  <sheetFormatPr baseColWidth="10" defaultColWidth="10.33203125" defaultRowHeight="13.8" x14ac:dyDescent="0.25"/>
  <cols>
    <col min="1" max="1" width="8.88671875" style="123" customWidth="1"/>
    <col min="2" max="2" width="4.88671875" style="123" customWidth="1"/>
    <col min="3" max="3" width="12.33203125" style="123" customWidth="1"/>
    <col min="4" max="4" width="10.6640625" style="123" customWidth="1"/>
    <col min="5" max="5" width="15.44140625" style="123" customWidth="1"/>
    <col min="6" max="7" width="12.33203125" style="123" customWidth="1"/>
    <col min="8" max="8" width="15.77734375" style="123" customWidth="1"/>
    <col min="9" max="9" width="10.5546875" style="123" customWidth="1"/>
    <col min="10" max="10" width="6.44140625" style="123" customWidth="1"/>
    <col min="11" max="11" width="8" style="123" customWidth="1"/>
    <col min="12" max="13" width="10.6640625" style="123" customWidth="1"/>
    <col min="14" max="16384" width="10.33203125" style="123"/>
  </cols>
  <sheetData>
    <row r="1" spans="1:12" ht="15.75" customHeight="1" thickTop="1" x14ac:dyDescent="0.25">
      <c r="A1" s="20"/>
      <c r="B1" s="21"/>
      <c r="C1" s="21"/>
      <c r="D1" s="22"/>
      <c r="E1" s="22"/>
      <c r="F1" s="22"/>
      <c r="G1" s="22"/>
      <c r="H1" s="22"/>
      <c r="I1" s="122"/>
    </row>
    <row r="2" spans="1:12" ht="15.75" customHeight="1" x14ac:dyDescent="0.25">
      <c r="A2" s="24"/>
      <c r="B2" s="17"/>
      <c r="C2" s="17"/>
      <c r="D2" s="18"/>
      <c r="E2" s="18"/>
      <c r="F2" s="18"/>
      <c r="G2" s="18"/>
      <c r="H2" s="18"/>
      <c r="I2" s="124"/>
    </row>
    <row r="3" spans="1:12" ht="15.75" customHeight="1" x14ac:dyDescent="0.25">
      <c r="A3" s="24"/>
      <c r="B3" s="17"/>
      <c r="C3" s="17"/>
      <c r="D3" s="18"/>
      <c r="E3" s="18"/>
      <c r="F3" s="18"/>
      <c r="G3" s="18"/>
      <c r="H3" s="18"/>
      <c r="I3" s="124"/>
    </row>
    <row r="4" spans="1:12" ht="15.75" customHeight="1" x14ac:dyDescent="0.25">
      <c r="A4" s="24"/>
      <c r="B4" s="17"/>
      <c r="C4" s="17"/>
      <c r="D4" s="18"/>
      <c r="E4" s="18"/>
      <c r="F4" s="18"/>
      <c r="G4" s="18"/>
      <c r="H4" s="18"/>
      <c r="I4" s="124"/>
    </row>
    <row r="5" spans="1:12" ht="15.75" customHeight="1" thickBot="1" x14ac:dyDescent="0.3">
      <c r="A5" s="125"/>
      <c r="B5" s="126"/>
      <c r="C5" s="126"/>
      <c r="D5" s="126"/>
      <c r="E5" s="126"/>
      <c r="F5" s="126"/>
      <c r="G5" s="126"/>
      <c r="H5" s="126"/>
      <c r="I5" s="127"/>
    </row>
    <row r="6" spans="1:12" ht="15.75" customHeight="1" thickTop="1" x14ac:dyDescent="0.25">
      <c r="A6" s="128"/>
      <c r="B6" s="128"/>
      <c r="C6" s="128"/>
      <c r="D6" s="128"/>
      <c r="E6" s="128"/>
      <c r="F6" s="128"/>
      <c r="G6" s="128"/>
      <c r="H6" s="128"/>
      <c r="I6" s="128"/>
    </row>
    <row r="7" spans="1:12" ht="15.9" customHeight="1" x14ac:dyDescent="0.25">
      <c r="A7" s="128"/>
      <c r="B7" s="128"/>
      <c r="C7" s="128"/>
      <c r="D7" s="128"/>
      <c r="E7" s="128"/>
      <c r="F7" s="128"/>
      <c r="G7" s="128"/>
      <c r="H7" s="128"/>
      <c r="I7" s="128"/>
      <c r="L7" s="129"/>
    </row>
    <row r="8" spans="1:12" ht="15.9" customHeight="1" x14ac:dyDescent="0.25">
      <c r="A8" s="150" t="s">
        <v>15</v>
      </c>
      <c r="B8" s="150"/>
      <c r="C8" s="150"/>
      <c r="D8" s="150"/>
      <c r="E8" s="150"/>
      <c r="F8" s="150"/>
      <c r="G8" s="150"/>
      <c r="H8" s="150"/>
      <c r="I8" s="150"/>
    </row>
    <row r="9" spans="1:12" ht="15.9" customHeight="1" x14ac:dyDescent="0.25">
      <c r="A9" s="151" t="s">
        <v>38</v>
      </c>
      <c r="B9" s="151"/>
      <c r="C9" s="151"/>
      <c r="D9" s="151"/>
      <c r="E9" s="151"/>
      <c r="F9" s="151"/>
      <c r="G9" s="151"/>
      <c r="H9" s="151"/>
      <c r="I9" s="151"/>
    </row>
    <row r="10" spans="1:12" ht="15.9" customHeight="1" x14ac:dyDescent="0.25">
      <c r="A10" s="121"/>
      <c r="B10" s="121"/>
      <c r="C10" s="121"/>
      <c r="D10" s="121"/>
      <c r="E10" s="121"/>
      <c r="F10" s="121"/>
      <c r="G10" s="121"/>
      <c r="H10" s="121"/>
      <c r="I10"/>
    </row>
    <row r="11" spans="1:12" ht="15.9" customHeight="1" x14ac:dyDescent="0.25">
      <c r="A11" s="168"/>
      <c r="B11" s="166" t="s">
        <v>20</v>
      </c>
      <c r="C11" s="167"/>
      <c r="D11" s="166" t="s">
        <v>48</v>
      </c>
      <c r="E11" s="167"/>
      <c r="F11" s="166" t="s">
        <v>49</v>
      </c>
      <c r="G11" s="167"/>
      <c r="H11" s="170" t="s">
        <v>50</v>
      </c>
      <c r="I11"/>
      <c r="J11" s="130"/>
      <c r="K11" s="130"/>
    </row>
    <row r="12" spans="1:12" ht="15.9" customHeight="1" x14ac:dyDescent="0.25">
      <c r="A12" s="168"/>
      <c r="B12" s="166"/>
      <c r="C12" s="167"/>
      <c r="D12" s="166"/>
      <c r="E12" s="167"/>
      <c r="F12" s="166"/>
      <c r="G12" s="167"/>
      <c r="H12" s="169"/>
      <c r="I12"/>
      <c r="J12" s="130"/>
      <c r="K12" s="130"/>
    </row>
    <row r="13" spans="1:12" ht="15.9" customHeight="1" x14ac:dyDescent="0.25">
      <c r="A13" s="32"/>
      <c r="B13" s="32"/>
      <c r="C13" s="42"/>
      <c r="D13" s="42"/>
      <c r="E13" s="42"/>
      <c r="F13" s="42"/>
      <c r="G13" s="42"/>
      <c r="H13" s="42"/>
      <c r="I13" s="35"/>
      <c r="J13" s="130"/>
      <c r="K13" s="130"/>
    </row>
    <row r="14" spans="1:12" ht="18" customHeight="1" x14ac:dyDescent="0.25">
      <c r="A14" s="152" t="s">
        <v>39</v>
      </c>
      <c r="B14" s="153"/>
      <c r="C14" s="153"/>
      <c r="D14" s="153"/>
      <c r="E14" s="153"/>
      <c r="F14" s="153"/>
      <c r="G14" s="153"/>
      <c r="H14" s="153"/>
      <c r="I14" s="154"/>
      <c r="J14" s="130"/>
      <c r="K14" s="130"/>
    </row>
    <row r="15" spans="1:12" ht="18" customHeight="1" x14ac:dyDescent="0.25">
      <c r="A15" s="147" t="s">
        <v>40</v>
      </c>
      <c r="B15" s="148"/>
      <c r="C15" s="148"/>
      <c r="D15" s="148"/>
      <c r="E15" s="148"/>
      <c r="F15" s="148"/>
      <c r="G15" s="148"/>
      <c r="H15" s="148"/>
      <c r="I15" s="149"/>
      <c r="J15" s="130"/>
      <c r="K15" s="130"/>
    </row>
    <row r="16" spans="1:12" ht="11.25" customHeight="1" x14ac:dyDescent="0.25">
      <c r="A16" s="134"/>
      <c r="B16" s="43"/>
      <c r="C16" s="40"/>
      <c r="D16" s="40"/>
      <c r="E16" s="40"/>
      <c r="F16" s="40"/>
      <c r="G16" s="40"/>
      <c r="H16" s="40"/>
      <c r="I16" s="135"/>
      <c r="J16" s="130"/>
      <c r="K16" s="130"/>
    </row>
    <row r="17" spans="1:16" ht="18.75" customHeight="1" x14ac:dyDescent="0.25">
      <c r="A17" s="136"/>
      <c r="D17" s="160" t="s">
        <v>47</v>
      </c>
      <c r="E17" s="160"/>
      <c r="F17" s="160"/>
      <c r="G17" s="131"/>
      <c r="I17" s="137"/>
      <c r="J17" s="76"/>
      <c r="K17" s="132"/>
    </row>
    <row r="18" spans="1:16" ht="18.75" customHeight="1" x14ac:dyDescent="0.25">
      <c r="A18" s="136"/>
      <c r="D18" s="160" t="s">
        <v>44</v>
      </c>
      <c r="E18" s="160"/>
      <c r="F18" s="160"/>
      <c r="G18" s="131"/>
      <c r="I18" s="137"/>
      <c r="J18" s="76"/>
      <c r="K18" s="132"/>
    </row>
    <row r="19" spans="1:16" ht="18.75" customHeight="1" x14ac:dyDescent="0.25">
      <c r="A19" s="136"/>
      <c r="D19" s="160" t="s">
        <v>45</v>
      </c>
      <c r="E19" s="160"/>
      <c r="F19" s="160"/>
      <c r="G19" s="131"/>
      <c r="I19" s="137"/>
      <c r="J19" s="76"/>
      <c r="K19" s="132"/>
    </row>
    <row r="20" spans="1:16" ht="18.75" customHeight="1" x14ac:dyDescent="0.25">
      <c r="A20" s="136"/>
      <c r="D20" s="160" t="s">
        <v>46</v>
      </c>
      <c r="E20" s="160"/>
      <c r="F20" s="160"/>
      <c r="G20" s="131"/>
      <c r="I20" s="137"/>
      <c r="J20" s="76"/>
      <c r="K20" s="132"/>
    </row>
    <row r="21" spans="1:16" ht="18.75" customHeight="1" x14ac:dyDescent="0.25">
      <c r="A21" s="138"/>
      <c r="B21" s="139"/>
      <c r="C21" s="139"/>
      <c r="D21" s="139"/>
      <c r="E21" s="139"/>
      <c r="F21" s="139"/>
      <c r="G21" s="139"/>
      <c r="H21" s="139"/>
      <c r="I21" s="140"/>
      <c r="J21" s="61"/>
      <c r="K21" s="132"/>
    </row>
    <row r="22" spans="1:16" ht="18.75" customHeight="1" x14ac:dyDescent="0.25">
      <c r="A22" s="105"/>
      <c r="B22" s="106"/>
      <c r="C22" s="106"/>
      <c r="D22" s="106"/>
      <c r="E22" s="106"/>
      <c r="F22" s="106"/>
      <c r="G22" s="106"/>
      <c r="H22" s="106"/>
      <c r="I22" s="107"/>
      <c r="J22" s="61"/>
      <c r="K22" s="132"/>
      <c r="M22" s="103"/>
      <c r="N22" s="103"/>
      <c r="O22" s="103"/>
      <c r="P22" s="103"/>
    </row>
    <row r="23" spans="1:16" ht="18.75" customHeight="1" x14ac:dyDescent="0.25">
      <c r="A23" s="110"/>
      <c r="B23" s="116"/>
      <c r="C23" s="116"/>
      <c r="D23" s="163" t="s">
        <v>41</v>
      </c>
      <c r="E23" s="164"/>
      <c r="F23" s="163" t="s">
        <v>42</v>
      </c>
      <c r="G23" s="164"/>
      <c r="H23" s="116"/>
      <c r="I23" s="109"/>
      <c r="J23" s="61"/>
      <c r="K23" s="132"/>
    </row>
    <row r="24" spans="1:16" ht="18.75" customHeight="1" x14ac:dyDescent="0.25">
      <c r="A24" s="110"/>
      <c r="B24" s="113"/>
      <c r="C24" s="60"/>
      <c r="D24" s="161">
        <v>1</v>
      </c>
      <c r="E24" s="162"/>
      <c r="F24" s="161">
        <v>5</v>
      </c>
      <c r="G24" s="162"/>
      <c r="H24" s="114"/>
      <c r="I24" s="109"/>
      <c r="J24" s="61"/>
      <c r="K24" s="132"/>
    </row>
    <row r="25" spans="1:16" ht="18.75" customHeight="1" x14ac:dyDescent="0.25">
      <c r="A25" s="110"/>
      <c r="B25" s="113"/>
      <c r="C25" s="115"/>
      <c r="D25" s="161">
        <v>2</v>
      </c>
      <c r="E25" s="162"/>
      <c r="F25" s="161">
        <v>8</v>
      </c>
      <c r="G25" s="162"/>
      <c r="H25" s="114"/>
      <c r="I25" s="109"/>
      <c r="J25" s="69"/>
      <c r="K25" s="130"/>
    </row>
    <row r="26" spans="1:16" ht="18.75" customHeight="1" x14ac:dyDescent="0.25">
      <c r="A26" s="110"/>
      <c r="B26" s="113"/>
      <c r="C26" s="115"/>
      <c r="D26" s="161" t="s">
        <v>43</v>
      </c>
      <c r="E26" s="162"/>
      <c r="F26" s="161">
        <v>11</v>
      </c>
      <c r="G26" s="162"/>
      <c r="H26" s="114"/>
      <c r="I26" s="109"/>
      <c r="J26" s="71"/>
      <c r="K26" s="130"/>
    </row>
    <row r="27" spans="1:16" ht="18.75" customHeight="1" x14ac:dyDescent="0.25">
      <c r="A27" s="110"/>
      <c r="B27" s="108"/>
      <c r="C27" s="108"/>
      <c r="D27" s="161">
        <v>4</v>
      </c>
      <c r="E27" s="162"/>
      <c r="F27" s="161">
        <v>14</v>
      </c>
      <c r="G27" s="162"/>
      <c r="H27" s="108"/>
      <c r="I27" s="109"/>
      <c r="J27" s="71"/>
      <c r="K27" s="130"/>
    </row>
    <row r="28" spans="1:16" ht="18.75" customHeight="1" x14ac:dyDescent="0.25">
      <c r="A28" s="110"/>
      <c r="B28" s="108"/>
      <c r="C28" s="108"/>
      <c r="D28" s="161">
        <v>5</v>
      </c>
      <c r="E28" s="162"/>
      <c r="F28" s="161">
        <v>16</v>
      </c>
      <c r="G28" s="162"/>
      <c r="H28" s="108"/>
      <c r="I28" s="109"/>
      <c r="J28" s="71"/>
      <c r="K28" s="130"/>
    </row>
    <row r="29" spans="1:16" ht="18.75" customHeight="1" x14ac:dyDescent="0.25">
      <c r="A29" s="117"/>
      <c r="B29" s="118"/>
      <c r="C29" s="118"/>
      <c r="D29" s="118"/>
      <c r="E29" s="118"/>
      <c r="F29" s="118"/>
      <c r="G29" s="118"/>
      <c r="H29" s="118"/>
      <c r="I29" s="119"/>
      <c r="J29" s="80"/>
      <c r="K29" s="130"/>
    </row>
    <row r="30" spans="1:16" ht="18.75" customHeight="1" x14ac:dyDescent="0.25">
      <c r="A30" s="108"/>
      <c r="B30" s="108"/>
      <c r="C30" s="108"/>
      <c r="D30" s="108"/>
      <c r="E30" s="108"/>
      <c r="F30" s="108"/>
      <c r="G30" s="108"/>
      <c r="H30" s="108"/>
      <c r="I30" s="108"/>
      <c r="J30" s="81"/>
      <c r="K30" s="130"/>
    </row>
    <row r="31" spans="1:16" ht="18.75" customHeight="1" x14ac:dyDescent="0.25">
      <c r="A31" s="108"/>
      <c r="B31" s="108"/>
      <c r="C31" s="108"/>
      <c r="D31" s="108"/>
      <c r="E31" s="108"/>
      <c r="F31" s="108"/>
      <c r="G31" s="108"/>
      <c r="H31" s="108"/>
      <c r="I31" s="108"/>
      <c r="J31" s="130"/>
      <c r="K31" s="130"/>
    </row>
    <row r="32" spans="1:16" ht="18.75" customHeight="1" x14ac:dyDescent="0.25">
      <c r="A32" s="108"/>
      <c r="B32" s="108"/>
      <c r="C32" s="108"/>
      <c r="H32" s="108"/>
      <c r="I32" s="108"/>
      <c r="J32" s="130"/>
      <c r="K32" s="130"/>
    </row>
    <row r="33" spans="1:11" ht="18.75" customHeight="1" x14ac:dyDescent="0.25">
      <c r="A33" s="108"/>
      <c r="B33" s="108"/>
      <c r="C33" s="108"/>
      <c r="H33" s="108"/>
      <c r="I33" s="108"/>
      <c r="J33" s="130"/>
      <c r="K33" s="130"/>
    </row>
    <row r="34" spans="1:11" ht="18.75" customHeight="1" x14ac:dyDescent="0.25">
      <c r="A34" s="108"/>
      <c r="B34" s="108"/>
      <c r="C34" s="108"/>
      <c r="H34" s="108"/>
      <c r="I34" s="108"/>
      <c r="J34" s="130"/>
      <c r="K34" s="130"/>
    </row>
    <row r="35" spans="1:11" ht="18.75" customHeight="1" x14ac:dyDescent="0.25">
      <c r="A35" s="108"/>
      <c r="B35" s="108"/>
      <c r="C35" s="108"/>
      <c r="H35" s="108"/>
      <c r="I35" s="108"/>
      <c r="J35" s="130"/>
      <c r="K35" s="130"/>
    </row>
    <row r="36" spans="1:11" ht="18.75" customHeight="1" x14ac:dyDescent="0.25">
      <c r="A36" s="108"/>
      <c r="B36" s="108"/>
      <c r="C36" s="108"/>
      <c r="H36" s="108"/>
      <c r="I36" s="108"/>
      <c r="J36" s="130"/>
      <c r="K36" s="130"/>
    </row>
    <row r="37" spans="1:11" ht="18.75" customHeight="1" x14ac:dyDescent="0.25">
      <c r="A37" s="108"/>
      <c r="B37" s="108"/>
      <c r="C37" s="108"/>
      <c r="H37" s="108"/>
      <c r="I37" s="108"/>
      <c r="J37" s="130"/>
      <c r="K37" s="130"/>
    </row>
    <row r="38" spans="1:11" ht="18.75" customHeight="1" x14ac:dyDescent="0.25">
      <c r="A38" s="108"/>
      <c r="B38" s="108"/>
      <c r="C38" s="108"/>
      <c r="D38" s="108"/>
      <c r="E38" s="120"/>
      <c r="F38" s="113"/>
      <c r="G38" s="113"/>
      <c r="H38" s="108"/>
      <c r="I38" s="108"/>
      <c r="J38" s="130"/>
      <c r="K38" s="130"/>
    </row>
    <row r="39" spans="1:11" ht="18.75" customHeight="1" x14ac:dyDescent="0.25">
      <c r="A39" s="108"/>
      <c r="B39" s="108"/>
      <c r="C39" s="108"/>
      <c r="D39" s="108"/>
      <c r="E39" s="108"/>
      <c r="F39" s="108"/>
      <c r="G39" s="108"/>
      <c r="H39" s="108"/>
      <c r="I39" s="108"/>
      <c r="J39" s="130"/>
      <c r="K39" s="130"/>
    </row>
    <row r="40" spans="1:11" ht="18.75" customHeight="1" x14ac:dyDescent="0.25">
      <c r="B40" s="103"/>
      <c r="C40" s="104"/>
      <c r="D40" s="104"/>
      <c r="E40" s="104"/>
      <c r="F40" s="111"/>
      <c r="G40" s="111"/>
      <c r="H40" s="112"/>
      <c r="I40" s="81"/>
      <c r="J40" s="130"/>
      <c r="K40" s="130"/>
    </row>
    <row r="41" spans="1:11" ht="24" customHeight="1" x14ac:dyDescent="0.25">
      <c r="A41" s="39"/>
      <c r="B41" s="39"/>
      <c r="C41" s="38"/>
      <c r="D41" s="38"/>
      <c r="H41" s="133"/>
      <c r="I41" s="38"/>
      <c r="J41" s="130"/>
      <c r="K41" s="130"/>
    </row>
    <row r="42" spans="1:11" ht="18.75" customHeight="1" x14ac:dyDescent="0.25">
      <c r="A42" s="39"/>
      <c r="B42" s="39"/>
      <c r="C42" s="38"/>
      <c r="D42" s="38"/>
      <c r="H42" s="38"/>
      <c r="I42" s="38"/>
      <c r="J42" s="130"/>
      <c r="K42" s="130"/>
    </row>
    <row r="43" spans="1:11" ht="18.75" customHeight="1" x14ac:dyDescent="0.25">
      <c r="A43" s="39"/>
      <c r="B43" s="39"/>
      <c r="C43" s="38"/>
      <c r="D43" s="38"/>
      <c r="H43" s="38"/>
      <c r="I43" s="38"/>
      <c r="J43" s="130"/>
      <c r="K43" s="130"/>
    </row>
    <row r="44" spans="1:11" ht="18.75" customHeight="1" x14ac:dyDescent="0.25">
      <c r="A44" s="39"/>
      <c r="B44" s="39"/>
      <c r="C44" s="38"/>
      <c r="D44" s="38"/>
      <c r="H44" s="38"/>
      <c r="I44" s="38"/>
      <c r="J44" s="130"/>
      <c r="K44" s="130"/>
    </row>
    <row r="45" spans="1:11" ht="15.9" customHeight="1" x14ac:dyDescent="0.25">
      <c r="A45" s="37"/>
      <c r="B45" s="37"/>
      <c r="C45" s="38"/>
      <c r="D45" s="38"/>
      <c r="E45" s="38"/>
      <c r="F45" s="38"/>
      <c r="G45" s="38"/>
      <c r="H45" s="38"/>
      <c r="I45" s="38"/>
      <c r="J45" s="130"/>
      <c r="K45" s="130"/>
    </row>
    <row r="46" spans="1:11" ht="15.9" customHeight="1" x14ac:dyDescent="0.25">
      <c r="A46" s="39"/>
      <c r="B46" s="39"/>
      <c r="C46" s="38"/>
      <c r="D46" s="38"/>
      <c r="E46" s="38"/>
      <c r="F46" s="38"/>
      <c r="G46" s="38"/>
      <c r="H46" s="38"/>
      <c r="I46" s="38"/>
      <c r="J46" s="130"/>
      <c r="K46" s="130"/>
    </row>
    <row r="47" spans="1:11" ht="15.9" customHeight="1" x14ac:dyDescent="0.25">
      <c r="C47" s="155"/>
      <c r="D47" s="155"/>
      <c r="E47" s="155"/>
      <c r="F47" s="155"/>
      <c r="G47" s="155"/>
      <c r="H47" s="33"/>
      <c r="I47" s="38"/>
      <c r="J47" s="130"/>
      <c r="K47" s="130"/>
    </row>
    <row r="48" spans="1:11" ht="15.9" customHeight="1" x14ac:dyDescent="0.25">
      <c r="A48" s="49" t="s">
        <v>16</v>
      </c>
      <c r="B48" s="49"/>
      <c r="C48" s="38"/>
      <c r="D48" s="38"/>
      <c r="E48" s="38"/>
      <c r="F48" s="38"/>
      <c r="G48" s="38"/>
      <c r="H48" s="38"/>
      <c r="I48" s="38"/>
      <c r="J48" s="130"/>
      <c r="K48" s="130"/>
    </row>
    <row r="49" spans="1:11" ht="15.9" customHeight="1" x14ac:dyDescent="0.25">
      <c r="A49" s="102" t="s">
        <v>37</v>
      </c>
      <c r="B49" s="49"/>
      <c r="C49" s="38"/>
      <c r="D49" s="38"/>
      <c r="E49" s="38"/>
      <c r="F49" s="38"/>
      <c r="G49" s="38"/>
      <c r="H49" s="38"/>
      <c r="I49" s="38"/>
      <c r="J49" s="130"/>
      <c r="K49" s="130"/>
    </row>
    <row r="50" spans="1:11" ht="15.9" customHeight="1" x14ac:dyDescent="0.25"/>
    <row r="51" spans="1:11" ht="30.75" customHeight="1" x14ac:dyDescent="0.25">
      <c r="A51" s="146" t="s">
        <v>36</v>
      </c>
      <c r="B51" s="146"/>
      <c r="C51" s="146"/>
      <c r="D51" s="146"/>
      <c r="E51" s="146"/>
      <c r="F51" s="146"/>
      <c r="G51" s="146"/>
      <c r="H51" s="146"/>
      <c r="I51" s="146"/>
    </row>
    <row r="52" spans="1:11" ht="15.9" customHeight="1" x14ac:dyDescent="0.25"/>
    <row r="53" spans="1:11" ht="15.9" customHeight="1" x14ac:dyDescent="0.25"/>
  </sheetData>
  <protectedRanges>
    <protectedRange sqref="C13 C16" name="Rango3_3_1_1_1_1_1_1_1_1"/>
    <protectedRange sqref="C11:C12 C47" name="Rango3_3_1_1_1_1_1_2_1"/>
  </protectedRanges>
  <mergeCells count="29">
    <mergeCell ref="F11:G11"/>
    <mergeCell ref="B12:C12"/>
    <mergeCell ref="D12:E12"/>
    <mergeCell ref="F12:G12"/>
    <mergeCell ref="A8:I8"/>
    <mergeCell ref="A9:I9"/>
    <mergeCell ref="A14:I14"/>
    <mergeCell ref="A15:I15"/>
    <mergeCell ref="D23:E23"/>
    <mergeCell ref="F23:G23"/>
    <mergeCell ref="B11:C11"/>
    <mergeCell ref="D11:E11"/>
    <mergeCell ref="D25:E25"/>
    <mergeCell ref="D26:E26"/>
    <mergeCell ref="D27:E27"/>
    <mergeCell ref="D28:E28"/>
    <mergeCell ref="A51:I51"/>
    <mergeCell ref="C47:D47"/>
    <mergeCell ref="E47:G47"/>
    <mergeCell ref="F25:G25"/>
    <mergeCell ref="F26:G26"/>
    <mergeCell ref="F27:G27"/>
    <mergeCell ref="F28:G28"/>
    <mergeCell ref="D17:F17"/>
    <mergeCell ref="D18:F18"/>
    <mergeCell ref="D19:F19"/>
    <mergeCell ref="D20:F20"/>
    <mergeCell ref="D24:E24"/>
    <mergeCell ref="F24:G24"/>
  </mergeCells>
  <printOptions horizontalCentered="1" verticalCentered="1"/>
  <pageMargins left="0.78740157480314965" right="0.78740157480314965" top="0.78740157480314965" bottom="0.39370078740157483" header="0" footer="0"/>
  <pageSetup paperSize="9" scale="86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65" t="s">
        <v>9</v>
      </c>
      <c r="B2" s="165"/>
      <c r="C2" s="6" t="s">
        <v>10</v>
      </c>
      <c r="D2" s="5" t="s">
        <v>2</v>
      </c>
      <c r="E2" s="5" t="s">
        <v>0</v>
      </c>
      <c r="F2" s="5" t="s">
        <v>1</v>
      </c>
      <c r="G2" s="5" t="s">
        <v>3</v>
      </c>
      <c r="H2" s="5" t="s">
        <v>4</v>
      </c>
      <c r="I2" s="5" t="s">
        <v>6</v>
      </c>
      <c r="J2" s="5" t="s">
        <v>5</v>
      </c>
      <c r="K2" s="5" t="s">
        <v>7</v>
      </c>
      <c r="L2" s="5" t="s">
        <v>8</v>
      </c>
      <c r="M2" s="5" t="s">
        <v>11</v>
      </c>
    </row>
    <row r="3" spans="1:13" ht="18.75" customHeight="1" x14ac:dyDescent="0.25">
      <c r="A3" s="8">
        <v>4400</v>
      </c>
      <c r="B3" s="2">
        <f>+A3+1</f>
        <v>4401</v>
      </c>
      <c r="C3" s="12" t="str">
        <f t="shared" ref="C3:C8" si="0">A3&amp;"-"&amp;B3</f>
        <v>4400-4401</v>
      </c>
      <c r="D3" s="8" t="s">
        <v>14</v>
      </c>
      <c r="E3" s="8">
        <v>350</v>
      </c>
      <c r="F3" s="9">
        <v>42347</v>
      </c>
      <c r="G3" s="2">
        <v>7</v>
      </c>
      <c r="H3" s="10">
        <v>15.05</v>
      </c>
      <c r="I3" s="8">
        <v>49900</v>
      </c>
      <c r="J3" s="3">
        <f t="shared" ref="J3:J8" si="1">H3*H3*PI()/4</f>
        <v>177.89464750493056</v>
      </c>
      <c r="K3" s="11">
        <f t="shared" ref="K3:K8" si="2">I3/J3</f>
        <v>280.50309944607505</v>
      </c>
      <c r="L3" s="4">
        <f t="shared" ref="L3:L8" si="3">+K3/E3</f>
        <v>0.80143742698878584</v>
      </c>
      <c r="M3" s="13" t="s">
        <v>12</v>
      </c>
    </row>
    <row r="4" spans="1:13" ht="18.75" customHeight="1" x14ac:dyDescent="0.25">
      <c r="A4" s="2"/>
      <c r="B4" s="2"/>
      <c r="C4" s="7" t="str">
        <f t="shared" si="0"/>
        <v>-</v>
      </c>
      <c r="D4" s="2"/>
      <c r="E4" s="8">
        <v>350</v>
      </c>
      <c r="F4" s="2"/>
      <c r="G4" s="2">
        <v>7</v>
      </c>
      <c r="H4" s="10">
        <v>15.06</v>
      </c>
      <c r="I4" s="8">
        <v>50310</v>
      </c>
      <c r="J4" s="3">
        <f t="shared" si="1"/>
        <v>178.1311308919295</v>
      </c>
      <c r="K4" s="11">
        <f t="shared" si="2"/>
        <v>282.43238421094742</v>
      </c>
      <c r="L4" s="4">
        <f t="shared" si="3"/>
        <v>0.80694966917413546</v>
      </c>
      <c r="M4" s="13" t="s">
        <v>13</v>
      </c>
    </row>
    <row r="5" spans="1:13" ht="18.75" customHeight="1" x14ac:dyDescent="0.25">
      <c r="A5" s="2">
        <f>+B3+1</f>
        <v>4402</v>
      </c>
      <c r="B5" s="2">
        <f>+A5+1</f>
        <v>4403</v>
      </c>
      <c r="C5" s="7" t="str">
        <f t="shared" si="0"/>
        <v>4402-4403</v>
      </c>
      <c r="D5" s="2"/>
      <c r="E5" s="8">
        <v>350</v>
      </c>
      <c r="F5" s="2"/>
      <c r="G5" s="2">
        <v>14</v>
      </c>
      <c r="H5" s="10">
        <v>15.04</v>
      </c>
      <c r="I5" s="8">
        <v>56450</v>
      </c>
      <c r="J5" s="3">
        <f t="shared" si="1"/>
        <v>177.65832119756422</v>
      </c>
      <c r="K5" s="11">
        <f t="shared" si="2"/>
        <v>317.74475644867209</v>
      </c>
      <c r="L5" s="4">
        <f t="shared" si="3"/>
        <v>0.9078421612819203</v>
      </c>
      <c r="M5" s="13" t="s">
        <v>13</v>
      </c>
    </row>
    <row r="6" spans="1:13" ht="18.75" customHeight="1" x14ac:dyDescent="0.25">
      <c r="A6" s="2"/>
      <c r="B6" s="2"/>
      <c r="C6" s="7" t="str">
        <f t="shared" si="0"/>
        <v>-</v>
      </c>
      <c r="D6" s="2"/>
      <c r="E6" s="8">
        <v>350</v>
      </c>
      <c r="F6" s="2"/>
      <c r="G6" s="2">
        <v>14</v>
      </c>
      <c r="H6" s="10">
        <v>15</v>
      </c>
      <c r="I6" s="8">
        <v>59630</v>
      </c>
      <c r="J6" s="3">
        <f t="shared" si="1"/>
        <v>176.71458676442586</v>
      </c>
      <c r="K6" s="11">
        <f t="shared" si="2"/>
        <v>337.43677356692336</v>
      </c>
      <c r="L6" s="4">
        <f t="shared" si="3"/>
        <v>0.96410506733406676</v>
      </c>
      <c r="M6" s="13" t="s">
        <v>13</v>
      </c>
    </row>
    <row r="7" spans="1:13" ht="18.75" customHeight="1" x14ac:dyDescent="0.25">
      <c r="A7" s="2">
        <f>+B5+1</f>
        <v>4404</v>
      </c>
      <c r="B7" s="2">
        <f>+A7+1</f>
        <v>4405</v>
      </c>
      <c r="C7" s="7" t="str">
        <f t="shared" si="0"/>
        <v>4404-4405</v>
      </c>
      <c r="D7" s="2"/>
      <c r="E7" s="8">
        <v>350</v>
      </c>
      <c r="F7" s="2"/>
      <c r="G7" s="2">
        <v>28</v>
      </c>
      <c r="H7" s="10">
        <v>15.11</v>
      </c>
      <c r="I7" s="8">
        <v>65310</v>
      </c>
      <c r="J7" s="3">
        <f t="shared" si="1"/>
        <v>179.31590402141455</v>
      </c>
      <c r="K7" s="11">
        <f t="shared" si="2"/>
        <v>364.21755424549764</v>
      </c>
      <c r="L7" s="4">
        <f t="shared" si="3"/>
        <v>1.0406215835585646</v>
      </c>
      <c r="M7" s="13" t="s">
        <v>13</v>
      </c>
    </row>
    <row r="8" spans="1:13" ht="18.75" customHeight="1" x14ac:dyDescent="0.25">
      <c r="A8" s="2"/>
      <c r="B8" s="2"/>
      <c r="C8" s="7" t="str">
        <f t="shared" si="0"/>
        <v>-</v>
      </c>
      <c r="D8" s="2"/>
      <c r="E8" s="8">
        <v>350</v>
      </c>
      <c r="F8" s="2"/>
      <c r="G8" s="2">
        <v>28</v>
      </c>
      <c r="H8" s="10">
        <v>15.05</v>
      </c>
      <c r="I8" s="8">
        <v>64730</v>
      </c>
      <c r="J8" s="3">
        <f t="shared" si="1"/>
        <v>177.89464750493056</v>
      </c>
      <c r="K8" s="11">
        <f t="shared" si="2"/>
        <v>363.86704663616104</v>
      </c>
      <c r="L8" s="4">
        <f t="shared" si="3"/>
        <v>1.0396201332461743</v>
      </c>
      <c r="M8" s="13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SST</vt:lpstr>
      <vt:lpstr>PRT. LIVIANAS</vt:lpstr>
      <vt:lpstr>Hoja1</vt:lpstr>
      <vt:lpstr>'PRT. LIVIANAS'!Área_de_impresión</vt:lpstr>
      <vt:lpstr>SST!Área_de_impresión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2026-03-21T15:17:45Z</cp:lastPrinted>
  <dcterms:created xsi:type="dcterms:W3CDTF">1999-11-07T15:11:55Z</dcterms:created>
  <dcterms:modified xsi:type="dcterms:W3CDTF">2026-03-21T16:22:07Z</dcterms:modified>
</cp:coreProperties>
</file>