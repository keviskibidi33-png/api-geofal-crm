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crmnew\api-geofal-crm\app\templates\"/>
    </mc:Choice>
  </mc:AlternateContent>
  <xr:revisionPtr revIDLastSave="0" documentId="8_{AA935EBB-EC34-457D-968E-31AFAD50E6E0}" xr6:coauthVersionLast="47" xr6:coauthVersionMax="47" xr10:uidLastSave="{00000000-0000-0000-0000-000000000000}"/>
  <bookViews>
    <workbookView xWindow="-108" yWindow="-108" windowWidth="23256" windowHeight="12456" tabRatio="723" xr2:uid="{00000000-000D-0000-FFFF-FFFF00000000}"/>
  </bookViews>
  <sheets>
    <sheet name="PUS-PUC" sheetId="91" r:id="rId1"/>
    <sheet name="Hoja1" sheetId="49" state="hidden" r:id="rId2"/>
  </sheets>
  <definedNames>
    <definedName name="_xlnm.Print_Area" localSheetId="0">'PUS-PUC'!$A$1:$H$68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49" l="1"/>
  <c r="C3" i="49" s="1"/>
  <c r="J3" i="49"/>
  <c r="K3" i="49" s="1"/>
  <c r="L3" i="49" s="1"/>
  <c r="C4" i="49"/>
  <c r="J4" i="49"/>
  <c r="K4" i="49" s="1"/>
  <c r="L4" i="49" s="1"/>
  <c r="J5" i="49"/>
  <c r="K5" i="49" s="1"/>
  <c r="L5" i="49" s="1"/>
  <c r="C6" i="49"/>
  <c r="J6" i="49"/>
  <c r="K6" i="49" s="1"/>
  <c r="L6" i="49" s="1"/>
  <c r="J7" i="49"/>
  <c r="K7" i="49" s="1"/>
  <c r="L7" i="49" s="1"/>
  <c r="C8" i="49"/>
  <c r="J8" i="49"/>
  <c r="K8" i="49" s="1"/>
  <c r="L8" i="49" s="1"/>
  <c r="A5" i="49" l="1"/>
  <c r="B5" i="49" l="1"/>
  <c r="A7" i="49" s="1"/>
  <c r="C5" i="49" l="1"/>
  <c r="B7" i="49"/>
  <c r="C7" i="49" s="1"/>
</calcChain>
</file>

<file path=xl/sharedStrings.xml><?xml version="1.0" encoding="utf-8"?>
<sst xmlns="http://schemas.openxmlformats.org/spreadsheetml/2006/main" count="70" uniqueCount="50">
  <si>
    <t>FC</t>
  </si>
  <si>
    <t>F. MOLDEO</t>
  </si>
  <si>
    <t>DESCRIPCION</t>
  </si>
  <si>
    <t>DIA</t>
  </si>
  <si>
    <t>DIAMETRO</t>
  </si>
  <si>
    <t>AREA</t>
  </si>
  <si>
    <t>CARGA</t>
  </si>
  <si>
    <t>RESIS. CONCRETO</t>
  </si>
  <si>
    <t>% RESIS</t>
  </si>
  <si>
    <t>CODIGO</t>
  </si>
  <si>
    <t>CONCATENADOS</t>
  </si>
  <si>
    <t>TIPO DE FALLA</t>
  </si>
  <si>
    <t>E</t>
  </si>
  <si>
    <t>F</t>
  </si>
  <si>
    <t>Columnas C-9;5-3/G.H</t>
  </si>
  <si>
    <t>N° OT</t>
  </si>
  <si>
    <t>LABORATORIO DE ENSAYO DE MATERIALES</t>
  </si>
  <si>
    <t>Página 1 de 1</t>
  </si>
  <si>
    <t>MUESTRA</t>
  </si>
  <si>
    <t>FECHA</t>
  </si>
  <si>
    <t>Realizado</t>
  </si>
  <si>
    <t>Aprobado</t>
  </si>
  <si>
    <t>Revisado</t>
  </si>
  <si>
    <t>FORMATO N° F-LEM-P-SU-05.01</t>
  </si>
  <si>
    <t>METODO DE ENSAYO NORMALIZADO PARA EL CORTE DIRECTO DE SUELOS BAJO CONDICIONES CONSOLIDADAS DRENADAS</t>
  </si>
  <si>
    <t>NORMA  NTP 339.171</t>
  </si>
  <si>
    <t>Peso……. Kg</t>
  </si>
  <si>
    <t>Peso…….. Kg</t>
  </si>
  <si>
    <t>Esf. Normal…….</t>
  </si>
  <si>
    <t>Esf. Normal………</t>
  </si>
  <si>
    <t>Def. Horizonta</t>
  </si>
  <si>
    <t>Carga</t>
  </si>
  <si>
    <t>Div (0.01)</t>
  </si>
  <si>
    <t>CONTENIDO DE HUMEDAD - NTP 339.127</t>
  </si>
  <si>
    <t>N° del recipiente</t>
  </si>
  <si>
    <t>Peso del recipiente</t>
  </si>
  <si>
    <t>(g)</t>
  </si>
  <si>
    <t xml:space="preserve">peso del recipiente + Suelo humedo   </t>
  </si>
  <si>
    <t xml:space="preserve">Peso de recipiente + suelo seco     </t>
  </si>
  <si>
    <t xml:space="preserve">Peso del agua  (3)-(4)                  </t>
  </si>
  <si>
    <t xml:space="preserve">peso del suelo (4)-(2)        </t>
  </si>
  <si>
    <t xml:space="preserve">contenido de humedad (5)/(6) * 100     </t>
  </si>
  <si>
    <t>(%)</t>
  </si>
  <si>
    <t>Hora</t>
  </si>
  <si>
    <t>Deform. #1</t>
  </si>
  <si>
    <t>Deform. #2</t>
  </si>
  <si>
    <t>Deform. #3</t>
  </si>
  <si>
    <t>Versión : 02 (02-01-2021)</t>
  </si>
  <si>
    <t>WEB: www.geofal.com.pe   E-MAIL: laboratorio@geofal.com.pe / geofal.sac@gmail.com                                                                                                                         Av. Marañon 763, Los Olivos-Lima / Telefono 01 522-1851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</si>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</sst>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\ &quot;/ CO-06&quot;"/>
    <numFmt numFmtId="165" formatCode="&quot;FORMATO F-LEM-P-SU-11.01&quot;"/>
  </numFmts>
  <fonts count="22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b/>
      <u/>
      <sz val="11"/>
      <name val="Times New Roman"/>
      <family val="1"/>
    </font>
    <font>
      <b/>
      <sz val="12"/>
      <name val="Arial"/>
      <family val="2"/>
    </font>
    <font>
      <sz val="9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sz val="10"/>
      <color theme="1"/>
      <name val="Times New Roman"/>
      <family val="1"/>
    </font>
    <font>
      <b/>
      <sz val="8"/>
      <name val="Arial"/>
      <family val="2"/>
    </font>
    <font>
      <sz val="9"/>
      <color theme="1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5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</cellStyleXfs>
  <cellXfs count="102">
    <xf numFmtId="0" fontId="0" fillId="0" borderId="0" xfId="0"/>
    <xf numFmtId="0" fontId="5" fillId="0" borderId="0" xfId="0" applyFont="1" applyProtection="1">
      <protection hidden="1"/>
    </xf>
    <xf numFmtId="0" fontId="0" fillId="0" borderId="1" xfId="0" applyBorder="1"/>
    <xf numFmtId="2" fontId="7" fillId="3" borderId="1" xfId="0" applyNumberFormat="1" applyFont="1" applyFill="1" applyBorder="1" applyAlignment="1">
      <alignment vertical="center" wrapText="1"/>
    </xf>
    <xf numFmtId="10" fontId="8" fillId="3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9" fillId="0" borderId="1" xfId="0" applyFont="1" applyBorder="1" applyAlignment="1">
      <alignment horizontal="center"/>
    </xf>
    <xf numFmtId="0" fontId="13" fillId="0" borderId="1" xfId="0" applyFont="1" applyBorder="1"/>
    <xf numFmtId="16" fontId="13" fillId="0" borderId="1" xfId="0" applyNumberFormat="1" applyFont="1" applyBorder="1"/>
    <xf numFmtId="2" fontId="13" fillId="0" borderId="1" xfId="0" applyNumberFormat="1" applyFont="1" applyBorder="1"/>
    <xf numFmtId="2" fontId="14" fillId="3" borderId="1" xfId="0" applyNumberFormat="1" applyFont="1" applyFill="1" applyBorder="1" applyAlignment="1">
      <alignment vertical="center" wrapText="1"/>
    </xf>
    <xf numFmtId="164" fontId="9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6" fillId="0" borderId="0" xfId="0" applyFont="1" applyAlignment="1" applyProtection="1">
      <alignment vertical="center"/>
      <protection hidden="1"/>
    </xf>
    <xf numFmtId="0" fontId="7" fillId="0" borderId="0" xfId="0" applyFont="1" applyProtection="1">
      <protection hidden="1"/>
    </xf>
    <xf numFmtId="0" fontId="15" fillId="0" borderId="0" xfId="0" applyFont="1" applyProtection="1">
      <protection hidden="1"/>
    </xf>
    <xf numFmtId="0" fontId="4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11" fillId="3" borderId="0" xfId="0" applyFont="1" applyFill="1" applyAlignment="1">
      <alignment vertical="center"/>
    </xf>
    <xf numFmtId="0" fontId="4" fillId="2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11" fillId="3" borderId="4" xfId="0" applyFont="1" applyFill="1" applyBorder="1" applyAlignment="1">
      <alignment vertical="center"/>
    </xf>
    <xf numFmtId="0" fontId="5" fillId="0" borderId="5" xfId="0" applyFont="1" applyBorder="1" applyProtection="1">
      <protection hidden="1"/>
    </xf>
    <xf numFmtId="0" fontId="2" fillId="3" borderId="6" xfId="0" applyFont="1" applyFill="1" applyBorder="1" applyAlignment="1">
      <alignment vertical="center"/>
    </xf>
    <xf numFmtId="0" fontId="5" fillId="0" borderId="7" xfId="0" applyFont="1" applyBorder="1" applyProtection="1">
      <protection hidden="1"/>
    </xf>
    <xf numFmtId="0" fontId="4" fillId="2" borderId="8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6" fillId="0" borderId="0" xfId="0" applyFont="1" applyAlignment="1" applyProtection="1">
      <alignment horizontal="center" vertical="center"/>
      <protection hidden="1"/>
    </xf>
    <xf numFmtId="10" fontId="7" fillId="3" borderId="0" xfId="0" applyNumberFormat="1" applyFont="1" applyFill="1" applyAlignment="1">
      <alignment horizontal="center" vertical="center" wrapText="1"/>
    </xf>
    <xf numFmtId="0" fontId="5" fillId="0" borderId="14" xfId="0" applyFont="1" applyBorder="1" applyProtection="1">
      <protection hidden="1"/>
    </xf>
    <xf numFmtId="0" fontId="6" fillId="0" borderId="15" xfId="0" applyFont="1" applyBorder="1" applyAlignment="1" applyProtection="1">
      <alignment vertical="center"/>
      <protection hidden="1"/>
    </xf>
    <xf numFmtId="0" fontId="6" fillId="0" borderId="17" xfId="0" applyFont="1" applyBorder="1" applyAlignment="1" applyProtection="1">
      <alignment vertical="center"/>
      <protection hidden="1"/>
    </xf>
    <xf numFmtId="0" fontId="16" fillId="2" borderId="0" xfId="3" applyFont="1" applyFill="1" applyAlignment="1">
      <alignment horizontal="center" vertical="center"/>
    </xf>
    <xf numFmtId="0" fontId="16" fillId="2" borderId="0" xfId="3" applyFont="1" applyFill="1" applyAlignment="1">
      <alignment horizontal="right" vertical="center"/>
    </xf>
    <xf numFmtId="0" fontId="2" fillId="0" borderId="0" xfId="0" applyFont="1" applyAlignment="1" applyProtection="1">
      <alignment vertical="center"/>
      <protection hidden="1"/>
    </xf>
    <xf numFmtId="0" fontId="2" fillId="0" borderId="10" xfId="0" applyFont="1" applyBorder="1" applyAlignment="1" applyProtection="1">
      <alignment vertical="center"/>
      <protection hidden="1"/>
    </xf>
    <xf numFmtId="0" fontId="12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 wrapText="1"/>
    </xf>
    <xf numFmtId="0" fontId="2" fillId="0" borderId="12" xfId="0" applyFont="1" applyBorder="1" applyAlignment="1" applyProtection="1">
      <alignment vertical="center"/>
      <protection hidden="1"/>
    </xf>
    <xf numFmtId="0" fontId="2" fillId="0" borderId="11" xfId="0" applyFont="1" applyBorder="1" applyAlignment="1" applyProtection="1">
      <alignment vertical="center"/>
      <protection hidden="1"/>
    </xf>
    <xf numFmtId="0" fontId="2" fillId="0" borderId="13" xfId="0" applyFont="1" applyBorder="1" applyAlignment="1" applyProtection="1">
      <alignment vertical="center"/>
      <protection hidden="1"/>
    </xf>
    <xf numFmtId="0" fontId="2" fillId="0" borderId="14" xfId="0" applyFont="1" applyBorder="1" applyAlignment="1" applyProtection="1">
      <alignment vertical="center"/>
      <protection hidden="1"/>
    </xf>
    <xf numFmtId="0" fontId="5" fillId="0" borderId="15" xfId="0" applyFont="1" applyBorder="1" applyProtection="1">
      <protection hidden="1"/>
    </xf>
    <xf numFmtId="0" fontId="2" fillId="0" borderId="16" xfId="0" applyFont="1" applyBorder="1" applyAlignment="1" applyProtection="1">
      <alignment vertical="center"/>
      <protection hidden="1"/>
    </xf>
    <xf numFmtId="0" fontId="2" fillId="0" borderId="17" xfId="0" applyFont="1" applyBorder="1" applyAlignment="1" applyProtection="1">
      <alignment vertical="center"/>
      <protection hidden="1"/>
    </xf>
    <xf numFmtId="0" fontId="6" fillId="0" borderId="12" xfId="0" applyFont="1" applyBorder="1" applyAlignment="1" applyProtection="1">
      <alignment vertical="center"/>
      <protection hidden="1"/>
    </xf>
    <xf numFmtId="0" fontId="6" fillId="0" borderId="13" xfId="0" applyFont="1" applyBorder="1" applyAlignment="1" applyProtection="1">
      <alignment vertical="center"/>
      <protection hidden="1"/>
    </xf>
    <xf numFmtId="0" fontId="6" fillId="0" borderId="16" xfId="0" applyFont="1" applyBorder="1" applyAlignment="1" applyProtection="1">
      <alignment vertical="center"/>
      <protection hidden="1"/>
    </xf>
    <xf numFmtId="0" fontId="9" fillId="3" borderId="0" xfId="0" applyFont="1" applyFill="1" applyAlignment="1" applyProtection="1">
      <alignment vertical="center"/>
      <protection hidden="1"/>
    </xf>
    <xf numFmtId="0" fontId="12" fillId="0" borderId="0" xfId="0" applyFont="1" applyProtection="1">
      <protection hidden="1"/>
    </xf>
    <xf numFmtId="0" fontId="19" fillId="2" borderId="11" xfId="3" applyFont="1" applyFill="1" applyBorder="1" applyAlignment="1">
      <alignment horizontal="center" vertical="center"/>
    </xf>
    <xf numFmtId="0" fontId="15" fillId="3" borderId="0" xfId="0" applyFont="1" applyFill="1" applyAlignment="1">
      <alignment vertical="center"/>
    </xf>
    <xf numFmtId="0" fontId="15" fillId="3" borderId="19" xfId="0" applyFont="1" applyFill="1" applyBorder="1" applyAlignment="1">
      <alignment vertical="center"/>
    </xf>
    <xf numFmtId="0" fontId="12" fillId="2" borderId="11" xfId="0" applyFont="1" applyFill="1" applyBorder="1" applyAlignment="1">
      <alignment horizontal="left" vertical="center" wrapText="1"/>
    </xf>
    <xf numFmtId="0" fontId="19" fillId="2" borderId="11" xfId="3" applyFont="1" applyFill="1" applyBorder="1" applyAlignment="1">
      <alignment horizontal="right" vertical="center"/>
    </xf>
    <xf numFmtId="0" fontId="17" fillId="3" borderId="0" xfId="0" applyFont="1" applyFill="1" applyAlignment="1">
      <alignment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5" xfId="0" applyFont="1" applyFill="1" applyBorder="1" applyAlignment="1">
      <alignment horizontal="center" vertical="center"/>
    </xf>
    <xf numFmtId="0" fontId="21" fillId="3" borderId="25" xfId="0" applyFont="1" applyFill="1" applyBorder="1" applyAlignment="1">
      <alignment horizontal="center" vertical="center"/>
    </xf>
    <xf numFmtId="0" fontId="17" fillId="3" borderId="24" xfId="0" applyFont="1" applyFill="1" applyBorder="1" applyAlignment="1">
      <alignment horizontal="center" vertical="center"/>
    </xf>
    <xf numFmtId="0" fontId="21" fillId="3" borderId="24" xfId="0" applyFont="1" applyFill="1" applyBorder="1" applyAlignment="1">
      <alignment horizontal="center" vertical="center"/>
    </xf>
    <xf numFmtId="0" fontId="17" fillId="3" borderId="30" xfId="0" applyFont="1" applyFill="1" applyBorder="1" applyAlignment="1">
      <alignment horizontal="center" vertical="center"/>
    </xf>
    <xf numFmtId="0" fontId="21" fillId="3" borderId="30" xfId="0" applyFont="1" applyFill="1" applyBorder="1" applyAlignment="1">
      <alignment horizontal="center" vertical="center"/>
    </xf>
    <xf numFmtId="0" fontId="17" fillId="3" borderId="15" xfId="0" applyFont="1" applyFill="1" applyBorder="1" applyAlignment="1">
      <alignment vertical="center"/>
    </xf>
    <xf numFmtId="0" fontId="20" fillId="3" borderId="1" xfId="0" applyFont="1" applyFill="1" applyBorder="1" applyAlignment="1">
      <alignment horizontal="center" vertical="center"/>
    </xf>
    <xf numFmtId="0" fontId="17" fillId="3" borderId="31" xfId="0" applyFont="1" applyFill="1" applyBorder="1" applyAlignment="1">
      <alignment horizontal="center" vertical="center"/>
    </xf>
    <xf numFmtId="0" fontId="17" fillId="3" borderId="21" xfId="0" applyFont="1" applyFill="1" applyBorder="1" applyAlignment="1">
      <alignment vertical="center"/>
    </xf>
    <xf numFmtId="0" fontId="17" fillId="3" borderId="22" xfId="0" applyFont="1" applyFill="1" applyBorder="1" applyAlignment="1">
      <alignment vertical="center"/>
    </xf>
    <xf numFmtId="0" fontId="17" fillId="3" borderId="23" xfId="0" applyFont="1" applyFill="1" applyBorder="1" applyAlignment="1">
      <alignment horizontal="center" vertical="center"/>
    </xf>
    <xf numFmtId="0" fontId="17" fillId="3" borderId="31" xfId="0" applyFont="1" applyFill="1" applyBorder="1" applyAlignment="1">
      <alignment vertical="center"/>
    </xf>
    <xf numFmtId="0" fontId="17" fillId="3" borderId="24" xfId="0" applyFont="1" applyFill="1" applyBorder="1" applyAlignment="1">
      <alignment vertical="center"/>
    </xf>
    <xf numFmtId="0" fontId="17" fillId="3" borderId="26" xfId="0" applyFont="1" applyFill="1" applyBorder="1" applyAlignment="1">
      <alignment vertical="center"/>
    </xf>
    <xf numFmtId="0" fontId="17" fillId="3" borderId="27" xfId="0" applyFont="1" applyFill="1" applyBorder="1" applyAlignment="1">
      <alignment horizontal="center" vertical="center"/>
    </xf>
    <xf numFmtId="0" fontId="17" fillId="3" borderId="30" xfId="0" applyFont="1" applyFill="1" applyBorder="1" applyAlignment="1">
      <alignment vertical="center"/>
    </xf>
    <xf numFmtId="0" fontId="17" fillId="3" borderId="28" xfId="0" applyFont="1" applyFill="1" applyBorder="1" applyAlignment="1">
      <alignment vertical="center"/>
    </xf>
    <xf numFmtId="0" fontId="17" fillId="3" borderId="29" xfId="0" applyFont="1" applyFill="1" applyBorder="1" applyAlignment="1">
      <alignment horizontal="center" vertical="center"/>
    </xf>
    <xf numFmtId="0" fontId="17" fillId="3" borderId="32" xfId="0" applyFont="1" applyFill="1" applyBorder="1" applyAlignment="1">
      <alignment vertical="center"/>
    </xf>
    <xf numFmtId="0" fontId="12" fillId="0" borderId="0" xfId="1" applyFont="1" applyBorder="1" applyAlignment="1" applyProtection="1">
      <alignment horizontal="center" vertical="center" wrapText="1"/>
    </xf>
    <xf numFmtId="0" fontId="18" fillId="2" borderId="0" xfId="0" applyFont="1" applyFill="1" applyAlignment="1">
      <alignment horizontal="center" vertical="center"/>
    </xf>
    <xf numFmtId="165" fontId="18" fillId="0" borderId="0" xfId="0" applyNumberFormat="1" applyFont="1" applyAlignment="1" applyProtection="1">
      <alignment horizontal="center"/>
      <protection hidden="1"/>
    </xf>
    <xf numFmtId="0" fontId="16" fillId="2" borderId="18" xfId="3" applyFont="1" applyFill="1" applyBorder="1" applyAlignment="1">
      <alignment horizontal="center" vertical="center"/>
    </xf>
    <xf numFmtId="0" fontId="16" fillId="2" borderId="20" xfId="3" applyFont="1" applyFill="1" applyBorder="1" applyAlignment="1">
      <alignment horizontal="center" vertical="center"/>
    </xf>
    <xf numFmtId="0" fontId="2" fillId="0" borderId="12" xfId="0" applyFont="1" applyBorder="1" applyAlignment="1" applyProtection="1">
      <alignment horizontal="center" vertical="center" wrapText="1"/>
      <protection hidden="1"/>
    </xf>
    <xf numFmtId="0" fontId="2" fillId="0" borderId="11" xfId="0" applyFont="1" applyBorder="1" applyAlignment="1" applyProtection="1">
      <alignment horizontal="center" vertical="center" wrapText="1"/>
      <protection hidden="1"/>
    </xf>
    <xf numFmtId="0" fontId="2" fillId="0" borderId="13" xfId="0" applyFont="1" applyBorder="1" applyAlignment="1" applyProtection="1">
      <alignment horizontal="center" vertical="center" wrapText="1"/>
      <protection hidden="1"/>
    </xf>
    <xf numFmtId="0" fontId="2" fillId="0" borderId="16" xfId="0" applyFont="1" applyBorder="1" applyAlignment="1" applyProtection="1">
      <alignment horizontal="center" vertical="center" wrapText="1"/>
      <protection hidden="1"/>
    </xf>
    <xf numFmtId="0" fontId="2" fillId="0" borderId="10" xfId="0" applyFont="1" applyBorder="1" applyAlignment="1" applyProtection="1">
      <alignment horizontal="center" vertical="center" wrapText="1"/>
      <protection hidden="1"/>
    </xf>
    <xf numFmtId="0" fontId="2" fillId="0" borderId="17" xfId="0" applyFont="1" applyBorder="1" applyAlignment="1" applyProtection="1">
      <alignment horizontal="center" vertical="center" wrapText="1"/>
      <protection hidden="1"/>
    </xf>
    <xf numFmtId="0" fontId="20" fillId="3" borderId="12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17" fillId="3" borderId="18" xfId="0" applyFont="1" applyFill="1" applyBorder="1" applyAlignment="1">
      <alignment horizontal="left" vertical="center"/>
    </xf>
    <xf numFmtId="0" fontId="17" fillId="3" borderId="19" xfId="0" applyFont="1" applyFill="1" applyBorder="1" applyAlignment="1">
      <alignment horizontal="left" vertical="center"/>
    </xf>
    <xf numFmtId="0" fontId="17" fillId="3" borderId="20" xfId="0" applyFont="1" applyFill="1" applyBorder="1" applyAlignment="1">
      <alignment horizontal="left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15" xfId="0" applyFont="1" applyFill="1" applyBorder="1" applyAlignment="1">
      <alignment horizontal="center" vertical="center"/>
    </xf>
    <xf numFmtId="0" fontId="20" fillId="3" borderId="18" xfId="0" applyFont="1" applyFill="1" applyBorder="1" applyAlignment="1">
      <alignment horizontal="center" vertical="center"/>
    </xf>
    <xf numFmtId="0" fontId="20" fillId="3" borderId="19" xfId="0" applyFont="1" applyFill="1" applyBorder="1" applyAlignment="1">
      <alignment horizontal="center" vertical="center"/>
    </xf>
    <xf numFmtId="0" fontId="20" fillId="3" borderId="2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5">
    <cellStyle name="Hipervínculo" xfId="1" builtinId="8"/>
    <cellStyle name="Normal" xfId="0" builtinId="0"/>
    <cellStyle name="Normal 2" xfId="4" xr:uid="{00000000-0005-0000-0000-000002000000}"/>
    <cellStyle name="Normal 4" xfId="2" xr:uid="{00000000-0005-0000-0000-000003000000}"/>
    <cellStyle name="Normal_ENSAYOS" xfId="3" xr:uid="{00000000-0005-0000-0000-000004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66</xdr:row>
      <xdr:rowOff>121920</xdr:rowOff>
    </xdr:from>
    <xdr:to>
      <xdr:col>8</xdr:col>
      <xdr:colOff>0</xdr:colOff>
      <xdr:row>66</xdr:row>
      <xdr:rowOff>121920</xdr:rowOff>
    </xdr:to>
    <xdr:cxnSp macro="">
      <xdr:nvCxnSpPr>
        <xdr:cNvPr id="317807" name="2 Conector recto">
          <a:extLst>
            <a:ext uri="{FF2B5EF4-FFF2-40B4-BE49-F238E27FC236}">
              <a16:creationId xmlns:a16="http://schemas.microsoft.com/office/drawing/2014/main" id="{00000000-0008-0000-0000-00006FD90400}"/>
            </a:ext>
          </a:extLst>
        </xdr:cNvPr>
        <xdr:cNvCxnSpPr>
          <a:cxnSpLocks noChangeShapeType="1"/>
        </xdr:cNvCxnSpPr>
      </xdr:nvCxnSpPr>
      <xdr:spPr bwMode="auto">
        <a:xfrm flipV="1">
          <a:off x="45720" y="10485120"/>
          <a:ext cx="6728460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3</xdr:col>
      <xdr:colOff>381001</xdr:colOff>
      <xdr:row>0</xdr:row>
      <xdr:rowOff>47625</xdr:rowOff>
    </xdr:from>
    <xdr:to>
      <xdr:col>5</xdr:col>
      <xdr:colOff>47625</xdr:colOff>
      <xdr:row>4</xdr:row>
      <xdr:rowOff>152319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482222C-4888-461A-98D9-FFA5E2AF8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8876" y="47625"/>
          <a:ext cx="1495424" cy="9047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10</xdr:row>
      <xdr:rowOff>121920</xdr:rowOff>
    </xdr:from>
    <xdr:to>
      <xdr:col>8</xdr:col>
      <xdr:colOff>259080</xdr:colOff>
      <xdr:row>22</xdr:row>
      <xdr:rowOff>7620</xdr:rowOff>
    </xdr:to>
    <xdr:pic>
      <xdr:nvPicPr>
        <xdr:cNvPr id="252341" name="24 Imagen">
          <a:extLst>
            <a:ext uri="{FF2B5EF4-FFF2-40B4-BE49-F238E27FC236}">
              <a16:creationId xmlns:a16="http://schemas.microsoft.com/office/drawing/2014/main" id="{00000000-0008-0000-0100-0000B5D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2301240"/>
          <a:ext cx="6019800" cy="1897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M70"/>
  <sheetViews>
    <sheetView showGridLines="0" tabSelected="1" zoomScaleNormal="100" zoomScaleSheetLayoutView="100" workbookViewId="0">
      <selection activeCell="F62" sqref="F62:G62"/>
    </sheetView>
  </sheetViews>
  <sheetFormatPr baseColWidth="10" defaultColWidth="10.33203125" defaultRowHeight="13.8" x14ac:dyDescent="0.25"/>
  <cols>
    <col min="1" max="1" width="3.33203125" style="1" customWidth="1"/>
    <col min="2" max="7" width="13.6640625" style="1" customWidth="1"/>
    <col min="8" max="8" width="5.6640625" style="1" customWidth="1"/>
    <col min="9" max="9" width="6.44140625" style="1" customWidth="1"/>
    <col min="10" max="10" width="8" style="1" customWidth="1"/>
    <col min="11" max="12" width="10.6640625" style="1" customWidth="1"/>
    <col min="13" max="16384" width="10.33203125" style="1"/>
  </cols>
  <sheetData>
    <row r="1" spans="1:13" ht="15.75" customHeight="1" thickTop="1" x14ac:dyDescent="0.25">
      <c r="A1" s="21"/>
      <c r="B1" s="22"/>
      <c r="C1" s="23"/>
      <c r="D1" s="23"/>
      <c r="E1" s="23"/>
      <c r="F1" s="23"/>
      <c r="G1" s="23"/>
      <c r="H1" s="24"/>
    </row>
    <row r="2" spans="1:13" ht="15.75" customHeight="1" x14ac:dyDescent="0.25">
      <c r="A2" s="25"/>
      <c r="B2" s="18"/>
      <c r="C2" s="19"/>
      <c r="D2" s="19"/>
      <c r="E2" s="19"/>
      <c r="F2" s="19"/>
      <c r="G2" s="19"/>
      <c r="H2" s="26"/>
    </row>
    <row r="3" spans="1:13" ht="15.75" customHeight="1" x14ac:dyDescent="0.25">
      <c r="A3" s="25"/>
      <c r="B3" s="18"/>
      <c r="C3" s="19"/>
      <c r="D3" s="19"/>
      <c r="E3" s="19"/>
      <c r="F3" s="19"/>
      <c r="G3" s="19"/>
      <c r="H3" s="26"/>
    </row>
    <row r="4" spans="1:13" ht="15.75" customHeight="1" x14ac:dyDescent="0.25">
      <c r="A4" s="25"/>
      <c r="B4" s="18"/>
      <c r="C4" s="19"/>
      <c r="D4" s="19"/>
      <c r="E4" s="19"/>
      <c r="F4" s="19"/>
      <c r="G4" s="19"/>
      <c r="H4" s="26"/>
    </row>
    <row r="5" spans="1:13" ht="15.75" customHeight="1" thickBot="1" x14ac:dyDescent="0.3">
      <c r="A5" s="27"/>
      <c r="B5" s="20"/>
      <c r="C5" s="20"/>
      <c r="D5" s="20"/>
      <c r="E5" s="20"/>
      <c r="F5" s="20"/>
      <c r="G5" s="20"/>
      <c r="H5" s="28"/>
      <c r="M5"/>
    </row>
    <row r="6" spans="1:13" ht="10.95" customHeight="1" thickTop="1" x14ac:dyDescent="0.25">
      <c r="A6" s="17"/>
      <c r="B6" s="17"/>
      <c r="C6" s="17"/>
      <c r="D6" s="17"/>
      <c r="E6" s="17"/>
      <c r="F6" s="17"/>
      <c r="G6" s="17"/>
      <c r="H6" s="17"/>
    </row>
    <row r="7" spans="1:13" ht="15.9" customHeight="1" x14ac:dyDescent="0.25">
      <c r="A7" s="81" t="s">
        <v>16</v>
      </c>
      <c r="B7" s="81"/>
      <c r="C7" s="81"/>
      <c r="D7" s="81"/>
      <c r="E7" s="81"/>
      <c r="F7" s="81"/>
      <c r="G7" s="81"/>
      <c r="H7" s="81"/>
    </row>
    <row r="8" spans="1:13" ht="15.9" customHeight="1" x14ac:dyDescent="0.25">
      <c r="A8" s="82" t="s">
        <v>23</v>
      </c>
      <c r="B8" s="82"/>
      <c r="C8" s="82"/>
      <c r="D8" s="82"/>
      <c r="E8" s="82"/>
      <c r="F8" s="82"/>
      <c r="G8" s="82"/>
      <c r="H8" s="82"/>
    </row>
    <row r="9" spans="1:13" ht="10.95" customHeight="1" x14ac:dyDescent="0.25">
      <c r="A9" s="29"/>
      <c r="B9" s="29"/>
      <c r="C9" s="29"/>
      <c r="D9" s="29"/>
      <c r="E9" s="29"/>
      <c r="F9" s="29"/>
      <c r="G9" s="29"/>
      <c r="H9" s="29"/>
    </row>
    <row r="10" spans="1:13" ht="15.9" customHeight="1" x14ac:dyDescent="0.25">
      <c r="B10" s="83" t="s">
        <v>18</v>
      </c>
      <c r="C10" s="84"/>
      <c r="D10" s="83" t="s">
        <v>15</v>
      </c>
      <c r="E10" s="84"/>
      <c r="F10" s="83" t="s">
        <v>19</v>
      </c>
      <c r="G10" s="84"/>
      <c r="I10" s="15"/>
      <c r="J10" s="15"/>
    </row>
    <row r="11" spans="1:13" ht="15.9" customHeight="1" x14ac:dyDescent="0.25">
      <c r="B11" s="83"/>
      <c r="C11" s="84"/>
      <c r="D11" s="83"/>
      <c r="E11" s="84"/>
      <c r="F11" s="83"/>
      <c r="G11" s="84"/>
      <c r="I11" s="15"/>
      <c r="J11" s="15"/>
    </row>
    <row r="12" spans="1:13" ht="10.95" customHeight="1" x14ac:dyDescent="0.25">
      <c r="A12" s="35"/>
      <c r="B12" s="40"/>
      <c r="C12" s="40"/>
      <c r="D12" s="40"/>
      <c r="E12" s="40"/>
      <c r="F12" s="40"/>
      <c r="G12" s="40"/>
      <c r="H12" s="36"/>
      <c r="I12" s="15"/>
      <c r="J12" s="15"/>
    </row>
    <row r="13" spans="1:13" ht="30" customHeight="1" x14ac:dyDescent="0.25">
      <c r="A13" s="85" t="s">
        <v>24</v>
      </c>
      <c r="B13" s="86"/>
      <c r="C13" s="86"/>
      <c r="D13" s="86"/>
      <c r="E13" s="86"/>
      <c r="F13" s="86"/>
      <c r="G13" s="86"/>
      <c r="H13" s="87"/>
      <c r="I13" s="15"/>
      <c r="J13" s="15"/>
    </row>
    <row r="14" spans="1:13" ht="18" customHeight="1" x14ac:dyDescent="0.25">
      <c r="A14" s="88" t="s">
        <v>25</v>
      </c>
      <c r="B14" s="89"/>
      <c r="C14" s="89"/>
      <c r="D14" s="89"/>
      <c r="E14" s="89"/>
      <c r="F14" s="89"/>
      <c r="G14" s="89"/>
      <c r="H14" s="90"/>
      <c r="I14" s="15"/>
      <c r="J14" s="15"/>
    </row>
    <row r="15" spans="1:13" ht="11.25" customHeight="1" x14ac:dyDescent="0.25">
      <c r="A15" s="53"/>
      <c r="B15" s="56"/>
      <c r="C15" s="56"/>
      <c r="D15" s="56"/>
      <c r="E15" s="56"/>
      <c r="F15" s="56"/>
      <c r="G15" s="56"/>
      <c r="H15" s="57"/>
      <c r="I15" s="15"/>
      <c r="J15" s="15"/>
    </row>
    <row r="16" spans="1:13" ht="12.45" customHeight="1" x14ac:dyDescent="0.25">
      <c r="A16" s="58"/>
      <c r="B16" s="91" t="s">
        <v>26</v>
      </c>
      <c r="C16" s="92"/>
      <c r="D16" s="91" t="s">
        <v>26</v>
      </c>
      <c r="E16" s="92"/>
      <c r="F16" s="91" t="s">
        <v>27</v>
      </c>
      <c r="G16" s="92"/>
      <c r="H16" s="52"/>
      <c r="J16" s="15"/>
    </row>
    <row r="17" spans="1:11" ht="12.45" customHeight="1" x14ac:dyDescent="0.25">
      <c r="A17" s="58"/>
      <c r="B17" s="96" t="s">
        <v>28</v>
      </c>
      <c r="C17" s="97"/>
      <c r="D17" s="96" t="s">
        <v>29</v>
      </c>
      <c r="E17" s="97"/>
      <c r="F17" s="96" t="s">
        <v>29</v>
      </c>
      <c r="G17" s="97"/>
      <c r="H17" s="52"/>
      <c r="J17" s="15"/>
    </row>
    <row r="18" spans="1:11" ht="12.45" customHeight="1" x14ac:dyDescent="0.25">
      <c r="A18" s="58"/>
      <c r="B18" s="59" t="s">
        <v>30</v>
      </c>
      <c r="C18" s="59" t="s">
        <v>31</v>
      </c>
      <c r="D18" s="59" t="s">
        <v>30</v>
      </c>
      <c r="E18" s="59" t="s">
        <v>31</v>
      </c>
      <c r="F18" s="59" t="s">
        <v>30</v>
      </c>
      <c r="G18" s="59" t="s">
        <v>31</v>
      </c>
      <c r="H18" s="52"/>
      <c r="J18" s="15"/>
    </row>
    <row r="19" spans="1:11" ht="12.45" customHeight="1" x14ac:dyDescent="0.25">
      <c r="A19" s="58"/>
      <c r="B19" s="59" t="s">
        <v>32</v>
      </c>
      <c r="C19" s="59" t="s">
        <v>49</v>
      </c>
      <c r="D19" s="59" t="s">
        <v>32</v>
      </c>
      <c r="E19" s="59" t="s">
        <v>49</v>
      </c>
      <c r="F19" s="59" t="s">
        <v>32</v>
      </c>
      <c r="G19" s="59" t="s">
        <v>49</v>
      </c>
      <c r="H19" s="52"/>
      <c r="J19" s="15"/>
    </row>
    <row r="20" spans="1:11" ht="12.45" customHeight="1" x14ac:dyDescent="0.25">
      <c r="A20" s="58"/>
      <c r="B20" s="60">
        <v>0</v>
      </c>
      <c r="C20" s="61"/>
      <c r="D20" s="60">
        <v>0</v>
      </c>
      <c r="E20" s="61"/>
      <c r="F20" s="60">
        <v>0</v>
      </c>
      <c r="G20" s="61"/>
      <c r="H20" s="52"/>
      <c r="J20" s="15"/>
    </row>
    <row r="21" spans="1:11" ht="12.45" customHeight="1" x14ac:dyDescent="0.25">
      <c r="A21" s="58"/>
      <c r="B21" s="62">
        <v>3</v>
      </c>
      <c r="C21" s="63"/>
      <c r="D21" s="62">
        <v>3</v>
      </c>
      <c r="E21" s="63"/>
      <c r="F21" s="62">
        <v>3</v>
      </c>
      <c r="G21" s="63"/>
      <c r="H21" s="52"/>
      <c r="J21" s="15"/>
    </row>
    <row r="22" spans="1:11" ht="12.45" customHeight="1" x14ac:dyDescent="0.25">
      <c r="A22" s="58"/>
      <c r="B22" s="62">
        <v>6</v>
      </c>
      <c r="C22" s="63"/>
      <c r="D22" s="62">
        <v>6</v>
      </c>
      <c r="E22" s="63"/>
      <c r="F22" s="62">
        <v>6</v>
      </c>
      <c r="G22" s="63"/>
      <c r="H22" s="52"/>
      <c r="J22" s="15"/>
      <c r="K22" s="39"/>
    </row>
    <row r="23" spans="1:11" ht="12.45" customHeight="1" x14ac:dyDescent="0.25">
      <c r="A23" s="58"/>
      <c r="B23" s="62">
        <v>12</v>
      </c>
      <c r="C23" s="63"/>
      <c r="D23" s="62">
        <v>12</v>
      </c>
      <c r="E23" s="63"/>
      <c r="F23" s="62">
        <v>12</v>
      </c>
      <c r="G23" s="63"/>
      <c r="H23" s="52"/>
      <c r="J23" s="15"/>
    </row>
    <row r="24" spans="1:11" ht="12.45" customHeight="1" x14ac:dyDescent="0.25">
      <c r="A24" s="58"/>
      <c r="B24" s="62">
        <v>18</v>
      </c>
      <c r="C24" s="63"/>
      <c r="D24" s="62">
        <v>18</v>
      </c>
      <c r="E24" s="63"/>
      <c r="F24" s="62">
        <v>18</v>
      </c>
      <c r="G24" s="63"/>
      <c r="H24" s="52"/>
      <c r="I24" s="15"/>
      <c r="J24" s="30"/>
    </row>
    <row r="25" spans="1:11" ht="12.45" customHeight="1" x14ac:dyDescent="0.25">
      <c r="A25" s="58"/>
      <c r="B25" s="62">
        <v>30</v>
      </c>
      <c r="C25" s="63"/>
      <c r="D25" s="62">
        <v>30</v>
      </c>
      <c r="E25" s="63"/>
      <c r="F25" s="62">
        <v>30</v>
      </c>
      <c r="G25" s="63"/>
      <c r="H25" s="52"/>
      <c r="I25" s="15"/>
      <c r="J25" s="31"/>
    </row>
    <row r="26" spans="1:11" ht="12.45" customHeight="1" x14ac:dyDescent="0.25">
      <c r="A26" s="58"/>
      <c r="B26" s="62">
        <v>45</v>
      </c>
      <c r="C26" s="63"/>
      <c r="D26" s="62">
        <v>45</v>
      </c>
      <c r="E26" s="63"/>
      <c r="F26" s="62">
        <v>45</v>
      </c>
      <c r="G26" s="63"/>
      <c r="H26" s="52"/>
      <c r="I26" s="15"/>
      <c r="J26" s="31"/>
    </row>
    <row r="27" spans="1:11" ht="12.45" customHeight="1" x14ac:dyDescent="0.25">
      <c r="A27" s="58"/>
      <c r="B27" s="62">
        <v>60</v>
      </c>
      <c r="C27" s="63"/>
      <c r="D27" s="62">
        <v>60</v>
      </c>
      <c r="E27" s="63"/>
      <c r="F27" s="62">
        <v>60</v>
      </c>
      <c r="G27" s="63"/>
      <c r="H27" s="52"/>
      <c r="I27" s="16"/>
      <c r="J27" s="31"/>
    </row>
    <row r="28" spans="1:11" ht="12.45" customHeight="1" x14ac:dyDescent="0.25">
      <c r="A28" s="58"/>
      <c r="B28" s="62">
        <v>75</v>
      </c>
      <c r="C28" s="63"/>
      <c r="D28" s="62">
        <v>75</v>
      </c>
      <c r="E28" s="63"/>
      <c r="F28" s="62">
        <v>75</v>
      </c>
      <c r="G28" s="63"/>
      <c r="H28" s="52"/>
      <c r="I28" s="16"/>
      <c r="J28" s="31"/>
    </row>
    <row r="29" spans="1:11" ht="12.45" customHeight="1" x14ac:dyDescent="0.25">
      <c r="A29" s="58"/>
      <c r="B29" s="62">
        <v>90</v>
      </c>
      <c r="C29" s="63"/>
      <c r="D29" s="62">
        <v>90</v>
      </c>
      <c r="E29" s="63"/>
      <c r="F29" s="62">
        <v>90</v>
      </c>
      <c r="G29" s="63"/>
      <c r="H29" s="52"/>
      <c r="I29" s="16"/>
      <c r="J29" s="31"/>
    </row>
    <row r="30" spans="1:11" ht="12.45" customHeight="1" x14ac:dyDescent="0.25">
      <c r="A30" s="58"/>
      <c r="B30" s="62">
        <v>105</v>
      </c>
      <c r="C30" s="63"/>
      <c r="D30" s="62">
        <v>105</v>
      </c>
      <c r="E30" s="63"/>
      <c r="F30" s="62">
        <v>105</v>
      </c>
      <c r="G30" s="63"/>
      <c r="H30" s="52"/>
      <c r="I30" s="16"/>
      <c r="J30" s="31"/>
    </row>
    <row r="31" spans="1:11" ht="12.45" customHeight="1" x14ac:dyDescent="0.25">
      <c r="A31" s="58"/>
      <c r="B31" s="62">
        <v>120</v>
      </c>
      <c r="C31" s="63"/>
      <c r="D31" s="62">
        <v>120</v>
      </c>
      <c r="E31" s="63"/>
      <c r="F31" s="62">
        <v>120</v>
      </c>
      <c r="G31" s="63"/>
      <c r="H31" s="52"/>
      <c r="I31" s="16"/>
      <c r="J31" s="31"/>
    </row>
    <row r="32" spans="1:11" ht="12.45" customHeight="1" x14ac:dyDescent="0.25">
      <c r="A32" s="58"/>
      <c r="B32" s="62">
        <v>150</v>
      </c>
      <c r="C32" s="63"/>
      <c r="D32" s="62">
        <v>150</v>
      </c>
      <c r="E32" s="63"/>
      <c r="F32" s="62">
        <v>150</v>
      </c>
      <c r="G32" s="63"/>
      <c r="H32" s="52"/>
      <c r="I32" s="16"/>
      <c r="J32" s="31"/>
    </row>
    <row r="33" spans="1:10" ht="12.45" customHeight="1" x14ac:dyDescent="0.25">
      <c r="A33" s="58"/>
      <c r="B33" s="62">
        <v>180</v>
      </c>
      <c r="C33" s="63"/>
      <c r="D33" s="62">
        <v>180</v>
      </c>
      <c r="E33" s="63"/>
      <c r="F33" s="62">
        <v>180</v>
      </c>
      <c r="G33" s="63"/>
      <c r="H33" s="52"/>
      <c r="I33" s="16"/>
      <c r="J33" s="31"/>
    </row>
    <row r="34" spans="1:10" ht="12.45" customHeight="1" x14ac:dyDescent="0.25">
      <c r="A34" s="58"/>
      <c r="B34" s="62">
        <v>210</v>
      </c>
      <c r="C34" s="63"/>
      <c r="D34" s="62">
        <v>210</v>
      </c>
      <c r="E34" s="63"/>
      <c r="F34" s="62">
        <v>210</v>
      </c>
      <c r="G34" s="63"/>
      <c r="H34" s="52"/>
      <c r="I34" s="15"/>
      <c r="J34" s="15"/>
    </row>
    <row r="35" spans="1:10" ht="12.45" customHeight="1" x14ac:dyDescent="0.25">
      <c r="A35" s="58"/>
      <c r="B35" s="62">
        <v>240</v>
      </c>
      <c r="C35" s="63"/>
      <c r="D35" s="62">
        <v>240</v>
      </c>
      <c r="E35" s="63"/>
      <c r="F35" s="62">
        <v>240</v>
      </c>
      <c r="G35" s="63"/>
      <c r="H35" s="52"/>
      <c r="I35" s="15"/>
      <c r="J35" s="15"/>
    </row>
    <row r="36" spans="1:10" ht="12.45" customHeight="1" x14ac:dyDescent="0.25">
      <c r="A36" s="58"/>
      <c r="B36" s="62">
        <v>270</v>
      </c>
      <c r="C36" s="63"/>
      <c r="D36" s="62">
        <v>270</v>
      </c>
      <c r="E36" s="63"/>
      <c r="F36" s="62">
        <v>270</v>
      </c>
      <c r="G36" s="63"/>
      <c r="H36" s="52"/>
      <c r="I36" s="15"/>
      <c r="J36" s="15"/>
    </row>
    <row r="37" spans="1:10" ht="12.45" customHeight="1" x14ac:dyDescent="0.25">
      <c r="A37" s="58"/>
      <c r="B37" s="62">
        <v>300</v>
      </c>
      <c r="C37" s="63"/>
      <c r="D37" s="62">
        <v>300</v>
      </c>
      <c r="E37" s="63"/>
      <c r="F37" s="62">
        <v>300</v>
      </c>
      <c r="G37" s="63"/>
      <c r="H37" s="52"/>
      <c r="I37" s="15"/>
      <c r="J37" s="15"/>
    </row>
    <row r="38" spans="1:10" ht="12.45" customHeight="1" x14ac:dyDescent="0.25">
      <c r="A38" s="58"/>
      <c r="B38" s="62">
        <v>360</v>
      </c>
      <c r="C38" s="63"/>
      <c r="D38" s="62">
        <v>360</v>
      </c>
      <c r="E38" s="63"/>
      <c r="F38" s="62">
        <v>360</v>
      </c>
      <c r="G38" s="63"/>
      <c r="H38" s="52"/>
      <c r="I38" s="15"/>
      <c r="J38" s="15"/>
    </row>
    <row r="39" spans="1:10" ht="12.45" customHeight="1" x14ac:dyDescent="0.25">
      <c r="A39" s="58"/>
      <c r="B39" s="62">
        <v>420</v>
      </c>
      <c r="C39" s="63"/>
      <c r="D39" s="62">
        <v>420</v>
      </c>
      <c r="E39" s="63"/>
      <c r="F39" s="62">
        <v>420</v>
      </c>
      <c r="G39" s="63"/>
      <c r="H39" s="52"/>
      <c r="I39" s="15"/>
      <c r="J39" s="15"/>
    </row>
    <row r="40" spans="1:10" ht="12.45" customHeight="1" x14ac:dyDescent="0.25">
      <c r="A40" s="58"/>
      <c r="B40" s="62">
        <v>480</v>
      </c>
      <c r="C40" s="63"/>
      <c r="D40" s="62">
        <v>480</v>
      </c>
      <c r="E40" s="63"/>
      <c r="F40" s="62">
        <v>480</v>
      </c>
      <c r="G40" s="63"/>
      <c r="H40" s="52"/>
      <c r="I40" s="15"/>
      <c r="J40" s="15"/>
    </row>
    <row r="41" spans="1:10" ht="12.45" customHeight="1" x14ac:dyDescent="0.25">
      <c r="A41" s="58"/>
      <c r="B41" s="62">
        <v>540</v>
      </c>
      <c r="C41" s="63"/>
      <c r="D41" s="62">
        <v>540</v>
      </c>
      <c r="E41" s="63"/>
      <c r="F41" s="62">
        <v>540</v>
      </c>
      <c r="G41" s="63"/>
      <c r="H41" s="52"/>
      <c r="I41" s="15"/>
      <c r="J41" s="15"/>
    </row>
    <row r="42" spans="1:10" ht="12.45" customHeight="1" x14ac:dyDescent="0.25">
      <c r="A42" s="58"/>
      <c r="B42" s="62">
        <v>600</v>
      </c>
      <c r="C42" s="63"/>
      <c r="D42" s="62">
        <v>600</v>
      </c>
      <c r="E42" s="63"/>
      <c r="F42" s="62">
        <v>600</v>
      </c>
      <c r="G42" s="63"/>
      <c r="H42" s="52"/>
      <c r="I42" s="15"/>
      <c r="J42" s="15"/>
    </row>
    <row r="43" spans="1:10" ht="12.45" customHeight="1" x14ac:dyDescent="0.25">
      <c r="A43" s="58"/>
      <c r="B43" s="62">
        <v>660</v>
      </c>
      <c r="C43" s="63"/>
      <c r="D43" s="62">
        <v>660</v>
      </c>
      <c r="E43" s="63"/>
      <c r="F43" s="62">
        <v>660</v>
      </c>
      <c r="G43" s="63"/>
      <c r="H43" s="52"/>
      <c r="I43" s="15"/>
      <c r="J43" s="15"/>
    </row>
    <row r="44" spans="1:10" ht="12.45" customHeight="1" x14ac:dyDescent="0.25">
      <c r="A44" s="58"/>
      <c r="B44" s="64">
        <v>720</v>
      </c>
      <c r="C44" s="65"/>
      <c r="D44" s="64">
        <v>720</v>
      </c>
      <c r="E44" s="65"/>
      <c r="F44" s="64">
        <v>720</v>
      </c>
      <c r="G44" s="65"/>
      <c r="H44" s="52"/>
      <c r="I44" s="15"/>
      <c r="J44" s="15"/>
    </row>
    <row r="45" spans="1:10" ht="12.45" customHeight="1" x14ac:dyDescent="0.25">
      <c r="A45" s="66"/>
      <c r="B45" s="98" t="s">
        <v>33</v>
      </c>
      <c r="C45" s="99"/>
      <c r="D45" s="99"/>
      <c r="E45" s="99"/>
      <c r="F45" s="99"/>
      <c r="G45" s="100"/>
      <c r="H45" s="52"/>
      <c r="I45" s="15"/>
      <c r="J45" s="15"/>
    </row>
    <row r="46" spans="1:10" ht="12.45" customHeight="1" x14ac:dyDescent="0.25">
      <c r="A46" s="59">
        <v>1</v>
      </c>
      <c r="B46" s="93" t="s">
        <v>34</v>
      </c>
      <c r="C46" s="94"/>
      <c r="D46" s="95"/>
      <c r="E46" s="67"/>
      <c r="F46" s="67"/>
      <c r="G46" s="67"/>
      <c r="H46" s="52"/>
      <c r="I46" s="15"/>
      <c r="J46" s="15"/>
    </row>
    <row r="47" spans="1:10" ht="12.45" customHeight="1" x14ac:dyDescent="0.25">
      <c r="A47" s="68">
        <v>2</v>
      </c>
      <c r="B47" s="69" t="s">
        <v>35</v>
      </c>
      <c r="C47" s="70"/>
      <c r="D47" s="71" t="s">
        <v>36</v>
      </c>
      <c r="E47" s="72"/>
      <c r="F47" s="72"/>
      <c r="G47" s="72"/>
      <c r="H47" s="52"/>
      <c r="I47" s="15"/>
      <c r="J47" s="15"/>
    </row>
    <row r="48" spans="1:10" ht="12.45" customHeight="1" x14ac:dyDescent="0.25">
      <c r="A48" s="62">
        <v>3</v>
      </c>
      <c r="B48" s="73" t="s">
        <v>37</v>
      </c>
      <c r="C48" s="74"/>
      <c r="D48" s="75" t="s">
        <v>36</v>
      </c>
      <c r="E48" s="73"/>
      <c r="F48" s="73"/>
      <c r="G48" s="73"/>
      <c r="H48" s="52"/>
      <c r="I48" s="15"/>
      <c r="J48" s="15"/>
    </row>
    <row r="49" spans="1:10" ht="12.45" customHeight="1" x14ac:dyDescent="0.25">
      <c r="A49" s="62">
        <v>4</v>
      </c>
      <c r="B49" s="73" t="s">
        <v>38</v>
      </c>
      <c r="C49" s="74"/>
      <c r="D49" s="75" t="s">
        <v>36</v>
      </c>
      <c r="E49" s="73"/>
      <c r="F49" s="73"/>
      <c r="G49" s="73"/>
      <c r="H49" s="52"/>
      <c r="I49" s="15"/>
      <c r="J49" s="15"/>
    </row>
    <row r="50" spans="1:10" ht="12.45" customHeight="1" x14ac:dyDescent="0.25">
      <c r="A50" s="62">
        <v>5</v>
      </c>
      <c r="B50" s="73" t="s">
        <v>39</v>
      </c>
      <c r="C50" s="74"/>
      <c r="D50" s="75" t="s">
        <v>36</v>
      </c>
      <c r="E50" s="73"/>
      <c r="F50" s="73"/>
      <c r="G50" s="73"/>
      <c r="H50" s="52"/>
      <c r="I50" s="15"/>
      <c r="J50" s="15"/>
    </row>
    <row r="51" spans="1:10" ht="12.45" customHeight="1" x14ac:dyDescent="0.25">
      <c r="A51" s="62">
        <v>6</v>
      </c>
      <c r="B51" s="73" t="s">
        <v>40</v>
      </c>
      <c r="C51" s="74"/>
      <c r="D51" s="75" t="s">
        <v>36</v>
      </c>
      <c r="E51" s="73"/>
      <c r="F51" s="73"/>
      <c r="G51" s="73"/>
      <c r="H51" s="52"/>
      <c r="I51" s="15"/>
      <c r="J51" s="15"/>
    </row>
    <row r="52" spans="1:10" ht="12.45" customHeight="1" x14ac:dyDescent="0.25">
      <c r="A52" s="64">
        <v>7</v>
      </c>
      <c r="B52" s="76" t="s">
        <v>41</v>
      </c>
      <c r="C52" s="77"/>
      <c r="D52" s="78" t="s">
        <v>42</v>
      </c>
      <c r="E52" s="76"/>
      <c r="F52" s="76"/>
      <c r="G52" s="76"/>
      <c r="H52" s="52"/>
      <c r="I52" s="15"/>
      <c r="J52" s="15"/>
    </row>
    <row r="53" spans="1:10" ht="12.45" customHeight="1" x14ac:dyDescent="0.25">
      <c r="A53" s="58"/>
      <c r="B53" s="58"/>
      <c r="C53" s="58"/>
      <c r="D53" s="58"/>
      <c r="E53" s="58"/>
      <c r="F53" s="58"/>
      <c r="G53" s="58"/>
      <c r="H53" s="52"/>
      <c r="I53" s="15"/>
      <c r="J53" s="15"/>
    </row>
    <row r="54" spans="1:10" ht="12.45" customHeight="1" x14ac:dyDescent="0.25">
      <c r="A54" s="58"/>
      <c r="B54" s="59" t="s">
        <v>43</v>
      </c>
      <c r="C54" s="59" t="s">
        <v>44</v>
      </c>
      <c r="D54" s="59" t="s">
        <v>43</v>
      </c>
      <c r="E54" s="59" t="s">
        <v>45</v>
      </c>
      <c r="F54" s="59" t="s">
        <v>43</v>
      </c>
      <c r="G54" s="59" t="s">
        <v>46</v>
      </c>
      <c r="H54" s="52"/>
      <c r="I54" s="15"/>
      <c r="J54" s="15"/>
    </row>
    <row r="55" spans="1:10" ht="12.45" customHeight="1" x14ac:dyDescent="0.25">
      <c r="A55" s="58"/>
      <c r="B55" s="72"/>
      <c r="C55" s="72"/>
      <c r="D55" s="72"/>
      <c r="E55" s="72"/>
      <c r="F55" s="72"/>
      <c r="G55" s="72"/>
      <c r="H55" s="52"/>
      <c r="I55" s="15"/>
      <c r="J55" s="15"/>
    </row>
    <row r="56" spans="1:10" ht="12.45" customHeight="1" x14ac:dyDescent="0.25">
      <c r="A56" s="58"/>
      <c r="B56" s="73"/>
      <c r="C56" s="73"/>
      <c r="D56" s="73"/>
      <c r="E56" s="73"/>
      <c r="F56" s="73"/>
      <c r="G56" s="73"/>
      <c r="H56" s="52"/>
      <c r="I56" s="15"/>
      <c r="J56" s="15"/>
    </row>
    <row r="57" spans="1:10" ht="12.45" customHeight="1" x14ac:dyDescent="0.25">
      <c r="A57" s="58"/>
      <c r="B57" s="73"/>
      <c r="C57" s="73"/>
      <c r="D57" s="73"/>
      <c r="E57" s="73"/>
      <c r="F57" s="73"/>
      <c r="G57" s="73"/>
      <c r="H57" s="52"/>
      <c r="I57" s="15"/>
      <c r="J57" s="15"/>
    </row>
    <row r="58" spans="1:10" ht="12.45" customHeight="1" x14ac:dyDescent="0.25">
      <c r="A58" s="58"/>
      <c r="B58" s="73"/>
      <c r="C58" s="73"/>
      <c r="D58" s="73"/>
      <c r="E58" s="73"/>
      <c r="F58" s="73"/>
      <c r="G58" s="73"/>
      <c r="H58" s="52"/>
      <c r="I58" s="15"/>
      <c r="J58" s="15"/>
    </row>
    <row r="59" spans="1:10" ht="12.45" customHeight="1" x14ac:dyDescent="0.25">
      <c r="A59" s="58"/>
      <c r="B59" s="79"/>
      <c r="C59" s="79"/>
      <c r="D59" s="79"/>
      <c r="E59" s="79"/>
      <c r="F59" s="79"/>
      <c r="G59" s="79"/>
      <c r="H59" s="52"/>
      <c r="I59" s="15"/>
      <c r="J59" s="15"/>
    </row>
    <row r="60" spans="1:10" ht="11.25" customHeight="1" x14ac:dyDescent="0.25">
      <c r="A60" s="54"/>
      <c r="B60" s="55"/>
      <c r="C60" s="55"/>
      <c r="D60" s="55"/>
      <c r="E60" s="55"/>
      <c r="F60" s="55"/>
      <c r="G60" s="55"/>
      <c r="H60" s="14"/>
      <c r="I60" s="15"/>
      <c r="J60" s="15"/>
    </row>
    <row r="61" spans="1:10" ht="15.9" customHeight="1" x14ac:dyDescent="0.25">
      <c r="B61" s="41"/>
      <c r="C61" s="43"/>
      <c r="D61" s="41"/>
      <c r="E61" s="42"/>
      <c r="F61" s="48"/>
      <c r="G61" s="49"/>
      <c r="I61" s="15"/>
      <c r="J61" s="15"/>
    </row>
    <row r="62" spans="1:10" ht="15.9" customHeight="1" x14ac:dyDescent="0.25">
      <c r="B62" s="44"/>
      <c r="C62" s="45"/>
      <c r="D62" s="32"/>
      <c r="F62" s="32"/>
      <c r="G62" s="33"/>
      <c r="I62" s="15"/>
      <c r="J62" s="15"/>
    </row>
    <row r="63" spans="1:10" ht="15.9" customHeight="1" x14ac:dyDescent="0.25">
      <c r="B63" s="46"/>
      <c r="C63" s="47"/>
      <c r="D63" s="46"/>
      <c r="E63" s="38"/>
      <c r="F63" s="50"/>
      <c r="G63" s="34"/>
      <c r="I63" s="15"/>
      <c r="J63" s="15"/>
    </row>
    <row r="64" spans="1:10" ht="15.9" customHeight="1" x14ac:dyDescent="0.25">
      <c r="B64" s="83" t="s">
        <v>20</v>
      </c>
      <c r="C64" s="84"/>
      <c r="D64" s="83" t="s">
        <v>22</v>
      </c>
      <c r="E64" s="84"/>
      <c r="F64" s="83" t="s">
        <v>21</v>
      </c>
      <c r="G64" s="84"/>
      <c r="I64" s="15"/>
      <c r="J64" s="15"/>
    </row>
    <row r="65" spans="1:10" ht="15.9" customHeight="1" x14ac:dyDescent="0.25">
      <c r="A65" s="51" t="s">
        <v>17</v>
      </c>
      <c r="B65" s="37"/>
      <c r="C65" s="37"/>
      <c r="D65" s="37"/>
      <c r="E65" s="37"/>
      <c r="F65" s="37"/>
      <c r="G65" s="14"/>
      <c r="H65" s="14"/>
      <c r="I65" s="15"/>
      <c r="J65" s="15"/>
    </row>
    <row r="66" spans="1:10" ht="15.9" customHeight="1" x14ac:dyDescent="0.25">
      <c r="A66" s="51" t="s">
        <v>47</v>
      </c>
      <c r="B66" s="14"/>
      <c r="C66" s="14"/>
      <c r="D66" s="14"/>
      <c r="E66" s="14"/>
      <c r="F66" s="14"/>
      <c r="G66" s="14"/>
      <c r="H66" s="14"/>
      <c r="I66" s="15"/>
      <c r="J66" s="15"/>
    </row>
    <row r="67" spans="1:10" ht="15.9" customHeight="1" x14ac:dyDescent="0.25"/>
    <row r="68" spans="1:10" ht="30.75" customHeight="1" x14ac:dyDescent="0.25">
      <c r="A68" s="80" t="s">
        <v>48</v>
      </c>
      <c r="B68" s="80"/>
      <c r="C68" s="80"/>
      <c r="D68" s="80"/>
      <c r="E68" s="80"/>
      <c r="F68" s="80"/>
      <c r="G68" s="80"/>
      <c r="H68" s="80"/>
    </row>
    <row r="69" spans="1:10" ht="15.9" customHeight="1" x14ac:dyDescent="0.25"/>
    <row r="70" spans="1:10" ht="15.9" customHeight="1" x14ac:dyDescent="0.25"/>
  </sheetData>
  <protectedRanges>
    <protectedRange sqref="B12 B15" name="Rango3_3_1_1_1_1_1_1_1_1"/>
  </protectedRanges>
  <mergeCells count="22">
    <mergeCell ref="B46:D46"/>
    <mergeCell ref="F16:G16"/>
    <mergeCell ref="B17:C17"/>
    <mergeCell ref="D17:E17"/>
    <mergeCell ref="F17:G17"/>
    <mergeCell ref="B45:G45"/>
    <mergeCell ref="A68:H68"/>
    <mergeCell ref="A7:H7"/>
    <mergeCell ref="A8:H8"/>
    <mergeCell ref="B10:C10"/>
    <mergeCell ref="B11:C11"/>
    <mergeCell ref="D10:E10"/>
    <mergeCell ref="D11:E11"/>
    <mergeCell ref="F10:G10"/>
    <mergeCell ref="F11:G11"/>
    <mergeCell ref="B64:C64"/>
    <mergeCell ref="D64:E64"/>
    <mergeCell ref="F64:G64"/>
    <mergeCell ref="A13:H13"/>
    <mergeCell ref="A14:H14"/>
    <mergeCell ref="B16:C16"/>
    <mergeCell ref="D16:E16"/>
  </mergeCells>
  <printOptions horizontalCentered="1" verticalCentered="1"/>
  <pageMargins left="0" right="0.39370078740157483" top="0.39370078740157483" bottom="0" header="0" footer="0"/>
  <pageSetup paperSize="274" scale="8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A2:M9"/>
  <sheetViews>
    <sheetView workbookViewId="0">
      <selection activeCell="D26" sqref="D26"/>
    </sheetView>
  </sheetViews>
  <sheetFormatPr baseColWidth="10" defaultRowHeight="13.2" x14ac:dyDescent="0.25"/>
  <cols>
    <col min="1" max="2" width="10.44140625" customWidth="1"/>
    <col min="3" max="3" width="18.33203125" customWidth="1"/>
    <col min="4" max="4" width="20" customWidth="1"/>
    <col min="6" max="6" width="12.44140625" customWidth="1"/>
    <col min="11" max="11" width="17.6640625" customWidth="1"/>
    <col min="12" max="12" width="12.44140625" customWidth="1"/>
    <col min="13" max="13" width="15.44140625" customWidth="1"/>
  </cols>
  <sheetData>
    <row r="2" spans="1:13" ht="18.75" customHeight="1" x14ac:dyDescent="0.25">
      <c r="A2" s="101" t="s">
        <v>9</v>
      </c>
      <c r="B2" s="101"/>
      <c r="C2" s="6" t="s">
        <v>10</v>
      </c>
      <c r="D2" s="5" t="s">
        <v>2</v>
      </c>
      <c r="E2" s="5" t="s">
        <v>0</v>
      </c>
      <c r="F2" s="5" t="s">
        <v>1</v>
      </c>
      <c r="G2" s="5" t="s">
        <v>3</v>
      </c>
      <c r="H2" s="5" t="s">
        <v>4</v>
      </c>
      <c r="I2" s="5" t="s">
        <v>6</v>
      </c>
      <c r="J2" s="5" t="s">
        <v>5</v>
      </c>
      <c r="K2" s="5" t="s">
        <v>7</v>
      </c>
      <c r="L2" s="5" t="s">
        <v>8</v>
      </c>
      <c r="M2" s="5" t="s">
        <v>11</v>
      </c>
    </row>
    <row r="3" spans="1:13" ht="18.75" customHeight="1" x14ac:dyDescent="0.25">
      <c r="A3" s="8">
        <v>4400</v>
      </c>
      <c r="B3" s="2">
        <f>+A3+1</f>
        <v>4401</v>
      </c>
      <c r="C3" s="12" t="str">
        <f t="shared" ref="C3:C8" si="0">A3&amp;"-"&amp;B3</f>
        <v>4400-4401</v>
      </c>
      <c r="D3" s="8" t="s">
        <v>14</v>
      </c>
      <c r="E3" s="8">
        <v>350</v>
      </c>
      <c r="F3" s="9">
        <v>42347</v>
      </c>
      <c r="G3" s="2">
        <v>7</v>
      </c>
      <c r="H3" s="10">
        <v>15.05</v>
      </c>
      <c r="I3" s="8">
        <v>49900</v>
      </c>
      <c r="J3" s="3">
        <f t="shared" ref="J3:J8" si="1">H3*H3*PI()/4</f>
        <v>177.89464750493056</v>
      </c>
      <c r="K3" s="11">
        <f t="shared" ref="K3:K8" si="2">I3/J3</f>
        <v>280.50309944607505</v>
      </c>
      <c r="L3" s="4">
        <f t="shared" ref="L3:L8" si="3">+K3/E3</f>
        <v>0.80143742698878584</v>
      </c>
      <c r="M3" s="13" t="s">
        <v>12</v>
      </c>
    </row>
    <row r="4" spans="1:13" ht="18.75" customHeight="1" x14ac:dyDescent="0.25">
      <c r="A4" s="2"/>
      <c r="B4" s="2"/>
      <c r="C4" s="7" t="str">
        <f t="shared" si="0"/>
        <v>-</v>
      </c>
      <c r="D4" s="2"/>
      <c r="E4" s="8">
        <v>350</v>
      </c>
      <c r="F4" s="2"/>
      <c r="G4" s="2">
        <v>7</v>
      </c>
      <c r="H4" s="10">
        <v>15.06</v>
      </c>
      <c r="I4" s="8">
        <v>50310</v>
      </c>
      <c r="J4" s="3">
        <f t="shared" si="1"/>
        <v>178.1311308919295</v>
      </c>
      <c r="K4" s="11">
        <f t="shared" si="2"/>
        <v>282.43238421094742</v>
      </c>
      <c r="L4" s="4">
        <f t="shared" si="3"/>
        <v>0.80694966917413546</v>
      </c>
      <c r="M4" s="13" t="s">
        <v>13</v>
      </c>
    </row>
    <row r="5" spans="1:13" ht="18.75" customHeight="1" x14ac:dyDescent="0.25">
      <c r="A5" s="2">
        <f>+B3+1</f>
        <v>4402</v>
      </c>
      <c r="B5" s="2">
        <f>+A5+1</f>
        <v>4403</v>
      </c>
      <c r="C5" s="7" t="str">
        <f t="shared" si="0"/>
        <v>4402-4403</v>
      </c>
      <c r="D5" s="2"/>
      <c r="E5" s="8">
        <v>350</v>
      </c>
      <c r="F5" s="2"/>
      <c r="G5" s="2">
        <v>14</v>
      </c>
      <c r="H5" s="10">
        <v>15.04</v>
      </c>
      <c r="I5" s="8">
        <v>56450</v>
      </c>
      <c r="J5" s="3">
        <f t="shared" si="1"/>
        <v>177.65832119756422</v>
      </c>
      <c r="K5" s="11">
        <f t="shared" si="2"/>
        <v>317.74475644867209</v>
      </c>
      <c r="L5" s="4">
        <f t="shared" si="3"/>
        <v>0.9078421612819203</v>
      </c>
      <c r="M5" s="13" t="s">
        <v>13</v>
      </c>
    </row>
    <row r="6" spans="1:13" ht="18.75" customHeight="1" x14ac:dyDescent="0.25">
      <c r="A6" s="2"/>
      <c r="B6" s="2"/>
      <c r="C6" s="7" t="str">
        <f t="shared" si="0"/>
        <v>-</v>
      </c>
      <c r="D6" s="2"/>
      <c r="E6" s="8">
        <v>350</v>
      </c>
      <c r="F6" s="2"/>
      <c r="G6" s="2">
        <v>14</v>
      </c>
      <c r="H6" s="10">
        <v>15</v>
      </c>
      <c r="I6" s="8">
        <v>59630</v>
      </c>
      <c r="J6" s="3">
        <f t="shared" si="1"/>
        <v>176.71458676442586</v>
      </c>
      <c r="K6" s="11">
        <f t="shared" si="2"/>
        <v>337.43677356692336</v>
      </c>
      <c r="L6" s="4">
        <f t="shared" si="3"/>
        <v>0.96410506733406676</v>
      </c>
      <c r="M6" s="13" t="s">
        <v>13</v>
      </c>
    </row>
    <row r="7" spans="1:13" ht="18.75" customHeight="1" x14ac:dyDescent="0.25">
      <c r="A7" s="2">
        <f>+B5+1</f>
        <v>4404</v>
      </c>
      <c r="B7" s="2">
        <f>+A7+1</f>
        <v>4405</v>
      </c>
      <c r="C7" s="7" t="str">
        <f t="shared" si="0"/>
        <v>4404-4405</v>
      </c>
      <c r="D7" s="2"/>
      <c r="E7" s="8">
        <v>350</v>
      </c>
      <c r="F7" s="2"/>
      <c r="G7" s="2">
        <v>28</v>
      </c>
      <c r="H7" s="10">
        <v>15.11</v>
      </c>
      <c r="I7" s="8">
        <v>65310</v>
      </c>
      <c r="J7" s="3">
        <f t="shared" si="1"/>
        <v>179.31590402141455</v>
      </c>
      <c r="K7" s="11">
        <f t="shared" si="2"/>
        <v>364.21755424549764</v>
      </c>
      <c r="L7" s="4">
        <f t="shared" si="3"/>
        <v>1.0406215835585646</v>
      </c>
      <c r="M7" s="13" t="s">
        <v>13</v>
      </c>
    </row>
    <row r="8" spans="1:13" ht="18.75" customHeight="1" x14ac:dyDescent="0.25">
      <c r="A8" s="2"/>
      <c r="B8" s="2"/>
      <c r="C8" s="7" t="str">
        <f t="shared" si="0"/>
        <v>-</v>
      </c>
      <c r="D8" s="2"/>
      <c r="E8" s="8">
        <v>350</v>
      </c>
      <c r="F8" s="2"/>
      <c r="G8" s="2">
        <v>28</v>
      </c>
      <c r="H8" s="10">
        <v>15.05</v>
      </c>
      <c r="I8" s="8">
        <v>64730</v>
      </c>
      <c r="J8" s="3">
        <f t="shared" si="1"/>
        <v>177.89464750493056</v>
      </c>
      <c r="K8" s="11">
        <f t="shared" si="2"/>
        <v>363.86704663616104</v>
      </c>
      <c r="L8" s="4">
        <f t="shared" si="3"/>
        <v>1.0396201332461743</v>
      </c>
      <c r="M8" s="13" t="s">
        <v>12</v>
      </c>
    </row>
    <row r="9" spans="1:13" ht="15" customHeight="1" x14ac:dyDescent="0.25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PUS-PUC</vt:lpstr>
      <vt:lpstr>Hoja1</vt:lpstr>
      <vt:lpstr>'PUS-PUC'!Área_de_impresión</vt:lpstr>
    </vt:vector>
  </TitlesOfParts>
  <Company>Odebrecht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kevin skibidi</cp:lastModifiedBy>
  <cp:lastPrinted>2025-11-07T17:38:27Z</cp:lastPrinted>
  <dcterms:created xsi:type="dcterms:W3CDTF">1999-11-07T15:11:55Z</dcterms:created>
  <dcterms:modified xsi:type="dcterms:W3CDTF">2026-03-12T16:01:17Z</dcterms:modified>
</cp:coreProperties>
</file>