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E4718B04-ACA0-48E6-B903-2EF1F6C9B95A}" xr6:coauthVersionLast="47" xr6:coauthVersionMax="47" xr10:uidLastSave="{00000000-0000-0000-0000-000000000000}"/>
  <bookViews>
    <workbookView xWindow="-108" yWindow="-108" windowWidth="23256" windowHeight="12456" tabRatio="723" xr2:uid="{00000000-000D-0000-FFFF-FFFF00000000}"/>
  </bookViews>
  <sheets>
    <sheet name="ABRASION " sheetId="92" r:id="rId1"/>
    <sheet name="Hoja1" sheetId="49" state="hidden" r:id="rId2"/>
  </sheets>
  <definedNames>
    <definedName name="_xlnm.Print_Area" localSheetId="0">'ABRASION '!$A$1:$I$59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92" l="1"/>
  <c r="G36" i="92"/>
  <c r="F36" i="92"/>
  <c r="E36" i="92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<sst xmlns="http://schemas.openxmlformats.org/spreadsheetml/2006/main" count="121" uniqueCount="89">
  <si>
    <t>LABORATORIO DE ENSAYO DE MATERIALES</t>
  </si>
  <si>
    <t>ASTM C131/C131M-20</t>
  </si>
  <si>
    <t>DESCRIPCIÓN</t>
  </si>
  <si>
    <t>UND</t>
  </si>
  <si>
    <t>DATO</t>
  </si>
  <si>
    <t>Masa muestra inicial</t>
  </si>
  <si>
    <t>g</t>
  </si>
  <si>
    <t>SI</t>
  </si>
  <si>
    <t>NO</t>
  </si>
  <si>
    <t>N° revoluciones</t>
  </si>
  <si>
    <t>TAMIZ (in)</t>
  </si>
  <si>
    <t>GRADACIONES (Masa en cada tamiz, g)</t>
  </si>
  <si>
    <t>Pasante</t>
  </si>
  <si>
    <t>Retenido</t>
  </si>
  <si>
    <t>A</t>
  </si>
  <si>
    <t>B</t>
  </si>
  <si>
    <t>C</t>
  </si>
  <si>
    <t>D</t>
  </si>
  <si>
    <t>-</t>
  </si>
  <si>
    <t>Total (*)</t>
  </si>
  <si>
    <t>Gradación A</t>
  </si>
  <si>
    <t>Gradación B</t>
  </si>
  <si>
    <t>Gradación C</t>
  </si>
  <si>
    <t>Gradación D</t>
  </si>
  <si>
    <t>Numero de esferas</t>
  </si>
  <si>
    <t>a</t>
  </si>
  <si>
    <t>b</t>
  </si>
  <si>
    <t>c</t>
  </si>
  <si>
    <t>Masa final de la muestra (Lavada seca)</t>
  </si>
  <si>
    <t>d</t>
  </si>
  <si>
    <t>Masa final de la muestra (Lavada seca constante)</t>
  </si>
  <si>
    <t>e</t>
  </si>
  <si>
    <t xml:space="preserve">Pérdida por abrasión  ((a-d)/a *100)                        </t>
  </si>
  <si>
    <t>%</t>
  </si>
  <si>
    <t>Codigo Equipo utilizado</t>
  </si>
  <si>
    <t>Horno</t>
  </si>
  <si>
    <t>Máquina Los Angeles</t>
  </si>
  <si>
    <t>Nota:</t>
  </si>
  <si>
    <t xml:space="preserve">      </t>
  </si>
  <si>
    <t>Página 1 de 1</t>
  </si>
  <si>
    <t>Item</t>
  </si>
  <si>
    <t>Masa requerida de las esferas</t>
  </si>
  <si>
    <t>Masa de esferas en conjunto</t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</si>
  <si>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</si>
  <si>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</si>
  <si>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</si>
  <si>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</si>
  <si>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</si>
  <si>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</si>
  <si>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</si>
  <si>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</si>
  <si>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</si>
  <si>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</si>
  <si>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</si>
  <si>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</si>
  <si>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</si>
  <si>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E</t>
  </si>
  <si>
    <t>F</t>
  </si>
  <si>
    <t>4975 - 5025</t>
  </si>
  <si>
    <t>4555 - 4605</t>
  </si>
  <si>
    <t>3310 - 3350</t>
  </si>
  <si>
    <t>2485 - 2515</t>
  </si>
  <si>
    <t>f</t>
  </si>
  <si>
    <t>Perdida de masa por lavado ((b-d)/a)*100  (*)</t>
  </si>
  <si>
    <t>(*) la perdida por lavado no superara en mas del 0.2% de la muestra original</t>
  </si>
  <si>
    <t>Se requiere lavado despues de la prueba (colocado en maquina angeles)</t>
  </si>
  <si>
    <t>Masa de la muestra de prueba original</t>
  </si>
  <si>
    <t>Masa final de la muestra de prueba</t>
  </si>
  <si>
    <t>Masa muestra inicial seca despues del lavado</t>
  </si>
  <si>
    <t>Masa muestra inicial seca constante despues del lavado</t>
  </si>
  <si>
    <t>MUESTRA DE PRUEBA ANTES DEL FRACCIONAMIENTO</t>
  </si>
  <si>
    <t>WEB: www.geofal.com.pe   E-MAIL: laboratorio@geofal.com.pe                                                                                                                                                             Av. Marañon 763, Los Olivos-Lima / Teléfono  01 754-3070</t>
  </si>
  <si>
    <t>FORMATO N° F-LEM-P-AG-36.01</t>
  </si>
  <si>
    <t>STANDARD TEST METHOD FOR RESISTANCE TO DEGRADATION OF SMALL-SIZE COARSE AGGREGATE BY ABRASION AND IMPACT IN THE LOS ANGELES MACHINE</t>
  </si>
  <si>
    <t>Versión: 01 (03-05-2024)</t>
  </si>
  <si>
    <t>No. 4</t>
  </si>
  <si>
    <t>No. 8</t>
  </si>
  <si>
    <t>Malla No. 12</t>
  </si>
  <si>
    <t>Malla No. 4</t>
  </si>
  <si>
    <t>Balanza 1 g</t>
  </si>
  <si>
    <t>EQP-0043</t>
  </si>
  <si>
    <t>EQP-0054</t>
  </si>
  <si>
    <t>EQP-0049</t>
  </si>
  <si>
    <t>INS-0144</t>
  </si>
  <si>
    <t>INS-0053</t>
  </si>
  <si>
    <t>MUESTRA</t>
  </si>
  <si>
    <t>N° OT</t>
  </si>
  <si>
    <t>FECHA DE ENSAYO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</si>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</sst>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\L\ \-\ 0000"/>
    <numFmt numFmtId="166" formatCode="dd\-mmm\-yyyy"/>
    <numFmt numFmtId="167" formatCode="0\ &quot;/ CO-06&quot;"/>
    <numFmt numFmtId="168" formatCode="0.000"/>
    <numFmt numFmtId="169" formatCode="&quot;CERTIFICADO N°&quot;000&quot;-20 AG06&quot;"/>
    <numFmt numFmtId="170" formatCode="0.0%"/>
  </numFmts>
  <fonts count="2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i/>
      <u/>
      <sz val="11"/>
      <name val="Times New Roman"/>
      <family val="1"/>
    </font>
    <font>
      <sz val="11"/>
      <color indexed="10"/>
      <name val="Times New Roman"/>
      <family val="1"/>
    </font>
    <font>
      <sz val="11"/>
      <color rgb="FFFF0000"/>
      <name val="Times New Roman"/>
      <family val="1"/>
    </font>
    <font>
      <sz val="9"/>
      <color theme="0"/>
      <name val="Arial"/>
      <family val="2"/>
    </font>
    <font>
      <b/>
      <sz val="11"/>
      <name val="Arial"/>
      <family val="2"/>
    </font>
    <font>
      <i/>
      <sz val="8"/>
      <name val="Arial"/>
      <family val="2"/>
    </font>
    <font>
      <b/>
      <sz val="8"/>
      <color theme="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8" fillId="0" borderId="0"/>
  </cellStyleXfs>
  <cellXfs count="169">
    <xf numFmtId="0" fontId="0" fillId="0" borderId="0" xfId="0"/>
    <xf numFmtId="0" fontId="5" fillId="0" borderId="0" xfId="0" applyFont="1" applyAlignment="1" applyProtection="1">
      <alignment horizontal="left"/>
      <protection hidden="1"/>
    </xf>
    <xf numFmtId="165" fontId="5" fillId="0" borderId="0" xfId="0" applyNumberFormat="1" applyFont="1" applyAlignment="1" applyProtection="1">
      <alignment horizontal="left" vertical="center"/>
      <protection hidden="1"/>
    </xf>
    <xf numFmtId="0" fontId="5" fillId="0" borderId="0" xfId="0" applyFont="1" applyProtection="1">
      <protection hidden="1"/>
    </xf>
    <xf numFmtId="0" fontId="0" fillId="0" borderId="1" xfId="0" applyBorder="1"/>
    <xf numFmtId="2" fontId="7" fillId="3" borderId="1" xfId="0" applyNumberFormat="1" applyFont="1" applyFill="1" applyBorder="1" applyAlignment="1">
      <alignment vertical="center" wrapText="1"/>
    </xf>
    <xf numFmtId="10" fontId="8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center"/>
    </xf>
    <xf numFmtId="0" fontId="13" fillId="0" borderId="1" xfId="0" applyFont="1" applyBorder="1"/>
    <xf numFmtId="16" fontId="13" fillId="0" borderId="1" xfId="0" applyNumberFormat="1" applyFont="1" applyBorder="1"/>
    <xf numFmtId="2" fontId="13" fillId="0" borderId="1" xfId="0" applyNumberFormat="1" applyFont="1" applyBorder="1"/>
    <xf numFmtId="2" fontId="14" fillId="3" borderId="1" xfId="0" applyNumberFormat="1" applyFont="1" applyFill="1" applyBorder="1" applyAlignment="1">
      <alignment vertical="center" wrapText="1"/>
    </xf>
    <xf numFmtId="167" fontId="9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0" xfId="0" applyFont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4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5" fillId="0" borderId="5" xfId="0" applyFont="1" applyBorder="1" applyProtection="1">
      <protection hidden="1"/>
    </xf>
    <xf numFmtId="0" fontId="5" fillId="0" borderId="7" xfId="0" applyFont="1" applyBorder="1" applyProtection="1">
      <protection hidden="1"/>
    </xf>
    <xf numFmtId="0" fontId="4" fillId="2" borderId="9" xfId="0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5" fillId="2" borderId="0" xfId="3" applyFont="1" applyFill="1" applyAlignment="1">
      <alignment vertical="center"/>
    </xf>
    <xf numFmtId="0" fontId="15" fillId="2" borderId="0" xfId="3" applyFont="1" applyFill="1" applyAlignment="1">
      <alignment horizontal="center" vertical="center"/>
    </xf>
    <xf numFmtId="17" fontId="9" fillId="2" borderId="0" xfId="0" applyNumberFormat="1" applyFont="1" applyFill="1" applyAlignment="1">
      <alignment vertical="center"/>
    </xf>
    <xf numFmtId="0" fontId="9" fillId="0" borderId="0" xfId="0" applyFont="1" applyProtection="1">
      <protection hidden="1"/>
    </xf>
    <xf numFmtId="0" fontId="12" fillId="0" borderId="0" xfId="0" applyFont="1" applyProtection="1">
      <protection hidden="1"/>
    </xf>
    <xf numFmtId="0" fontId="12" fillId="2" borderId="0" xfId="4" applyFont="1" applyFill="1"/>
    <xf numFmtId="0" fontId="17" fillId="2" borderId="0" xfId="3" applyFont="1" applyFill="1" applyAlignment="1">
      <alignment vertical="center"/>
    </xf>
    <xf numFmtId="0" fontId="5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164" fontId="5" fillId="2" borderId="0" xfId="0" applyNumberFormat="1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64" fontId="19" fillId="2" borderId="0" xfId="0" applyNumberFormat="1" applyFont="1" applyFill="1" applyAlignment="1">
      <alignment horizontal="center" vertical="center"/>
    </xf>
    <xf numFmtId="164" fontId="20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168" fontId="5" fillId="2" borderId="0" xfId="0" applyNumberFormat="1" applyFont="1" applyFill="1" applyAlignment="1" applyProtection="1">
      <alignment horizontal="center" vertical="center"/>
      <protection hidden="1"/>
    </xf>
    <xf numFmtId="0" fontId="5" fillId="0" borderId="11" xfId="0" applyFont="1" applyBorder="1" applyProtection="1">
      <protection hidden="1"/>
    </xf>
    <xf numFmtId="1" fontId="4" fillId="2" borderId="0" xfId="0" quotePrefix="1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 applyProtection="1">
      <alignment horizontal="center" vertical="center"/>
      <protection hidden="1"/>
    </xf>
    <xf numFmtId="12" fontId="5" fillId="2" borderId="0" xfId="0" applyNumberFormat="1" applyFont="1" applyFill="1" applyAlignment="1" applyProtection="1">
      <alignment horizontal="center" vertical="center"/>
      <protection hidden="1"/>
    </xf>
    <xf numFmtId="1" fontId="5" fillId="2" borderId="0" xfId="0" quotePrefix="1" applyNumberFormat="1" applyFont="1" applyFill="1" applyAlignment="1">
      <alignment horizontal="center" vertical="center"/>
    </xf>
    <xf numFmtId="164" fontId="5" fillId="2" borderId="0" xfId="0" quotePrefix="1" applyNumberFormat="1" applyFont="1" applyFill="1" applyAlignment="1">
      <alignment horizontal="center" vertical="center"/>
    </xf>
    <xf numFmtId="0" fontId="9" fillId="2" borderId="0" xfId="0" applyFont="1" applyFill="1" applyAlignment="1">
      <alignment vertical="top"/>
    </xf>
    <xf numFmtId="0" fontId="9" fillId="3" borderId="0" xfId="0" applyFont="1" applyFill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9" fillId="2" borderId="0" xfId="0" applyFont="1" applyFill="1" applyAlignment="1">
      <alignment horizontal="left" vertical="center" wrapText="1"/>
    </xf>
    <xf numFmtId="0" fontId="5" fillId="0" borderId="3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5" fillId="0" borderId="8" xfId="0" applyFont="1" applyBorder="1" applyProtection="1">
      <protection hidden="1"/>
    </xf>
    <xf numFmtId="0" fontId="15" fillId="3" borderId="0" xfId="5" applyFont="1" applyFill="1" applyAlignment="1">
      <alignment horizontal="center" vertical="center"/>
    </xf>
    <xf numFmtId="0" fontId="9" fillId="3" borderId="0" xfId="5" applyFont="1" applyFill="1" applyAlignment="1" applyProtection="1">
      <alignment horizontal="center"/>
      <protection locked="0"/>
    </xf>
    <xf numFmtId="0" fontId="9" fillId="3" borderId="0" xfId="5" applyFont="1" applyFill="1" applyAlignment="1" applyProtection="1">
      <alignment horizontal="center"/>
      <protection hidden="1"/>
    </xf>
    <xf numFmtId="0" fontId="9" fillId="3" borderId="0" xfId="5" applyFont="1" applyFill="1" applyAlignment="1" applyProtection="1">
      <alignment horizontal="center" vertical="center"/>
      <protection hidden="1"/>
    </xf>
    <xf numFmtId="0" fontId="15" fillId="3" borderId="0" xfId="5" applyFont="1" applyFill="1" applyAlignment="1">
      <alignment vertical="center"/>
    </xf>
    <xf numFmtId="0" fontId="17" fillId="3" borderId="1" xfId="5" applyFont="1" applyFill="1" applyBorder="1" applyAlignment="1">
      <alignment horizontal="center" vertical="center"/>
    </xf>
    <xf numFmtId="0" fontId="12" fillId="3" borderId="1" xfId="5" applyFont="1" applyFill="1" applyBorder="1" applyAlignment="1">
      <alignment horizontal="center" vertical="center"/>
    </xf>
    <xf numFmtId="164" fontId="12" fillId="3" borderId="1" xfId="5" applyNumberFormat="1" applyFont="1" applyFill="1" applyBorder="1" applyAlignment="1" applyProtection="1">
      <alignment horizontal="center" vertical="center"/>
      <protection hidden="1"/>
    </xf>
    <xf numFmtId="164" fontId="12" fillId="3" borderId="1" xfId="5" applyNumberFormat="1" applyFont="1" applyFill="1" applyBorder="1" applyAlignment="1" applyProtection="1">
      <alignment horizontal="center" vertical="center"/>
      <protection locked="0"/>
    </xf>
    <xf numFmtId="170" fontId="17" fillId="3" borderId="1" xfId="5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Protection="1">
      <protection hidden="1"/>
    </xf>
    <xf numFmtId="3" fontId="21" fillId="3" borderId="0" xfId="5" applyNumberFormat="1" applyFont="1" applyFill="1" applyAlignment="1" applyProtection="1">
      <alignment vertical="center"/>
      <protection locked="0"/>
    </xf>
    <xf numFmtId="0" fontId="17" fillId="0" borderId="1" xfId="0" applyFont="1" applyBorder="1" applyAlignment="1" applyProtection="1">
      <alignment horizontal="center" vertical="center"/>
      <protection hidden="1"/>
    </xf>
    <xf numFmtId="0" fontId="12" fillId="3" borderId="0" xfId="5" applyFont="1" applyFill="1" applyAlignment="1">
      <alignment horizontal="center" vertical="center"/>
    </xf>
    <xf numFmtId="0" fontId="12" fillId="3" borderId="1" xfId="5" applyFont="1" applyFill="1" applyBorder="1" applyAlignment="1">
      <alignment horizontal="center" vertical="center" wrapText="1"/>
    </xf>
    <xf numFmtId="0" fontId="22" fillId="0" borderId="0" xfId="0" applyFont="1" applyProtection="1">
      <protection hidden="1"/>
    </xf>
    <xf numFmtId="0" fontId="4" fillId="2" borderId="0" xfId="0" applyFont="1" applyFill="1" applyAlignment="1">
      <alignment horizontal="center" vertical="center" wrapText="1"/>
    </xf>
    <xf numFmtId="0" fontId="12" fillId="3" borderId="1" xfId="5" applyFont="1" applyFill="1" applyBorder="1" applyAlignment="1" applyProtection="1">
      <alignment horizontal="center"/>
      <protection locked="0"/>
    </xf>
    <xf numFmtId="164" fontId="12" fillId="4" borderId="1" xfId="5" applyNumberFormat="1" applyFont="1" applyFill="1" applyBorder="1" applyAlignment="1" applyProtection="1">
      <alignment horizontal="center" vertical="center"/>
      <protection locked="0"/>
    </xf>
    <xf numFmtId="3" fontId="17" fillId="3" borderId="1" xfId="5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hidden="1"/>
    </xf>
    <xf numFmtId="3" fontId="12" fillId="3" borderId="1" xfId="5" applyNumberFormat="1" applyFont="1" applyFill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17" fillId="0" borderId="16" xfId="5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horizontal="left"/>
      <protection hidden="1"/>
    </xf>
    <xf numFmtId="3" fontId="9" fillId="3" borderId="1" xfId="5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>
      <alignment horizontal="center" vertical="center" wrapText="1"/>
    </xf>
    <xf numFmtId="0" fontId="12" fillId="3" borderId="17" xfId="5" applyFont="1" applyFill="1" applyBorder="1" applyAlignment="1">
      <alignment horizontal="left" vertical="center"/>
    </xf>
    <xf numFmtId="0" fontId="12" fillId="3" borderId="16" xfId="5" applyFont="1" applyFill="1" applyBorder="1" applyAlignment="1">
      <alignment horizontal="left" vertical="center"/>
    </xf>
    <xf numFmtId="0" fontId="12" fillId="3" borderId="20" xfId="5" applyFont="1" applyFill="1" applyBorder="1" applyAlignment="1">
      <alignment horizontal="center" vertical="center"/>
    </xf>
    <xf numFmtId="164" fontId="12" fillId="3" borderId="20" xfId="5" applyNumberFormat="1" applyFont="1" applyFill="1" applyBorder="1" applyAlignment="1" applyProtection="1">
      <alignment horizontal="center" vertical="center"/>
      <protection hidden="1"/>
    </xf>
    <xf numFmtId="0" fontId="12" fillId="3" borderId="21" xfId="5" applyFont="1" applyFill="1" applyBorder="1" applyAlignment="1">
      <alignment horizontal="left" vertical="center"/>
    </xf>
    <xf numFmtId="0" fontId="12" fillId="3" borderId="22" xfId="5" applyFont="1" applyFill="1" applyBorder="1" applyAlignment="1">
      <alignment horizontal="left" vertical="center"/>
    </xf>
    <xf numFmtId="3" fontId="12" fillId="3" borderId="19" xfId="5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Border="1" applyAlignment="1" applyProtection="1">
      <alignment horizontal="center" vertical="center"/>
      <protection hidden="1"/>
    </xf>
    <xf numFmtId="0" fontId="17" fillId="0" borderId="19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12" fillId="3" borderId="19" xfId="5" applyFont="1" applyFill="1" applyBorder="1" applyAlignment="1">
      <alignment horizontal="center" vertical="center"/>
    </xf>
    <xf numFmtId="12" fontId="5" fillId="0" borderId="0" xfId="0" applyNumberFormat="1" applyFont="1" applyProtection="1"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vertical="center" wrapText="1"/>
      <protection hidden="1"/>
    </xf>
    <xf numFmtId="0" fontId="12" fillId="0" borderId="1" xfId="0" applyFont="1" applyBorder="1" applyAlignment="1" applyProtection="1">
      <alignment horizontal="left" vertical="center" wrapText="1"/>
      <protection hidden="1"/>
    </xf>
    <xf numFmtId="0" fontId="12" fillId="0" borderId="1" xfId="0" applyFont="1" applyBorder="1" applyAlignment="1" applyProtection="1">
      <alignment horizontal="left" vertical="center"/>
      <protection hidden="1"/>
    </xf>
    <xf numFmtId="0" fontId="23" fillId="0" borderId="11" xfId="0" applyFont="1" applyBorder="1" applyProtection="1">
      <protection hidden="1"/>
    </xf>
    <xf numFmtId="0" fontId="17" fillId="3" borderId="16" xfId="5" applyFont="1" applyFill="1" applyBorder="1" applyAlignment="1">
      <alignment horizontal="center" vertical="center"/>
    </xf>
    <xf numFmtId="0" fontId="15" fillId="3" borderId="1" xfId="5" applyFont="1" applyFill="1" applyBorder="1" applyAlignment="1">
      <alignment horizontal="center" vertical="center"/>
    </xf>
    <xf numFmtId="3" fontId="15" fillId="3" borderId="1" xfId="5" applyNumberFormat="1" applyFont="1" applyFill="1" applyBorder="1" applyAlignment="1" applyProtection="1">
      <alignment horizontal="center" vertical="center"/>
      <protection locked="0"/>
    </xf>
    <xf numFmtId="0" fontId="9" fillId="3" borderId="1" xfId="5" applyFont="1" applyFill="1" applyBorder="1" applyAlignment="1">
      <alignment horizontal="center" vertical="center"/>
    </xf>
    <xf numFmtId="3" fontId="24" fillId="3" borderId="1" xfId="5" applyNumberFormat="1" applyFont="1" applyFill="1" applyBorder="1" applyAlignment="1" applyProtection="1">
      <alignment horizontal="center" vertical="center"/>
      <protection locked="0"/>
    </xf>
    <xf numFmtId="164" fontId="9" fillId="3" borderId="1" xfId="5" applyNumberFormat="1" applyFont="1" applyFill="1" applyBorder="1" applyAlignment="1" applyProtection="1">
      <alignment horizontal="center" vertical="center"/>
      <protection hidden="1"/>
    </xf>
    <xf numFmtId="0" fontId="17" fillId="3" borderId="17" xfId="5" applyFont="1" applyFill="1" applyBorder="1" applyAlignment="1">
      <alignment horizontal="center" vertical="center"/>
    </xf>
    <xf numFmtId="0" fontId="17" fillId="3" borderId="18" xfId="5" applyFont="1" applyFill="1" applyBorder="1" applyAlignment="1">
      <alignment horizontal="center" vertical="center"/>
    </xf>
    <xf numFmtId="0" fontId="17" fillId="3" borderId="16" xfId="5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/>
      <protection hidden="1"/>
    </xf>
    <xf numFmtId="0" fontId="17" fillId="3" borderId="1" xfId="5" applyFont="1" applyFill="1" applyBorder="1" applyAlignment="1">
      <alignment horizontal="center" vertical="center"/>
    </xf>
    <xf numFmtId="12" fontId="12" fillId="0" borderId="17" xfId="5" applyNumberFormat="1" applyFont="1" applyBorder="1" applyAlignment="1">
      <alignment horizontal="center" vertical="center"/>
    </xf>
    <xf numFmtId="12" fontId="12" fillId="0" borderId="16" xfId="5" applyNumberFormat="1" applyFont="1" applyBorder="1" applyAlignment="1">
      <alignment horizontal="center" vertical="center"/>
    </xf>
    <xf numFmtId="12" fontId="12" fillId="0" borderId="1" xfId="5" applyNumberFormat="1" applyFont="1" applyBorder="1" applyAlignment="1">
      <alignment horizontal="center" vertical="center"/>
    </xf>
    <xf numFmtId="12" fontId="17" fillId="3" borderId="17" xfId="5" applyNumberFormat="1" applyFont="1" applyFill="1" applyBorder="1" applyAlignment="1">
      <alignment horizontal="center" vertical="center"/>
    </xf>
    <xf numFmtId="12" fontId="17" fillId="3" borderId="16" xfId="5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69" fontId="16" fillId="3" borderId="0" xfId="0" applyNumberFormat="1" applyFont="1" applyFill="1" applyAlignment="1" applyProtection="1">
      <alignment horizontal="center"/>
      <protection hidden="1"/>
    </xf>
    <xf numFmtId="0" fontId="15" fillId="2" borderId="0" xfId="3" applyFont="1" applyFill="1" applyAlignment="1">
      <alignment horizontal="center" vertical="center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 applyProtection="1">
      <alignment horizontal="center" vertical="center" wrapText="1"/>
      <protection hidden="1"/>
    </xf>
    <xf numFmtId="0" fontId="15" fillId="0" borderId="1" xfId="0" applyFont="1" applyBorder="1" applyAlignment="1" applyProtection="1">
      <alignment horizontal="center" vertical="center" wrapText="1"/>
      <protection hidden="1"/>
    </xf>
    <xf numFmtId="166" fontId="5" fillId="0" borderId="0" xfId="0" applyNumberFormat="1" applyFont="1" applyAlignment="1" applyProtection="1">
      <alignment horizontal="left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4" fillId="2" borderId="0" xfId="0" applyFont="1" applyFill="1" applyAlignment="1">
      <alignment horizontal="center" vertical="center" wrapText="1"/>
    </xf>
    <xf numFmtId="0" fontId="17" fillId="0" borderId="17" xfId="0" applyFont="1" applyBorder="1" applyAlignment="1" applyProtection="1">
      <alignment horizontal="center" vertical="center"/>
      <protection hidden="1"/>
    </xf>
    <xf numFmtId="0" fontId="17" fillId="0" borderId="16" xfId="0" applyFont="1" applyBorder="1" applyAlignment="1" applyProtection="1">
      <alignment horizontal="center" vertical="center"/>
      <protection hidden="1"/>
    </xf>
    <xf numFmtId="0" fontId="12" fillId="3" borderId="17" xfId="5" applyFont="1" applyFill="1" applyBorder="1" applyAlignment="1">
      <alignment horizontal="left" vertical="center"/>
    </xf>
    <xf numFmtId="0" fontId="12" fillId="3" borderId="16" xfId="5" applyFont="1" applyFill="1" applyBorder="1" applyAlignment="1">
      <alignment horizontal="left" vertical="center"/>
    </xf>
    <xf numFmtId="0" fontId="12" fillId="3" borderId="17" xfId="5" applyFont="1" applyFill="1" applyBorder="1" applyAlignment="1">
      <alignment horizontal="left" vertical="center" wrapText="1"/>
    </xf>
    <xf numFmtId="0" fontId="12" fillId="3" borderId="16" xfId="5" applyFont="1" applyFill="1" applyBorder="1" applyAlignment="1">
      <alignment horizontal="left" vertical="center" wrapText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17" xfId="0" applyFont="1" applyBorder="1" applyAlignment="1" applyProtection="1">
      <alignment horizontal="center" vertical="center" wrapText="1"/>
      <protection hidden="1"/>
    </xf>
    <xf numFmtId="0" fontId="12" fillId="0" borderId="16" xfId="0" applyFont="1" applyBorder="1" applyAlignment="1" applyProtection="1">
      <alignment horizontal="center" vertical="center" wrapText="1"/>
      <protection hidden="1"/>
    </xf>
    <xf numFmtId="0" fontId="12" fillId="3" borderId="14" xfId="5" applyFont="1" applyFill="1" applyBorder="1" applyAlignment="1">
      <alignment horizontal="left" vertical="center"/>
    </xf>
    <xf numFmtId="0" fontId="12" fillId="3" borderId="15" xfId="5" applyFont="1" applyFill="1" applyBorder="1" applyAlignment="1">
      <alignment horizontal="left" vertical="center"/>
    </xf>
    <xf numFmtId="0" fontId="12" fillId="0" borderId="17" xfId="5" applyFont="1" applyBorder="1" applyAlignment="1">
      <alignment horizontal="left" vertical="center" wrapText="1"/>
    </xf>
    <xf numFmtId="0" fontId="12" fillId="0" borderId="16" xfId="5" applyFont="1" applyBorder="1" applyAlignment="1">
      <alignment horizontal="left" vertical="center" wrapText="1"/>
    </xf>
    <xf numFmtId="0" fontId="12" fillId="3" borderId="17" xfId="5" applyFont="1" applyFill="1" applyBorder="1" applyAlignment="1">
      <alignment horizontal="left" vertical="center" wrapText="1" indent="1"/>
    </xf>
    <xf numFmtId="0" fontId="12" fillId="3" borderId="16" xfId="5" applyFont="1" applyFill="1" applyBorder="1" applyAlignment="1">
      <alignment horizontal="left" vertical="center" wrapText="1" indent="1"/>
    </xf>
    <xf numFmtId="0" fontId="12" fillId="0" borderId="0" xfId="1" applyFont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/>
      <protection hidden="1"/>
    </xf>
    <xf numFmtId="0" fontId="22" fillId="0" borderId="23" xfId="0" applyFont="1" applyBorder="1" applyAlignment="1" applyProtection="1">
      <alignment horizontal="center" vertical="center" wrapText="1"/>
      <protection hidden="1"/>
    </xf>
    <xf numFmtId="0" fontId="22" fillId="0" borderId="24" xfId="0" applyFont="1" applyBorder="1" applyAlignment="1" applyProtection="1">
      <alignment horizontal="center" vertical="center" wrapText="1"/>
      <protection hidden="1"/>
    </xf>
    <xf numFmtId="0" fontId="22" fillId="0" borderId="20" xfId="0" applyFont="1" applyBorder="1" applyAlignment="1" applyProtection="1">
      <alignment horizontal="center" vertical="center" wrapText="1"/>
      <protection hidden="1"/>
    </xf>
    <xf numFmtId="0" fontId="12" fillId="0" borderId="17" xfId="0" applyFont="1" applyBorder="1" applyAlignment="1" applyProtection="1">
      <alignment horizontal="center" vertical="center"/>
      <protection hidden="1"/>
    </xf>
    <xf numFmtId="0" fontId="12" fillId="0" borderId="16" xfId="0" applyFont="1" applyBorder="1" applyAlignment="1" applyProtection="1">
      <alignment horizontal="center" vertical="center"/>
      <protection hidden="1"/>
    </xf>
    <xf numFmtId="0" fontId="9" fillId="3" borderId="1" xfId="5" applyFont="1" applyFill="1" applyBorder="1" applyAlignment="1">
      <alignment horizontal="left" vertical="center" indent="1"/>
    </xf>
    <xf numFmtId="0" fontId="9" fillId="3" borderId="1" xfId="5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/>
    </xf>
    <xf numFmtId="0" fontId="25" fillId="0" borderId="17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17" fillId="2" borderId="17" xfId="3" applyFont="1" applyFill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7" fillId="2" borderId="16" xfId="3" applyFont="1" applyFill="1" applyBorder="1" applyAlignment="1">
      <alignment vertical="center"/>
    </xf>
    <xf numFmtId="0" fontId="17" fillId="2" borderId="1" xfId="3" applyFont="1" applyFill="1" applyBorder="1" applyAlignment="1">
      <alignment vertical="center"/>
    </xf>
    <xf numFmtId="0" fontId="17" fillId="2" borderId="18" xfId="3" applyFont="1" applyFill="1" applyBorder="1" applyAlignment="1">
      <alignment horizontal="center" vertical="center"/>
    </xf>
  </cellXfs>
  <cellStyles count="6">
    <cellStyle name="Hipervínculo" xfId="1" builtinId="8"/>
    <cellStyle name="Normal" xfId="0" builtinId="0"/>
    <cellStyle name="Normal 2" xfId="4" xr:uid="{00000000-0005-0000-0000-000002000000}"/>
    <cellStyle name="Normal 4" xfId="2" xr:uid="{00000000-0005-0000-0000-000003000000}"/>
    <cellStyle name="Normal_ABG-01" xfId="5" xr:uid="{00000000-0005-0000-0000-000004000000}"/>
    <cellStyle name="Normal_ENSAYOS" xfId="3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18487</xdr:colOff>
      <xdr:row>57</xdr:row>
      <xdr:rowOff>121920</xdr:rowOff>
    </xdr:from>
    <xdr:to>
      <xdr:col>8</xdr:col>
      <xdr:colOff>767684</xdr:colOff>
      <xdr:row>57</xdr:row>
      <xdr:rowOff>121920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C54D1DB0-E6AC-4CF1-9001-351F40B3FBC8}"/>
            </a:ext>
          </a:extLst>
        </xdr:cNvPr>
        <xdr:cNvCxnSpPr>
          <a:cxnSpLocks noChangeShapeType="1"/>
        </xdr:cNvCxnSpPr>
      </xdr:nvCxnSpPr>
      <xdr:spPr bwMode="auto">
        <a:xfrm flipV="1">
          <a:off x="18487" y="11849100"/>
          <a:ext cx="7355737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428624</xdr:colOff>
      <xdr:row>52</xdr:row>
      <xdr:rowOff>142875</xdr:rowOff>
    </xdr:from>
    <xdr:to>
      <xdr:col>4</xdr:col>
      <xdr:colOff>666749</xdr:colOff>
      <xdr:row>54</xdr:row>
      <xdr:rowOff>190500</xdr:rowOff>
    </xdr:to>
    <xdr:sp macro="" textlink="">
      <xdr:nvSpPr>
        <xdr:cNvPr id="12" name="4 Rectángulo">
          <a:extLst>
            <a:ext uri="{FF2B5EF4-FFF2-40B4-BE49-F238E27FC236}">
              <a16:creationId xmlns:a16="http://schemas.microsoft.com/office/drawing/2014/main" id="{B3160061-1FCC-455B-B7E5-FE7548344B98}"/>
            </a:ext>
          </a:extLst>
        </xdr:cNvPr>
        <xdr:cNvSpPr/>
      </xdr:nvSpPr>
      <xdr:spPr>
        <a:xfrm>
          <a:off x="741044" y="10795635"/>
          <a:ext cx="2927985" cy="504825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Revisado: </a:t>
          </a:r>
        </a:p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>
    <xdr:from>
      <xdr:col>4</xdr:col>
      <xdr:colOff>790573</xdr:colOff>
      <xdr:row>52</xdr:row>
      <xdr:rowOff>142875</xdr:rowOff>
    </xdr:from>
    <xdr:to>
      <xdr:col>7</xdr:col>
      <xdr:colOff>409574</xdr:colOff>
      <xdr:row>54</xdr:row>
      <xdr:rowOff>190500</xdr:rowOff>
    </xdr:to>
    <xdr:sp macro="" textlink="">
      <xdr:nvSpPr>
        <xdr:cNvPr id="13" name="4 Rectángulo">
          <a:extLst>
            <a:ext uri="{FF2B5EF4-FFF2-40B4-BE49-F238E27FC236}">
              <a16:creationId xmlns:a16="http://schemas.microsoft.com/office/drawing/2014/main" id="{52B328FF-13D3-42F8-AF4B-972825C30F26}"/>
            </a:ext>
          </a:extLst>
        </xdr:cNvPr>
        <xdr:cNvSpPr/>
      </xdr:nvSpPr>
      <xdr:spPr>
        <a:xfrm>
          <a:off x="3792853" y="10795635"/>
          <a:ext cx="2727961" cy="504825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Aprobado: </a:t>
          </a:r>
        </a:p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 editAs="oneCell">
    <xdr:from>
      <xdr:col>0</xdr:col>
      <xdr:colOff>60961</xdr:colOff>
      <xdr:row>19</xdr:row>
      <xdr:rowOff>57150</xdr:rowOff>
    </xdr:from>
    <xdr:to>
      <xdr:col>7</xdr:col>
      <xdr:colOff>917299</xdr:colOff>
      <xdr:row>25</xdr:row>
      <xdr:rowOff>181610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F2AF5AB-DC41-4DF2-AF52-60A06EC5DE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 t="10423" b="7144"/>
        <a:stretch/>
      </xdr:blipFill>
      <xdr:spPr>
        <a:xfrm>
          <a:off x="60961" y="3768090"/>
          <a:ext cx="7096124" cy="148971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231909</xdr:colOff>
      <xdr:row>0</xdr:row>
      <xdr:rowOff>33127</xdr:rowOff>
    </xdr:from>
    <xdr:to>
      <xdr:col>5</xdr:col>
      <xdr:colOff>250296</xdr:colOff>
      <xdr:row>4</xdr:row>
      <xdr:rowOff>160348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553EAA6-A83A-4ED6-8577-702F08B1E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6083" y="33127"/>
          <a:ext cx="1360170" cy="82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1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B9B56-3B87-41EB-ACAA-FE8DA2B4FD35}">
  <sheetPr>
    <tabColor rgb="FF92D050"/>
  </sheetPr>
  <dimension ref="A1:V61"/>
  <sheetViews>
    <sheetView showGridLines="0" tabSelected="1" view="pageBreakPreview" zoomScale="115" zoomScaleNormal="120" zoomScaleSheetLayoutView="115" workbookViewId="0">
      <selection activeCell="L8" sqref="L8"/>
    </sheetView>
  </sheetViews>
  <sheetFormatPr baseColWidth="10" defaultColWidth="10.33203125" defaultRowHeight="13.8" x14ac:dyDescent="0.25"/>
  <cols>
    <col min="1" max="1" width="4.5546875" style="3" customWidth="1"/>
    <col min="2" max="2" width="19.88671875" style="3" customWidth="1"/>
    <col min="3" max="3" width="14.33203125" style="3" customWidth="1"/>
    <col min="4" max="4" width="5" style="3" customWidth="1"/>
    <col min="5" max="5" width="15.109375" style="3" customWidth="1"/>
    <col min="6" max="6" width="16.88671875" style="3" customWidth="1"/>
    <col min="7" max="8" width="15.109375" style="3" customWidth="1"/>
    <col min="9" max="9" width="3.33203125" style="3" customWidth="1"/>
    <col min="10" max="10" width="6.44140625" style="3" customWidth="1"/>
    <col min="11" max="11" width="4.109375" style="3" customWidth="1"/>
    <col min="12" max="12" width="8" style="3" customWidth="1"/>
    <col min="13" max="13" width="10.33203125" style="3"/>
    <col min="14" max="14" width="10.5546875" style="3" customWidth="1"/>
    <col min="15" max="16" width="10.33203125" style="3"/>
    <col min="17" max="17" width="16.88671875" style="3" customWidth="1"/>
    <col min="18" max="19" width="10.33203125" style="3"/>
    <col min="20" max="22" width="5.6640625" style="3" customWidth="1"/>
    <col min="23" max="16384" width="10.33203125" style="3"/>
  </cols>
  <sheetData>
    <row r="1" spans="1:21" ht="14.25" customHeight="1" thickTop="1" x14ac:dyDescent="0.25">
      <c r="A1" s="57"/>
      <c r="B1" s="22"/>
      <c r="C1" s="22"/>
      <c r="D1" s="23"/>
      <c r="E1" s="23"/>
      <c r="F1" s="23"/>
      <c r="G1" s="23"/>
      <c r="H1" s="23"/>
      <c r="I1" s="24"/>
    </row>
    <row r="2" spans="1:21" ht="14.25" customHeight="1" x14ac:dyDescent="0.25">
      <c r="A2" s="58"/>
      <c r="B2" s="19"/>
      <c r="C2" s="19"/>
      <c r="D2" s="20"/>
      <c r="E2" s="20"/>
      <c r="F2" s="20"/>
      <c r="G2" s="20"/>
      <c r="H2" s="20"/>
      <c r="I2" s="25"/>
    </row>
    <row r="3" spans="1:21" ht="14.25" customHeight="1" x14ac:dyDescent="0.25">
      <c r="A3" s="58"/>
      <c r="B3" s="19"/>
      <c r="C3" s="19"/>
      <c r="D3" s="20"/>
      <c r="E3" s="20"/>
      <c r="F3" s="20"/>
      <c r="G3" s="20"/>
      <c r="H3" s="20"/>
      <c r="I3" s="25"/>
    </row>
    <row r="4" spans="1:21" ht="12" customHeight="1" x14ac:dyDescent="0.25">
      <c r="A4" s="58"/>
      <c r="B4" s="19"/>
      <c r="C4" s="19"/>
      <c r="D4" s="20"/>
      <c r="E4" s="20"/>
      <c r="F4" s="20"/>
      <c r="G4" s="20"/>
      <c r="H4" s="20"/>
      <c r="I4" s="25"/>
    </row>
    <row r="5" spans="1:21" ht="14.25" customHeight="1" thickBot="1" x14ac:dyDescent="0.3">
      <c r="A5" s="59"/>
      <c r="B5" s="21"/>
      <c r="C5" s="21"/>
      <c r="D5" s="21"/>
      <c r="E5" s="21"/>
      <c r="F5" s="21"/>
      <c r="G5" s="21"/>
      <c r="H5" s="21"/>
      <c r="I5" s="26"/>
    </row>
    <row r="6" spans="1:21" ht="7.5" customHeight="1" thickTop="1" x14ac:dyDescent="0.25">
      <c r="B6" s="18"/>
      <c r="C6" s="18"/>
      <c r="D6" s="18"/>
      <c r="E6" s="18"/>
      <c r="F6" s="18"/>
      <c r="G6" s="18"/>
      <c r="H6" s="18"/>
      <c r="I6" s="18"/>
    </row>
    <row r="7" spans="1:21" ht="15.9" customHeight="1" x14ac:dyDescent="0.25">
      <c r="A7" s="123" t="s">
        <v>0</v>
      </c>
      <c r="B7" s="123"/>
      <c r="C7" s="123"/>
      <c r="D7" s="123"/>
      <c r="E7" s="123"/>
      <c r="F7" s="123"/>
      <c r="G7" s="123"/>
      <c r="H7" s="123"/>
      <c r="I7" s="123"/>
    </row>
    <row r="8" spans="1:21" ht="15.9" customHeight="1" x14ac:dyDescent="0.25">
      <c r="A8" s="124" t="s">
        <v>72</v>
      </c>
      <c r="B8" s="124"/>
      <c r="C8" s="124"/>
      <c r="D8" s="124"/>
      <c r="E8" s="124"/>
      <c r="F8" s="124"/>
      <c r="G8" s="124"/>
      <c r="H8" s="124"/>
      <c r="I8" s="124"/>
      <c r="Q8" s="125"/>
      <c r="R8" s="125"/>
      <c r="S8" s="125"/>
      <c r="T8" s="125"/>
      <c r="U8" s="29"/>
    </row>
    <row r="9" spans="1:21" ht="15.9" customHeight="1" x14ac:dyDescent="0.25">
      <c r="B9" s="27"/>
      <c r="C9" s="27"/>
      <c r="D9" s="27"/>
      <c r="E9" s="27"/>
      <c r="F9" s="27"/>
      <c r="G9" s="27"/>
      <c r="H9" s="27"/>
      <c r="I9" s="27"/>
      <c r="Q9" s="125"/>
      <c r="R9" s="125"/>
      <c r="S9" s="125"/>
      <c r="T9" s="125"/>
      <c r="U9" s="29"/>
    </row>
    <row r="10" spans="1:21" ht="17.399999999999999" customHeight="1" x14ac:dyDescent="0.25">
      <c r="B10" s="28"/>
      <c r="C10" s="161" t="s">
        <v>85</v>
      </c>
      <c r="D10" s="162"/>
      <c r="E10" s="164" t="s">
        <v>86</v>
      </c>
      <c r="F10" s="165" t="s">
        <v>87</v>
      </c>
      <c r="G10" s="165" t="s">
        <v>88</v>
      </c>
      <c r="I10"/>
      <c r="J10"/>
      <c r="K10"/>
      <c r="L10" s="17"/>
    </row>
    <row r="11" spans="1:21" ht="17.399999999999999" customHeight="1" x14ac:dyDescent="0.25">
      <c r="B11" s="28"/>
      <c r="C11" s="163"/>
      <c r="D11" s="168"/>
      <c r="E11" s="167"/>
      <c r="F11" s="167"/>
      <c r="G11" s="166"/>
      <c r="H11"/>
      <c r="I11"/>
      <c r="J11"/>
      <c r="K11"/>
      <c r="L11" s="17"/>
      <c r="N11" s="1"/>
      <c r="O11" s="2"/>
    </row>
    <row r="12" spans="1:21" ht="17.399999999999999" customHeight="1" x14ac:dyDescent="0.25">
      <c r="B12" s="28"/>
      <c r="C12" s="53"/>
      <c r="D12" s="53"/>
      <c r="E12" s="53"/>
      <c r="F12" s="53"/>
      <c r="G12" s="53"/>
      <c r="H12" s="53"/>
      <c r="I12" s="27"/>
      <c r="K12" s="17"/>
      <c r="L12" s="17"/>
      <c r="N12" s="131"/>
      <c r="O12" s="131"/>
    </row>
    <row r="13" spans="1:21" ht="28.5" customHeight="1" x14ac:dyDescent="0.25">
      <c r="A13" s="132" t="s">
        <v>73</v>
      </c>
      <c r="B13" s="133"/>
      <c r="C13" s="133"/>
      <c r="D13" s="133"/>
      <c r="E13" s="133"/>
      <c r="F13" s="133"/>
      <c r="G13" s="133"/>
      <c r="H13" s="133"/>
      <c r="I13" s="134"/>
      <c r="J13" s="17"/>
      <c r="K13" s="17"/>
    </row>
    <row r="14" spans="1:21" ht="15" customHeight="1" x14ac:dyDescent="0.25">
      <c r="A14" s="126" t="s">
        <v>1</v>
      </c>
      <c r="B14" s="127"/>
      <c r="C14" s="127"/>
      <c r="D14" s="127"/>
      <c r="E14" s="127"/>
      <c r="F14" s="127"/>
      <c r="G14" s="127"/>
      <c r="H14" s="127"/>
      <c r="I14" s="128"/>
      <c r="J14" s="17"/>
      <c r="K14" s="17"/>
    </row>
    <row r="15" spans="1:21" ht="3.75" customHeight="1" x14ac:dyDescent="0.25">
      <c r="A15" s="84"/>
      <c r="B15" s="84"/>
      <c r="C15" s="84"/>
      <c r="D15" s="82"/>
      <c r="E15" s="82"/>
      <c r="F15" s="84"/>
      <c r="G15" s="84"/>
      <c r="H15" s="84"/>
      <c r="I15" s="84"/>
      <c r="J15" s="17"/>
      <c r="K15" s="17"/>
    </row>
    <row r="16" spans="1:21" ht="23.25" customHeight="1" x14ac:dyDescent="0.25">
      <c r="A16" s="130" t="s">
        <v>70</v>
      </c>
      <c r="B16" s="130"/>
      <c r="C16" s="130"/>
      <c r="D16" s="106" t="s">
        <v>3</v>
      </c>
      <c r="E16" s="107" t="s">
        <v>4</v>
      </c>
      <c r="F16" s="56"/>
      <c r="G16" s="129" t="s">
        <v>65</v>
      </c>
      <c r="H16" s="129"/>
      <c r="I16" s="30"/>
      <c r="J16" s="17"/>
      <c r="K16" s="17"/>
    </row>
    <row r="17" spans="1:19" ht="18" customHeight="1" x14ac:dyDescent="0.25">
      <c r="A17" s="158" t="s">
        <v>5</v>
      </c>
      <c r="B17" s="158"/>
      <c r="C17" s="158"/>
      <c r="D17" s="108" t="s">
        <v>6</v>
      </c>
      <c r="E17" s="109"/>
      <c r="F17" s="56"/>
      <c r="G17" s="86" t="s">
        <v>7</v>
      </c>
      <c r="H17" s="86" t="s">
        <v>8</v>
      </c>
      <c r="I17" s="30"/>
      <c r="J17" s="17"/>
      <c r="K17" s="17"/>
    </row>
    <row r="18" spans="1:19" ht="18" customHeight="1" x14ac:dyDescent="0.25">
      <c r="A18" s="158" t="s">
        <v>68</v>
      </c>
      <c r="B18" s="158"/>
      <c r="C18" s="158"/>
      <c r="D18" s="108" t="s">
        <v>6</v>
      </c>
      <c r="E18" s="110"/>
      <c r="F18" s="56"/>
      <c r="G18" s="56"/>
      <c r="H18" s="56"/>
      <c r="I18" s="30"/>
      <c r="J18" s="17"/>
      <c r="K18" s="17"/>
    </row>
    <row r="19" spans="1:19" ht="21.6" customHeight="1" x14ac:dyDescent="0.25">
      <c r="A19" s="159" t="s">
        <v>69</v>
      </c>
      <c r="B19" s="159"/>
      <c r="C19" s="159"/>
      <c r="D19" s="108" t="s">
        <v>6</v>
      </c>
      <c r="E19" s="110"/>
      <c r="F19" s="56"/>
      <c r="G19" s="87" t="s">
        <v>9</v>
      </c>
      <c r="H19" s="87">
        <v>500</v>
      </c>
      <c r="I19" s="30"/>
      <c r="J19" s="17"/>
      <c r="K19" s="17"/>
    </row>
    <row r="20" spans="1:19" ht="18" customHeight="1" x14ac:dyDescent="0.25">
      <c r="B20" s="28"/>
      <c r="C20" s="56"/>
      <c r="D20" s="56"/>
      <c r="E20" s="56"/>
      <c r="F20" s="56"/>
      <c r="G20" s="56"/>
      <c r="H20" s="56"/>
      <c r="I20" s="30"/>
      <c r="J20" s="17"/>
      <c r="K20" s="17"/>
    </row>
    <row r="21" spans="1:19" ht="18" customHeight="1" x14ac:dyDescent="0.25">
      <c r="B21" s="28"/>
      <c r="C21" s="56"/>
      <c r="D21" s="56"/>
      <c r="E21" s="56"/>
      <c r="F21" s="56"/>
      <c r="G21" s="56"/>
      <c r="H21" s="56"/>
      <c r="I21" s="30"/>
      <c r="J21" s="17"/>
      <c r="K21" s="17"/>
    </row>
    <row r="22" spans="1:19" ht="18" customHeight="1" x14ac:dyDescent="0.25">
      <c r="F22" s="56"/>
      <c r="G22" s="56"/>
      <c r="H22" s="56"/>
      <c r="I22" s="30"/>
      <c r="J22" s="17"/>
      <c r="K22" s="17"/>
    </row>
    <row r="23" spans="1:19" ht="18" customHeight="1" x14ac:dyDescent="0.25">
      <c r="F23" s="56"/>
      <c r="G23" s="56"/>
      <c r="H23" s="56"/>
      <c r="I23" s="30"/>
      <c r="J23" s="17"/>
      <c r="K23" s="17"/>
    </row>
    <row r="24" spans="1:19" ht="18" customHeight="1" x14ac:dyDescent="0.25">
      <c r="F24" s="56"/>
      <c r="G24" s="56"/>
      <c r="H24" s="56"/>
      <c r="I24" s="30"/>
      <c r="J24" s="17"/>
      <c r="K24" s="17"/>
    </row>
    <row r="25" spans="1:19" ht="18" customHeight="1" x14ac:dyDescent="0.25">
      <c r="F25" s="56"/>
      <c r="G25" s="56"/>
      <c r="H25" s="56"/>
      <c r="I25" s="30"/>
      <c r="J25" s="17"/>
      <c r="K25" s="17"/>
    </row>
    <row r="26" spans="1:19" ht="19.2" customHeight="1" x14ac:dyDescent="0.25">
      <c r="B26" s="85"/>
      <c r="C26" s="56"/>
      <c r="D26" s="56"/>
      <c r="E26" s="56"/>
      <c r="F26" s="56"/>
      <c r="G26" s="56"/>
      <c r="H26" s="56"/>
      <c r="I26" s="30"/>
      <c r="J26" s="17"/>
      <c r="K26" s="17"/>
    </row>
    <row r="27" spans="1:19" ht="15" customHeight="1" x14ac:dyDescent="0.25">
      <c r="A27" s="117" t="s">
        <v>10</v>
      </c>
      <c r="B27" s="117"/>
      <c r="C27" s="117"/>
      <c r="D27" s="117"/>
      <c r="E27" s="111" t="s">
        <v>11</v>
      </c>
      <c r="F27" s="112"/>
      <c r="G27" s="112"/>
      <c r="H27" s="113"/>
      <c r="I27" s="64"/>
      <c r="J27" s="35"/>
      <c r="K27" s="32"/>
      <c r="L27" s="34"/>
      <c r="M27" s="18"/>
      <c r="N27" s="18"/>
      <c r="O27" s="35"/>
      <c r="P27" s="35"/>
      <c r="Q27" s="35"/>
      <c r="R27" s="114"/>
      <c r="S27" s="114"/>
    </row>
    <row r="28" spans="1:19" ht="15" customHeight="1" x14ac:dyDescent="0.25">
      <c r="A28" s="117" t="s">
        <v>12</v>
      </c>
      <c r="B28" s="117"/>
      <c r="C28" s="121" t="s">
        <v>13</v>
      </c>
      <c r="D28" s="122"/>
      <c r="E28" s="65" t="s">
        <v>14</v>
      </c>
      <c r="F28" s="65" t="s">
        <v>15</v>
      </c>
      <c r="G28" s="105" t="s">
        <v>16</v>
      </c>
      <c r="H28" s="105" t="s">
        <v>17</v>
      </c>
      <c r="I28" s="60"/>
      <c r="J28" s="35"/>
      <c r="K28" s="118"/>
      <c r="L28" s="119"/>
      <c r="M28" s="35"/>
      <c r="O28" s="40"/>
      <c r="Q28" s="43"/>
      <c r="R28" s="41"/>
    </row>
    <row r="29" spans="1:19" ht="18" customHeight="1" x14ac:dyDescent="0.25">
      <c r="A29" s="120">
        <v>1.5</v>
      </c>
      <c r="B29" s="120"/>
      <c r="C29" s="116">
        <v>1</v>
      </c>
      <c r="D29" s="116"/>
      <c r="E29" s="78"/>
      <c r="F29" s="77" t="s">
        <v>18</v>
      </c>
      <c r="G29" s="105" t="s">
        <v>18</v>
      </c>
      <c r="H29" s="105" t="s">
        <v>18</v>
      </c>
      <c r="I29" s="61"/>
      <c r="J29" s="35"/>
      <c r="K29" s="32"/>
      <c r="L29" s="34"/>
      <c r="M29" s="35"/>
      <c r="O29" s="37"/>
      <c r="Q29" s="43"/>
      <c r="R29" s="41"/>
    </row>
    <row r="30" spans="1:19" ht="18" customHeight="1" x14ac:dyDescent="0.25">
      <c r="A30" s="120">
        <v>1</v>
      </c>
      <c r="B30" s="120"/>
      <c r="C30" s="120">
        <v>0.75</v>
      </c>
      <c r="D30" s="120"/>
      <c r="E30" s="78"/>
      <c r="F30" s="77" t="s">
        <v>18</v>
      </c>
      <c r="G30" s="105" t="s">
        <v>18</v>
      </c>
      <c r="H30" s="105" t="s">
        <v>18</v>
      </c>
      <c r="I30" s="61"/>
      <c r="J30" s="44"/>
      <c r="K30" s="32"/>
      <c r="L30" s="34"/>
      <c r="M30" s="48"/>
      <c r="N30" s="44"/>
      <c r="O30" s="44"/>
      <c r="P30" s="44"/>
      <c r="Q30" s="43"/>
      <c r="R30" s="42"/>
    </row>
    <row r="31" spans="1:19" ht="18" customHeight="1" x14ac:dyDescent="0.25">
      <c r="A31" s="120">
        <v>0.75</v>
      </c>
      <c r="B31" s="120"/>
      <c r="C31" s="120">
        <v>0.5</v>
      </c>
      <c r="D31" s="120"/>
      <c r="E31" s="78"/>
      <c r="F31" s="78"/>
      <c r="G31" s="77" t="s">
        <v>18</v>
      </c>
      <c r="H31" s="77" t="s">
        <v>18</v>
      </c>
      <c r="I31" s="61"/>
      <c r="J31" s="44"/>
      <c r="K31" s="32"/>
      <c r="L31" s="34"/>
      <c r="M31" s="44"/>
      <c r="N31" s="44"/>
      <c r="O31" s="44"/>
      <c r="P31" s="44"/>
      <c r="Q31" s="43"/>
      <c r="R31" s="42"/>
    </row>
    <row r="32" spans="1:19" ht="18" customHeight="1" x14ac:dyDescent="0.25">
      <c r="A32" s="120">
        <v>0.5</v>
      </c>
      <c r="B32" s="120"/>
      <c r="C32" s="120">
        <v>0.375</v>
      </c>
      <c r="D32" s="120"/>
      <c r="E32" s="78"/>
      <c r="F32" s="78"/>
      <c r="G32" s="77" t="s">
        <v>18</v>
      </c>
      <c r="H32" s="77" t="s">
        <v>18</v>
      </c>
      <c r="I32" s="61"/>
      <c r="J32" s="44"/>
      <c r="K32" s="32"/>
      <c r="L32" s="34"/>
      <c r="M32" s="44"/>
      <c r="N32" s="44"/>
      <c r="O32" s="44"/>
      <c r="P32" s="44"/>
      <c r="Q32" s="43"/>
      <c r="R32" s="42"/>
    </row>
    <row r="33" spans="1:22" ht="18" customHeight="1" x14ac:dyDescent="0.25">
      <c r="A33" s="120">
        <v>0.375</v>
      </c>
      <c r="B33" s="120"/>
      <c r="C33" s="120">
        <v>0.25</v>
      </c>
      <c r="D33" s="120"/>
      <c r="E33" s="77" t="s">
        <v>18</v>
      </c>
      <c r="F33" s="77" t="s">
        <v>18</v>
      </c>
      <c r="G33" s="78"/>
      <c r="H33" s="83"/>
      <c r="I33" s="61"/>
      <c r="J33" s="44"/>
      <c r="K33" s="32"/>
      <c r="L33" s="34"/>
      <c r="M33" s="44"/>
      <c r="N33" s="44"/>
      <c r="O33" s="44"/>
      <c r="P33" s="44"/>
      <c r="Q33" s="43"/>
      <c r="R33" s="42"/>
    </row>
    <row r="34" spans="1:22" ht="18" customHeight="1" x14ac:dyDescent="0.25">
      <c r="A34" s="120">
        <v>0.25</v>
      </c>
      <c r="B34" s="120"/>
      <c r="C34" s="120" t="s">
        <v>75</v>
      </c>
      <c r="D34" s="120"/>
      <c r="E34" s="77" t="s">
        <v>18</v>
      </c>
      <c r="F34" s="77" t="s">
        <v>18</v>
      </c>
      <c r="G34" s="78"/>
      <c r="H34" s="83" t="s">
        <v>18</v>
      </c>
      <c r="I34" s="61"/>
      <c r="J34" s="44"/>
      <c r="K34" s="32"/>
      <c r="L34" s="34"/>
      <c r="M34" s="44"/>
      <c r="N34" s="44"/>
      <c r="O34" s="44"/>
      <c r="P34" s="44"/>
      <c r="Q34" s="44"/>
      <c r="R34" s="44"/>
      <c r="S34" s="44"/>
    </row>
    <row r="35" spans="1:22" ht="18" customHeight="1" x14ac:dyDescent="0.25">
      <c r="A35" s="120" t="s">
        <v>75</v>
      </c>
      <c r="B35" s="120"/>
      <c r="C35" s="120" t="s">
        <v>76</v>
      </c>
      <c r="D35" s="120"/>
      <c r="E35" s="77" t="s">
        <v>18</v>
      </c>
      <c r="F35" s="77" t="s">
        <v>18</v>
      </c>
      <c r="G35" s="77" t="s">
        <v>18</v>
      </c>
      <c r="H35" s="78"/>
      <c r="I35" s="61"/>
      <c r="J35" s="36"/>
      <c r="K35" s="32"/>
      <c r="L35" s="34"/>
      <c r="M35" s="115"/>
      <c r="N35" s="115"/>
      <c r="O35" s="115"/>
      <c r="P35" s="48"/>
      <c r="Q35" s="48"/>
      <c r="R35" s="48"/>
      <c r="S35" s="48"/>
      <c r="T35" s="135"/>
      <c r="U35" s="135"/>
      <c r="V35" s="135"/>
    </row>
    <row r="36" spans="1:22" ht="19.5" customHeight="1" x14ac:dyDescent="0.25">
      <c r="A36" s="116" t="s">
        <v>19</v>
      </c>
      <c r="B36" s="116"/>
      <c r="C36" s="116"/>
      <c r="D36" s="116"/>
      <c r="E36" s="68">
        <f>SUM(E29:E32)</f>
        <v>0</v>
      </c>
      <c r="F36" s="68">
        <f>SUM(F31:F32)</f>
        <v>0</v>
      </c>
      <c r="G36" s="68">
        <f>SUM(G33:G34)</f>
        <v>0</v>
      </c>
      <c r="H36" s="68">
        <f>+H35</f>
        <v>0</v>
      </c>
      <c r="I36" s="61"/>
      <c r="J36" s="36"/>
      <c r="K36" s="32"/>
      <c r="L36" s="34"/>
      <c r="N36" s="48"/>
      <c r="O36" s="48"/>
      <c r="P36" s="48"/>
      <c r="Q36" s="48"/>
      <c r="R36" s="48"/>
      <c r="S36" s="48"/>
      <c r="T36" s="76"/>
      <c r="U36" s="76"/>
      <c r="V36" s="76"/>
    </row>
    <row r="37" spans="1:22" ht="6" customHeight="1" x14ac:dyDescent="0.25">
      <c r="B37" s="32"/>
      <c r="C37" s="73"/>
      <c r="D37" s="71"/>
      <c r="E37" s="71"/>
      <c r="F37" s="71"/>
      <c r="G37" s="71"/>
      <c r="H37" s="71"/>
      <c r="I37" s="61"/>
      <c r="J37" s="37"/>
      <c r="K37" s="32"/>
      <c r="L37" s="34"/>
      <c r="M37" s="49"/>
      <c r="O37" s="45"/>
      <c r="P37" s="40"/>
      <c r="Q37" s="37"/>
      <c r="R37" s="37"/>
      <c r="S37" s="37"/>
      <c r="T37" s="37"/>
      <c r="U37" s="37"/>
      <c r="V37" s="37"/>
    </row>
    <row r="38" spans="1:22" ht="15" customHeight="1" x14ac:dyDescent="0.25">
      <c r="A38" s="72" t="s">
        <v>40</v>
      </c>
      <c r="B38" s="136" t="s">
        <v>2</v>
      </c>
      <c r="C38" s="137"/>
      <c r="D38" s="65" t="s">
        <v>3</v>
      </c>
      <c r="E38" s="79" t="s">
        <v>20</v>
      </c>
      <c r="F38" s="79" t="s">
        <v>21</v>
      </c>
      <c r="G38" s="79" t="s">
        <v>22</v>
      </c>
      <c r="H38" s="79" t="s">
        <v>23</v>
      </c>
      <c r="I38" s="61"/>
      <c r="J38" s="38"/>
      <c r="K38" s="32"/>
      <c r="L38" s="34"/>
      <c r="M38" s="50"/>
      <c r="O38" s="45"/>
      <c r="P38" s="40"/>
      <c r="Q38" s="37"/>
      <c r="R38" s="37"/>
      <c r="S38" s="37"/>
      <c r="T38" s="36"/>
      <c r="U38" s="36"/>
      <c r="V38" s="36"/>
    </row>
    <row r="39" spans="1:22" ht="15" customHeight="1" x14ac:dyDescent="0.25">
      <c r="A39" s="72">
        <v>1</v>
      </c>
      <c r="B39" s="138" t="s">
        <v>24</v>
      </c>
      <c r="C39" s="139"/>
      <c r="D39" s="65"/>
      <c r="E39" s="81">
        <v>12</v>
      </c>
      <c r="F39" s="81">
        <v>11</v>
      </c>
      <c r="G39" s="81">
        <v>8</v>
      </c>
      <c r="H39" s="81">
        <v>6</v>
      </c>
      <c r="I39" s="61"/>
      <c r="J39" s="38"/>
      <c r="K39" s="32"/>
      <c r="L39" s="34"/>
      <c r="M39" s="50"/>
      <c r="O39" s="45"/>
      <c r="P39" s="40"/>
      <c r="Q39" s="37"/>
      <c r="R39" s="37"/>
      <c r="S39" s="37"/>
      <c r="T39" s="36"/>
      <c r="U39" s="36"/>
      <c r="V39" s="36"/>
    </row>
    <row r="40" spans="1:22" ht="19.95" customHeight="1" x14ac:dyDescent="0.25">
      <c r="A40" s="72">
        <v>2</v>
      </c>
      <c r="B40" s="88" t="s">
        <v>41</v>
      </c>
      <c r="C40" s="89"/>
      <c r="D40" s="66" t="s">
        <v>6</v>
      </c>
      <c r="E40" s="81" t="s">
        <v>58</v>
      </c>
      <c r="F40" s="81" t="s">
        <v>59</v>
      </c>
      <c r="G40" s="81" t="s">
        <v>60</v>
      </c>
      <c r="H40" s="81" t="s">
        <v>61</v>
      </c>
      <c r="I40" s="61"/>
      <c r="J40" s="38"/>
      <c r="K40" s="32"/>
      <c r="L40" s="34"/>
      <c r="M40" s="50"/>
      <c r="O40" s="45"/>
      <c r="P40" s="40"/>
      <c r="Q40" s="37"/>
      <c r="R40" s="37"/>
      <c r="S40" s="37"/>
      <c r="T40" s="36"/>
      <c r="U40" s="36"/>
      <c r="V40" s="36"/>
    </row>
    <row r="41" spans="1:22" ht="19.95" customHeight="1" thickBot="1" x14ac:dyDescent="0.3">
      <c r="A41" s="96">
        <v>3</v>
      </c>
      <c r="B41" s="92" t="s">
        <v>42</v>
      </c>
      <c r="C41" s="93"/>
      <c r="D41" s="98" t="s">
        <v>6</v>
      </c>
      <c r="E41" s="94"/>
      <c r="F41" s="94"/>
      <c r="G41" s="94"/>
      <c r="H41" s="94"/>
      <c r="I41" s="61"/>
      <c r="J41" s="38"/>
      <c r="K41" s="32"/>
      <c r="L41" s="34"/>
      <c r="M41" s="50"/>
      <c r="O41" s="45"/>
      <c r="P41" s="40"/>
      <c r="Q41" s="37"/>
      <c r="R41" s="37"/>
      <c r="S41" s="37"/>
      <c r="T41" s="36"/>
      <c r="U41" s="36"/>
      <c r="V41" s="36"/>
    </row>
    <row r="42" spans="1:22" ht="19.95" customHeight="1" thickTop="1" x14ac:dyDescent="0.25">
      <c r="A42" s="95" t="s">
        <v>25</v>
      </c>
      <c r="B42" s="145" t="s">
        <v>66</v>
      </c>
      <c r="C42" s="146"/>
      <c r="D42" s="90" t="s">
        <v>6</v>
      </c>
      <c r="E42" s="91"/>
      <c r="F42" s="91"/>
      <c r="G42" s="91"/>
      <c r="H42" s="91"/>
      <c r="I42" s="61"/>
      <c r="J42" s="38"/>
      <c r="K42" s="32"/>
      <c r="L42" s="34"/>
      <c r="M42" s="50"/>
      <c r="N42" s="99"/>
      <c r="O42" s="45"/>
      <c r="P42" s="40"/>
      <c r="Q42" s="37"/>
      <c r="R42" s="37"/>
      <c r="S42" s="37"/>
      <c r="T42" s="36"/>
      <c r="U42" s="36"/>
      <c r="V42" s="36"/>
    </row>
    <row r="43" spans="1:22" ht="19.95" customHeight="1" x14ac:dyDescent="0.25">
      <c r="A43" s="100" t="s">
        <v>26</v>
      </c>
      <c r="B43" s="147" t="s">
        <v>67</v>
      </c>
      <c r="C43" s="148"/>
      <c r="D43" s="74" t="s">
        <v>6</v>
      </c>
      <c r="E43" s="67"/>
      <c r="F43" s="67"/>
      <c r="G43" s="67"/>
      <c r="H43" s="67"/>
      <c r="I43" s="61"/>
      <c r="J43" s="38"/>
      <c r="K43" s="32"/>
      <c r="L43" s="34"/>
      <c r="M43" s="50"/>
      <c r="O43" s="45"/>
      <c r="P43" s="40"/>
      <c r="Q43" s="37"/>
      <c r="R43" s="37"/>
      <c r="S43" s="37"/>
      <c r="T43" s="36"/>
      <c r="U43" s="36"/>
      <c r="V43" s="36"/>
    </row>
    <row r="44" spans="1:22" ht="19.95" customHeight="1" x14ac:dyDescent="0.25">
      <c r="A44" s="66" t="s">
        <v>27</v>
      </c>
      <c r="B44" s="149" t="s">
        <v>28</v>
      </c>
      <c r="C44" s="150"/>
      <c r="D44" s="74" t="s">
        <v>6</v>
      </c>
      <c r="E44" s="68"/>
      <c r="F44" s="68"/>
      <c r="G44" s="68"/>
      <c r="H44" s="68"/>
      <c r="I44" s="62"/>
      <c r="K44" s="32"/>
      <c r="L44" s="34"/>
      <c r="M44" s="49"/>
      <c r="O44" s="45"/>
      <c r="P44" s="40"/>
      <c r="Q44" s="37"/>
      <c r="R44" s="37"/>
      <c r="S44" s="37"/>
      <c r="T44" s="37"/>
      <c r="U44" s="51"/>
      <c r="V44" s="37"/>
    </row>
    <row r="45" spans="1:22" ht="22.95" customHeight="1" x14ac:dyDescent="0.25">
      <c r="A45" s="66" t="s">
        <v>29</v>
      </c>
      <c r="B45" s="149" t="s">
        <v>30</v>
      </c>
      <c r="C45" s="150"/>
      <c r="D45" s="74" t="s">
        <v>6</v>
      </c>
      <c r="E45" s="68"/>
      <c r="F45" s="68"/>
      <c r="G45" s="68"/>
      <c r="H45" s="68"/>
      <c r="I45" s="62"/>
      <c r="K45" s="32"/>
      <c r="L45" s="34"/>
      <c r="M45" s="49"/>
      <c r="O45" s="45"/>
      <c r="P45" s="40"/>
      <c r="Q45" s="37"/>
      <c r="R45" s="37"/>
      <c r="S45" s="37"/>
      <c r="T45" s="37"/>
      <c r="U45" s="51"/>
      <c r="V45" s="37"/>
    </row>
    <row r="46" spans="1:22" ht="19.95" customHeight="1" x14ac:dyDescent="0.25">
      <c r="A46" s="66" t="s">
        <v>31</v>
      </c>
      <c r="B46" s="140" t="s">
        <v>32</v>
      </c>
      <c r="C46" s="141"/>
      <c r="D46" s="74" t="s">
        <v>33</v>
      </c>
      <c r="E46" s="69"/>
      <c r="F46" s="69"/>
      <c r="G46" s="69"/>
      <c r="H46" s="69"/>
      <c r="I46" s="63"/>
      <c r="J46" s="97"/>
      <c r="K46" s="31"/>
      <c r="L46" s="34"/>
      <c r="M46" s="50"/>
      <c r="O46" s="45"/>
      <c r="P46" s="40"/>
      <c r="Q46" s="37"/>
      <c r="R46" s="37"/>
      <c r="S46" s="37"/>
      <c r="T46" s="39"/>
      <c r="U46" s="47"/>
      <c r="V46" s="39"/>
    </row>
    <row r="47" spans="1:22" ht="24.75" customHeight="1" x14ac:dyDescent="0.25">
      <c r="A47" s="66" t="s">
        <v>62</v>
      </c>
      <c r="B47" s="140" t="s">
        <v>63</v>
      </c>
      <c r="C47" s="141"/>
      <c r="D47" s="74" t="s">
        <v>33</v>
      </c>
      <c r="E47" s="66"/>
      <c r="F47" s="66"/>
      <c r="G47" s="66"/>
      <c r="H47" s="66"/>
      <c r="K47" s="17"/>
      <c r="L47" s="34"/>
      <c r="M47" s="50"/>
      <c r="O47" s="45"/>
      <c r="P47" s="40"/>
      <c r="Q47" s="37"/>
      <c r="R47" s="37"/>
      <c r="S47" s="37"/>
      <c r="T47" s="39"/>
      <c r="U47" s="47"/>
      <c r="V47" s="39"/>
    </row>
    <row r="48" spans="1:22" ht="11.25" customHeight="1" x14ac:dyDescent="0.25">
      <c r="B48" s="104" t="s">
        <v>64</v>
      </c>
      <c r="C48" s="46"/>
      <c r="D48" s="46"/>
      <c r="E48" s="46"/>
      <c r="K48" s="17"/>
      <c r="L48" s="34"/>
      <c r="M48" s="50"/>
      <c r="O48" s="45"/>
      <c r="P48" s="40"/>
      <c r="Q48" s="37"/>
      <c r="R48" s="37"/>
      <c r="S48" s="37"/>
      <c r="T48" s="39"/>
      <c r="U48" s="47"/>
      <c r="V48" s="39"/>
    </row>
    <row r="49" spans="1:22" ht="20.25" customHeight="1" x14ac:dyDescent="0.25">
      <c r="A49" s="152"/>
      <c r="B49" s="153" t="s">
        <v>34</v>
      </c>
      <c r="C49" s="102" t="s">
        <v>35</v>
      </c>
      <c r="D49" s="142" t="s">
        <v>82</v>
      </c>
      <c r="E49" s="142"/>
      <c r="F49" s="101" t="s">
        <v>77</v>
      </c>
      <c r="G49" s="156" t="s">
        <v>83</v>
      </c>
      <c r="H49" s="157"/>
      <c r="K49" s="17"/>
      <c r="L49" s="34"/>
      <c r="M49" s="49"/>
      <c r="O49" s="45"/>
      <c r="P49" s="40"/>
      <c r="Q49" s="37"/>
      <c r="R49" s="37"/>
      <c r="S49" s="37"/>
      <c r="T49" s="39"/>
      <c r="U49" s="47"/>
      <c r="V49" s="39"/>
    </row>
    <row r="50" spans="1:22" ht="25.5" customHeight="1" x14ac:dyDescent="0.25">
      <c r="A50" s="152"/>
      <c r="B50" s="154"/>
      <c r="C50" s="102" t="s">
        <v>36</v>
      </c>
      <c r="D50" s="142" t="s">
        <v>80</v>
      </c>
      <c r="E50" s="142"/>
      <c r="F50" s="102" t="s">
        <v>78</v>
      </c>
      <c r="G50" s="143" t="s">
        <v>84</v>
      </c>
      <c r="H50" s="144"/>
      <c r="K50" s="17"/>
      <c r="L50" s="34"/>
      <c r="M50" s="49"/>
      <c r="O50" s="45"/>
      <c r="P50" s="40"/>
      <c r="Q50" s="37"/>
      <c r="R50" s="37"/>
      <c r="S50" s="37"/>
      <c r="T50" s="39"/>
      <c r="U50" s="47"/>
      <c r="V50" s="39"/>
    </row>
    <row r="51" spans="1:22" ht="25.5" customHeight="1" x14ac:dyDescent="0.25">
      <c r="A51" s="80"/>
      <c r="B51" s="155"/>
      <c r="C51" s="102" t="s">
        <v>79</v>
      </c>
      <c r="D51" s="142" t="s">
        <v>81</v>
      </c>
      <c r="E51" s="142"/>
      <c r="F51" s="103"/>
      <c r="G51" s="143"/>
      <c r="H51" s="144"/>
      <c r="K51" s="17"/>
      <c r="L51" s="34"/>
      <c r="M51" s="49"/>
      <c r="O51" s="45"/>
      <c r="P51" s="40"/>
      <c r="Q51" s="37"/>
      <c r="R51" s="37"/>
      <c r="S51" s="37"/>
      <c r="T51" s="39"/>
      <c r="U51" s="47"/>
      <c r="V51" s="39"/>
    </row>
    <row r="52" spans="1:22" ht="25.5" customHeight="1" x14ac:dyDescent="0.25">
      <c r="A52" s="75" t="s">
        <v>37</v>
      </c>
      <c r="B52" s="70"/>
      <c r="C52" s="70"/>
      <c r="D52" s="70"/>
      <c r="E52" s="70"/>
      <c r="F52" s="70"/>
      <c r="G52" s="70"/>
      <c r="H52" s="70"/>
      <c r="K52" s="17"/>
      <c r="L52" s="34"/>
      <c r="M52" s="49"/>
      <c r="O52" s="45"/>
      <c r="P52" s="40"/>
      <c r="Q52" s="37"/>
      <c r="R52" s="37"/>
      <c r="S52" s="37"/>
      <c r="T52" s="39"/>
      <c r="U52" s="47"/>
      <c r="V52" s="39"/>
    </row>
    <row r="53" spans="1:22" ht="18" customHeight="1" x14ac:dyDescent="0.25">
      <c r="C53" s="55"/>
      <c r="D53" s="55"/>
      <c r="E53" s="55"/>
      <c r="F53" s="55"/>
      <c r="G53" s="55"/>
      <c r="H53" s="55"/>
      <c r="K53" s="17"/>
      <c r="L53" s="33"/>
      <c r="M53" s="49"/>
      <c r="O53" s="45"/>
      <c r="P53" s="40"/>
      <c r="Q53" s="37"/>
      <c r="R53" s="37"/>
      <c r="S53" s="37"/>
      <c r="T53" s="39"/>
      <c r="U53" s="47"/>
      <c r="V53" s="39"/>
    </row>
    <row r="54" spans="1:22" ht="18" customHeight="1" x14ac:dyDescent="0.25">
      <c r="D54" s="55"/>
      <c r="E54" s="55"/>
      <c r="K54" s="17"/>
      <c r="M54" s="49"/>
      <c r="O54" s="45"/>
      <c r="P54" s="40"/>
      <c r="Q54" s="37"/>
      <c r="R54" s="37"/>
      <c r="S54" s="37"/>
      <c r="T54" s="37"/>
      <c r="U54" s="52"/>
      <c r="V54" s="37"/>
    </row>
    <row r="55" spans="1:22" ht="18" customHeight="1" x14ac:dyDescent="0.25">
      <c r="B55" s="3" t="s">
        <v>38</v>
      </c>
      <c r="C55" s="55"/>
      <c r="D55" s="55"/>
      <c r="E55" s="55"/>
      <c r="F55" s="55"/>
      <c r="G55" s="55"/>
      <c r="H55" s="55"/>
      <c r="K55" s="17"/>
      <c r="M55" s="49"/>
      <c r="O55" s="45"/>
      <c r="P55" s="40"/>
      <c r="Q55" s="37"/>
      <c r="R55" s="37"/>
      <c r="S55" s="37"/>
    </row>
    <row r="56" spans="1:22" ht="16.95" customHeight="1" x14ac:dyDescent="0.25">
      <c r="A56" s="54" t="s">
        <v>39</v>
      </c>
      <c r="B56" s="54"/>
      <c r="J56" s="37"/>
      <c r="K56" s="17"/>
    </row>
    <row r="57" spans="1:22" ht="13.95" customHeight="1" x14ac:dyDescent="0.25">
      <c r="A57" s="54" t="s">
        <v>74</v>
      </c>
      <c r="B57" s="54"/>
      <c r="C57" s="16"/>
      <c r="D57" s="16"/>
      <c r="E57" s="16"/>
      <c r="F57" s="16"/>
      <c r="G57" s="16"/>
      <c r="H57" s="16"/>
      <c r="I57" s="16"/>
      <c r="J57" s="17"/>
      <c r="K57" s="17"/>
      <c r="L57" s="17"/>
    </row>
    <row r="58" spans="1:22" ht="12" customHeight="1" x14ac:dyDescent="0.25"/>
    <row r="59" spans="1:22" ht="26.4" customHeight="1" x14ac:dyDescent="0.25">
      <c r="A59" s="151" t="s">
        <v>71</v>
      </c>
      <c r="B59" s="151"/>
      <c r="C59" s="151"/>
      <c r="D59" s="151"/>
      <c r="E59" s="151"/>
      <c r="F59" s="151"/>
      <c r="G59" s="151"/>
      <c r="H59" s="151"/>
      <c r="I59" s="151"/>
    </row>
    <row r="60" spans="1:22" ht="15.9" customHeight="1" x14ac:dyDescent="0.25"/>
    <row r="61" spans="1:22" ht="15.9" customHeight="1" x14ac:dyDescent="0.25"/>
  </sheetData>
  <protectedRanges>
    <protectedRange sqref="C26 C16:C21" name="Rango3_3_1_1_1_1_1_1_1_1"/>
    <protectedRange sqref="C12" name="Rango3_3_1_1_1_1_1_1_1_1_1_1"/>
  </protectedRanges>
  <mergeCells count="56">
    <mergeCell ref="A17:C17"/>
    <mergeCell ref="A18:C18"/>
    <mergeCell ref="A19:C19"/>
    <mergeCell ref="A28:B28"/>
    <mergeCell ref="A29:B29"/>
    <mergeCell ref="A59:I59"/>
    <mergeCell ref="A49:A50"/>
    <mergeCell ref="B49:B51"/>
    <mergeCell ref="D51:E51"/>
    <mergeCell ref="G51:H51"/>
    <mergeCell ref="D49:E49"/>
    <mergeCell ref="G49:H49"/>
    <mergeCell ref="B47:C47"/>
    <mergeCell ref="D50:E50"/>
    <mergeCell ref="G50:H50"/>
    <mergeCell ref="B42:C42"/>
    <mergeCell ref="B43:C43"/>
    <mergeCell ref="B44:C44"/>
    <mergeCell ref="B45:C45"/>
    <mergeCell ref="B46:C46"/>
    <mergeCell ref="T35:V35"/>
    <mergeCell ref="B38:C38"/>
    <mergeCell ref="B39:C39"/>
    <mergeCell ref="C34:D34"/>
    <mergeCell ref="C35:D35"/>
    <mergeCell ref="A35:B35"/>
    <mergeCell ref="A36:D36"/>
    <mergeCell ref="A34:B34"/>
    <mergeCell ref="S8:T8"/>
    <mergeCell ref="Q9:R9"/>
    <mergeCell ref="S9:T9"/>
    <mergeCell ref="N12:O12"/>
    <mergeCell ref="A13:I13"/>
    <mergeCell ref="C10:D10"/>
    <mergeCell ref="C11:D11"/>
    <mergeCell ref="A7:I7"/>
    <mergeCell ref="A8:I8"/>
    <mergeCell ref="Q8:R8"/>
    <mergeCell ref="A14:I14"/>
    <mergeCell ref="G16:H16"/>
    <mergeCell ref="A16:C16"/>
    <mergeCell ref="E27:H27"/>
    <mergeCell ref="R27:S27"/>
    <mergeCell ref="M35:O35"/>
    <mergeCell ref="C29:D29"/>
    <mergeCell ref="A27:D27"/>
    <mergeCell ref="K28:L28"/>
    <mergeCell ref="C30:D30"/>
    <mergeCell ref="C31:D31"/>
    <mergeCell ref="C32:D32"/>
    <mergeCell ref="C33:D33"/>
    <mergeCell ref="C28:D28"/>
    <mergeCell ref="A30:B30"/>
    <mergeCell ref="A31:B31"/>
    <mergeCell ref="A32:B32"/>
    <mergeCell ref="A33:B33"/>
  </mergeCells>
  <printOptions horizontalCentered="1" verticalCentered="1"/>
  <pageMargins left="0" right="0.59055118110236227" top="0.78740157480314965" bottom="0" header="0" footer="0"/>
  <pageSetup paperSize="9" scale="74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2:M9"/>
  <sheetViews>
    <sheetView workbookViewId="0">
      <selection activeCell="D26" sqref="D26"/>
    </sheetView>
  </sheetViews>
  <sheetFormatPr baseColWidth="10" defaultColWidth="11.44140625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60" t="s">
        <v>43</v>
      </c>
      <c r="B2" s="160"/>
      <c r="C2" s="8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7" t="s">
        <v>49</v>
      </c>
      <c r="I2" s="7" t="s">
        <v>50</v>
      </c>
      <c r="J2" s="7" t="s">
        <v>51</v>
      </c>
      <c r="K2" s="7" t="s">
        <v>52</v>
      </c>
      <c r="L2" s="7" t="s">
        <v>53</v>
      </c>
      <c r="M2" s="7" t="s">
        <v>54</v>
      </c>
    </row>
    <row r="3" spans="1:13" ht="18.75" customHeight="1" x14ac:dyDescent="0.25">
      <c r="A3" s="10">
        <v>4400</v>
      </c>
      <c r="B3" s="4">
        <f>+A3+1</f>
        <v>4401</v>
      </c>
      <c r="C3" s="14" t="str">
        <f t="shared" ref="C3:C8" si="0">A3&amp;"-"&amp;B3</f>
        <v>4400-4401</v>
      </c>
      <c r="D3" s="10" t="s">
        <v>55</v>
      </c>
      <c r="E3" s="10">
        <v>350</v>
      </c>
      <c r="F3" s="11">
        <v>42347</v>
      </c>
      <c r="G3" s="4">
        <v>7</v>
      </c>
      <c r="H3" s="12">
        <v>15.05</v>
      </c>
      <c r="I3" s="10">
        <v>49900</v>
      </c>
      <c r="J3" s="5">
        <f t="shared" ref="J3:J8" si="1">H3*H3*PI()/4</f>
        <v>177.89464750493056</v>
      </c>
      <c r="K3" s="13">
        <f t="shared" ref="K3:K8" si="2">I3/J3</f>
        <v>280.50309944607505</v>
      </c>
      <c r="L3" s="6">
        <f t="shared" ref="L3:L8" si="3">+K3/E3</f>
        <v>0.80143742698878584</v>
      </c>
      <c r="M3" s="15" t="s">
        <v>56</v>
      </c>
    </row>
    <row r="4" spans="1:13" ht="18.75" customHeight="1" x14ac:dyDescent="0.25">
      <c r="A4" s="4"/>
      <c r="B4" s="4"/>
      <c r="C4" s="9" t="str">
        <f t="shared" si="0"/>
        <v>-</v>
      </c>
      <c r="D4" s="4"/>
      <c r="E4" s="10">
        <v>350</v>
      </c>
      <c r="F4" s="4"/>
      <c r="G4" s="4">
        <v>7</v>
      </c>
      <c r="H4" s="12">
        <v>15.06</v>
      </c>
      <c r="I4" s="10">
        <v>50310</v>
      </c>
      <c r="J4" s="5">
        <f t="shared" si="1"/>
        <v>178.1311308919295</v>
      </c>
      <c r="K4" s="13">
        <f t="shared" si="2"/>
        <v>282.43238421094742</v>
      </c>
      <c r="L4" s="6">
        <f t="shared" si="3"/>
        <v>0.80694966917413546</v>
      </c>
      <c r="M4" s="15" t="s">
        <v>57</v>
      </c>
    </row>
    <row r="5" spans="1:13" ht="18.75" customHeight="1" x14ac:dyDescent="0.25">
      <c r="A5" s="4">
        <f>+B3+1</f>
        <v>4402</v>
      </c>
      <c r="B5" s="4">
        <f>+A5+1</f>
        <v>4403</v>
      </c>
      <c r="C5" s="9" t="str">
        <f t="shared" si="0"/>
        <v>4402-4403</v>
      </c>
      <c r="D5" s="4"/>
      <c r="E5" s="10">
        <v>350</v>
      </c>
      <c r="F5" s="4"/>
      <c r="G5" s="4">
        <v>14</v>
      </c>
      <c r="H5" s="12">
        <v>15.04</v>
      </c>
      <c r="I5" s="10">
        <v>56450</v>
      </c>
      <c r="J5" s="5">
        <f t="shared" si="1"/>
        <v>177.65832119756422</v>
      </c>
      <c r="K5" s="13">
        <f t="shared" si="2"/>
        <v>317.74475644867209</v>
      </c>
      <c r="L5" s="6">
        <f t="shared" si="3"/>
        <v>0.9078421612819203</v>
      </c>
      <c r="M5" s="15" t="s">
        <v>57</v>
      </c>
    </row>
    <row r="6" spans="1:13" ht="18.75" customHeight="1" x14ac:dyDescent="0.25">
      <c r="A6" s="4"/>
      <c r="B6" s="4"/>
      <c r="C6" s="9" t="str">
        <f t="shared" si="0"/>
        <v>-</v>
      </c>
      <c r="D6" s="4"/>
      <c r="E6" s="10">
        <v>350</v>
      </c>
      <c r="F6" s="4"/>
      <c r="G6" s="4">
        <v>14</v>
      </c>
      <c r="H6" s="12">
        <v>15</v>
      </c>
      <c r="I6" s="10">
        <v>59630</v>
      </c>
      <c r="J6" s="5">
        <f t="shared" si="1"/>
        <v>176.71458676442586</v>
      </c>
      <c r="K6" s="13">
        <f t="shared" si="2"/>
        <v>337.43677356692336</v>
      </c>
      <c r="L6" s="6">
        <f t="shared" si="3"/>
        <v>0.96410506733406676</v>
      </c>
      <c r="M6" s="15" t="s">
        <v>57</v>
      </c>
    </row>
    <row r="7" spans="1:13" ht="18.75" customHeight="1" x14ac:dyDescent="0.25">
      <c r="A7" s="4">
        <f>+B5+1</f>
        <v>4404</v>
      </c>
      <c r="B7" s="4">
        <f>+A7+1</f>
        <v>4405</v>
      </c>
      <c r="C7" s="9" t="str">
        <f t="shared" si="0"/>
        <v>4404-4405</v>
      </c>
      <c r="D7" s="4"/>
      <c r="E7" s="10">
        <v>350</v>
      </c>
      <c r="F7" s="4"/>
      <c r="G7" s="4">
        <v>28</v>
      </c>
      <c r="H7" s="12">
        <v>15.11</v>
      </c>
      <c r="I7" s="10">
        <v>65310</v>
      </c>
      <c r="J7" s="5">
        <f t="shared" si="1"/>
        <v>179.31590402141455</v>
      </c>
      <c r="K7" s="13">
        <f t="shared" si="2"/>
        <v>364.21755424549764</v>
      </c>
      <c r="L7" s="6">
        <f t="shared" si="3"/>
        <v>1.0406215835585646</v>
      </c>
      <c r="M7" s="15" t="s">
        <v>57</v>
      </c>
    </row>
    <row r="8" spans="1:13" ht="18.75" customHeight="1" x14ac:dyDescent="0.25">
      <c r="A8" s="4"/>
      <c r="B8" s="4"/>
      <c r="C8" s="9" t="str">
        <f t="shared" si="0"/>
        <v>-</v>
      </c>
      <c r="D8" s="4"/>
      <c r="E8" s="10">
        <v>350</v>
      </c>
      <c r="F8" s="4"/>
      <c r="G8" s="4">
        <v>28</v>
      </c>
      <c r="H8" s="12">
        <v>15.05</v>
      </c>
      <c r="I8" s="10">
        <v>64730</v>
      </c>
      <c r="J8" s="5">
        <f t="shared" si="1"/>
        <v>177.89464750493056</v>
      </c>
      <c r="K8" s="13">
        <f t="shared" si="2"/>
        <v>363.86704663616104</v>
      </c>
      <c r="L8" s="6">
        <f t="shared" si="3"/>
        <v>1.0396201332461743</v>
      </c>
      <c r="M8" s="15" t="s">
        <v>56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ABRASION </vt:lpstr>
      <vt:lpstr>Hoja1</vt:lpstr>
      <vt:lpstr>'ABRASION '!Área_de_impresión</vt:lpstr>
    </vt:vector>
  </TitlesOfParts>
  <Manager/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dc:description/>
  <cp:lastModifiedBy>kevin skibidi</cp:lastModifiedBy>
  <cp:revision/>
  <cp:lastPrinted>2025-11-07T17:41:30Z</cp:lastPrinted>
  <dcterms:created xsi:type="dcterms:W3CDTF">1999-11-07T15:11:55Z</dcterms:created>
  <dcterms:modified xsi:type="dcterms:W3CDTF">2026-03-03T22:26:09Z</dcterms:modified>
  <cp:category/>
  <cp:contentStatus/>
</cp:coreProperties>
</file>