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1CE2AC5B-AE44-4E48-8F4D-0D35516651DB}" xr6:coauthVersionLast="47" xr6:coauthVersionMax="47" xr10:uidLastSave="{00000000-0000-0000-0000-000000000000}"/>
  <bookViews>
    <workbookView xWindow="-108" yWindow="-108" windowWidth="23256" windowHeight="12456" tabRatio="723" firstSheet="1" activeTab="1" xr2:uid="{00000000-000D-0000-FFFF-FFFF00000000}"/>
  </bookViews>
  <sheets>
    <sheet name="SST" sheetId="91" state="hidden" r:id="rId1"/>
    <sheet name="PH " sheetId="92" r:id="rId2"/>
    <sheet name="Hoja1" sheetId="49" state="hidden" r:id="rId3"/>
  </sheets>
  <definedNames>
    <definedName name="_xlnm.Print_Area" localSheetId="1">'PH '!$A$1:$I$52</definedName>
    <definedName name="_xlnm.Print_Area" localSheetId="0">SST!$A$1:$I$52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/>
  <c r="B7" i="49" l="1"/>
  <c r="C7" i="49" s="1"/>
</calcChain>
</file>

<file path=xl/sharedStrings.xml><?xml version="1.0" encoding="utf-8"?>
<sst xmlns="http://schemas.openxmlformats.org/spreadsheetml/2006/main" count="53" uniqueCount="39">
  <si>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</si>
  <si>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</si>
  <si>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</si>
  <si>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</si>
  <si>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</si>
  <si>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</si>
  <si>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</si>
  <si>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</si>
  <si>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</si>
  <si>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</si>
  <si>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</si>
  <si>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</si>
  <si>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</si>
  <si>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</si>
  <si>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</si>
  <si>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</si>
  <si>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</si>
  <si>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MÉTODO DE ENSAYO NORMALIZADO PARA LA DETERMINACIÓN DEL VALOR PH EN SUELOS Y AGUA SUBTERRÁNEA</t>
  </si>
  <si>
    <t>NORMA  NTP 339.176</t>
  </si>
  <si>
    <t>Temperatura de Ensayo</t>
  </si>
  <si>
    <t>(°C)</t>
  </si>
  <si>
    <t>PH</t>
  </si>
  <si>
    <t>RESULTADOS DE ENSAYO</t>
  </si>
  <si>
    <t>FORMATO N° F-LEM-P-SU-03.01</t>
  </si>
  <si>
    <t>Versión : 02 (02-01-2021)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</si>
  <si>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</si>
  <si>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Prohibido reproducir sin  autorización</t>
  </si>
  <si>
    <t>Versión : 03 (30-03-2023)</t>
  </si>
  <si>
    <t>Equipo utilizado</t>
  </si>
  <si>
    <t>Código</t>
  </si>
  <si>
    <t xml:space="preserve">Horno </t>
  </si>
  <si>
    <t xml:space="preserve">Observaciones: </t>
  </si>
  <si>
    <t>…............................................................................................................................................................................</t>
  </si>
  <si>
    <t>Balanza 0.01</t>
  </si>
  <si>
    <t>PH-Metro</t>
  </si>
  <si>
    <t>MUESTRA</t>
  </si>
  <si>
    <t>N°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</si>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</sst>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00"/>
    <numFmt numFmtId="166" formatCode="0\ &quot;/ CO-06&quot;"/>
    <numFmt numFmtId="167" formatCode="&quot;FORMATO F-LEM-P-SU-11.01&quot;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9"/>
      <name val="Times New Roman"/>
      <family val="1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sz val="10"/>
      <color theme="1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sz val="7.5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4" fillId="0" borderId="1" xfId="0" applyFont="1" applyBorder="1"/>
    <xf numFmtId="16" fontId="14" fillId="0" borderId="1" xfId="0" applyNumberFormat="1" applyFont="1" applyBorder="1"/>
    <xf numFmtId="2" fontId="14" fillId="0" borderId="1" xfId="0" applyNumberFormat="1" applyFont="1" applyBorder="1"/>
    <xf numFmtId="2" fontId="15" fillId="3" borderId="1" xfId="0" applyNumberFormat="1" applyFont="1" applyFill="1" applyBorder="1" applyAlignment="1">
      <alignment vertical="center" wrapText="1"/>
    </xf>
    <xf numFmtId="166" fontId="9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16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2" fillId="3" borderId="6" xfId="0" applyFont="1" applyFill="1" applyBorder="1" applyAlignment="1">
      <alignment vertical="center"/>
    </xf>
    <xf numFmtId="0" fontId="5" fillId="0" borderId="7" xfId="0" applyFont="1" applyBorder="1" applyProtection="1">
      <protection hidden="1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0" borderId="10" xfId="0" applyFont="1" applyBorder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10" fontId="7" fillId="3" borderId="0" xfId="0" applyNumberFormat="1" applyFont="1" applyFill="1" applyAlignment="1">
      <alignment horizontal="center" vertical="center" wrapText="1"/>
    </xf>
    <xf numFmtId="0" fontId="17" fillId="2" borderId="0" xfId="3" applyFont="1" applyFill="1" applyAlignment="1">
      <alignment vertical="center"/>
    </xf>
    <xf numFmtId="0" fontId="17" fillId="2" borderId="0" xfId="3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" fontId="9" fillId="2" borderId="0" xfId="0" applyNumberFormat="1" applyFont="1" applyFill="1" applyAlignment="1">
      <alignment vertical="center"/>
    </xf>
    <xf numFmtId="0" fontId="18" fillId="0" borderId="0" xfId="0" applyFont="1" applyProtection="1">
      <protection hidden="1"/>
    </xf>
    <xf numFmtId="0" fontId="18" fillId="0" borderId="0" xfId="0" applyFont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left" indent="1"/>
      <protection hidden="1"/>
    </xf>
    <xf numFmtId="0" fontId="9" fillId="0" borderId="0" xfId="0" applyFont="1" applyAlignment="1" applyProtection="1">
      <alignment horizontal="left" vertical="center" indent="2"/>
      <protection hidden="1"/>
    </xf>
    <xf numFmtId="0" fontId="17" fillId="2" borderId="11" xfId="3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wrapText="1"/>
    </xf>
    <xf numFmtId="0" fontId="17" fillId="2" borderId="11" xfId="3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20" fillId="2" borderId="0" xfId="3" applyFont="1" applyFill="1" applyAlignment="1">
      <alignment vertical="center" wrapText="1"/>
    </xf>
    <xf numFmtId="0" fontId="9" fillId="3" borderId="0" xfId="0" applyFont="1" applyFill="1" applyAlignment="1" applyProtection="1">
      <alignment horizontal="left" indent="1"/>
      <protection hidden="1"/>
    </xf>
    <xf numFmtId="17" fontId="9" fillId="2" borderId="11" xfId="0" applyNumberFormat="1" applyFont="1" applyFill="1" applyBorder="1" applyAlignment="1">
      <alignment vertical="center"/>
    </xf>
    <xf numFmtId="14" fontId="9" fillId="0" borderId="0" xfId="0" applyNumberFormat="1" applyFont="1" applyAlignment="1" applyProtection="1">
      <alignment horizontal="left" vertical="center"/>
      <protection hidden="1"/>
    </xf>
    <xf numFmtId="0" fontId="9" fillId="3" borderId="0" xfId="0" applyFont="1" applyFill="1" applyAlignment="1" applyProtection="1">
      <alignment vertical="center"/>
      <protection hidden="1"/>
    </xf>
    <xf numFmtId="0" fontId="5" fillId="0" borderId="11" xfId="0" applyFont="1" applyBorder="1" applyProtection="1">
      <protection hidden="1"/>
    </xf>
    <xf numFmtId="0" fontId="13" fillId="0" borderId="0" xfId="0" applyFont="1" applyProtection="1">
      <protection hidden="1"/>
    </xf>
    <xf numFmtId="0" fontId="22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vertical="center"/>
      <protection hidden="1"/>
    </xf>
    <xf numFmtId="0" fontId="24" fillId="2" borderId="0" xfId="3" applyFont="1" applyFill="1" applyAlignment="1">
      <alignment vertical="center"/>
    </xf>
    <xf numFmtId="0" fontId="24" fillId="2" borderId="0" xfId="0" applyFont="1" applyFill="1" applyAlignment="1">
      <alignment vertical="center"/>
    </xf>
    <xf numFmtId="0" fontId="24" fillId="0" borderId="0" xfId="0" applyFont="1" applyProtection="1">
      <protection hidden="1"/>
    </xf>
    <xf numFmtId="0" fontId="13" fillId="2" borderId="0" xfId="4" applyFont="1" applyFill="1" applyAlignment="1">
      <alignment vertical="center"/>
    </xf>
    <xf numFmtId="165" fontId="13" fillId="3" borderId="0" xfId="0" quotePrefix="1" applyNumberFormat="1" applyFont="1" applyFill="1" applyAlignment="1">
      <alignment vertical="center"/>
    </xf>
    <xf numFmtId="0" fontId="9" fillId="0" borderId="0" xfId="0" applyFont="1" applyAlignment="1" applyProtection="1">
      <alignment horizontal="left" indent="1"/>
      <protection hidden="1"/>
    </xf>
    <xf numFmtId="165" fontId="23" fillId="3" borderId="0" xfId="0" quotePrefix="1" applyNumberFormat="1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5" fillId="0" borderId="14" xfId="0" applyFont="1" applyBorder="1" applyProtection="1">
      <protection hidden="1"/>
    </xf>
    <xf numFmtId="0" fontId="5" fillId="0" borderId="15" xfId="0" applyFont="1" applyBorder="1" applyProtection="1">
      <protection hidden="1"/>
    </xf>
    <xf numFmtId="0" fontId="9" fillId="3" borderId="21" xfId="4" applyFont="1" applyFill="1" applyBorder="1" applyAlignment="1">
      <alignment vertical="center"/>
    </xf>
    <xf numFmtId="0" fontId="9" fillId="0" borderId="22" xfId="0" applyFont="1" applyBorder="1" applyProtection="1">
      <protection hidden="1"/>
    </xf>
    <xf numFmtId="0" fontId="9" fillId="3" borderId="23" xfId="4" applyFont="1" applyFill="1" applyBorder="1" applyAlignment="1">
      <alignment horizontal="right" vertical="center"/>
    </xf>
    <xf numFmtId="0" fontId="17" fillId="3" borderId="24" xfId="4" applyFont="1" applyFill="1" applyBorder="1" applyAlignment="1">
      <alignment vertical="center"/>
    </xf>
    <xf numFmtId="0" fontId="9" fillId="0" borderId="25" xfId="0" applyFont="1" applyBorder="1" applyProtection="1">
      <protection hidden="1"/>
    </xf>
    <xf numFmtId="0" fontId="9" fillId="3" borderId="26" xfId="4" applyFont="1" applyFill="1" applyBorder="1" applyAlignment="1">
      <alignment horizontal="right" vertical="center"/>
    </xf>
    <xf numFmtId="0" fontId="9" fillId="3" borderId="21" xfId="4" applyFont="1" applyFill="1" applyBorder="1" applyAlignment="1">
      <alignment wrapText="1"/>
    </xf>
    <xf numFmtId="0" fontId="9" fillId="3" borderId="23" xfId="4" applyFont="1" applyFill="1" applyBorder="1" applyAlignment="1">
      <alignment wrapText="1"/>
    </xf>
    <xf numFmtId="164" fontId="17" fillId="3" borderId="24" xfId="4" applyNumberFormat="1" applyFont="1" applyFill="1" applyBorder="1" applyAlignment="1">
      <alignment wrapText="1"/>
    </xf>
    <xf numFmtId="164" fontId="17" fillId="3" borderId="26" xfId="4" applyNumberFormat="1" applyFont="1" applyFill="1" applyBorder="1" applyAlignment="1">
      <alignment wrapText="1"/>
    </xf>
    <xf numFmtId="0" fontId="22" fillId="3" borderId="0" xfId="0" applyFont="1" applyFill="1" applyAlignment="1">
      <alignment vertical="center"/>
    </xf>
    <xf numFmtId="0" fontId="22" fillId="3" borderId="0" xfId="0" applyFont="1" applyFill="1" applyAlignment="1">
      <alignment horizontal="center" vertical="center"/>
    </xf>
    <xf numFmtId="2" fontId="13" fillId="3" borderId="0" xfId="0" quotePrefix="1" applyNumberFormat="1" applyFont="1" applyFill="1" applyAlignment="1">
      <alignment horizontal="center" vertical="center"/>
    </xf>
    <xf numFmtId="0" fontId="13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3" fillId="0" borderId="0" xfId="1" applyFont="1" applyBorder="1" applyAlignment="1" applyProtection="1">
      <alignment horizontal="center" vertical="center" wrapText="1"/>
    </xf>
    <xf numFmtId="0" fontId="2" fillId="0" borderId="16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7" xfId="0" applyFont="1" applyBorder="1" applyAlignment="1" applyProtection="1">
      <alignment horizontal="center" vertical="center" wrapText="1"/>
      <protection hidden="1"/>
    </xf>
    <xf numFmtId="0" fontId="21" fillId="2" borderId="0" xfId="0" applyFont="1" applyFill="1" applyAlignment="1">
      <alignment horizontal="center" vertical="center"/>
    </xf>
    <xf numFmtId="167" fontId="21" fillId="0" borderId="0" xfId="0" applyNumberFormat="1" applyFont="1" applyAlignment="1" applyProtection="1">
      <alignment horizontal="center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17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0" fontId="9" fillId="3" borderId="18" xfId="0" applyFont="1" applyFill="1" applyBorder="1" applyAlignment="1" applyProtection="1">
      <alignment horizontal="center" vertical="center"/>
      <protection locked="0"/>
    </xf>
    <xf numFmtId="0" fontId="9" fillId="3" borderId="20" xfId="0" applyFont="1" applyFill="1" applyBorder="1" applyAlignment="1" applyProtection="1">
      <alignment horizontal="center" vertical="center"/>
      <protection locked="0"/>
    </xf>
    <xf numFmtId="0" fontId="13" fillId="3" borderId="18" xfId="0" applyFont="1" applyFill="1" applyBorder="1" applyAlignment="1" applyProtection="1">
      <alignment horizontal="center" vertical="center"/>
      <protection hidden="1"/>
    </xf>
    <xf numFmtId="0" fontId="13" fillId="3" borderId="20" xfId="0" applyFont="1" applyFill="1" applyBorder="1" applyAlignment="1" applyProtection="1">
      <alignment horizontal="center" vertical="center"/>
      <protection hidden="1"/>
    </xf>
    <xf numFmtId="0" fontId="17" fillId="0" borderId="18" xfId="0" applyFont="1" applyBorder="1" applyAlignment="1" applyProtection="1">
      <alignment horizontal="center" vertical="center"/>
      <protection hidden="1"/>
    </xf>
    <xf numFmtId="0" fontId="17" fillId="0" borderId="20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2" fillId="2" borderId="1" xfId="3" applyFont="1" applyFill="1" applyBorder="1" applyAlignment="1">
      <alignment horizontal="center" vertical="center"/>
    </xf>
    <xf numFmtId="0" fontId="22" fillId="2" borderId="1" xfId="3" applyFont="1" applyFill="1" applyBorder="1" applyAlignment="1">
      <alignment vertical="center"/>
    </xf>
    <xf numFmtId="0" fontId="25" fillId="0" borderId="18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2" fillId="2" borderId="18" xfId="3" applyFont="1" applyFill="1" applyBorder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</cellXfs>
  <cellStyles count="5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ENSAYOS" xfId="3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0485120"/>
          <a:ext cx="672846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152400</xdr:colOff>
      <xdr:row>8</xdr:row>
      <xdr:rowOff>68580</xdr:rowOff>
    </xdr:from>
    <xdr:to>
      <xdr:col>3</xdr:col>
      <xdr:colOff>533220</xdr:colOff>
      <xdr:row>9</xdr:row>
      <xdr:rowOff>144780</xdr:rowOff>
    </xdr:to>
    <xdr:sp macro="" textlink="">
      <xdr:nvSpPr>
        <xdr:cNvPr id="4" name="5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7254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MUESTRA</a:t>
          </a:r>
        </a:p>
      </xdr:txBody>
    </xdr:sp>
    <xdr:clientData/>
  </xdr:twoCellAnchor>
  <xdr:twoCellAnchor>
    <xdr:from>
      <xdr:col>3</xdr:col>
      <xdr:colOff>571500</xdr:colOff>
      <xdr:row>8</xdr:row>
      <xdr:rowOff>68580</xdr:rowOff>
    </xdr:from>
    <xdr:to>
      <xdr:col>5</xdr:col>
      <xdr:colOff>304620</xdr:colOff>
      <xdr:row>9</xdr:row>
      <xdr:rowOff>144780</xdr:rowOff>
    </xdr:to>
    <xdr:sp macro="" textlink="">
      <xdr:nvSpPr>
        <xdr:cNvPr id="5" name="6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750820" y="1653540"/>
          <a:ext cx="144000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</a:t>
          </a:r>
          <a:r>
            <a:rPr lang="es-PE" sz="900" baseline="0">
              <a:latin typeface="Arial" panose="020B0604020202020204" pitchFamily="34" charset="0"/>
              <a:cs typeface="Arial" panose="020B0604020202020204" pitchFamily="34" charset="0"/>
            </a:rPr>
            <a:t> OT</a:t>
          </a:r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350520</xdr:colOff>
      <xdr:row>8</xdr:row>
      <xdr:rowOff>68580</xdr:rowOff>
    </xdr:from>
    <xdr:to>
      <xdr:col>7</xdr:col>
      <xdr:colOff>312240</xdr:colOff>
      <xdr:row>9</xdr:row>
      <xdr:rowOff>144780</xdr:rowOff>
    </xdr:to>
    <xdr:sp macro="" textlink="">
      <xdr:nvSpPr>
        <xdr:cNvPr id="6" name="8 CuadroTex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236720" y="1653540"/>
          <a:ext cx="1424760" cy="27432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</a:t>
          </a:r>
        </a:p>
      </xdr:txBody>
    </xdr:sp>
    <xdr:clientData/>
  </xdr:twoCellAnchor>
  <xdr:twoCellAnchor>
    <xdr:from>
      <xdr:col>1</xdr:col>
      <xdr:colOff>152400</xdr:colOff>
      <xdr:row>9</xdr:row>
      <xdr:rowOff>175260</xdr:rowOff>
    </xdr:from>
    <xdr:to>
      <xdr:col>3</xdr:col>
      <xdr:colOff>533220</xdr:colOff>
      <xdr:row>11</xdr:row>
      <xdr:rowOff>97500</xdr:rowOff>
    </xdr:to>
    <xdr:sp macro="" textlink="">
      <xdr:nvSpPr>
        <xdr:cNvPr id="7" name="4 Rectángul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72540" y="195834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571500</xdr:colOff>
      <xdr:row>9</xdr:row>
      <xdr:rowOff>182880</xdr:rowOff>
    </xdr:from>
    <xdr:to>
      <xdr:col>5</xdr:col>
      <xdr:colOff>304620</xdr:colOff>
      <xdr:row>11</xdr:row>
      <xdr:rowOff>105120</xdr:rowOff>
    </xdr:to>
    <xdr:sp macro="" textlink="">
      <xdr:nvSpPr>
        <xdr:cNvPr id="8" name="4 Rectángul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750820" y="1965960"/>
          <a:ext cx="144000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350520</xdr:colOff>
      <xdr:row>9</xdr:row>
      <xdr:rowOff>182880</xdr:rowOff>
    </xdr:from>
    <xdr:to>
      <xdr:col>7</xdr:col>
      <xdr:colOff>312240</xdr:colOff>
      <xdr:row>11</xdr:row>
      <xdr:rowOff>105120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236720" y="1965960"/>
          <a:ext cx="1424760" cy="318480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297180</xdr:colOff>
      <xdr:row>14</xdr:row>
      <xdr:rowOff>76200</xdr:rowOff>
    </xdr:from>
    <xdr:to>
      <xdr:col>6</xdr:col>
      <xdr:colOff>406080</xdr:colOff>
      <xdr:row>15</xdr:row>
      <xdr:rowOff>155040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339340" y="3063240"/>
          <a:ext cx="205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3</xdr:col>
      <xdr:colOff>297180</xdr:colOff>
      <xdr:row>15</xdr:row>
      <xdr:rowOff>152400</xdr:rowOff>
    </xdr:from>
    <xdr:to>
      <xdr:col>5</xdr:col>
      <xdr:colOff>326160</xdr:colOff>
      <xdr:row>16</xdr:row>
      <xdr:rowOff>170280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339340" y="3276600"/>
          <a:ext cx="133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3</xdr:col>
      <xdr:colOff>297180</xdr:colOff>
      <xdr:row>16</xdr:row>
      <xdr:rowOff>167640</xdr:rowOff>
    </xdr:from>
    <xdr:to>
      <xdr:col>5</xdr:col>
      <xdr:colOff>326160</xdr:colOff>
      <xdr:row>17</xdr:row>
      <xdr:rowOff>185520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339340" y="3489960"/>
          <a:ext cx="1332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5</xdr:col>
      <xdr:colOff>327660</xdr:colOff>
      <xdr:row>15</xdr:row>
      <xdr:rowOff>152400</xdr:rowOff>
    </xdr:from>
    <xdr:to>
      <xdr:col>6</xdr:col>
      <xdr:colOff>407580</xdr:colOff>
      <xdr:row>16</xdr:row>
      <xdr:rowOff>170280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672840" y="3276600"/>
          <a:ext cx="720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327660</xdr:colOff>
      <xdr:row>16</xdr:row>
      <xdr:rowOff>167640</xdr:rowOff>
    </xdr:from>
    <xdr:to>
      <xdr:col>6</xdr:col>
      <xdr:colOff>407580</xdr:colOff>
      <xdr:row>17</xdr:row>
      <xdr:rowOff>185520</xdr:rowOff>
    </xdr:to>
    <xdr:sp macro="" textlink="">
      <xdr:nvSpPr>
        <xdr:cNvPr id="14" name="8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672840" y="3489960"/>
          <a:ext cx="720000" cy="216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698480" y="1196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0</xdr:col>
      <xdr:colOff>1059181</xdr:colOff>
      <xdr:row>42</xdr:row>
      <xdr:rowOff>129540</xdr:rowOff>
    </xdr:from>
    <xdr:to>
      <xdr:col>3</xdr:col>
      <xdr:colOff>319861</xdr:colOff>
      <xdr:row>45</xdr:row>
      <xdr:rowOff>137160</xdr:rowOff>
    </xdr:to>
    <xdr:sp macro="" textlink="">
      <xdr:nvSpPr>
        <xdr:cNvPr id="18" name="12 Rectángul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059181" y="939546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0</xdr:col>
      <xdr:colOff>1059180</xdr:colOff>
      <xdr:row>45</xdr:row>
      <xdr:rowOff>175260</xdr:rowOff>
    </xdr:from>
    <xdr:to>
      <xdr:col>3</xdr:col>
      <xdr:colOff>319860</xdr:colOff>
      <xdr:row>47</xdr:row>
      <xdr:rowOff>60960</xdr:rowOff>
    </xdr:to>
    <xdr:sp macro="" textlink="">
      <xdr:nvSpPr>
        <xdr:cNvPr id="19" name="13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59180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Realizado</a:t>
          </a:r>
        </a:p>
      </xdr:txBody>
    </xdr:sp>
    <xdr:clientData/>
  </xdr:twoCellAnchor>
  <xdr:twoCellAnchor>
    <xdr:from>
      <xdr:col>3</xdr:col>
      <xdr:colOff>499110</xdr:colOff>
      <xdr:row>42</xdr:row>
      <xdr:rowOff>139065</xdr:rowOff>
    </xdr:from>
    <xdr:to>
      <xdr:col>5</xdr:col>
      <xdr:colOff>232230</xdr:colOff>
      <xdr:row>45</xdr:row>
      <xdr:rowOff>146685</xdr:rowOff>
    </xdr:to>
    <xdr:sp macro="" textlink="">
      <xdr:nvSpPr>
        <xdr:cNvPr id="20" name="14 Rectángul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678430" y="9404985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497206</xdr:colOff>
      <xdr:row>45</xdr:row>
      <xdr:rowOff>175260</xdr:rowOff>
    </xdr:from>
    <xdr:to>
      <xdr:col>5</xdr:col>
      <xdr:colOff>230326</xdr:colOff>
      <xdr:row>47</xdr:row>
      <xdr:rowOff>60960</xdr:rowOff>
    </xdr:to>
    <xdr:sp macro="" textlink="">
      <xdr:nvSpPr>
        <xdr:cNvPr id="21" name="15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676526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Revisado</a:t>
          </a:r>
        </a:p>
      </xdr:txBody>
    </xdr:sp>
    <xdr:clientData/>
  </xdr:twoCellAnchor>
  <xdr:twoCellAnchor>
    <xdr:from>
      <xdr:col>5</xdr:col>
      <xdr:colOff>401956</xdr:colOff>
      <xdr:row>42</xdr:row>
      <xdr:rowOff>129540</xdr:rowOff>
    </xdr:from>
    <xdr:to>
      <xdr:col>7</xdr:col>
      <xdr:colOff>363676</xdr:colOff>
      <xdr:row>45</xdr:row>
      <xdr:rowOff>137160</xdr:rowOff>
    </xdr:to>
    <xdr:sp macro="" textlink="">
      <xdr:nvSpPr>
        <xdr:cNvPr id="22" name="16 Rectángul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3945256" y="9395460"/>
          <a:ext cx="1440000" cy="60198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5</xdr:col>
      <xdr:colOff>403860</xdr:colOff>
      <xdr:row>45</xdr:row>
      <xdr:rowOff>175260</xdr:rowOff>
    </xdr:from>
    <xdr:to>
      <xdr:col>7</xdr:col>
      <xdr:colOff>365580</xdr:colOff>
      <xdr:row>47</xdr:row>
      <xdr:rowOff>60960</xdr:rowOff>
    </xdr:to>
    <xdr:sp macro="" textlink="">
      <xdr:nvSpPr>
        <xdr:cNvPr id="23" name="17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947160" y="10035540"/>
          <a:ext cx="1440000" cy="28194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000" b="0">
              <a:latin typeface="Arial" pitchFamily="34" charset="0"/>
              <a:cs typeface="Arial" pitchFamily="34" charset="0"/>
            </a:rPr>
            <a:t>Aprobado</a:t>
          </a:r>
        </a:p>
      </xdr:txBody>
    </xdr:sp>
    <xdr:clientData/>
  </xdr:twoCellAnchor>
  <xdr:twoCellAnchor editAs="oneCell">
    <xdr:from>
      <xdr:col>2</xdr:col>
      <xdr:colOff>255270</xdr:colOff>
      <xdr:row>0</xdr:row>
      <xdr:rowOff>42875</xdr:rowOff>
    </xdr:from>
    <xdr:to>
      <xdr:col>6</xdr:col>
      <xdr:colOff>373379</xdr:colOff>
      <xdr:row>4</xdr:row>
      <xdr:rowOff>146099</xdr:rowOff>
    </xdr:to>
    <xdr:pic>
      <xdr:nvPicPr>
        <xdr:cNvPr id="24" name="1 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29" b="29668"/>
        <a:stretch>
          <a:fillRect/>
        </a:stretch>
      </xdr:blipFill>
      <xdr:spPr bwMode="auto">
        <a:xfrm>
          <a:off x="1581150" y="42875"/>
          <a:ext cx="3409949" cy="8957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50</xdr:row>
      <xdr:rowOff>121920</xdr:rowOff>
    </xdr:from>
    <xdr:to>
      <xdr:col>9</xdr:col>
      <xdr:colOff>0</xdr:colOff>
      <xdr:row>50</xdr:row>
      <xdr:rowOff>121920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9A0D046F-3422-4578-8A35-6CAEE54DDD2C}"/>
            </a:ext>
          </a:extLst>
        </xdr:cNvPr>
        <xdr:cNvCxnSpPr>
          <a:cxnSpLocks noChangeShapeType="1"/>
        </xdr:cNvCxnSpPr>
      </xdr:nvCxnSpPr>
      <xdr:spPr bwMode="auto">
        <a:xfrm flipV="1">
          <a:off x="45720" y="11066145"/>
          <a:ext cx="6383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478155</xdr:colOff>
      <xdr:row>14</xdr:row>
      <xdr:rowOff>95250</xdr:rowOff>
    </xdr:from>
    <xdr:to>
      <xdr:col>5</xdr:col>
      <xdr:colOff>472755</xdr:colOff>
      <xdr:row>15</xdr:row>
      <xdr:rowOff>174090</xdr:rowOff>
    </xdr:to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81261A9F-48F2-4059-BAAB-6EFE119A3F04}"/>
            </a:ext>
          </a:extLst>
        </xdr:cNvPr>
        <xdr:cNvSpPr txBox="1"/>
      </xdr:nvSpPr>
      <xdr:spPr>
        <a:xfrm>
          <a:off x="1764030" y="3105150"/>
          <a:ext cx="2480625" cy="22171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800">
              <a:latin typeface="Arial" panose="020B0604020202020204" pitchFamily="34" charset="0"/>
              <a:cs typeface="Arial" panose="020B0604020202020204" pitchFamily="34" charset="0"/>
            </a:rPr>
            <a:t>CONDICIONES DE SECADO</a:t>
          </a:r>
        </a:p>
      </xdr:txBody>
    </xdr:sp>
    <xdr:clientData/>
  </xdr:twoCellAnchor>
  <xdr:twoCellAnchor>
    <xdr:from>
      <xdr:col>2</xdr:col>
      <xdr:colOff>478155</xdr:colOff>
      <xdr:row>15</xdr:row>
      <xdr:rowOff>171450</xdr:rowOff>
    </xdr:from>
    <xdr:to>
      <xdr:col>4</xdr:col>
      <xdr:colOff>507135</xdr:colOff>
      <xdr:row>16</xdr:row>
      <xdr:rowOff>189330</xdr:rowOff>
    </xdr:to>
    <xdr:sp macro="" textlink="">
      <xdr:nvSpPr>
        <xdr:cNvPr id="10" name="8 CuadroTexto">
          <a:extLst>
            <a:ext uri="{FF2B5EF4-FFF2-40B4-BE49-F238E27FC236}">
              <a16:creationId xmlns:a16="http://schemas.microsoft.com/office/drawing/2014/main" id="{86D04776-C8D7-4FCC-AFE7-EB6F01B756ED}"/>
            </a:ext>
          </a:extLst>
        </xdr:cNvPr>
        <xdr:cNvSpPr txBox="1"/>
      </xdr:nvSpPr>
      <xdr:spPr>
        <a:xfrm>
          <a:off x="1764030" y="3324225"/>
          <a:ext cx="168633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AL AIRE</a:t>
          </a:r>
        </a:p>
      </xdr:txBody>
    </xdr:sp>
    <xdr:clientData/>
  </xdr:twoCellAnchor>
  <xdr:twoCellAnchor>
    <xdr:from>
      <xdr:col>2</xdr:col>
      <xdr:colOff>478155</xdr:colOff>
      <xdr:row>16</xdr:row>
      <xdr:rowOff>186690</xdr:rowOff>
    </xdr:from>
    <xdr:to>
      <xdr:col>4</xdr:col>
      <xdr:colOff>507135</xdr:colOff>
      <xdr:row>18</xdr:row>
      <xdr:rowOff>4545</xdr:rowOff>
    </xdr:to>
    <xdr:sp macro="" textlink="">
      <xdr:nvSpPr>
        <xdr:cNvPr id="11" name="8 CuadroTexto">
          <a:extLst>
            <a:ext uri="{FF2B5EF4-FFF2-40B4-BE49-F238E27FC236}">
              <a16:creationId xmlns:a16="http://schemas.microsoft.com/office/drawing/2014/main" id="{5C287F73-8EFB-4A9F-89A5-AD3E73DFA584}"/>
            </a:ext>
          </a:extLst>
        </xdr:cNvPr>
        <xdr:cNvSpPr txBox="1"/>
      </xdr:nvSpPr>
      <xdr:spPr>
        <a:xfrm>
          <a:off x="1764030" y="3539490"/>
          <a:ext cx="1686330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700">
              <a:latin typeface="Arial" panose="020B0604020202020204" pitchFamily="34" charset="0"/>
              <a:cs typeface="Arial" panose="020B0604020202020204" pitchFamily="34" charset="0"/>
            </a:rPr>
            <a:t>SECADO EN HORNO 60°C</a:t>
          </a:r>
        </a:p>
      </xdr:txBody>
    </xdr:sp>
    <xdr:clientData/>
  </xdr:twoCellAnchor>
  <xdr:twoCellAnchor>
    <xdr:from>
      <xdr:col>4</xdr:col>
      <xdr:colOff>508635</xdr:colOff>
      <xdr:row>15</xdr:row>
      <xdr:rowOff>171450</xdr:rowOff>
    </xdr:from>
    <xdr:to>
      <xdr:col>5</xdr:col>
      <xdr:colOff>474255</xdr:colOff>
      <xdr:row>16</xdr:row>
      <xdr:rowOff>189330</xdr:rowOff>
    </xdr:to>
    <xdr:sp macro="" textlink="">
      <xdr:nvSpPr>
        <xdr:cNvPr id="12" name="8 CuadroTexto">
          <a:extLst>
            <a:ext uri="{FF2B5EF4-FFF2-40B4-BE49-F238E27FC236}">
              <a16:creationId xmlns:a16="http://schemas.microsoft.com/office/drawing/2014/main" id="{B2DE53D7-6CAF-417E-AD74-E44EAAAC40D2}"/>
            </a:ext>
          </a:extLst>
        </xdr:cNvPr>
        <xdr:cNvSpPr txBox="1"/>
      </xdr:nvSpPr>
      <xdr:spPr>
        <a:xfrm>
          <a:off x="3451860" y="3324225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508635</xdr:colOff>
      <xdr:row>16</xdr:row>
      <xdr:rowOff>186690</xdr:rowOff>
    </xdr:from>
    <xdr:to>
      <xdr:col>5</xdr:col>
      <xdr:colOff>474255</xdr:colOff>
      <xdr:row>18</xdr:row>
      <xdr:rowOff>4545</xdr:rowOff>
    </xdr:to>
    <xdr:sp macro="" textlink="">
      <xdr:nvSpPr>
        <xdr:cNvPr id="13" name="8 CuadroTexto">
          <a:extLst>
            <a:ext uri="{FF2B5EF4-FFF2-40B4-BE49-F238E27FC236}">
              <a16:creationId xmlns:a16="http://schemas.microsoft.com/office/drawing/2014/main" id="{EDF2FDE4-1607-4FF0-9841-CAAD56CAA1F8}"/>
            </a:ext>
          </a:extLst>
        </xdr:cNvPr>
        <xdr:cNvSpPr txBox="1"/>
      </xdr:nvSpPr>
      <xdr:spPr>
        <a:xfrm>
          <a:off x="3451860" y="3539490"/>
          <a:ext cx="794295" cy="21790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s-PE" sz="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oneCellAnchor>
    <xdr:from>
      <xdr:col>14</xdr:col>
      <xdr:colOff>624840</xdr:colOff>
      <xdr:row>6</xdr:row>
      <xdr:rowOff>7620</xdr:rowOff>
    </xdr:from>
    <xdr:ext cx="184731" cy="264560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A06A5535-A570-4F3A-8B34-11F24E1EA970}"/>
            </a:ext>
          </a:extLst>
        </xdr:cNvPr>
        <xdr:cNvSpPr txBox="1"/>
      </xdr:nvSpPr>
      <xdr:spPr>
        <a:xfrm>
          <a:off x="10130790" y="120777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0</xdr:col>
      <xdr:colOff>1000125</xdr:colOff>
      <xdr:row>42</xdr:row>
      <xdr:rowOff>19050</xdr:rowOff>
    </xdr:from>
    <xdr:to>
      <xdr:col>3</xdr:col>
      <xdr:colOff>819842</xdr:colOff>
      <xdr:row>45</xdr:row>
      <xdr:rowOff>97471</xdr:rowOff>
    </xdr:to>
    <xdr:sp macro="" textlink="">
      <xdr:nvSpPr>
        <xdr:cNvPr id="22" name="12 Rectángulo">
          <a:extLst>
            <a:ext uri="{FF2B5EF4-FFF2-40B4-BE49-F238E27FC236}">
              <a16:creationId xmlns:a16="http://schemas.microsoft.com/office/drawing/2014/main" id="{40DD37E1-D5BA-41CB-8CD0-01AABF2AB309}"/>
            </a:ext>
          </a:extLst>
        </xdr:cNvPr>
        <xdr:cNvSpPr/>
      </xdr:nvSpPr>
      <xdr:spPr>
        <a:xfrm>
          <a:off x="1000125" y="9363075"/>
          <a:ext cx="1934267" cy="67849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Revisado: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353118</xdr:colOff>
      <xdr:row>42</xdr:row>
      <xdr:rowOff>7622</xdr:rowOff>
    </xdr:from>
    <xdr:to>
      <xdr:col>7</xdr:col>
      <xdr:colOff>160021</xdr:colOff>
      <xdr:row>45</xdr:row>
      <xdr:rowOff>69486</xdr:rowOff>
    </xdr:to>
    <xdr:sp macro="" textlink="">
      <xdr:nvSpPr>
        <xdr:cNvPr id="23" name="12 Rectángulo">
          <a:extLst>
            <a:ext uri="{FF2B5EF4-FFF2-40B4-BE49-F238E27FC236}">
              <a16:creationId xmlns:a16="http://schemas.microsoft.com/office/drawing/2014/main" id="{4CB5452E-B785-4BA3-972C-2B3C9B1CE9D3}"/>
            </a:ext>
          </a:extLst>
        </xdr:cNvPr>
        <xdr:cNvSpPr/>
      </xdr:nvSpPr>
      <xdr:spPr>
        <a:xfrm>
          <a:off x="3296343" y="9351647"/>
          <a:ext cx="2064328" cy="66193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Aprobado:</a:t>
          </a:r>
        </a:p>
        <a:p>
          <a:endParaRPr lang="es-PE" sz="1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10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3</xdr:col>
      <xdr:colOff>447676</xdr:colOff>
      <xdr:row>0</xdr:row>
      <xdr:rowOff>47625</xdr:rowOff>
    </xdr:from>
    <xdr:to>
      <xdr:col>5</xdr:col>
      <xdr:colOff>285750</xdr:colOff>
      <xdr:row>4</xdr:row>
      <xdr:rowOff>152319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31F69EF-DF4C-45DA-82A2-FE82B0D68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2226" y="47625"/>
          <a:ext cx="1495424" cy="9047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L54"/>
  <sheetViews>
    <sheetView showGridLines="0" zoomScaleNormal="100" zoomScaleSheetLayoutView="100" workbookViewId="0">
      <selection activeCell="J18" sqref="J18"/>
    </sheetView>
  </sheetViews>
  <sheetFormatPr baseColWidth="10" defaultColWidth="10.33203125" defaultRowHeight="13.8" x14ac:dyDescent="0.25"/>
  <cols>
    <col min="1" max="1" width="16.33203125" style="1" customWidth="1"/>
    <col min="2" max="2" width="3" style="1" customWidth="1"/>
    <col min="3" max="5" width="12.44140625" style="1" customWidth="1"/>
    <col min="6" max="8" width="10.6640625" style="1" customWidth="1"/>
    <col min="9" max="9" width="7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1" ht="15.75" customHeight="1" thickTop="1" x14ac:dyDescent="0.25">
      <c r="A1" s="21"/>
      <c r="B1" s="22"/>
      <c r="C1" s="22"/>
      <c r="D1" s="23"/>
      <c r="E1" s="23"/>
      <c r="F1" s="23"/>
      <c r="G1" s="23"/>
      <c r="H1" s="23"/>
      <c r="I1" s="24"/>
    </row>
    <row r="2" spans="1:11" ht="15.75" customHeight="1" x14ac:dyDescent="0.25">
      <c r="A2" s="25"/>
      <c r="B2" s="18"/>
      <c r="C2" s="18"/>
      <c r="D2" s="19"/>
      <c r="E2" s="19"/>
      <c r="F2" s="19"/>
      <c r="G2" s="19"/>
      <c r="H2" s="19"/>
      <c r="I2" s="26"/>
    </row>
    <row r="3" spans="1:11" ht="15.75" customHeight="1" x14ac:dyDescent="0.25">
      <c r="A3" s="25"/>
      <c r="B3" s="18"/>
      <c r="C3" s="18"/>
      <c r="D3" s="19"/>
      <c r="E3" s="19"/>
      <c r="F3" s="19"/>
      <c r="G3" s="19"/>
      <c r="H3" s="19"/>
      <c r="I3" s="26"/>
    </row>
    <row r="4" spans="1:11" ht="15.75" customHeight="1" x14ac:dyDescent="0.25">
      <c r="A4" s="25"/>
      <c r="B4" s="18"/>
      <c r="C4" s="18"/>
      <c r="D4" s="19"/>
      <c r="E4" s="19"/>
      <c r="F4" s="19"/>
      <c r="G4" s="19"/>
      <c r="H4" s="19"/>
      <c r="I4" s="26"/>
    </row>
    <row r="5" spans="1:11" ht="15.75" customHeight="1" thickBot="1" x14ac:dyDescent="0.3">
      <c r="A5" s="27"/>
      <c r="B5" s="20"/>
      <c r="C5" s="20"/>
      <c r="D5" s="20"/>
      <c r="E5" s="20"/>
      <c r="F5" s="20"/>
      <c r="G5" s="20"/>
      <c r="H5" s="20"/>
      <c r="I5" s="28"/>
    </row>
    <row r="6" spans="1:11" ht="15.9" customHeight="1" thickTop="1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1" ht="15.9" customHeight="1" x14ac:dyDescent="0.25">
      <c r="A7" s="93" t="s">
        <v>15</v>
      </c>
      <c r="B7" s="93"/>
      <c r="C7" s="93"/>
      <c r="D7" s="93"/>
      <c r="E7" s="93"/>
      <c r="F7" s="93"/>
      <c r="G7" s="93"/>
      <c r="H7" s="93"/>
      <c r="I7" s="93"/>
    </row>
    <row r="8" spans="1:11" ht="15.9" customHeight="1" x14ac:dyDescent="0.25">
      <c r="A8" s="94" t="s">
        <v>23</v>
      </c>
      <c r="B8" s="94"/>
      <c r="C8" s="94"/>
      <c r="D8" s="94"/>
      <c r="E8" s="94"/>
      <c r="F8" s="94"/>
      <c r="G8" s="94"/>
      <c r="H8" s="94"/>
      <c r="I8" s="94"/>
    </row>
    <row r="9" spans="1:11" ht="15.9" customHeight="1" x14ac:dyDescent="0.25">
      <c r="A9" s="29"/>
      <c r="B9" s="29"/>
      <c r="C9" s="29"/>
      <c r="D9" s="29"/>
      <c r="E9" s="29"/>
      <c r="F9" s="29"/>
      <c r="G9" s="29"/>
      <c r="H9" s="29"/>
      <c r="I9" s="29"/>
    </row>
    <row r="10" spans="1:11" ht="15.9" customHeight="1" x14ac:dyDescent="0.25">
      <c r="B10" s="33"/>
      <c r="C10" s="33"/>
      <c r="D10" s="33"/>
      <c r="E10" s="33"/>
      <c r="F10" s="33"/>
      <c r="G10" s="33"/>
      <c r="H10" s="33"/>
      <c r="I10" s="50"/>
      <c r="J10" s="15"/>
      <c r="K10" s="15"/>
    </row>
    <row r="11" spans="1:11" ht="15.9" customHeight="1" x14ac:dyDescent="0.25">
      <c r="A11" s="33"/>
      <c r="B11" s="33"/>
      <c r="C11" s="33"/>
      <c r="D11" s="33"/>
      <c r="E11" s="33"/>
      <c r="F11" s="33"/>
      <c r="G11" s="33"/>
      <c r="H11" s="33"/>
      <c r="I11" s="35"/>
      <c r="J11" s="15"/>
      <c r="K11" s="15"/>
    </row>
    <row r="12" spans="1:11" ht="15.9" customHeight="1" x14ac:dyDescent="0.25">
      <c r="A12" s="33"/>
      <c r="B12" s="34"/>
      <c r="C12" s="48"/>
      <c r="D12" s="48"/>
      <c r="E12" s="48"/>
      <c r="F12" s="48"/>
      <c r="G12" s="48"/>
      <c r="H12" s="48"/>
      <c r="I12" s="36"/>
      <c r="J12" s="15"/>
      <c r="K12" s="15"/>
    </row>
    <row r="13" spans="1:11" ht="30" customHeight="1" x14ac:dyDescent="0.25">
      <c r="A13" s="95" t="s">
        <v>17</v>
      </c>
      <c r="B13" s="96"/>
      <c r="C13" s="96"/>
      <c r="D13" s="96"/>
      <c r="E13" s="96"/>
      <c r="F13" s="96"/>
      <c r="G13" s="96"/>
      <c r="H13" s="96"/>
      <c r="I13" s="97"/>
      <c r="J13" s="15"/>
      <c r="K13" s="15"/>
    </row>
    <row r="14" spans="1:11" ht="18" customHeight="1" x14ac:dyDescent="0.25">
      <c r="A14" s="90" t="s">
        <v>18</v>
      </c>
      <c r="B14" s="91"/>
      <c r="C14" s="91"/>
      <c r="D14" s="91"/>
      <c r="E14" s="91"/>
      <c r="F14" s="91"/>
      <c r="G14" s="91"/>
      <c r="H14" s="91"/>
      <c r="I14" s="92"/>
      <c r="J14" s="15"/>
      <c r="K14" s="15"/>
    </row>
    <row r="15" spans="1:11" ht="11.25" customHeight="1" x14ac:dyDescent="0.25">
      <c r="A15" s="49"/>
      <c r="B15" s="43"/>
      <c r="C15" s="44"/>
      <c r="D15" s="44"/>
      <c r="E15" s="44"/>
      <c r="F15" s="44"/>
      <c r="G15" s="44"/>
      <c r="H15" s="44"/>
      <c r="I15" s="53"/>
      <c r="J15" s="15"/>
      <c r="K15" s="15"/>
    </row>
    <row r="16" spans="1:11" ht="15.9" customHeight="1" x14ac:dyDescent="0.25">
      <c r="C16" s="99"/>
      <c r="D16" s="99"/>
      <c r="E16" s="99"/>
      <c r="G16" s="99"/>
      <c r="H16" s="99"/>
      <c r="I16" s="51"/>
      <c r="K16" s="15"/>
    </row>
    <row r="17" spans="1:12" ht="15.9" customHeight="1" x14ac:dyDescent="0.25">
      <c r="C17" s="60"/>
      <c r="D17" s="62"/>
      <c r="E17" s="61"/>
      <c r="G17" s="60"/>
      <c r="I17" s="38"/>
      <c r="K17" s="15"/>
    </row>
    <row r="18" spans="1:12" ht="15.9" customHeight="1" x14ac:dyDescent="0.25">
      <c r="C18" s="60"/>
      <c r="D18" s="62"/>
      <c r="E18" s="61"/>
      <c r="G18" s="60"/>
      <c r="I18" s="54"/>
      <c r="K18" s="15"/>
      <c r="L18" s="47"/>
    </row>
    <row r="19" spans="1:12" ht="12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K19" s="15"/>
    </row>
    <row r="20" spans="1:12" ht="18.75" customHeight="1" x14ac:dyDescent="0.25">
      <c r="A20" s="45"/>
      <c r="B20" s="56"/>
      <c r="C20" s="56"/>
      <c r="D20" s="56"/>
      <c r="E20" s="56"/>
      <c r="F20" s="56"/>
      <c r="G20" s="56"/>
      <c r="H20" s="56"/>
      <c r="I20" s="46"/>
      <c r="J20" s="15"/>
      <c r="K20" s="31"/>
    </row>
    <row r="21" spans="1:12" ht="18.75" customHeight="1" x14ac:dyDescent="0.25">
      <c r="A21" s="69"/>
      <c r="I21" s="70"/>
      <c r="J21" s="15"/>
      <c r="K21" s="32"/>
    </row>
    <row r="22" spans="1:12" ht="18.75" customHeight="1" x14ac:dyDescent="0.25">
      <c r="A22" s="69"/>
      <c r="I22" s="70"/>
      <c r="J22" s="15"/>
      <c r="K22" s="32"/>
    </row>
    <row r="23" spans="1:12" ht="18.75" customHeight="1" x14ac:dyDescent="0.25">
      <c r="A23" s="69"/>
      <c r="C23" s="86" t="s">
        <v>22</v>
      </c>
      <c r="D23" s="87"/>
      <c r="E23" s="87"/>
      <c r="F23" s="87"/>
      <c r="G23" s="88"/>
      <c r="I23" s="70"/>
      <c r="J23" s="16"/>
      <c r="K23" s="32"/>
    </row>
    <row r="24" spans="1:12" ht="18.75" customHeight="1" x14ac:dyDescent="0.25">
      <c r="A24" s="69"/>
      <c r="C24" s="71" t="s">
        <v>19</v>
      </c>
      <c r="D24" s="72"/>
      <c r="E24" s="73" t="s">
        <v>20</v>
      </c>
      <c r="F24" s="77"/>
      <c r="G24" s="78"/>
      <c r="I24" s="70"/>
      <c r="J24" s="15"/>
      <c r="K24" s="15"/>
    </row>
    <row r="25" spans="1:12" ht="18.75" customHeight="1" x14ac:dyDescent="0.25">
      <c r="A25" s="69"/>
      <c r="C25" s="74" t="s">
        <v>21</v>
      </c>
      <c r="D25" s="75"/>
      <c r="E25" s="76"/>
      <c r="F25" s="79"/>
      <c r="G25" s="80"/>
      <c r="I25" s="70"/>
      <c r="J25" s="15"/>
      <c r="K25" s="15"/>
    </row>
    <row r="26" spans="1:12" ht="18.75" customHeight="1" x14ac:dyDescent="0.25">
      <c r="A26" s="69"/>
      <c r="I26" s="70"/>
      <c r="J26" s="15"/>
      <c r="K26" s="15"/>
    </row>
    <row r="27" spans="1:12" ht="18.75" customHeight="1" x14ac:dyDescent="0.25">
      <c r="A27" s="69"/>
      <c r="I27" s="70"/>
      <c r="J27" s="15"/>
      <c r="K27" s="15"/>
    </row>
    <row r="28" spans="1:12" ht="18.75" customHeight="1" x14ac:dyDescent="0.25">
      <c r="A28" s="69"/>
      <c r="I28" s="70"/>
      <c r="J28" s="15"/>
      <c r="K28" s="15"/>
    </row>
    <row r="29" spans="1:12" ht="18.75" customHeight="1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15"/>
      <c r="K29" s="15"/>
    </row>
    <row r="30" spans="1:12" ht="18.75" customHeight="1" x14ac:dyDescent="0.25">
      <c r="B30" s="68"/>
      <c r="C30" s="81"/>
      <c r="D30" s="63"/>
      <c r="E30" s="63"/>
      <c r="F30" s="82"/>
      <c r="G30" s="83"/>
      <c r="H30" s="83"/>
      <c r="I30" s="14"/>
      <c r="J30" s="15"/>
      <c r="K30" s="15"/>
    </row>
    <row r="31" spans="1:12" ht="18.75" customHeight="1" x14ac:dyDescent="0.25">
      <c r="A31" s="14"/>
      <c r="I31" s="14"/>
      <c r="J31" s="15"/>
      <c r="K31" s="15"/>
    </row>
    <row r="32" spans="1:12" ht="18.75" customHeight="1" x14ac:dyDescent="0.25">
      <c r="I32" s="14"/>
      <c r="J32" s="15"/>
      <c r="K32" s="15"/>
    </row>
    <row r="33" spans="1:11" ht="18.75" customHeight="1" x14ac:dyDescent="0.25">
      <c r="B33" s="39"/>
      <c r="C33" s="63"/>
      <c r="D33" s="63"/>
      <c r="E33" s="63"/>
      <c r="F33" s="63"/>
      <c r="G33" s="63"/>
      <c r="H33" s="63"/>
      <c r="I33" s="14"/>
      <c r="J33" s="15"/>
      <c r="K33" s="15"/>
    </row>
    <row r="34" spans="1:11" ht="18.75" customHeight="1" x14ac:dyDescent="0.25">
      <c r="B34" s="41"/>
      <c r="C34" s="63"/>
      <c r="D34" s="63"/>
      <c r="E34" s="63"/>
      <c r="F34" s="63"/>
      <c r="G34" s="63"/>
      <c r="H34" s="63"/>
      <c r="I34" s="14"/>
      <c r="J34" s="15"/>
      <c r="K34" s="15"/>
    </row>
    <row r="35" spans="1:11" ht="18.75" customHeight="1" x14ac:dyDescent="0.25">
      <c r="A35" s="65"/>
      <c r="B35" s="41"/>
      <c r="C35" s="63"/>
      <c r="D35" s="63"/>
      <c r="E35" s="63"/>
      <c r="F35" s="63"/>
      <c r="G35" s="63"/>
      <c r="H35" s="63"/>
      <c r="I35" s="14"/>
      <c r="J35" s="15"/>
      <c r="K35" s="15"/>
    </row>
    <row r="36" spans="1:11" ht="18.75" customHeight="1" x14ac:dyDescent="0.25">
      <c r="A36" s="65"/>
      <c r="B36" s="41"/>
      <c r="C36" s="63"/>
      <c r="D36" s="63"/>
      <c r="E36" s="63"/>
      <c r="F36" s="63"/>
      <c r="G36" s="63"/>
      <c r="H36" s="63"/>
      <c r="I36" s="14"/>
      <c r="J36" s="15"/>
      <c r="K36" s="15"/>
    </row>
    <row r="37" spans="1:11" ht="18.75" customHeight="1" x14ac:dyDescent="0.25">
      <c r="A37" s="42"/>
      <c r="B37" s="37"/>
      <c r="C37" s="64"/>
      <c r="D37" s="57"/>
      <c r="E37" s="57"/>
      <c r="F37" s="57"/>
      <c r="G37" s="58"/>
      <c r="H37" s="59"/>
      <c r="I37" s="14"/>
      <c r="J37" s="15"/>
      <c r="K37" s="15"/>
    </row>
    <row r="38" spans="1:11" ht="18.75" customHeight="1" x14ac:dyDescent="0.25">
      <c r="A38" s="42"/>
      <c r="B38" s="40"/>
      <c r="C38" s="40"/>
      <c r="D38" s="40"/>
      <c r="E38" s="40"/>
      <c r="F38" s="40"/>
      <c r="G38" s="66"/>
      <c r="H38" s="67"/>
      <c r="I38" s="14"/>
      <c r="J38" s="15"/>
      <c r="K38" s="15"/>
    </row>
    <row r="39" spans="1:11" ht="18.75" customHeight="1" x14ac:dyDescent="0.25">
      <c r="A39" s="42"/>
      <c r="B39" s="40"/>
      <c r="C39" s="40"/>
      <c r="D39" s="40"/>
      <c r="E39" s="40"/>
      <c r="F39" s="40"/>
      <c r="G39" s="40"/>
      <c r="H39" s="14"/>
      <c r="I39" s="14"/>
      <c r="J39" s="15"/>
      <c r="K39" s="15"/>
    </row>
    <row r="40" spans="1:11" ht="18.75" customHeight="1" x14ac:dyDescent="0.25">
      <c r="A40" s="42"/>
      <c r="B40" s="40"/>
      <c r="C40" s="40"/>
      <c r="D40" s="40"/>
      <c r="E40" s="40"/>
      <c r="F40" s="40"/>
      <c r="G40" s="40"/>
      <c r="H40" s="14"/>
      <c r="I40" s="14"/>
      <c r="J40" s="15"/>
      <c r="K40" s="15"/>
    </row>
    <row r="41" spans="1:11" ht="18.75" customHeight="1" x14ac:dyDescent="0.25">
      <c r="A41" s="42"/>
      <c r="B41" s="40"/>
      <c r="C41" s="40"/>
      <c r="D41" s="40"/>
      <c r="E41" s="40"/>
      <c r="F41" s="40"/>
      <c r="G41" s="40"/>
      <c r="H41" s="14"/>
      <c r="I41" s="14"/>
      <c r="J41" s="15"/>
      <c r="K41" s="15"/>
    </row>
    <row r="42" spans="1:11" ht="15.9" customHeight="1" x14ac:dyDescent="0.25">
      <c r="A42" s="39"/>
      <c r="B42" s="40"/>
      <c r="C42" s="40"/>
      <c r="D42" s="40"/>
      <c r="E42" s="40"/>
      <c r="F42" s="40"/>
      <c r="G42" s="40"/>
      <c r="H42" s="14"/>
      <c r="I42" s="14"/>
      <c r="J42" s="15"/>
      <c r="K42" s="15"/>
    </row>
    <row r="43" spans="1:11" ht="15.9" customHeight="1" x14ac:dyDescent="0.25">
      <c r="A43" s="39"/>
      <c r="B43" s="40"/>
      <c r="C43" s="40"/>
      <c r="D43" s="40"/>
      <c r="E43" s="40"/>
      <c r="F43" s="40"/>
      <c r="G43" s="40"/>
      <c r="H43" s="14"/>
      <c r="I43" s="14"/>
      <c r="J43" s="15"/>
      <c r="K43" s="15"/>
    </row>
    <row r="44" spans="1:11" ht="15.9" customHeight="1" x14ac:dyDescent="0.25">
      <c r="A44" s="39"/>
      <c r="B44" s="40"/>
      <c r="C44" s="40"/>
      <c r="D44" s="40"/>
      <c r="E44" s="40"/>
      <c r="F44" s="40"/>
      <c r="G44" s="40"/>
      <c r="H44" s="14"/>
      <c r="I44" s="14"/>
      <c r="J44" s="15"/>
      <c r="K44" s="15"/>
    </row>
    <row r="45" spans="1:11" ht="15.9" customHeight="1" x14ac:dyDescent="0.25">
      <c r="A45" s="39"/>
      <c r="B45" s="40"/>
      <c r="C45" s="40"/>
      <c r="D45" s="40"/>
      <c r="E45" s="40"/>
      <c r="F45" s="40"/>
      <c r="G45" s="40"/>
      <c r="H45" s="14"/>
      <c r="I45" s="14"/>
      <c r="J45" s="15"/>
      <c r="K45" s="15"/>
    </row>
    <row r="46" spans="1:11" ht="15.9" customHeight="1" x14ac:dyDescent="0.25">
      <c r="A46" s="52"/>
      <c r="B46" s="40"/>
      <c r="I46" s="14"/>
      <c r="J46" s="15"/>
      <c r="K46" s="15"/>
    </row>
    <row r="47" spans="1:11" ht="15.9" customHeight="1" x14ac:dyDescent="0.25">
      <c r="A47" s="42"/>
      <c r="B47" s="40"/>
      <c r="C47" s="40"/>
      <c r="D47" s="40"/>
      <c r="E47" s="40"/>
      <c r="F47" s="40"/>
      <c r="G47" s="40"/>
      <c r="H47" s="14"/>
      <c r="I47" s="14"/>
      <c r="J47" s="15"/>
      <c r="K47" s="15"/>
    </row>
    <row r="48" spans="1:11" ht="15.9" customHeight="1" x14ac:dyDescent="0.25">
      <c r="B48" s="98"/>
      <c r="C48" s="98"/>
      <c r="D48" s="98"/>
      <c r="E48" s="98"/>
      <c r="F48" s="98"/>
      <c r="G48" s="98"/>
      <c r="H48" s="34"/>
      <c r="I48" s="14"/>
      <c r="J48" s="15"/>
      <c r="K48" s="15"/>
    </row>
    <row r="49" spans="1:11" ht="15.9" customHeight="1" x14ac:dyDescent="0.25">
      <c r="A49" s="55" t="s">
        <v>16</v>
      </c>
      <c r="B49" s="40"/>
      <c r="C49" s="40"/>
      <c r="D49" s="40"/>
      <c r="E49" s="40"/>
      <c r="F49" s="40"/>
      <c r="G49" s="40"/>
      <c r="H49" s="14"/>
      <c r="I49" s="14"/>
      <c r="J49" s="15"/>
      <c r="K49" s="15"/>
    </row>
    <row r="50" spans="1:11" ht="15.9" customHeight="1" x14ac:dyDescent="0.25">
      <c r="A50" s="55" t="s">
        <v>24</v>
      </c>
      <c r="B50" s="14"/>
      <c r="C50" s="14"/>
      <c r="D50" s="14"/>
      <c r="E50" s="14"/>
      <c r="F50" s="14"/>
      <c r="G50" s="14"/>
      <c r="H50" s="14"/>
      <c r="I50" s="14"/>
      <c r="J50" s="15"/>
      <c r="K50" s="15"/>
    </row>
    <row r="51" spans="1:11" ht="15.9" customHeight="1" x14ac:dyDescent="0.25"/>
    <row r="52" spans="1:11" ht="30.75" customHeight="1" x14ac:dyDescent="0.25">
      <c r="A52" s="89" t="s">
        <v>25</v>
      </c>
      <c r="B52" s="89"/>
      <c r="C52" s="89"/>
      <c r="D52" s="89"/>
      <c r="E52" s="89"/>
      <c r="F52" s="89"/>
      <c r="G52" s="89"/>
      <c r="H52" s="89"/>
      <c r="I52" s="89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10:C11 C48" name="Rango3_3_1_1_1_1_1_2_1"/>
  </protectedRanges>
  <mergeCells count="10">
    <mergeCell ref="C23:G23"/>
    <mergeCell ref="A52:I52"/>
    <mergeCell ref="A14:I14"/>
    <mergeCell ref="A7:I7"/>
    <mergeCell ref="A8:I8"/>
    <mergeCell ref="A13:I13"/>
    <mergeCell ref="B48:D48"/>
    <mergeCell ref="C16:E16"/>
    <mergeCell ref="G16:H16"/>
    <mergeCell ref="E48:G48"/>
  </mergeCells>
  <printOptions horizontalCentered="1" verticalCentered="1"/>
  <pageMargins left="0.78740157480314965" right="0.78740157480314965" top="0.78740157480314965" bottom="0.39370078740157483" header="0" footer="0"/>
  <pageSetup paperSize="274" scale="8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87E6-BE07-4E00-BB73-F22BBE417560}">
  <dimension ref="A1:L54"/>
  <sheetViews>
    <sheetView showGridLines="0" tabSelected="1" zoomScaleNormal="100" zoomScaleSheetLayoutView="100" workbookViewId="0">
      <selection activeCell="L10" sqref="L10"/>
    </sheetView>
  </sheetViews>
  <sheetFormatPr baseColWidth="10" defaultColWidth="10.33203125" defaultRowHeight="13.8" x14ac:dyDescent="0.25"/>
  <cols>
    <col min="1" max="1" width="16.33203125" style="1" customWidth="1"/>
    <col min="2" max="2" width="3" style="1" customWidth="1"/>
    <col min="3" max="5" width="12.44140625" style="1" customWidth="1"/>
    <col min="6" max="8" width="10.6640625" style="1" customWidth="1"/>
    <col min="9" max="9" width="7.6640625" style="1" customWidth="1"/>
    <col min="10" max="10" width="6.44140625" style="1" customWidth="1"/>
    <col min="11" max="11" width="8" style="1" customWidth="1"/>
    <col min="12" max="13" width="10.6640625" style="1" customWidth="1"/>
    <col min="14" max="16384" width="10.33203125" style="1"/>
  </cols>
  <sheetData>
    <row r="1" spans="1:12" ht="15.75" customHeight="1" thickTop="1" x14ac:dyDescent="0.25">
      <c r="A1" s="21"/>
      <c r="B1" s="22"/>
      <c r="C1" s="22"/>
      <c r="D1" s="23"/>
      <c r="E1" s="23"/>
      <c r="F1" s="23"/>
      <c r="G1" s="23"/>
      <c r="H1" s="23"/>
      <c r="I1" s="24"/>
    </row>
    <row r="2" spans="1:12" ht="15.75" customHeight="1" x14ac:dyDescent="0.25">
      <c r="A2" s="25"/>
      <c r="B2" s="18"/>
      <c r="C2" s="18"/>
      <c r="D2" s="19"/>
      <c r="E2" s="19"/>
      <c r="F2" s="19"/>
      <c r="G2" s="19"/>
      <c r="H2" s="19"/>
      <c r="I2" s="26"/>
    </row>
    <row r="3" spans="1:12" ht="15.75" customHeight="1" x14ac:dyDescent="0.25">
      <c r="A3" s="25"/>
      <c r="B3" s="18"/>
      <c r="C3" s="18"/>
      <c r="D3" s="19"/>
      <c r="E3" s="19"/>
      <c r="F3" s="19"/>
      <c r="G3" s="19"/>
      <c r="H3" s="19"/>
      <c r="I3" s="26"/>
    </row>
    <row r="4" spans="1:12" ht="15.75" customHeight="1" x14ac:dyDescent="0.25">
      <c r="A4" s="25"/>
      <c r="B4" s="18"/>
      <c r="C4" s="18"/>
      <c r="D4" s="19"/>
      <c r="E4" s="19"/>
      <c r="F4" s="19"/>
      <c r="G4" s="19"/>
      <c r="H4" s="19"/>
      <c r="I4" s="26"/>
    </row>
    <row r="5" spans="1:12" ht="15.75" customHeight="1" thickBot="1" x14ac:dyDescent="0.3">
      <c r="A5" s="27"/>
      <c r="B5" s="20"/>
      <c r="C5" s="20"/>
      <c r="D5" s="20"/>
      <c r="E5" s="20"/>
      <c r="F5" s="20"/>
      <c r="G5" s="20"/>
      <c r="H5" s="20"/>
      <c r="I5" s="28"/>
    </row>
    <row r="6" spans="1:12" ht="15.9" customHeight="1" thickTop="1" x14ac:dyDescent="0.25">
      <c r="A6" s="17"/>
      <c r="B6" s="17"/>
      <c r="C6" s="17"/>
      <c r="D6" s="17"/>
      <c r="E6" s="17"/>
      <c r="F6" s="17"/>
      <c r="G6" s="17"/>
      <c r="H6" s="17"/>
      <c r="I6" s="17"/>
      <c r="L6"/>
    </row>
    <row r="7" spans="1:12" ht="15.9" customHeight="1" x14ac:dyDescent="0.25">
      <c r="A7" s="93" t="s">
        <v>15</v>
      </c>
      <c r="B7" s="93"/>
      <c r="C7" s="93"/>
      <c r="D7" s="93"/>
      <c r="E7" s="93"/>
      <c r="F7" s="93"/>
      <c r="G7" s="93"/>
      <c r="H7" s="93"/>
      <c r="I7" s="93"/>
    </row>
    <row r="8" spans="1:12" ht="15.9" customHeight="1" x14ac:dyDescent="0.25">
      <c r="A8" s="94" t="s">
        <v>23</v>
      </c>
      <c r="B8" s="94"/>
      <c r="C8" s="94"/>
      <c r="D8" s="94"/>
      <c r="E8" s="94"/>
      <c r="F8" s="94"/>
      <c r="G8" s="94"/>
      <c r="H8" s="94"/>
      <c r="I8" s="94"/>
    </row>
    <row r="9" spans="1:12" ht="15.9" customHeight="1" x14ac:dyDescent="0.25">
      <c r="A9" s="29"/>
      <c r="B9" s="29"/>
      <c r="C9" s="29"/>
      <c r="D9" s="29"/>
      <c r="E9" s="29"/>
      <c r="F9" s="29"/>
      <c r="G9" s="29"/>
      <c r="H9" s="29"/>
      <c r="I9" s="29"/>
    </row>
    <row r="10" spans="1:12" ht="15.9" customHeight="1" x14ac:dyDescent="0.25">
      <c r="B10" s="107" t="s">
        <v>35</v>
      </c>
      <c r="C10" s="107"/>
      <c r="D10" s="108" t="s">
        <v>36</v>
      </c>
      <c r="E10" s="111" t="s">
        <v>37</v>
      </c>
      <c r="F10" s="112"/>
      <c r="G10" s="111" t="s">
        <v>38</v>
      </c>
      <c r="H10" s="112"/>
      <c r="I10"/>
      <c r="J10"/>
      <c r="K10" s="15"/>
    </row>
    <row r="11" spans="1:12" ht="15.9" customHeight="1" x14ac:dyDescent="0.25">
      <c r="A11" s="33"/>
      <c r="B11" s="109"/>
      <c r="C11" s="109"/>
      <c r="D11" s="110"/>
      <c r="E11" s="113"/>
      <c r="F11" s="114"/>
      <c r="G11" s="113"/>
      <c r="H11" s="114"/>
      <c r="I11"/>
      <c r="J11"/>
      <c r="K11" s="15"/>
    </row>
    <row r="12" spans="1:12" ht="15.9" customHeight="1" x14ac:dyDescent="0.25">
      <c r="A12" s="33"/>
      <c r="B12" s="34"/>
      <c r="C12" s="48"/>
      <c r="D12" s="48"/>
      <c r="E12" s="48"/>
      <c r="F12" s="48"/>
      <c r="G12" s="48"/>
      <c r="H12" s="48"/>
      <c r="I12" s="36"/>
      <c r="J12" s="15"/>
      <c r="K12" s="15"/>
    </row>
    <row r="13" spans="1:12" ht="30" customHeight="1" x14ac:dyDescent="0.25">
      <c r="A13" s="95" t="s">
        <v>17</v>
      </c>
      <c r="B13" s="96"/>
      <c r="C13" s="96"/>
      <c r="D13" s="96"/>
      <c r="E13" s="96"/>
      <c r="F13" s="96"/>
      <c r="G13" s="96"/>
      <c r="H13" s="96"/>
      <c r="I13" s="97"/>
      <c r="J13" s="15"/>
      <c r="K13" s="15"/>
    </row>
    <row r="14" spans="1:12" ht="18" customHeight="1" x14ac:dyDescent="0.25">
      <c r="A14" s="90" t="s">
        <v>18</v>
      </c>
      <c r="B14" s="91"/>
      <c r="C14" s="91"/>
      <c r="D14" s="91"/>
      <c r="E14" s="91"/>
      <c r="F14" s="91"/>
      <c r="G14" s="91"/>
      <c r="H14" s="91"/>
      <c r="I14" s="92"/>
      <c r="J14" s="15"/>
      <c r="K14" s="15"/>
    </row>
    <row r="15" spans="1:12" ht="11.25" customHeight="1" x14ac:dyDescent="0.25">
      <c r="A15" s="49"/>
      <c r="B15" s="43"/>
      <c r="C15" s="44"/>
      <c r="D15" s="44"/>
      <c r="E15" s="44"/>
      <c r="F15" s="44"/>
      <c r="G15" s="44"/>
      <c r="H15" s="44"/>
      <c r="I15" s="53"/>
      <c r="J15" s="15"/>
      <c r="K15" s="15"/>
    </row>
    <row r="16" spans="1:12" ht="15.9" customHeight="1" x14ac:dyDescent="0.25">
      <c r="C16" s="99"/>
      <c r="D16" s="99"/>
      <c r="E16" s="99"/>
      <c r="G16" s="99"/>
      <c r="H16" s="99"/>
      <c r="I16" s="51"/>
      <c r="K16" s="15"/>
    </row>
    <row r="17" spans="1:12" ht="15.9" customHeight="1" x14ac:dyDescent="0.25">
      <c r="C17" s="60"/>
      <c r="D17" s="62"/>
      <c r="E17" s="61"/>
      <c r="G17" s="60"/>
      <c r="I17" s="38"/>
      <c r="K17" s="15"/>
    </row>
    <row r="18" spans="1:12" ht="15.9" customHeight="1" x14ac:dyDescent="0.25">
      <c r="C18" s="60"/>
      <c r="D18" s="62"/>
      <c r="E18" s="61"/>
      <c r="G18" s="60"/>
      <c r="I18" s="54"/>
      <c r="K18" s="15"/>
      <c r="L18" s="47"/>
    </row>
    <row r="19" spans="1:12" ht="12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K19" s="15"/>
    </row>
    <row r="20" spans="1:12" ht="18.75" customHeight="1" x14ac:dyDescent="0.25">
      <c r="A20" s="45"/>
      <c r="B20" s="56"/>
      <c r="C20" s="56"/>
      <c r="D20" s="56"/>
      <c r="E20" s="56"/>
      <c r="F20" s="56"/>
      <c r="G20" s="56"/>
      <c r="H20" s="56"/>
      <c r="I20" s="46"/>
      <c r="J20" s="15"/>
      <c r="K20" s="31"/>
    </row>
    <row r="21" spans="1:12" ht="18.75" customHeight="1" x14ac:dyDescent="0.25">
      <c r="A21" s="69"/>
      <c r="I21" s="70"/>
      <c r="J21" s="15"/>
      <c r="K21" s="32"/>
    </row>
    <row r="22" spans="1:12" ht="18.75" customHeight="1" x14ac:dyDescent="0.25">
      <c r="A22" s="69"/>
      <c r="I22" s="70"/>
      <c r="J22" s="15"/>
      <c r="K22" s="32"/>
    </row>
    <row r="23" spans="1:12" ht="18.75" customHeight="1" x14ac:dyDescent="0.25">
      <c r="A23" s="69"/>
      <c r="C23" s="86" t="s">
        <v>22</v>
      </c>
      <c r="D23" s="87"/>
      <c r="E23" s="87"/>
      <c r="F23" s="87"/>
      <c r="G23" s="88"/>
      <c r="I23" s="70"/>
      <c r="J23" s="16"/>
      <c r="K23" s="32"/>
    </row>
    <row r="24" spans="1:12" ht="18.75" customHeight="1" x14ac:dyDescent="0.25">
      <c r="A24" s="69"/>
      <c r="C24" s="71" t="s">
        <v>19</v>
      </c>
      <c r="D24" s="72"/>
      <c r="E24" s="73" t="s">
        <v>20</v>
      </c>
      <c r="F24" s="77"/>
      <c r="G24" s="78"/>
      <c r="I24" s="70"/>
      <c r="J24" s="15"/>
      <c r="K24" s="15"/>
    </row>
    <row r="25" spans="1:12" ht="18.75" customHeight="1" x14ac:dyDescent="0.25">
      <c r="A25" s="69"/>
      <c r="C25" s="74" t="s">
        <v>21</v>
      </c>
      <c r="D25" s="75"/>
      <c r="E25" s="76"/>
      <c r="F25" s="79"/>
      <c r="G25" s="80"/>
      <c r="I25" s="70"/>
      <c r="J25" s="15"/>
      <c r="K25" s="15"/>
    </row>
    <row r="26" spans="1:12" ht="18.75" customHeight="1" x14ac:dyDescent="0.25">
      <c r="A26" s="69"/>
      <c r="I26" s="70"/>
      <c r="J26" s="15"/>
      <c r="K26" s="15"/>
    </row>
    <row r="27" spans="1:12" ht="18.75" customHeight="1" x14ac:dyDescent="0.25">
      <c r="A27" s="69"/>
      <c r="I27" s="70"/>
      <c r="J27" s="15"/>
      <c r="K27" s="15"/>
    </row>
    <row r="28" spans="1:12" ht="18.75" customHeight="1" x14ac:dyDescent="0.25">
      <c r="A28" s="69"/>
      <c r="I28" s="70"/>
      <c r="J28" s="15"/>
      <c r="K28" s="15"/>
    </row>
    <row r="29" spans="1:12" ht="18.75" customHeight="1" x14ac:dyDescent="0.25">
      <c r="A29" s="56"/>
      <c r="B29" s="56"/>
      <c r="C29" s="56"/>
      <c r="D29" s="56"/>
      <c r="E29" s="56"/>
      <c r="F29" s="56"/>
      <c r="G29" s="56"/>
      <c r="H29" s="56"/>
      <c r="I29" s="56"/>
      <c r="J29" s="15"/>
      <c r="K29" s="15"/>
    </row>
    <row r="30" spans="1:12" ht="18.75" customHeight="1" x14ac:dyDescent="0.25">
      <c r="B30" s="68"/>
      <c r="C30" s="81"/>
      <c r="D30" s="63"/>
      <c r="E30" s="63"/>
      <c r="F30" s="82"/>
      <c r="G30" s="83"/>
      <c r="H30" s="83"/>
      <c r="I30" s="14"/>
      <c r="J30" s="15"/>
      <c r="K30" s="15"/>
    </row>
    <row r="31" spans="1:12" ht="18.75" customHeight="1" x14ac:dyDescent="0.25">
      <c r="A31" s="85" t="s">
        <v>31</v>
      </c>
      <c r="I31" s="14"/>
      <c r="J31" s="15"/>
      <c r="K31" s="15"/>
    </row>
    <row r="32" spans="1:12" ht="18.75" customHeight="1" x14ac:dyDescent="0.25">
      <c r="A32" s="37" t="s">
        <v>32</v>
      </c>
      <c r="J32" s="15"/>
      <c r="K32" s="15"/>
    </row>
    <row r="33" spans="1:11" ht="18.75" customHeight="1" x14ac:dyDescent="0.25">
      <c r="B33" s="39"/>
      <c r="C33" s="63"/>
      <c r="D33" s="63"/>
      <c r="E33" s="63"/>
      <c r="F33" s="63"/>
      <c r="G33" s="63"/>
      <c r="H33" s="63"/>
      <c r="I33" s="14"/>
      <c r="J33" s="15"/>
      <c r="K33" s="15"/>
    </row>
    <row r="34" spans="1:11" ht="18.75" customHeight="1" x14ac:dyDescent="0.25">
      <c r="B34" s="41"/>
      <c r="C34" s="63"/>
      <c r="D34" s="63"/>
      <c r="E34" s="63"/>
      <c r="F34" s="63"/>
      <c r="G34" s="63"/>
      <c r="H34" s="63"/>
      <c r="I34" s="14"/>
      <c r="J34" s="15"/>
      <c r="K34" s="15"/>
    </row>
    <row r="35" spans="1:11" ht="18.75" customHeight="1" x14ac:dyDescent="0.25">
      <c r="A35" s="65"/>
      <c r="B35" s="41"/>
      <c r="C35" s="104" t="s">
        <v>28</v>
      </c>
      <c r="D35" s="105"/>
      <c r="E35" s="104" t="s">
        <v>29</v>
      </c>
      <c r="F35" s="105"/>
      <c r="G35" s="63"/>
      <c r="H35" s="63"/>
      <c r="I35" s="14"/>
      <c r="J35" s="15"/>
      <c r="K35" s="15"/>
    </row>
    <row r="36" spans="1:11" ht="18.75" customHeight="1" x14ac:dyDescent="0.25">
      <c r="A36" s="65"/>
      <c r="B36" s="41"/>
      <c r="C36" s="102" t="s">
        <v>30</v>
      </c>
      <c r="D36" s="103"/>
      <c r="E36" s="100"/>
      <c r="F36" s="101"/>
      <c r="G36" s="63"/>
      <c r="H36" s="63"/>
      <c r="I36" s="14"/>
      <c r="J36" s="15"/>
      <c r="K36" s="15"/>
    </row>
    <row r="37" spans="1:11" ht="18.75" customHeight="1" x14ac:dyDescent="0.25">
      <c r="A37" s="42"/>
      <c r="B37" s="37"/>
      <c r="C37" s="102" t="s">
        <v>33</v>
      </c>
      <c r="D37" s="103"/>
      <c r="E37" s="100"/>
      <c r="F37" s="101"/>
      <c r="G37" s="58"/>
      <c r="H37" s="59"/>
      <c r="I37" s="14"/>
      <c r="J37" s="15"/>
      <c r="K37" s="15"/>
    </row>
    <row r="38" spans="1:11" ht="18.75" customHeight="1" x14ac:dyDescent="0.25">
      <c r="A38" s="42"/>
      <c r="B38" s="40"/>
      <c r="C38" s="102" t="s">
        <v>34</v>
      </c>
      <c r="D38" s="103"/>
      <c r="E38" s="100"/>
      <c r="F38" s="101"/>
      <c r="G38" s="66"/>
      <c r="H38" s="67"/>
      <c r="I38" s="14"/>
      <c r="J38" s="15"/>
      <c r="K38" s="15"/>
    </row>
    <row r="39" spans="1:11" ht="18.75" customHeight="1" x14ac:dyDescent="0.25">
      <c r="A39" s="42"/>
      <c r="B39" s="40"/>
      <c r="C39" s="40"/>
      <c r="D39" s="40"/>
      <c r="E39" s="40"/>
      <c r="F39" s="40"/>
      <c r="G39" s="40"/>
      <c r="H39" s="14"/>
      <c r="I39" s="14"/>
      <c r="J39" s="15"/>
      <c r="K39" s="15"/>
    </row>
    <row r="40" spans="1:11" ht="18.75" customHeight="1" x14ac:dyDescent="0.25">
      <c r="A40" s="42"/>
      <c r="B40" s="40"/>
      <c r="C40" s="40"/>
      <c r="D40" s="40"/>
      <c r="E40" s="40"/>
      <c r="F40" s="40"/>
      <c r="G40" s="40"/>
      <c r="H40" s="14"/>
      <c r="I40" s="14"/>
      <c r="J40" s="15"/>
      <c r="K40" s="15"/>
    </row>
    <row r="41" spans="1:11" ht="18.75" customHeight="1" x14ac:dyDescent="0.25">
      <c r="A41" s="42"/>
      <c r="B41" s="40"/>
      <c r="C41" s="40"/>
      <c r="D41" s="40"/>
      <c r="E41" s="40"/>
      <c r="F41" s="40"/>
      <c r="G41" s="40"/>
      <c r="H41" s="14"/>
      <c r="I41" s="14"/>
      <c r="J41" s="15"/>
      <c r="K41" s="15"/>
    </row>
    <row r="42" spans="1:11" ht="15.9" customHeight="1" x14ac:dyDescent="0.25">
      <c r="A42" s="39"/>
      <c r="B42" s="40"/>
      <c r="C42" s="40"/>
      <c r="D42" s="40"/>
      <c r="E42" s="40"/>
      <c r="F42" s="40"/>
      <c r="G42" s="40"/>
      <c r="H42" s="14"/>
      <c r="I42" s="14"/>
      <c r="J42" s="15"/>
      <c r="K42" s="15"/>
    </row>
    <row r="43" spans="1:11" ht="15.9" customHeight="1" x14ac:dyDescent="0.25">
      <c r="A43" s="39"/>
      <c r="B43" s="40"/>
      <c r="C43" s="40"/>
      <c r="D43" s="40"/>
      <c r="E43" s="40"/>
      <c r="F43" s="40"/>
      <c r="G43" s="40"/>
      <c r="H43" s="14"/>
      <c r="I43" s="14"/>
      <c r="J43" s="15"/>
      <c r="K43" s="15"/>
    </row>
    <row r="44" spans="1:11" ht="15.9" customHeight="1" x14ac:dyDescent="0.25">
      <c r="A44" s="39"/>
      <c r="B44" s="40"/>
      <c r="C44" s="40"/>
      <c r="D44" s="40"/>
      <c r="E44" s="40"/>
      <c r="F44" s="40"/>
      <c r="G44" s="40"/>
      <c r="H44" s="14"/>
      <c r="I44" s="14"/>
      <c r="J44" s="15"/>
      <c r="K44" s="15"/>
    </row>
    <row r="45" spans="1:11" ht="15.9" customHeight="1" x14ac:dyDescent="0.25">
      <c r="A45" s="39"/>
      <c r="B45" s="40"/>
      <c r="C45" s="40"/>
      <c r="D45" s="40"/>
      <c r="E45" s="40"/>
      <c r="F45" s="40"/>
      <c r="G45" s="40"/>
      <c r="H45" s="14"/>
      <c r="I45" s="14"/>
      <c r="J45" s="15"/>
      <c r="K45" s="15"/>
    </row>
    <row r="46" spans="1:11" ht="15.9" customHeight="1" x14ac:dyDescent="0.25">
      <c r="A46" s="52"/>
      <c r="B46" s="40"/>
      <c r="I46" s="14"/>
      <c r="J46" s="15"/>
      <c r="K46" s="15"/>
    </row>
    <row r="47" spans="1:11" ht="15.9" customHeight="1" x14ac:dyDescent="0.25">
      <c r="A47" s="42"/>
      <c r="B47" s="40"/>
      <c r="C47" s="40"/>
      <c r="D47" s="40"/>
      <c r="E47" s="40"/>
      <c r="F47" s="40"/>
      <c r="G47" s="40"/>
      <c r="H47" s="14"/>
      <c r="I47" s="14"/>
      <c r="J47" s="15"/>
      <c r="K47" s="15"/>
    </row>
    <row r="48" spans="1:11" ht="15.9" customHeight="1" x14ac:dyDescent="0.25">
      <c r="B48" s="98"/>
      <c r="C48" s="98"/>
      <c r="D48" s="98"/>
      <c r="E48" s="98"/>
      <c r="F48" s="98"/>
      <c r="G48" s="98"/>
      <c r="H48" s="34"/>
      <c r="I48" s="14"/>
      <c r="J48" s="15"/>
      <c r="K48" s="15"/>
    </row>
    <row r="49" spans="1:11" ht="15.9" customHeight="1" x14ac:dyDescent="0.25">
      <c r="A49" s="55" t="s">
        <v>16</v>
      </c>
      <c r="B49" s="40"/>
      <c r="C49" s="40"/>
      <c r="D49" s="40"/>
      <c r="E49" s="40"/>
      <c r="F49" s="40"/>
      <c r="G49" s="40"/>
      <c r="H49" s="14"/>
      <c r="I49" s="14"/>
      <c r="J49" s="15"/>
      <c r="K49" s="15"/>
    </row>
    <row r="50" spans="1:11" ht="15.9" customHeight="1" x14ac:dyDescent="0.25">
      <c r="A50" s="55" t="s">
        <v>27</v>
      </c>
      <c r="B50" s="14"/>
      <c r="C50" s="14"/>
      <c r="D50" s="84" t="s">
        <v>26</v>
      </c>
      <c r="E50" s="14"/>
      <c r="F50" s="14"/>
      <c r="G50" s="14"/>
      <c r="H50" s="14"/>
      <c r="I50" s="14"/>
      <c r="J50" s="15"/>
      <c r="K50" s="15"/>
    </row>
    <row r="51" spans="1:11" ht="15.9" customHeight="1" x14ac:dyDescent="0.25"/>
    <row r="52" spans="1:11" ht="30.75" customHeight="1" x14ac:dyDescent="0.25">
      <c r="A52" s="89" t="s">
        <v>25</v>
      </c>
      <c r="B52" s="89"/>
      <c r="C52" s="89"/>
      <c r="D52" s="89"/>
      <c r="E52" s="89"/>
      <c r="F52" s="89"/>
      <c r="G52" s="89"/>
      <c r="H52" s="89"/>
      <c r="I52" s="89"/>
    </row>
    <row r="53" spans="1:11" ht="15.9" customHeight="1" x14ac:dyDescent="0.25"/>
    <row r="54" spans="1:11" ht="15.9" customHeight="1" x14ac:dyDescent="0.25"/>
  </sheetData>
  <protectedRanges>
    <protectedRange sqref="C12 C15" name="Rango3_3_1_1_1_1_1_1_1_1"/>
    <protectedRange sqref="C48" name="Rango3_3_1_1_1_1_1_2_1"/>
  </protectedRanges>
  <mergeCells count="24">
    <mergeCell ref="E10:F10"/>
    <mergeCell ref="E11:F11"/>
    <mergeCell ref="G10:H10"/>
    <mergeCell ref="G11:H11"/>
    <mergeCell ref="A7:I7"/>
    <mergeCell ref="A8:I8"/>
    <mergeCell ref="A13:I13"/>
    <mergeCell ref="A14:I14"/>
    <mergeCell ref="C16:E16"/>
    <mergeCell ref="G16:H16"/>
    <mergeCell ref="B10:C10"/>
    <mergeCell ref="B11:C11"/>
    <mergeCell ref="E37:F37"/>
    <mergeCell ref="C23:G23"/>
    <mergeCell ref="B48:D48"/>
    <mergeCell ref="E48:G48"/>
    <mergeCell ref="A52:I52"/>
    <mergeCell ref="C38:D38"/>
    <mergeCell ref="E38:F38"/>
    <mergeCell ref="C35:D35"/>
    <mergeCell ref="E35:F35"/>
    <mergeCell ref="C36:D36"/>
    <mergeCell ref="E36:F36"/>
    <mergeCell ref="C37:D37"/>
  </mergeCells>
  <phoneticPr fontId="9" type="noConversion"/>
  <printOptions horizontalCentered="1" verticalCentered="1"/>
  <pageMargins left="0.39370078740157483" right="0.78740157480314965" top="0.78740157480314965" bottom="0" header="0" footer="0"/>
  <pageSetup paperSize="9" scale="83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06" t="s">
        <v>9</v>
      </c>
      <c r="B2" s="106"/>
      <c r="C2" s="6" t="s">
        <v>10</v>
      </c>
      <c r="D2" s="5" t="s">
        <v>2</v>
      </c>
      <c r="E2" s="5" t="s">
        <v>0</v>
      </c>
      <c r="F2" s="5" t="s">
        <v>1</v>
      </c>
      <c r="G2" s="5" t="s">
        <v>3</v>
      </c>
      <c r="H2" s="5" t="s">
        <v>4</v>
      </c>
      <c r="I2" s="5" t="s">
        <v>6</v>
      </c>
      <c r="J2" s="5" t="s">
        <v>5</v>
      </c>
      <c r="K2" s="5" t="s">
        <v>7</v>
      </c>
      <c r="L2" s="5" t="s">
        <v>8</v>
      </c>
      <c r="M2" s="5" t="s">
        <v>11</v>
      </c>
    </row>
    <row r="3" spans="1:13" ht="18.75" customHeight="1" x14ac:dyDescent="0.25">
      <c r="A3" s="8">
        <v>4400</v>
      </c>
      <c r="B3" s="2">
        <f>+A3+1</f>
        <v>4401</v>
      </c>
      <c r="C3" s="12" t="str">
        <f t="shared" ref="C3:C8" si="0">A3&amp;"-"&amp;B3</f>
        <v>4400-4401</v>
      </c>
      <c r="D3" s="8" t="s">
        <v>14</v>
      </c>
      <c r="E3" s="8">
        <v>350</v>
      </c>
      <c r="F3" s="9">
        <v>42347</v>
      </c>
      <c r="G3" s="2">
        <v>7</v>
      </c>
      <c r="H3" s="10">
        <v>15.05</v>
      </c>
      <c r="I3" s="8">
        <v>49900</v>
      </c>
      <c r="J3" s="3">
        <f t="shared" ref="J3:J8" si="1">H3*H3*PI()/4</f>
        <v>177.89464750493056</v>
      </c>
      <c r="K3" s="11">
        <f t="shared" ref="K3:K8" si="2">I3/J3</f>
        <v>280.50309944607505</v>
      </c>
      <c r="L3" s="4">
        <f t="shared" ref="L3:L8" si="3">+K3/E3</f>
        <v>0.80143742698878584</v>
      </c>
      <c r="M3" s="13" t="s">
        <v>12</v>
      </c>
    </row>
    <row r="4" spans="1:13" ht="18.75" customHeight="1" x14ac:dyDescent="0.25">
      <c r="A4" s="2"/>
      <c r="B4" s="2"/>
      <c r="C4" s="7" t="str">
        <f t="shared" si="0"/>
        <v>-</v>
      </c>
      <c r="D4" s="2"/>
      <c r="E4" s="8">
        <v>350</v>
      </c>
      <c r="F4" s="2"/>
      <c r="G4" s="2">
        <v>7</v>
      </c>
      <c r="H4" s="10">
        <v>15.06</v>
      </c>
      <c r="I4" s="8">
        <v>50310</v>
      </c>
      <c r="J4" s="3">
        <f t="shared" si="1"/>
        <v>178.1311308919295</v>
      </c>
      <c r="K4" s="11">
        <f t="shared" si="2"/>
        <v>282.43238421094742</v>
      </c>
      <c r="L4" s="4">
        <f t="shared" si="3"/>
        <v>0.80694966917413546</v>
      </c>
      <c r="M4" s="13" t="s">
        <v>13</v>
      </c>
    </row>
    <row r="5" spans="1:13" ht="18.75" customHeight="1" x14ac:dyDescent="0.25">
      <c r="A5" s="2">
        <f>+B3+1</f>
        <v>4402</v>
      </c>
      <c r="B5" s="2">
        <f>+A5+1</f>
        <v>4403</v>
      </c>
      <c r="C5" s="7" t="str">
        <f t="shared" si="0"/>
        <v>4402-4403</v>
      </c>
      <c r="D5" s="2"/>
      <c r="E5" s="8">
        <v>350</v>
      </c>
      <c r="F5" s="2"/>
      <c r="G5" s="2">
        <v>14</v>
      </c>
      <c r="H5" s="10">
        <v>15.04</v>
      </c>
      <c r="I5" s="8">
        <v>56450</v>
      </c>
      <c r="J5" s="3">
        <f t="shared" si="1"/>
        <v>177.65832119756422</v>
      </c>
      <c r="K5" s="11">
        <f t="shared" si="2"/>
        <v>317.74475644867209</v>
      </c>
      <c r="L5" s="4">
        <f t="shared" si="3"/>
        <v>0.9078421612819203</v>
      </c>
      <c r="M5" s="13" t="s">
        <v>13</v>
      </c>
    </row>
    <row r="6" spans="1:13" ht="18.75" customHeight="1" x14ac:dyDescent="0.25">
      <c r="A6" s="2"/>
      <c r="B6" s="2"/>
      <c r="C6" s="7" t="str">
        <f t="shared" si="0"/>
        <v>-</v>
      </c>
      <c r="D6" s="2"/>
      <c r="E6" s="8">
        <v>350</v>
      </c>
      <c r="F6" s="2"/>
      <c r="G6" s="2">
        <v>14</v>
      </c>
      <c r="H6" s="10">
        <v>15</v>
      </c>
      <c r="I6" s="8">
        <v>59630</v>
      </c>
      <c r="J6" s="3">
        <f t="shared" si="1"/>
        <v>176.71458676442586</v>
      </c>
      <c r="K6" s="11">
        <f t="shared" si="2"/>
        <v>337.43677356692336</v>
      </c>
      <c r="L6" s="4">
        <f t="shared" si="3"/>
        <v>0.96410506733406676</v>
      </c>
      <c r="M6" s="13" t="s">
        <v>13</v>
      </c>
    </row>
    <row r="7" spans="1:13" ht="18.75" customHeight="1" x14ac:dyDescent="0.25">
      <c r="A7" s="2">
        <f>+B5+1</f>
        <v>4404</v>
      </c>
      <c r="B7" s="2">
        <f>+A7+1</f>
        <v>4405</v>
      </c>
      <c r="C7" s="7" t="str">
        <f t="shared" si="0"/>
        <v>4404-4405</v>
      </c>
      <c r="D7" s="2"/>
      <c r="E7" s="8">
        <v>350</v>
      </c>
      <c r="F7" s="2"/>
      <c r="G7" s="2">
        <v>28</v>
      </c>
      <c r="H7" s="10">
        <v>15.11</v>
      </c>
      <c r="I7" s="8">
        <v>65310</v>
      </c>
      <c r="J7" s="3">
        <f t="shared" si="1"/>
        <v>179.31590402141455</v>
      </c>
      <c r="K7" s="11">
        <f t="shared" si="2"/>
        <v>364.21755424549764</v>
      </c>
      <c r="L7" s="4">
        <f t="shared" si="3"/>
        <v>1.0406215835585646</v>
      </c>
      <c r="M7" s="13" t="s">
        <v>13</v>
      </c>
    </row>
    <row r="8" spans="1:13" ht="18.75" customHeight="1" x14ac:dyDescent="0.25">
      <c r="A8" s="2"/>
      <c r="B8" s="2"/>
      <c r="C8" s="7" t="str">
        <f t="shared" si="0"/>
        <v>-</v>
      </c>
      <c r="D8" s="2"/>
      <c r="E8" s="8">
        <v>350</v>
      </c>
      <c r="F8" s="2"/>
      <c r="G8" s="2">
        <v>28</v>
      </c>
      <c r="H8" s="10">
        <v>15.05</v>
      </c>
      <c r="I8" s="8">
        <v>64730</v>
      </c>
      <c r="J8" s="3">
        <f t="shared" si="1"/>
        <v>177.89464750493056</v>
      </c>
      <c r="K8" s="11">
        <f t="shared" si="2"/>
        <v>363.86704663616104</v>
      </c>
      <c r="L8" s="4">
        <f t="shared" si="3"/>
        <v>1.0396201332461743</v>
      </c>
      <c r="M8" s="13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SST</vt:lpstr>
      <vt:lpstr>PH </vt:lpstr>
      <vt:lpstr>Hoja1</vt:lpstr>
      <vt:lpstr>'PH '!Área_de_impresión</vt:lpstr>
      <vt:lpstr>SST!Área_de_impresión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2025-11-07T17:37:16Z</cp:lastPrinted>
  <dcterms:created xsi:type="dcterms:W3CDTF">1999-11-07T15:11:55Z</dcterms:created>
  <dcterms:modified xsi:type="dcterms:W3CDTF">2026-03-12T15:59:30Z</dcterms:modified>
</cp:coreProperties>
</file>