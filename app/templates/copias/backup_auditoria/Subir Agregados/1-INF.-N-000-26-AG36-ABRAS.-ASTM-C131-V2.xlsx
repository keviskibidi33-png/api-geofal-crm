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Mi unidad\3.0 Formatos e informes\2026\1.0 Informe de ensayo\1.2 Informe agregados\INFORME ACREDITADO-E ISO\"/>
    </mc:Choice>
  </mc:AlternateContent>
  <xr:revisionPtr revIDLastSave="0" documentId="13_ncr:1_{3E9D1713-AC22-4EBA-8383-F972C9DDD3E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FORMATO" sheetId="7" r:id="rId1"/>
    <sheet name="INFORME" sheetId="1" r:id="rId2"/>
    <sheet name="DATOS" sheetId="2" r:id="rId3"/>
    <sheet name="incertidumbre" sheetId="3" r:id="rId4"/>
    <sheet name="balanza" sheetId="4" r:id="rId5"/>
    <sheet name="precision" sheetId="5" r:id="rId6"/>
    <sheet name="Hoja1" sheetId="6" state="hidden" r:id="rId7"/>
  </sheets>
  <definedNames>
    <definedName name="_xlnm.Print_Area" localSheetId="0">FORMATO!$A$1:$I$59</definedName>
    <definedName name="_xlnm.Print_Area" localSheetId="1">INFORME!$A$1:$J$44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Y3bQmn47/vbn+Zj0cOPsoAluivSfy+5bCf1CnM6PoOo="/>
    </ext>
  </extLst>
</workbook>
</file>

<file path=xl/calcChain.xml><?xml version="1.0" encoding="utf-8"?>
<calcChain xmlns="http://schemas.openxmlformats.org/spreadsheetml/2006/main">
  <c r="C35" i="3" l="1"/>
  <c r="I15" i="2" l="1"/>
  <c r="J8" i="1"/>
  <c r="J7" i="1"/>
  <c r="J6" i="1"/>
  <c r="J15" i="1"/>
  <c r="J14" i="1"/>
  <c r="E14" i="1"/>
  <c r="E15" i="1"/>
  <c r="E13" i="1"/>
  <c r="C6" i="1"/>
  <c r="C7" i="1"/>
  <c r="C8" i="1"/>
  <c r="C5" i="1"/>
  <c r="K32" i="2"/>
  <c r="K33" i="2"/>
  <c r="K31" i="2"/>
  <c r="K26" i="2"/>
  <c r="I32" i="2"/>
  <c r="I33" i="2"/>
  <c r="I31" i="2"/>
  <c r="I25" i="2"/>
  <c r="I24" i="2"/>
  <c r="G32" i="2"/>
  <c r="G33" i="2"/>
  <c r="G31" i="2"/>
  <c r="G23" i="2"/>
  <c r="G22" i="2"/>
  <c r="J13" i="1"/>
  <c r="E32" i="2"/>
  <c r="E33" i="2"/>
  <c r="E31" i="2"/>
  <c r="E21" i="2"/>
  <c r="E22" i="2"/>
  <c r="E23" i="2"/>
  <c r="E20" i="2"/>
  <c r="H14" i="2" l="1"/>
  <c r="E14" i="2"/>
  <c r="E15" i="2"/>
  <c r="E13" i="2"/>
  <c r="H36" i="7"/>
  <c r="G36" i="7"/>
  <c r="F36" i="7"/>
  <c r="E36" i="7"/>
  <c r="C9" i="2"/>
  <c r="C8" i="2"/>
  <c r="C7" i="2"/>
  <c r="L33" i="2" s="1"/>
  <c r="C6" i="2"/>
  <c r="G25" i="1"/>
  <c r="F23" i="2" l="1"/>
  <c r="F22" i="2"/>
  <c r="F21" i="2"/>
  <c r="H22" i="2"/>
  <c r="H23" i="2"/>
  <c r="L26" i="2"/>
  <c r="J24" i="2"/>
  <c r="J25" i="2"/>
  <c r="H33" i="2"/>
  <c r="F33" i="2"/>
  <c r="J33" i="2"/>
  <c r="F20" i="2"/>
  <c r="O34" i="2" l="1"/>
  <c r="R34" i="2" l="1"/>
  <c r="P34" i="2"/>
  <c r="I13" i="2" s="1"/>
  <c r="Q34" i="2"/>
  <c r="I14" i="2" l="1"/>
  <c r="E27" i="2"/>
  <c r="E36" i="2" s="1"/>
  <c r="F36" i="2" s="1"/>
  <c r="M27" i="2" l="1"/>
  <c r="E35" i="2"/>
  <c r="F35" i="2" s="1"/>
  <c r="M20" i="2"/>
  <c r="D30" i="3" l="1"/>
  <c r="F30" i="3" s="1"/>
  <c r="B43" i="3"/>
  <c r="B42" i="3"/>
  <c r="B41" i="3"/>
  <c r="J8" i="6" l="1"/>
  <c r="K8" i="6" s="1"/>
  <c r="L8" i="6" s="1"/>
  <c r="C8" i="6"/>
  <c r="J7" i="6"/>
  <c r="K7" i="6" s="1"/>
  <c r="L7" i="6" s="1"/>
  <c r="J6" i="6"/>
  <c r="K6" i="6" s="1"/>
  <c r="L6" i="6" s="1"/>
  <c r="C6" i="6"/>
  <c r="J5" i="6"/>
  <c r="K5" i="6" s="1"/>
  <c r="L5" i="6" s="1"/>
  <c r="J4" i="6"/>
  <c r="K4" i="6" s="1"/>
  <c r="L4" i="6" s="1"/>
  <c r="C4" i="6"/>
  <c r="J3" i="6"/>
  <c r="K3" i="6" s="1"/>
  <c r="L3" i="6" s="1"/>
  <c r="B3" i="6"/>
  <c r="C3" i="6" s="1"/>
  <c r="H20" i="4"/>
  <c r="G20" i="4"/>
  <c r="F20" i="4"/>
  <c r="E20" i="4"/>
  <c r="D20" i="4"/>
  <c r="I21" i="4"/>
  <c r="D34" i="3"/>
  <c r="F34" i="3" s="1"/>
  <c r="L27" i="2"/>
  <c r="L30" i="2" s="1"/>
  <c r="K27" i="2"/>
  <c r="I27" i="2"/>
  <c r="H27" i="2"/>
  <c r="H30" i="2" s="1"/>
  <c r="G27" i="2"/>
  <c r="P26" i="2"/>
  <c r="O25" i="2"/>
  <c r="O24" i="2"/>
  <c r="N23" i="2"/>
  <c r="M23" i="2"/>
  <c r="N22" i="2"/>
  <c r="M22" i="2"/>
  <c r="M21" i="2"/>
  <c r="E16" i="2"/>
  <c r="F16" i="2" s="1"/>
  <c r="G26" i="1"/>
  <c r="N27" i="2" l="1"/>
  <c r="G35" i="2"/>
  <c r="H35" i="2" s="1"/>
  <c r="G36" i="2"/>
  <c r="H36" i="2" s="1"/>
  <c r="P27" i="2"/>
  <c r="K35" i="2"/>
  <c r="L35" i="2" s="1"/>
  <c r="K36" i="2"/>
  <c r="L36" i="2" s="1"/>
  <c r="O27" i="2"/>
  <c r="I35" i="2"/>
  <c r="J35" i="2" s="1"/>
  <c r="I36" i="2"/>
  <c r="J36" i="2" s="1"/>
  <c r="H34" i="2"/>
  <c r="G21" i="4"/>
  <c r="D21" i="4"/>
  <c r="H21" i="4"/>
  <c r="F35" i="3"/>
  <c r="H35" i="3" s="1"/>
  <c r="C43" i="3" s="1"/>
  <c r="J27" i="2"/>
  <c r="J30" i="2" s="1"/>
  <c r="M33" i="2"/>
  <c r="L34" i="2"/>
  <c r="E21" i="4"/>
  <c r="F21" i="4"/>
  <c r="A5" i="6"/>
  <c r="J34" i="2" l="1"/>
  <c r="F27" i="2"/>
  <c r="F30" i="2" s="1"/>
  <c r="H20" i="1"/>
  <c r="C31" i="3"/>
  <c r="D25" i="4"/>
  <c r="E25" i="4" s="1"/>
  <c r="B5" i="6"/>
  <c r="A7" i="6" s="1"/>
  <c r="F34" i="2" l="1"/>
  <c r="M34" i="2" s="1"/>
  <c r="H21" i="1" s="1"/>
  <c r="C5" i="6"/>
  <c r="D32" i="3"/>
  <c r="F32" i="3" s="1"/>
  <c r="M30" i="2"/>
  <c r="D33" i="3"/>
  <c r="F33" i="3" s="1"/>
  <c r="B7" i="6"/>
  <c r="C7" i="6" s="1"/>
  <c r="F31" i="3" l="1"/>
  <c r="D24" i="4"/>
  <c r="E24" i="4" s="1"/>
  <c r="D28" i="3" s="1"/>
  <c r="F28" i="3" s="1"/>
  <c r="H19" i="1"/>
  <c r="C27" i="3"/>
  <c r="G31" i="3" l="1"/>
  <c r="H31" i="3" s="1"/>
  <c r="C42" i="3" s="1"/>
  <c r="G27" i="3"/>
  <c r="D29" i="3"/>
  <c r="F29" i="3" s="1"/>
  <c r="F27" i="3" s="1"/>
  <c r="C26" i="3"/>
  <c r="H27" i="3" l="1"/>
  <c r="C41" i="3" l="1"/>
  <c r="C44" i="3" s="1"/>
  <c r="D43" i="3" s="1"/>
  <c r="H36" i="3"/>
  <c r="H37" i="3" s="1"/>
  <c r="D42" i="3" l="1"/>
  <c r="D41" i="3"/>
  <c r="D44" i="3" l="1"/>
</calcChain>
</file>

<file path=xl/sharedStrings.xml><?xml version="1.0" encoding="utf-8"?>
<sst xmlns="http://schemas.openxmlformats.org/spreadsheetml/2006/main" count="432" uniqueCount="233">
  <si>
    <t>LABORATORIO DE ENSAYO DE MATERIALES</t>
  </si>
  <si>
    <t xml:space="preserve">CLIENTE       </t>
  </si>
  <si>
    <t>:</t>
  </si>
  <si>
    <t xml:space="preserve">                 CÓDIGO</t>
  </si>
  <si>
    <t xml:space="preserve">DIRECCION **    </t>
  </si>
  <si>
    <t xml:space="preserve">PROYECTO ** </t>
  </si>
  <si>
    <t>F. EMISIÓN</t>
  </si>
  <si>
    <t>UBICACIÓN **</t>
  </si>
  <si>
    <t>** Datos proporcionados por el cliente</t>
  </si>
  <si>
    <t>ASTM C131/C131M-20</t>
  </si>
  <si>
    <t>DATOS DE LA MUESTRA</t>
  </si>
  <si>
    <t>CANTERA/SONDAJE **</t>
  </si>
  <si>
    <t>CÓDIGO DE LA MUESTRA</t>
  </si>
  <si>
    <t xml:space="preserve">N° MUESTRA **             </t>
  </si>
  <si>
    <t>FECHA DE RECEPCIÓN</t>
  </si>
  <si>
    <t>-</t>
  </si>
  <si>
    <t>FECHA DE EJECUCIÓN</t>
  </si>
  <si>
    <t xml:space="preserve">LUGAR DE ENSAYO    </t>
  </si>
  <si>
    <t>Laboratorio de ensayo de Materiales</t>
  </si>
  <si>
    <t>DESCRIPCIÓN</t>
  </si>
  <si>
    <t>UND</t>
  </si>
  <si>
    <t>DATOS</t>
  </si>
  <si>
    <t>Masa de la muestra de prueba</t>
  </si>
  <si>
    <t>g</t>
  </si>
  <si>
    <t>Masa final de la muestra</t>
  </si>
  <si>
    <t>Pérdida por abrasión</t>
  </si>
  <si>
    <t>%</t>
  </si>
  <si>
    <t>Descripción de la muestra:</t>
  </si>
  <si>
    <t>Tamaño máximo nominal (in)</t>
  </si>
  <si>
    <t>Gradación de la muestra de prueba</t>
  </si>
  <si>
    <t>Nota:</t>
  </si>
  <si>
    <t>Observaciones:</t>
  </si>
  <si>
    <t>Página 1 de 1</t>
  </si>
  <si>
    <t>Fin del Informe</t>
  </si>
  <si>
    <t>STANDARD TEST METHOD FOR RESISTANCE TO DEGRADATION OF SMALL-SIZE COARSE AGGREGATE BY ABRASION AND IMPACT IN THE LOS ANGELES MACHINE1</t>
  </si>
  <si>
    <t>Informacion para la Correccion por Certificado de Calibración: balanza 30kg</t>
  </si>
  <si>
    <t>Precision Balanza al</t>
  </si>
  <si>
    <t>Correccion</t>
  </si>
  <si>
    <t>Codigo balanza</t>
  </si>
  <si>
    <t>EQP-0054</t>
  </si>
  <si>
    <t>Fecha de calibración</t>
  </si>
  <si>
    <t>CLASIFICACION DE LA MUESTRA DE PRUEBA</t>
  </si>
  <si>
    <t>gradación</t>
  </si>
  <si>
    <t>A</t>
  </si>
  <si>
    <t>Masa muestra inicial</t>
  </si>
  <si>
    <t>Masa muestra inicial seca</t>
  </si>
  <si>
    <t>OPERADORES</t>
  </si>
  <si>
    <t>Masa muestra inicial seca constante</t>
  </si>
  <si>
    <t>Verificacion de Masa seca constante</t>
  </si>
  <si>
    <t>TAMIZ (in)</t>
  </si>
  <si>
    <t>GRADACIONES (Masa en cada tamiz, g)</t>
  </si>
  <si>
    <t>Pasante</t>
  </si>
  <si>
    <t>Retenido</t>
  </si>
  <si>
    <t>Corrección (A)</t>
  </si>
  <si>
    <t>B</t>
  </si>
  <si>
    <t>Corrección (B)</t>
  </si>
  <si>
    <t>C</t>
  </si>
  <si>
    <t xml:space="preserve"> Corrección (C)</t>
  </si>
  <si>
    <t>D</t>
  </si>
  <si>
    <t xml:space="preserve"> Corrección (D)</t>
  </si>
  <si>
    <t>Gradación (A)</t>
  </si>
  <si>
    <t>Gradación (B)</t>
  </si>
  <si>
    <t>Gradación (C)</t>
  </si>
  <si>
    <t>Gradación (D)</t>
  </si>
  <si>
    <t>No 4</t>
  </si>
  <si>
    <t>No 8</t>
  </si>
  <si>
    <t>TOTAL</t>
  </si>
  <si>
    <t>ITEM</t>
  </si>
  <si>
    <t>CORRECCIÓN (A)</t>
  </si>
  <si>
    <t>CORRECCIÓN (B)</t>
  </si>
  <si>
    <t>CORRECCIÓN (C)</t>
  </si>
  <si>
    <t>CORRECCIÓN (D)</t>
  </si>
  <si>
    <t>a</t>
  </si>
  <si>
    <t>b</t>
  </si>
  <si>
    <t>c</t>
  </si>
  <si>
    <t>Masa final de la muestra (Lavada seca)</t>
  </si>
  <si>
    <t>d</t>
  </si>
  <si>
    <t>Masa final de la muestra (Lavada seca constante)</t>
  </si>
  <si>
    <t>e</t>
  </si>
  <si>
    <t xml:space="preserve">Pérdida por abrasión (f/b *100)                        </t>
  </si>
  <si>
    <t>INFORME DE ESTIMACIÓN DE INCERTIDUMBRE</t>
  </si>
  <si>
    <t>Código:</t>
  </si>
  <si>
    <t>F-LEM-P-10.01</t>
  </si>
  <si>
    <t>Versión:</t>
  </si>
  <si>
    <t>Fecha:</t>
  </si>
  <si>
    <t>Página:</t>
  </si>
  <si>
    <t>1 de 1</t>
  </si>
  <si>
    <t>Método:</t>
  </si>
  <si>
    <t>Norma:</t>
  </si>
  <si>
    <t>Matriz:</t>
  </si>
  <si>
    <t>Agregados</t>
  </si>
  <si>
    <t>Resistencia a la degradación</t>
  </si>
  <si>
    <t>Variables:</t>
  </si>
  <si>
    <t>Fórmula:</t>
  </si>
  <si>
    <t>Paso 2. Definición de las variables aleatorias</t>
  </si>
  <si>
    <t>PA = Perdida abrasión</t>
  </si>
  <si>
    <t>C= Masa de la muestra de prueba</t>
  </si>
  <si>
    <t>Y= Masa final de la muestra</t>
  </si>
  <si>
    <t>Equipos a utilizar:</t>
  </si>
  <si>
    <t xml:space="preserve">Balanza con resolución de lectura de 1g </t>
  </si>
  <si>
    <t>CALCULO:  RESISTENCIA A LA DEGRADACION AGREGADOS</t>
  </si>
  <si>
    <t>Fuentes</t>
  </si>
  <si>
    <t>Unidades</t>
  </si>
  <si>
    <t>Valor</t>
  </si>
  <si>
    <t>Incertidumbre Original</t>
  </si>
  <si>
    <t>Distribución</t>
  </si>
  <si>
    <r>
      <rPr>
        <sz val="10"/>
        <color theme="1"/>
        <rFont val="Arial"/>
        <family val="2"/>
      </rPr>
      <t xml:space="preserve">Incertidumbre Estándar </t>
    </r>
    <r>
      <rPr>
        <i/>
        <sz val="10"/>
        <color theme="1"/>
        <rFont val="Arial"/>
        <family val="2"/>
      </rPr>
      <t>u(x</t>
    </r>
    <r>
      <rPr>
        <i/>
        <vertAlign val="subscript"/>
        <sz val="10"/>
        <color theme="1"/>
        <rFont val="Arial"/>
        <family val="2"/>
      </rPr>
      <t>i</t>
    </r>
    <r>
      <rPr>
        <i/>
        <sz val="10"/>
        <color theme="1"/>
        <rFont val="Arial"/>
        <family val="2"/>
      </rPr>
      <t>)</t>
    </r>
  </si>
  <si>
    <t>Coeficiente de Sensibilidad</t>
  </si>
  <si>
    <r>
      <rPr>
        <sz val="10"/>
        <color theme="1"/>
        <rFont val="Arial"/>
        <family val="2"/>
      </rPr>
      <t xml:space="preserve">Contribución </t>
    </r>
    <r>
      <rPr>
        <i/>
        <sz val="10"/>
        <color theme="1"/>
        <rFont val="Arial"/>
        <family val="2"/>
      </rPr>
      <t>u</t>
    </r>
    <r>
      <rPr>
        <i/>
        <vertAlign val="subscript"/>
        <sz val="10"/>
        <color theme="1"/>
        <rFont val="Arial"/>
        <family val="2"/>
      </rPr>
      <t>i</t>
    </r>
    <r>
      <rPr>
        <i/>
        <sz val="10"/>
        <color theme="1"/>
        <rFont val="Arial"/>
        <family val="2"/>
      </rPr>
      <t>(y)</t>
    </r>
  </si>
  <si>
    <t>Pérdida por abrasión (%)</t>
  </si>
  <si>
    <t>---</t>
  </si>
  <si>
    <t>Factor de influencia</t>
  </si>
  <si>
    <t>valor</t>
  </si>
  <si>
    <t>Repetibilidad de la pesada</t>
  </si>
  <si>
    <t>Normal, K=1</t>
  </si>
  <si>
    <t>Certificado de Calibración</t>
  </si>
  <si>
    <t>Normal, K=2</t>
  </si>
  <si>
    <t>Resolución</t>
  </si>
  <si>
    <t>Rectangular</t>
  </si>
  <si>
    <t>Y</t>
  </si>
  <si>
    <t xml:space="preserve">factor de presición </t>
  </si>
  <si>
    <t>Norma, K=1</t>
  </si>
  <si>
    <t xml:space="preserve">Incertidumbre Estándar Combinada </t>
  </si>
  <si>
    <t>Incertidumbre Expandida, K = 2</t>
  </si>
  <si>
    <t>CALIBRACION DE LA BALANZA</t>
  </si>
  <si>
    <t>Variables</t>
  </si>
  <si>
    <t>Ecuacion</t>
  </si>
  <si>
    <t>Resolucion</t>
  </si>
  <si>
    <t xml:space="preserve">Codigo </t>
  </si>
  <si>
    <t>MES</t>
  </si>
  <si>
    <t>DESV STD</t>
  </si>
  <si>
    <t>Busqueda de Repetibilidad de la masa</t>
  </si>
  <si>
    <t>ENSAYO DE LA MUESTRA</t>
  </si>
  <si>
    <t>Fecha de evaluacion:</t>
  </si>
  <si>
    <t xml:space="preserve">1-Calcular la Incertidumbre estandar </t>
  </si>
  <si>
    <t>CODIGO</t>
  </si>
  <si>
    <t>CONCATENADOS</t>
  </si>
  <si>
    <t>DESCRIPCION</t>
  </si>
  <si>
    <t>FC</t>
  </si>
  <si>
    <t>F. MOLDEO</t>
  </si>
  <si>
    <t>DIA</t>
  </si>
  <si>
    <t>DIAMETRO</t>
  </si>
  <si>
    <t>CARGA</t>
  </si>
  <si>
    <t>AREA</t>
  </si>
  <si>
    <t>RESIS. CONCRETO</t>
  </si>
  <si>
    <t>% RESIS</t>
  </si>
  <si>
    <t>TIPO DE FALLA</t>
  </si>
  <si>
    <t>Columnas C-9;5-3/G.H</t>
  </si>
  <si>
    <t>E</t>
  </si>
  <si>
    <t>F</t>
  </si>
  <si>
    <t>Numero esfera</t>
  </si>
  <si>
    <t xml:space="preserve">TIPO DE MUESTRA**    </t>
  </si>
  <si>
    <t>RECEPCIÓN N°</t>
  </si>
  <si>
    <t>OT N°</t>
  </si>
  <si>
    <t>Masa esfera</t>
  </si>
  <si>
    <t>GRADACION</t>
  </si>
  <si>
    <t>N° ESFERA</t>
  </si>
  <si>
    <t>MASA MIN</t>
  </si>
  <si>
    <t>MASA MAX</t>
  </si>
  <si>
    <t>DEL ENSAYO</t>
  </si>
  <si>
    <t>NORMA</t>
  </si>
  <si>
    <t>Masa de la muestra de prueba original</t>
  </si>
  <si>
    <t>Masa final de la muestra de prueba</t>
  </si>
  <si>
    <t>Perdida de masa por lavado ((b-d)/a)*100  (*)</t>
  </si>
  <si>
    <t>cumplimiento masa minima</t>
  </si>
  <si>
    <t>F-LEM-P-AG-36.02</t>
  </si>
  <si>
    <t>Versión: 01 (03-05-2024)</t>
  </si>
  <si>
    <t>STANDARD TEST METHOD FOR RESISTANCE TO DEGRADATION OF SMALL-SIZE COARSE AGGREGATE BY ABRASION AND IMPACT IN THE LOS ANGELES MACHINE</t>
  </si>
  <si>
    <t>TMN</t>
  </si>
  <si>
    <t>FORMATO N° F-LEM-P-AG-36.01</t>
  </si>
  <si>
    <t>MUESTRA</t>
  </si>
  <si>
    <t>N° OT</t>
  </si>
  <si>
    <t>FECHA DE ENSAYO</t>
  </si>
  <si>
    <t>REALIZADO</t>
  </si>
  <si>
    <t>MUESTRA DE PRUEBA ANTES DEL FRACCIONAMIENTO</t>
  </si>
  <si>
    <t>DATO</t>
  </si>
  <si>
    <t>Se requiere lavado despues de la prueba (colocado en maquina angeles)</t>
  </si>
  <si>
    <t>SI</t>
  </si>
  <si>
    <t>NO</t>
  </si>
  <si>
    <t>Masa muestra inicial seca despues del lavado</t>
  </si>
  <si>
    <t/>
  </si>
  <si>
    <t>Masa muestra inicial seca constante despues del lavado</t>
  </si>
  <si>
    <t>N° revoluciones</t>
  </si>
  <si>
    <t>No. 4</t>
  </si>
  <si>
    <t>No. 8</t>
  </si>
  <si>
    <t>Total (*)</t>
  </si>
  <si>
    <t>Item</t>
  </si>
  <si>
    <t>Gradación A</t>
  </si>
  <si>
    <t>Gradación B</t>
  </si>
  <si>
    <t>Gradación C</t>
  </si>
  <si>
    <t>Gradación D</t>
  </si>
  <si>
    <t>Numero de esferas</t>
  </si>
  <si>
    <t>Masa requerida de las esferas</t>
  </si>
  <si>
    <t>4975 - 5025</t>
  </si>
  <si>
    <t>4555 - 4605</t>
  </si>
  <si>
    <t>3310 - 3350</t>
  </si>
  <si>
    <t>2485 - 2515</t>
  </si>
  <si>
    <t>Masa de esferas en conjunto</t>
  </si>
  <si>
    <t xml:space="preserve">Pérdida por abrasión  ((a-d)/a *100)                        </t>
  </si>
  <si>
    <t>f</t>
  </si>
  <si>
    <t>(*) la perdida por lavado no superara en mas del 0.2% de la muestra original</t>
  </si>
  <si>
    <t>Codigo Equipo utilizado</t>
  </si>
  <si>
    <t>Horno</t>
  </si>
  <si>
    <t>Malla No. 12</t>
  </si>
  <si>
    <t>Máquina Los Angeles</t>
  </si>
  <si>
    <t>Malla No. 4</t>
  </si>
  <si>
    <t>Balanza 1 g</t>
  </si>
  <si>
    <t xml:space="preserve">      </t>
  </si>
  <si>
    <t>WEB: www.geofal.com.pe   E-MAIL: laboratorio@geofal.com.pe                                                                                                                                                             Av. Marañon 763, Los Olivos-Lima / Teléfono  01 754-3070</t>
  </si>
  <si>
    <t>CLIENTE</t>
  </si>
  <si>
    <t>DIRECCIÓN **</t>
  </si>
  <si>
    <t>PROYECTO **</t>
  </si>
  <si>
    <t>N° MUESTRA **</t>
  </si>
  <si>
    <t>TIPO DE MUESTRA**</t>
  </si>
  <si>
    <t>Paso 1. Definición del proceso de medición</t>
  </si>
  <si>
    <t>Mensurando:</t>
  </si>
  <si>
    <t>CONTRIBUCIÓN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</si>
  <si>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</si>
  <si>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</si>
  <si>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</si>
  <si>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</si>
  <si>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</si>
  <si>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</si>
  <si>
    <t>2*RAIZ(1.14+0.000000000248*R2)</t>
  </si>
  <si>
    <r>
      <t>Varianza Repetibilidad (S</t>
    </r>
    <r>
      <rPr>
        <vertAlign val="subscript"/>
        <sz val="10"/>
        <rFont val="Arial"/>
        <family val="2"/>
      </rPr>
      <t>r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)</t>
    </r>
  </si>
  <si>
    <r>
      <t>Varianza entre Laboratorios (S</t>
    </r>
    <r>
      <rPr>
        <vertAlign val="subscript"/>
        <sz val="10"/>
        <rFont val="Arial"/>
        <family val="2"/>
      </rPr>
      <t>L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</si>
  <si>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t>FACTOR DE PRECISION OPERADOR</t>
  </si>
  <si>
    <t>- El cliente es responsable de los datos de identificación de los puntos de ensayo brindados.</t>
  </si>
  <si>
    <t>- Los resultados expresados se refieren únicamente al ensayo realizado en dicho momento y en las condiciones especificadas en este documento, por lo que GEOFAL S.A.C. no será responsable por los ensayos realizados con la presente muestra en condiciones distintas a las aquí señaladas.</t>
  </si>
  <si>
    <t>- GEOFAL S.A.C. no se hace responsable por el uso incorrecto o inadecuado del presente informe.</t>
  </si>
  <si>
    <t>- Los resultados de los ensayos realizados no deben ser utilizados como una certificación de conformidad con normas de producto o como certificado del sistema de calidad de la entidad que lo produce.</t>
  </si>
  <si>
    <t>- De conformidad con lo dispuesto por el artículo 1321 del Código Civil, queda establecido que en ningún caso la responsabilidad de GEOFAL S.A.C. será mayor al valor del servicio prestado.</t>
  </si>
  <si>
    <t>Versión: 02 (2026-06-15)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</si>
</sst>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\L\ \-\ 0000"/>
    <numFmt numFmtId="165" formatCode="dd\-mm\-yy"/>
    <numFmt numFmtId="166" formatCode="dd\-mmm\-yyyy"/>
    <numFmt numFmtId="167" formatCode="000&quot;-AG-20&quot;"/>
    <numFmt numFmtId="168" formatCode="0.000"/>
    <numFmt numFmtId="169" formatCode="0.0"/>
    <numFmt numFmtId="170" formatCode="000&quot;-AG-22&quot;"/>
    <numFmt numFmtId="171" formatCode="&quot;0&quot;0"/>
    <numFmt numFmtId="172" formatCode="0.0000"/>
    <numFmt numFmtId="173" formatCode="0.0E+00"/>
    <numFmt numFmtId="174" formatCode="0.0%"/>
    <numFmt numFmtId="175" formatCode="0.00000"/>
    <numFmt numFmtId="176" formatCode="0\ &quot;/ CO-06&quot;"/>
    <numFmt numFmtId="177" formatCode="dd\-mm\-yy;@"/>
    <numFmt numFmtId="178" formatCode="yyyy\-mm\-dd;@"/>
    <numFmt numFmtId="179" formatCode="&quot;INFORME DE ENSAYO N°&quot;000&quot;-26 AG36&quot;"/>
    <numFmt numFmtId="180" formatCode="000\-\ &quot;26&quot;"/>
    <numFmt numFmtId="181" formatCode="000&quot;-AG-26&quot;"/>
    <numFmt numFmtId="182" formatCode="&quot;CERTIFICADO N°&quot;000&quot;-20 AG06&quot;"/>
    <numFmt numFmtId="183" formatCode="0.0000000"/>
    <numFmt numFmtId="184" formatCode="0.000000"/>
  </numFmts>
  <fonts count="85" x14ac:knownFonts="1">
    <font>
      <sz val="10"/>
      <color rgb="FF000000"/>
      <name val="Arial"/>
      <scheme val="minor"/>
    </font>
    <font>
      <b/>
      <u/>
      <sz val="11"/>
      <color theme="1"/>
      <name val="Arial"/>
      <family val="2"/>
    </font>
    <font>
      <sz val="11"/>
      <color theme="1"/>
      <name val="Times New Roman"/>
      <family val="1"/>
    </font>
    <font>
      <b/>
      <u/>
      <sz val="11"/>
      <color theme="1"/>
      <name val="Arial"/>
      <family val="2"/>
    </font>
    <font>
      <b/>
      <u/>
      <sz val="11"/>
      <color theme="1"/>
      <name val="Times New Roman"/>
      <family val="1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Times New Roman"/>
      <family val="1"/>
    </font>
    <font>
      <b/>
      <sz val="9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u/>
      <sz val="8"/>
      <color theme="1"/>
      <name val="Arial"/>
      <family val="2"/>
    </font>
    <font>
      <b/>
      <u/>
      <sz val="8"/>
      <color theme="1"/>
      <name val="Arial"/>
      <family val="2"/>
    </font>
    <font>
      <b/>
      <u/>
      <sz val="8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8"/>
      <color rgb="FFFF0000"/>
      <name val="Arial"/>
      <family val="2"/>
    </font>
    <font>
      <sz val="11"/>
      <color rgb="FFFF0000"/>
      <name val="Times New Roman"/>
      <family val="1"/>
    </font>
    <font>
      <b/>
      <sz val="8"/>
      <color rgb="FFFF0000"/>
      <name val="Arial"/>
      <family val="2"/>
    </font>
    <font>
      <b/>
      <sz val="11"/>
      <color theme="1"/>
      <name val="Times New Roman"/>
      <family val="1"/>
    </font>
    <font>
      <b/>
      <u/>
      <sz val="9"/>
      <color theme="1"/>
      <name val="Arial"/>
      <family val="2"/>
    </font>
    <font>
      <sz val="9"/>
      <color theme="1"/>
      <name val="Times New Roman"/>
      <family val="1"/>
    </font>
    <font>
      <b/>
      <u/>
      <sz val="9"/>
      <color theme="1"/>
      <name val="Arial"/>
      <family val="2"/>
    </font>
    <font>
      <b/>
      <sz val="10"/>
      <color theme="1"/>
      <name val="Times New Roman"/>
      <family val="1"/>
    </font>
    <font>
      <sz val="10"/>
      <color theme="1"/>
      <name val="Arial"/>
      <family val="2"/>
    </font>
    <font>
      <b/>
      <u/>
      <sz val="9"/>
      <color theme="1"/>
      <name val="Arial"/>
      <family val="2"/>
    </font>
    <font>
      <b/>
      <i/>
      <u/>
      <sz val="9"/>
      <color theme="1"/>
      <name val="Arial"/>
      <family val="2"/>
    </font>
    <font>
      <b/>
      <sz val="12"/>
      <color theme="1"/>
      <name val="Arial"/>
      <family val="2"/>
    </font>
    <font>
      <u/>
      <sz val="10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9"/>
      <color theme="1"/>
      <name val="Cambria"/>
      <family val="1"/>
    </font>
    <font>
      <sz val="9"/>
      <color theme="1"/>
      <name val="Cambria"/>
      <family val="1"/>
    </font>
    <font>
      <sz val="9"/>
      <color theme="0"/>
      <name val="Arial"/>
      <family val="2"/>
    </font>
    <font>
      <b/>
      <u/>
      <sz val="10"/>
      <color theme="1"/>
      <name val="Arial"/>
      <family val="2"/>
    </font>
    <font>
      <sz val="10"/>
      <color rgb="FF0000FF"/>
      <name val="Arial"/>
      <family val="2"/>
    </font>
    <font>
      <b/>
      <u/>
      <sz val="10"/>
      <color theme="1"/>
      <name val="Arial"/>
      <family val="2"/>
    </font>
    <font>
      <b/>
      <u/>
      <sz val="9"/>
      <color theme="1"/>
      <name val="Arial"/>
      <family val="2"/>
    </font>
    <font>
      <sz val="11"/>
      <color theme="1"/>
      <name val="Calibri"/>
      <family val="2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i/>
      <sz val="10"/>
      <color theme="1"/>
      <name val="Arial"/>
      <family val="2"/>
    </font>
    <font>
      <i/>
      <vertAlign val="subscript"/>
      <sz val="10"/>
      <color theme="1"/>
      <name val="Arial"/>
      <family val="2"/>
    </font>
    <font>
      <sz val="9"/>
      <color rgb="FF0000FF"/>
      <name val="Arial"/>
      <family val="2"/>
    </font>
    <font>
      <sz val="8"/>
      <color rgb="FF0000FF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10"/>
      <name val="Arial"/>
      <family val="2"/>
      <scheme val="minor"/>
    </font>
    <font>
      <b/>
      <sz val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u/>
      <sz val="10"/>
      <name val="Arial"/>
      <family val="2"/>
    </font>
    <font>
      <b/>
      <u/>
      <sz val="8"/>
      <name val="Arial"/>
      <family val="2"/>
    </font>
    <font>
      <sz val="11"/>
      <name val="Arial"/>
      <family val="2"/>
    </font>
    <font>
      <b/>
      <u/>
      <sz val="9"/>
      <name val="Arial"/>
      <family val="2"/>
    </font>
    <font>
      <sz val="9"/>
      <name val="Arial"/>
      <family val="2"/>
    </font>
    <font>
      <sz val="9"/>
      <name val="Times New Roman"/>
      <family val="1"/>
    </font>
    <font>
      <b/>
      <sz val="11"/>
      <name val="Times New Roman"/>
      <family val="1"/>
    </font>
    <font>
      <b/>
      <i/>
      <u/>
      <sz val="11"/>
      <name val="Times New Roman"/>
      <family val="1"/>
    </font>
    <font>
      <b/>
      <i/>
      <u/>
      <sz val="9"/>
      <name val="Arial"/>
      <family val="2"/>
    </font>
    <font>
      <b/>
      <sz val="10"/>
      <name val="Times New Roman"/>
      <family val="1"/>
    </font>
    <font>
      <b/>
      <sz val="9"/>
      <color rgb="FF0000FF"/>
      <name val="Arial"/>
      <family val="2"/>
    </font>
    <font>
      <b/>
      <sz val="9"/>
      <name val="Arial"/>
      <family val="1"/>
      <scheme val="major"/>
    </font>
    <font>
      <sz val="9"/>
      <name val="Arial"/>
      <family val="1"/>
      <scheme val="maj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u/>
      <sz val="11"/>
      <name val="Arial"/>
      <family val="2"/>
    </font>
    <font>
      <sz val="9"/>
      <name val="Arial"/>
      <family val="2"/>
      <scheme val="minor"/>
    </font>
    <font>
      <sz val="10"/>
      <name val="Arial"/>
      <family val="2"/>
      <scheme val="major"/>
    </font>
    <font>
      <sz val="9"/>
      <name val="Arial"/>
      <family val="2"/>
      <scheme val="major"/>
    </font>
    <font>
      <sz val="10"/>
      <name val="Arial"/>
      <family val="2"/>
    </font>
    <font>
      <b/>
      <u/>
      <sz val="11"/>
      <name val="Times New Roman"/>
      <family val="1"/>
    </font>
    <font>
      <sz val="9"/>
      <color rgb="FF000000"/>
      <name val="Arial"/>
      <family val="2"/>
    </font>
    <font>
      <sz val="11"/>
      <color indexed="10"/>
      <name val="Times New Roman"/>
      <family val="1"/>
    </font>
    <font>
      <i/>
      <sz val="8"/>
      <name val="Arial"/>
      <family val="2"/>
    </font>
    <font>
      <b/>
      <sz val="11"/>
      <name val="Arial"/>
      <family val="2"/>
    </font>
    <font>
      <u/>
      <sz val="10"/>
      <color indexed="12"/>
      <name val="Arial"/>
      <family val="2"/>
    </font>
    <font>
      <b/>
      <u/>
      <sz val="10"/>
      <name val="Arial"/>
      <family val="2"/>
    </font>
    <font>
      <vertAlign val="subscript"/>
      <sz val="10"/>
      <name val="Arial"/>
      <family val="2"/>
    </font>
    <font>
      <vertAlign val="superscript"/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rgb="FFDAEEF3"/>
      </patternFill>
    </fill>
    <fill>
      <patternFill patternType="solid">
        <fgColor theme="4" tint="0.79998168889431442"/>
        <bgColor rgb="FFDBE5F1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7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auto="1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52" fillId="0" borderId="20"/>
    <xf numFmtId="0" fontId="9" fillId="0" borderId="20"/>
    <xf numFmtId="0" fontId="75" fillId="0" borderId="20"/>
    <xf numFmtId="0" fontId="9" fillId="0" borderId="20"/>
    <xf numFmtId="0" fontId="61" fillId="0" borderId="20"/>
    <xf numFmtId="0" fontId="81" fillId="0" borderId="20" applyNumberFormat="0" applyFill="0" applyBorder="0" applyAlignment="0" applyProtection="0">
      <alignment vertical="top"/>
      <protection locked="0"/>
    </xf>
  </cellStyleXfs>
  <cellXfs count="64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 vertical="center"/>
    </xf>
    <xf numFmtId="166" fontId="2" fillId="0" borderId="0" xfId="0" applyNumberFormat="1" applyFont="1" applyAlignment="1">
      <alignment horizontal="left"/>
    </xf>
    <xf numFmtId="167" fontId="6" fillId="0" borderId="0" xfId="0" applyNumberFormat="1" applyFont="1" applyAlignment="1">
      <alignment vertical="center"/>
    </xf>
    <xf numFmtId="165" fontId="6" fillId="0" borderId="0" xfId="0" applyNumberFormat="1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8" fillId="0" borderId="0" xfId="0" applyFont="1" applyAlignment="1">
      <alignment vertical="center"/>
    </xf>
    <xf numFmtId="0" fontId="5" fillId="0" borderId="12" xfId="0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2" fontId="2" fillId="0" borderId="0" xfId="0" applyNumberFormat="1" applyFont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169" fontId="17" fillId="0" borderId="0" xfId="0" applyNumberFormat="1" applyFont="1" applyAlignment="1">
      <alignment horizontal="center" vertical="center"/>
    </xf>
    <xf numFmtId="169" fontId="2" fillId="0" borderId="0" xfId="0" applyNumberFormat="1" applyFont="1" applyAlignment="1">
      <alignment horizontal="center" vertical="center"/>
    </xf>
    <xf numFmtId="169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1" fontId="8" fillId="0" borderId="12" xfId="0" applyNumberFormat="1" applyFont="1" applyBorder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0" fontId="20" fillId="0" borderId="0" xfId="0" applyFont="1"/>
    <xf numFmtId="0" fontId="21" fillId="0" borderId="0" xfId="0" applyFont="1"/>
    <xf numFmtId="2" fontId="2" fillId="0" borderId="0" xfId="0" applyNumberFormat="1" applyFont="1"/>
    <xf numFmtId="10" fontId="2" fillId="0" borderId="0" xfId="0" applyNumberFormat="1" applyFont="1"/>
    <xf numFmtId="0" fontId="15" fillId="0" borderId="0" xfId="0" applyFont="1" applyAlignment="1">
      <alignment horizontal="left" vertical="center"/>
    </xf>
    <xf numFmtId="1" fontId="15" fillId="0" borderId="12" xfId="0" applyNumberFormat="1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7" fillId="0" borderId="0" xfId="0" applyFont="1"/>
    <xf numFmtId="0" fontId="22" fillId="0" borderId="0" xfId="0" applyFont="1" applyAlignment="1">
      <alignment vertical="center"/>
    </xf>
    <xf numFmtId="0" fontId="10" fillId="0" borderId="0" xfId="0" applyFont="1"/>
    <xf numFmtId="0" fontId="10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0" fontId="10" fillId="0" borderId="13" xfId="0" applyFont="1" applyBorder="1" applyAlignment="1">
      <alignment vertical="center"/>
    </xf>
    <xf numFmtId="0" fontId="15" fillId="0" borderId="13" xfId="0" applyFont="1" applyBorder="1" applyAlignment="1">
      <alignment vertical="center"/>
    </xf>
    <xf numFmtId="0" fontId="25" fillId="0" borderId="13" xfId="0" applyFont="1" applyBorder="1" applyAlignment="1">
      <alignment vertical="center"/>
    </xf>
    <xf numFmtId="0" fontId="26" fillId="0" borderId="0" xfId="0" applyFont="1" applyAlignment="1">
      <alignment horizontal="right" vertical="center"/>
    </xf>
    <xf numFmtId="0" fontId="24" fillId="2" borderId="9" xfId="0" applyFont="1" applyFill="1" applyBorder="1" applyAlignment="1">
      <alignment horizontal="center" vertical="center"/>
    </xf>
    <xf numFmtId="0" fontId="24" fillId="2" borderId="12" xfId="0" applyFont="1" applyFill="1" applyBorder="1" applyAlignment="1">
      <alignment horizontal="center" vertical="center"/>
    </xf>
    <xf numFmtId="0" fontId="24" fillId="2" borderId="9" xfId="0" applyFont="1" applyFill="1" applyBorder="1"/>
    <xf numFmtId="171" fontId="24" fillId="2" borderId="12" xfId="0" applyNumberFormat="1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vertical="center"/>
    </xf>
    <xf numFmtId="0" fontId="24" fillId="2" borderId="16" xfId="0" applyFont="1" applyFill="1" applyBorder="1" applyAlignment="1">
      <alignment horizontal="left" vertical="center"/>
    </xf>
    <xf numFmtId="0" fontId="14" fillId="2" borderId="17" xfId="0" applyFont="1" applyFill="1" applyBorder="1" applyAlignment="1">
      <alignment vertical="center"/>
    </xf>
    <xf numFmtId="0" fontId="24" fillId="2" borderId="17" xfId="0" applyFont="1" applyFill="1" applyBorder="1"/>
    <xf numFmtId="0" fontId="24" fillId="2" borderId="15" xfId="0" applyFont="1" applyFill="1" applyBorder="1"/>
    <xf numFmtId="0" fontId="14" fillId="2" borderId="16" xfId="0" applyFont="1" applyFill="1" applyBorder="1" applyAlignment="1">
      <alignment horizontal="left" vertical="center"/>
    </xf>
    <xf numFmtId="0" fontId="10" fillId="2" borderId="16" xfId="0" applyFont="1" applyFill="1" applyBorder="1" applyAlignment="1">
      <alignment vertical="center" wrapText="1"/>
    </xf>
    <xf numFmtId="0" fontId="10" fillId="2" borderId="9" xfId="0" applyFont="1" applyFill="1" applyBorder="1" applyAlignment="1">
      <alignment vertical="center"/>
    </xf>
    <xf numFmtId="0" fontId="24" fillId="2" borderId="9" xfId="0" applyFont="1" applyFill="1" applyBorder="1" applyAlignment="1">
      <alignment vertical="center"/>
    </xf>
    <xf numFmtId="0" fontId="28" fillId="2" borderId="9" xfId="0" applyFont="1" applyFill="1" applyBorder="1" applyAlignment="1">
      <alignment vertical="center"/>
    </xf>
    <xf numFmtId="0" fontId="24" fillId="2" borderId="9" xfId="0" applyFont="1" applyFill="1" applyBorder="1" applyAlignment="1">
      <alignment horizontal="left" vertical="center"/>
    </xf>
    <xf numFmtId="0" fontId="29" fillId="2" borderId="9" xfId="0" applyFont="1" applyFill="1" applyBorder="1" applyAlignment="1">
      <alignment horizontal="left" vertical="center"/>
    </xf>
    <xf numFmtId="0" fontId="30" fillId="2" borderId="9" xfId="0" applyFont="1" applyFill="1" applyBorder="1" applyAlignment="1">
      <alignment vertical="center" wrapText="1"/>
    </xf>
    <xf numFmtId="0" fontId="31" fillId="2" borderId="9" xfId="0" applyFont="1" applyFill="1" applyBorder="1" applyAlignment="1">
      <alignment vertical="center" wrapText="1"/>
    </xf>
    <xf numFmtId="0" fontId="32" fillId="2" borderId="9" xfId="0" applyFont="1" applyFill="1" applyBorder="1" applyAlignment="1">
      <alignment vertical="center" wrapText="1"/>
    </xf>
    <xf numFmtId="0" fontId="24" fillId="3" borderId="12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15" fillId="2" borderId="12" xfId="0" quotePrefix="1" applyFont="1" applyFill="1" applyBorder="1" applyAlignment="1">
      <alignment horizontal="center" vertical="center" wrapText="1"/>
    </xf>
    <xf numFmtId="169" fontId="15" fillId="2" borderId="9" xfId="0" applyNumberFormat="1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 wrapText="1"/>
    </xf>
    <xf numFmtId="2" fontId="15" fillId="2" borderId="9" xfId="0" applyNumberFormat="1" applyFont="1" applyFill="1" applyBorder="1" applyAlignment="1">
      <alignment horizontal="left" vertical="center"/>
    </xf>
    <xf numFmtId="168" fontId="15" fillId="2" borderId="9" xfId="0" applyNumberFormat="1" applyFont="1" applyFill="1" applyBorder="1" applyAlignment="1">
      <alignment horizontal="center" vertical="center" wrapText="1"/>
    </xf>
    <xf numFmtId="2" fontId="15" fillId="2" borderId="9" xfId="0" applyNumberFormat="1" applyFont="1" applyFill="1" applyBorder="1" applyAlignment="1">
      <alignment horizontal="center" vertical="center"/>
    </xf>
    <xf numFmtId="11" fontId="15" fillId="2" borderId="9" xfId="0" applyNumberFormat="1" applyFont="1" applyFill="1" applyBorder="1" applyAlignment="1">
      <alignment horizontal="center" vertical="center"/>
    </xf>
    <xf numFmtId="172" fontId="15" fillId="0" borderId="12" xfId="0" quotePrefix="1" applyNumberFormat="1" applyFont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left"/>
    </xf>
    <xf numFmtId="172" fontId="15" fillId="2" borderId="9" xfId="0" applyNumberFormat="1" applyFont="1" applyFill="1" applyBorder="1" applyAlignment="1">
      <alignment horizontal="center" vertical="center" wrapText="1"/>
    </xf>
    <xf numFmtId="0" fontId="15" fillId="2" borderId="9" xfId="0" applyFont="1" applyFill="1" applyBorder="1"/>
    <xf numFmtId="172" fontId="15" fillId="2" borderId="9" xfId="0" applyNumberFormat="1" applyFont="1" applyFill="1" applyBorder="1" applyAlignment="1">
      <alignment horizontal="center" vertical="center"/>
    </xf>
    <xf numFmtId="2" fontId="15" fillId="2" borderId="9" xfId="0" applyNumberFormat="1" applyFont="1" applyFill="1" applyBorder="1" applyAlignment="1">
      <alignment vertical="center"/>
    </xf>
    <xf numFmtId="2" fontId="15" fillId="0" borderId="12" xfId="0" applyNumberFormat="1" applyFont="1" applyBorder="1" applyAlignment="1">
      <alignment horizontal="center" vertical="center"/>
    </xf>
    <xf numFmtId="168" fontId="15" fillId="2" borderId="9" xfId="0" applyNumberFormat="1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33" fillId="2" borderId="9" xfId="0" applyFont="1" applyFill="1" applyBorder="1" applyAlignment="1">
      <alignment horizontal="center" vertical="center" wrapText="1"/>
    </xf>
    <xf numFmtId="2" fontId="8" fillId="2" borderId="16" xfId="0" applyNumberFormat="1" applyFont="1" applyFill="1" applyBorder="1" applyAlignment="1">
      <alignment vertical="center"/>
    </xf>
    <xf numFmtId="0" fontId="15" fillId="2" borderId="17" xfId="0" applyFont="1" applyFill="1" applyBorder="1"/>
    <xf numFmtId="2" fontId="15" fillId="2" borderId="17" xfId="0" applyNumberFormat="1" applyFont="1" applyFill="1" applyBorder="1" applyAlignment="1">
      <alignment vertical="center"/>
    </xf>
    <xf numFmtId="2" fontId="15" fillId="2" borderId="17" xfId="0" applyNumberFormat="1" applyFont="1" applyFill="1" applyBorder="1" applyAlignment="1">
      <alignment horizontal="center" vertical="center"/>
    </xf>
    <xf numFmtId="2" fontId="15" fillId="2" borderId="9" xfId="0" applyNumberFormat="1" applyFont="1" applyFill="1" applyBorder="1" applyAlignment="1">
      <alignment horizontal="center" vertical="center" wrapText="1"/>
    </xf>
    <xf numFmtId="2" fontId="8" fillId="2" borderId="17" xfId="0" applyNumberFormat="1" applyFont="1" applyFill="1" applyBorder="1" applyAlignment="1">
      <alignment vertical="center"/>
    </xf>
    <xf numFmtId="168" fontId="34" fillId="2" borderId="9" xfId="0" applyNumberFormat="1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left"/>
    </xf>
    <xf numFmtId="0" fontId="24" fillId="2" borderId="9" xfId="0" applyFont="1" applyFill="1" applyBorder="1" applyAlignment="1">
      <alignment horizontal="center"/>
    </xf>
    <xf numFmtId="0" fontId="10" fillId="2" borderId="9" xfId="0" applyFont="1" applyFill="1" applyBorder="1"/>
    <xf numFmtId="0" fontId="24" fillId="2" borderId="9" xfId="0" applyFont="1" applyFill="1" applyBorder="1" applyAlignment="1">
      <alignment horizontal="left"/>
    </xf>
    <xf numFmtId="0" fontId="10" fillId="2" borderId="12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/>
    </xf>
    <xf numFmtId="169" fontId="36" fillId="2" borderId="12" xfId="0" applyNumberFormat="1" applyFont="1" applyFill="1" applyBorder="1" applyAlignment="1">
      <alignment horizontal="center"/>
    </xf>
    <xf numFmtId="0" fontId="24" fillId="2" borderId="12" xfId="0" applyFont="1" applyFill="1" applyBorder="1" applyAlignment="1">
      <alignment horizontal="center"/>
    </xf>
    <xf numFmtId="0" fontId="10" fillId="2" borderId="12" xfId="0" applyFont="1" applyFill="1" applyBorder="1"/>
    <xf numFmtId="175" fontId="24" fillId="2" borderId="12" xfId="0" applyNumberFormat="1" applyFont="1" applyFill="1" applyBorder="1" applyAlignment="1">
      <alignment horizontal="center"/>
    </xf>
    <xf numFmtId="175" fontId="24" fillId="2" borderId="9" xfId="0" applyNumberFormat="1" applyFont="1" applyFill="1" applyBorder="1" applyAlignment="1">
      <alignment horizontal="center"/>
    </xf>
    <xf numFmtId="0" fontId="37" fillId="2" borderId="9" xfId="0" applyFont="1" applyFill="1" applyBorder="1"/>
    <xf numFmtId="0" fontId="38" fillId="2" borderId="9" xfId="0" applyFont="1" applyFill="1" applyBorder="1" applyAlignment="1">
      <alignment horizontal="left" vertical="center"/>
    </xf>
    <xf numFmtId="1" fontId="24" fillId="2" borderId="12" xfId="0" applyNumberFormat="1" applyFont="1" applyFill="1" applyBorder="1" applyAlignment="1">
      <alignment horizontal="center" vertical="center"/>
    </xf>
    <xf numFmtId="175" fontId="24" fillId="2" borderId="12" xfId="0" applyNumberFormat="1" applyFont="1" applyFill="1" applyBorder="1" applyAlignment="1">
      <alignment horizontal="center" vertical="center"/>
    </xf>
    <xf numFmtId="1" fontId="24" fillId="0" borderId="12" xfId="0" applyNumberFormat="1" applyFont="1" applyBorder="1" applyAlignment="1">
      <alignment horizontal="center" vertical="center"/>
    </xf>
    <xf numFmtId="0" fontId="39" fillId="2" borderId="9" xfId="0" applyFont="1" applyFill="1" applyBorder="1"/>
    <xf numFmtId="0" fontId="14" fillId="2" borderId="9" xfId="0" applyFont="1" applyFill="1" applyBorder="1"/>
    <xf numFmtId="15" fontId="24" fillId="2" borderId="12" xfId="0" applyNumberFormat="1" applyFont="1" applyFill="1" applyBorder="1" applyAlignment="1">
      <alignment horizontal="center"/>
    </xf>
    <xf numFmtId="17" fontId="40" fillId="2" borderId="9" xfId="0" applyNumberFormat="1" applyFont="1" applyFill="1" applyBorder="1" applyAlignment="1">
      <alignment horizontal="center"/>
    </xf>
    <xf numFmtId="0" fontId="36" fillId="2" borderId="12" xfId="0" applyFont="1" applyFill="1" applyBorder="1" applyAlignment="1">
      <alignment horizontal="center" vertical="center"/>
    </xf>
    <xf numFmtId="0" fontId="10" fillId="0" borderId="12" xfId="0" applyFont="1" applyBorder="1"/>
    <xf numFmtId="0" fontId="10" fillId="0" borderId="12" xfId="0" applyFont="1" applyBorder="1" applyAlignment="1">
      <alignment horizontal="center" vertical="center"/>
    </xf>
    <xf numFmtId="0" fontId="41" fillId="0" borderId="12" xfId="0" applyFont="1" applyBorder="1"/>
    <xf numFmtId="0" fontId="24" fillId="0" borderId="12" xfId="0" applyFont="1" applyBorder="1"/>
    <xf numFmtId="176" fontId="6" fillId="0" borderId="12" xfId="0" applyNumberFormat="1" applyFont="1" applyBorder="1" applyAlignment="1">
      <alignment horizontal="center"/>
    </xf>
    <xf numFmtId="16" fontId="41" fillId="0" borderId="12" xfId="0" applyNumberFormat="1" applyFont="1" applyBorder="1"/>
    <xf numFmtId="2" fontId="41" fillId="0" borderId="12" xfId="0" applyNumberFormat="1" applyFont="1" applyBorder="1"/>
    <xf numFmtId="2" fontId="7" fillId="2" borderId="12" xfId="0" applyNumberFormat="1" applyFont="1" applyFill="1" applyBorder="1" applyAlignment="1">
      <alignment vertical="center" wrapText="1"/>
    </xf>
    <xf numFmtId="2" fontId="42" fillId="2" borderId="12" xfId="0" applyNumberFormat="1" applyFont="1" applyFill="1" applyBorder="1" applyAlignment="1">
      <alignment vertical="center" wrapText="1"/>
    </xf>
    <xf numFmtId="10" fontId="21" fillId="2" borderId="12" xfId="0" applyNumberFormat="1" applyFont="1" applyFill="1" applyBorder="1" applyAlignment="1">
      <alignment vertical="center" wrapText="1"/>
    </xf>
    <xf numFmtId="0" fontId="41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47" fillId="0" borderId="0" xfId="0" applyFont="1" applyAlignment="1">
      <alignment vertical="center"/>
    </xf>
    <xf numFmtId="0" fontId="49" fillId="0" borderId="0" xfId="0" applyFont="1"/>
    <xf numFmtId="0" fontId="50" fillId="0" borderId="0" xfId="0" applyFont="1"/>
    <xf numFmtId="0" fontId="55" fillId="0" borderId="0" xfId="0" applyFont="1"/>
    <xf numFmtId="166" fontId="49" fillId="0" borderId="0" xfId="0" applyNumberFormat="1" applyFont="1" applyAlignment="1">
      <alignment horizontal="left"/>
    </xf>
    <xf numFmtId="0" fontId="54" fillId="0" borderId="0" xfId="0" applyFont="1" applyAlignment="1">
      <alignment vertical="center"/>
    </xf>
    <xf numFmtId="0" fontId="51" fillId="0" borderId="0" xfId="0" applyFont="1" applyAlignment="1">
      <alignment vertical="center"/>
    </xf>
    <xf numFmtId="0" fontId="51" fillId="2" borderId="12" xfId="0" applyFont="1" applyFill="1" applyBorder="1" applyAlignment="1">
      <alignment horizontal="center" vertical="center"/>
    </xf>
    <xf numFmtId="3" fontId="51" fillId="2" borderId="12" xfId="0" applyNumberFormat="1" applyFont="1" applyFill="1" applyBorder="1" applyAlignment="1">
      <alignment horizontal="center" vertical="center"/>
    </xf>
    <xf numFmtId="0" fontId="51" fillId="0" borderId="21" xfId="0" applyFont="1" applyBorder="1" applyAlignment="1">
      <alignment horizontal="center" vertical="center"/>
    </xf>
    <xf numFmtId="0" fontId="60" fillId="0" borderId="0" xfId="0" applyFont="1"/>
    <xf numFmtId="0" fontId="60" fillId="2" borderId="12" xfId="0" applyFont="1" applyFill="1" applyBorder="1" applyAlignment="1">
      <alignment horizontal="center" vertical="center"/>
    </xf>
    <xf numFmtId="0" fontId="51" fillId="0" borderId="24" xfId="0" applyFont="1" applyBorder="1" applyAlignment="1">
      <alignment horizontal="center" vertical="center"/>
    </xf>
    <xf numFmtId="0" fontId="60" fillId="0" borderId="24" xfId="0" applyFont="1" applyBorder="1" applyAlignment="1">
      <alignment horizontal="center" vertical="center"/>
    </xf>
    <xf numFmtId="169" fontId="61" fillId="0" borderId="12" xfId="0" applyNumberFormat="1" applyFont="1" applyBorder="1" applyAlignment="1">
      <alignment horizontal="center" vertical="center"/>
    </xf>
    <xf numFmtId="0" fontId="51" fillId="0" borderId="3" xfId="0" applyFont="1" applyBorder="1" applyAlignment="1">
      <alignment vertical="center"/>
    </xf>
    <xf numFmtId="0" fontId="61" fillId="0" borderId="12" xfId="0" applyFont="1" applyBorder="1"/>
    <xf numFmtId="0" fontId="49" fillId="0" borderId="0" xfId="0" applyFont="1" applyAlignment="1">
      <alignment vertical="center"/>
    </xf>
    <xf numFmtId="0" fontId="62" fillId="0" borderId="0" xfId="0" applyFont="1" applyAlignment="1">
      <alignment vertical="center"/>
    </xf>
    <xf numFmtId="0" fontId="51" fillId="0" borderId="12" xfId="0" applyFont="1" applyBorder="1" applyAlignment="1">
      <alignment horizontal="center" vertical="center"/>
    </xf>
    <xf numFmtId="0" fontId="51" fillId="2" borderId="15" xfId="0" applyFont="1" applyFill="1" applyBorder="1" applyAlignment="1">
      <alignment horizontal="center" vertical="center"/>
    </xf>
    <xf numFmtId="169" fontId="49" fillId="0" borderId="0" xfId="0" applyNumberFormat="1" applyFont="1" applyAlignment="1">
      <alignment horizontal="center" vertical="center"/>
    </xf>
    <xf numFmtId="12" fontId="60" fillId="0" borderId="12" xfId="0" applyNumberFormat="1" applyFont="1" applyBorder="1" applyAlignment="1">
      <alignment horizontal="center" vertical="center"/>
    </xf>
    <xf numFmtId="0" fontId="60" fillId="2" borderId="12" xfId="0" applyFont="1" applyFill="1" applyBorder="1" applyAlignment="1">
      <alignment horizontal="center"/>
    </xf>
    <xf numFmtId="0" fontId="60" fillId="0" borderId="12" xfId="0" applyFont="1" applyBorder="1" applyAlignment="1">
      <alignment vertical="center"/>
    </xf>
    <xf numFmtId="0" fontId="55" fillId="0" borderId="0" xfId="0" applyFont="1" applyAlignment="1">
      <alignment vertical="center"/>
    </xf>
    <xf numFmtId="2" fontId="49" fillId="0" borderId="0" xfId="0" applyNumberFormat="1" applyFont="1" applyAlignment="1">
      <alignment horizontal="center" vertical="center"/>
    </xf>
    <xf numFmtId="0" fontId="62" fillId="0" borderId="0" xfId="0" applyFont="1" applyAlignment="1">
      <alignment horizontal="center" vertical="center"/>
    </xf>
    <xf numFmtId="169" fontId="60" fillId="2" borderId="12" xfId="0" applyNumberFormat="1" applyFont="1" applyFill="1" applyBorder="1" applyAlignment="1">
      <alignment horizontal="center" vertical="center"/>
    </xf>
    <xf numFmtId="1" fontId="60" fillId="2" borderId="12" xfId="0" applyNumberFormat="1" applyFont="1" applyFill="1" applyBorder="1" applyAlignment="1">
      <alignment horizontal="center" vertical="center"/>
    </xf>
    <xf numFmtId="0" fontId="62" fillId="0" borderId="0" xfId="0" applyFont="1" applyAlignment="1">
      <alignment horizontal="center" vertical="center" wrapText="1"/>
    </xf>
    <xf numFmtId="0" fontId="61" fillId="0" borderId="0" xfId="0" applyFont="1"/>
    <xf numFmtId="1" fontId="54" fillId="0" borderId="0" xfId="0" applyNumberFormat="1" applyFont="1" applyAlignment="1">
      <alignment horizontal="center" vertical="center"/>
    </xf>
    <xf numFmtId="1" fontId="54" fillId="0" borderId="0" xfId="0" applyNumberFormat="1" applyFont="1" applyAlignment="1">
      <alignment vertical="center"/>
    </xf>
    <xf numFmtId="1" fontId="49" fillId="0" borderId="0" xfId="0" applyNumberFormat="1" applyFont="1" applyAlignment="1">
      <alignment horizontal="center" vertical="center"/>
    </xf>
    <xf numFmtId="12" fontId="49" fillId="0" borderId="0" xfId="0" applyNumberFormat="1" applyFont="1" applyAlignment="1">
      <alignment horizontal="center" vertical="center"/>
    </xf>
    <xf numFmtId="168" fontId="49" fillId="0" borderId="0" xfId="0" applyNumberFormat="1" applyFont="1" applyAlignment="1">
      <alignment horizontal="center" vertical="center"/>
    </xf>
    <xf numFmtId="169" fontId="49" fillId="0" borderId="0" xfId="0" applyNumberFormat="1" applyFont="1" applyAlignment="1">
      <alignment vertical="center"/>
    </xf>
    <xf numFmtId="1" fontId="60" fillId="0" borderId="12" xfId="0" applyNumberFormat="1" applyFont="1" applyBorder="1" applyAlignment="1">
      <alignment horizontal="center" vertical="center"/>
    </xf>
    <xf numFmtId="0" fontId="60" fillId="2" borderId="12" xfId="0" applyFont="1" applyFill="1" applyBorder="1" applyAlignment="1">
      <alignment horizontal="center" vertical="center" wrapText="1"/>
    </xf>
    <xf numFmtId="1" fontId="51" fillId="2" borderId="12" xfId="0" applyNumberFormat="1" applyFont="1" applyFill="1" applyBorder="1" applyAlignment="1">
      <alignment horizontal="center" vertical="center"/>
    </xf>
    <xf numFmtId="0" fontId="59" fillId="0" borderId="0" xfId="0" applyFont="1"/>
    <xf numFmtId="1" fontId="62" fillId="0" borderId="0" xfId="0" applyNumberFormat="1" applyFont="1" applyAlignment="1">
      <alignment horizontal="center" vertical="center"/>
    </xf>
    <xf numFmtId="0" fontId="60" fillId="0" borderId="0" xfId="0" applyFont="1" applyAlignment="1">
      <alignment horizontal="left" vertical="center"/>
    </xf>
    <xf numFmtId="0" fontId="47" fillId="0" borderId="0" xfId="0" applyFont="1"/>
    <xf numFmtId="0" fontId="49" fillId="0" borderId="0" xfId="0" applyFont="1" applyAlignment="1">
      <alignment horizontal="center" vertical="center"/>
    </xf>
    <xf numFmtId="0" fontId="59" fillId="0" borderId="0" xfId="0" applyFont="1" applyAlignment="1">
      <alignment vertical="center"/>
    </xf>
    <xf numFmtId="0" fontId="64" fillId="0" borderId="0" xfId="0" applyFont="1" applyAlignment="1">
      <alignment horizontal="right" vertical="center"/>
    </xf>
    <xf numFmtId="0" fontId="65" fillId="0" borderId="0" xfId="0" applyFont="1" applyAlignment="1">
      <alignment vertical="center"/>
    </xf>
    <xf numFmtId="0" fontId="60" fillId="0" borderId="0" xfId="0" applyFont="1" applyAlignment="1">
      <alignment vertical="center" wrapText="1"/>
    </xf>
    <xf numFmtId="0" fontId="45" fillId="4" borderId="24" xfId="0" applyFont="1" applyFill="1" applyBorder="1" applyAlignment="1">
      <alignment horizontal="center" vertical="center"/>
    </xf>
    <xf numFmtId="3" fontId="45" fillId="3" borderId="12" xfId="0" applyNumberFormat="1" applyFont="1" applyFill="1" applyBorder="1" applyAlignment="1">
      <alignment horizontal="center" vertical="center"/>
    </xf>
    <xf numFmtId="1" fontId="45" fillId="3" borderId="12" xfId="0" applyNumberFormat="1" applyFont="1" applyFill="1" applyBorder="1" applyAlignment="1">
      <alignment horizontal="center" vertical="center"/>
    </xf>
    <xf numFmtId="0" fontId="45" fillId="3" borderId="12" xfId="0" applyFont="1" applyFill="1" applyBorder="1" applyAlignment="1">
      <alignment horizontal="center"/>
    </xf>
    <xf numFmtId="0" fontId="66" fillId="3" borderId="12" xfId="0" applyFont="1" applyFill="1" applyBorder="1" applyAlignment="1">
      <alignment horizontal="center" vertical="center"/>
    </xf>
    <xf numFmtId="0" fontId="53" fillId="0" borderId="20" xfId="0" applyFont="1" applyBorder="1" applyAlignment="1">
      <alignment vertical="center"/>
    </xf>
    <xf numFmtId="0" fontId="59" fillId="0" borderId="20" xfId="0" applyFont="1" applyBorder="1" applyAlignment="1">
      <alignment horizontal="center" vertical="center"/>
    </xf>
    <xf numFmtId="0" fontId="47" fillId="0" borderId="20" xfId="0" applyFont="1" applyBorder="1" applyAlignment="1">
      <alignment vertical="center"/>
    </xf>
    <xf numFmtId="0" fontId="48" fillId="0" borderId="20" xfId="0" applyFont="1" applyBorder="1" applyAlignment="1">
      <alignment vertical="center"/>
    </xf>
    <xf numFmtId="0" fontId="49" fillId="0" borderId="20" xfId="0" applyFont="1" applyBorder="1"/>
    <xf numFmtId="0" fontId="52" fillId="0" borderId="20" xfId="0" applyFont="1" applyBorder="1" applyAlignment="1">
      <alignment vertical="center"/>
    </xf>
    <xf numFmtId="17" fontId="54" fillId="0" borderId="20" xfId="0" applyNumberFormat="1" applyFont="1" applyBorder="1" applyAlignment="1">
      <alignment vertical="center"/>
    </xf>
    <xf numFmtId="0" fontId="55" fillId="0" borderId="20" xfId="0" applyFont="1" applyBorder="1"/>
    <xf numFmtId="0" fontId="52" fillId="2" borderId="20" xfId="0" applyFont="1" applyFill="1" applyBorder="1" applyAlignment="1">
      <alignment horizontal="center" vertical="center"/>
    </xf>
    <xf numFmtId="0" fontId="51" fillId="0" borderId="20" xfId="0" applyFont="1" applyBorder="1" applyAlignment="1">
      <alignment vertical="center" wrapText="1"/>
    </xf>
    <xf numFmtId="0" fontId="52" fillId="0" borderId="20" xfId="0" applyFont="1" applyBorder="1" applyAlignment="1">
      <alignment horizontal="center" vertical="center"/>
    </xf>
    <xf numFmtId="0" fontId="47" fillId="0" borderId="20" xfId="0" applyFont="1" applyBorder="1" applyAlignment="1">
      <alignment vertical="center" wrapText="1"/>
    </xf>
    <xf numFmtId="0" fontId="53" fillId="0" borderId="20" xfId="0" applyFont="1" applyBorder="1" applyAlignment="1">
      <alignment horizontal="right" vertical="center"/>
    </xf>
    <xf numFmtId="0" fontId="53" fillId="0" borderId="20" xfId="0" applyFont="1" applyBorder="1" applyAlignment="1">
      <alignment horizontal="center" vertical="center"/>
    </xf>
    <xf numFmtId="14" fontId="52" fillId="0" borderId="20" xfId="0" applyNumberFormat="1" applyFont="1" applyBorder="1" applyAlignment="1">
      <alignment horizontal="center" vertical="center"/>
    </xf>
    <xf numFmtId="0" fontId="56" fillId="0" borderId="20" xfId="0" applyFont="1" applyBorder="1" applyAlignment="1">
      <alignment vertical="center"/>
    </xf>
    <xf numFmtId="0" fontId="57" fillId="0" borderId="20" xfId="0" applyFont="1" applyBorder="1" applyAlignment="1">
      <alignment vertical="center"/>
    </xf>
    <xf numFmtId="166" fontId="58" fillId="0" borderId="20" xfId="0" applyNumberFormat="1" applyFont="1" applyBorder="1" applyAlignment="1">
      <alignment horizontal="left" vertical="center"/>
    </xf>
    <xf numFmtId="14" fontId="52" fillId="2" borderId="20" xfId="0" applyNumberFormat="1" applyFont="1" applyFill="1" applyBorder="1" applyAlignment="1">
      <alignment horizontal="center" vertical="center"/>
    </xf>
    <xf numFmtId="0" fontId="58" fillId="0" borderId="20" xfId="0" applyFont="1" applyBorder="1" applyAlignment="1">
      <alignment vertical="center"/>
    </xf>
    <xf numFmtId="0" fontId="54" fillId="0" borderId="20" xfId="0" applyFont="1" applyBorder="1" applyAlignment="1">
      <alignment horizontal="right" vertical="center"/>
    </xf>
    <xf numFmtId="170" fontId="54" fillId="0" borderId="20" xfId="0" applyNumberFormat="1" applyFont="1" applyBorder="1" applyAlignment="1">
      <alignment horizontal="left" vertical="center"/>
    </xf>
    <xf numFmtId="167" fontId="54" fillId="0" borderId="20" xfId="0" applyNumberFormat="1" applyFont="1" applyBorder="1" applyAlignment="1">
      <alignment vertical="center"/>
    </xf>
    <xf numFmtId="0" fontId="47" fillId="0" borderId="25" xfId="0" applyFont="1" applyBorder="1" applyAlignment="1">
      <alignment vertical="center"/>
    </xf>
    <xf numFmtId="0" fontId="47" fillId="0" borderId="26" xfId="0" applyFont="1" applyBorder="1" applyAlignment="1">
      <alignment vertical="center"/>
    </xf>
    <xf numFmtId="0" fontId="48" fillId="0" borderId="26" xfId="0" applyFont="1" applyBorder="1" applyAlignment="1">
      <alignment vertical="center"/>
    </xf>
    <xf numFmtId="0" fontId="49" fillId="0" borderId="26" xfId="0" applyFont="1" applyBorder="1"/>
    <xf numFmtId="0" fontId="49" fillId="0" borderId="27" xfId="0" applyFont="1" applyBorder="1"/>
    <xf numFmtId="0" fontId="52" fillId="0" borderId="28" xfId="0" applyFont="1" applyBorder="1" applyAlignment="1">
      <alignment vertical="center"/>
    </xf>
    <xf numFmtId="0" fontId="55" fillId="0" borderId="29" xfId="0" applyFont="1" applyBorder="1"/>
    <xf numFmtId="0" fontId="49" fillId="0" borderId="29" xfId="0" applyFont="1" applyBorder="1"/>
    <xf numFmtId="0" fontId="52" fillId="2" borderId="28" xfId="0" applyFont="1" applyFill="1" applyBorder="1" applyAlignment="1">
      <alignment horizontal="left" vertical="center"/>
    </xf>
    <xf numFmtId="0" fontId="53" fillId="0" borderId="28" xfId="0" applyFont="1" applyBorder="1" applyAlignment="1">
      <alignment vertical="center"/>
    </xf>
    <xf numFmtId="0" fontId="54" fillId="0" borderId="29" xfId="0" applyFont="1" applyBorder="1" applyAlignment="1">
      <alignment vertical="center"/>
    </xf>
    <xf numFmtId="0" fontId="51" fillId="0" borderId="20" xfId="0" applyFont="1" applyBorder="1" applyAlignment="1">
      <alignment vertical="center"/>
    </xf>
    <xf numFmtId="0" fontId="60" fillId="0" borderId="20" xfId="0" applyFont="1" applyBorder="1"/>
    <xf numFmtId="0" fontId="51" fillId="0" borderId="29" xfId="0" applyFont="1" applyBorder="1" applyAlignment="1">
      <alignment vertical="center"/>
    </xf>
    <xf numFmtId="0" fontId="49" fillId="0" borderId="28" xfId="0" applyFont="1" applyBorder="1"/>
    <xf numFmtId="0" fontId="61" fillId="0" borderId="20" xfId="0" applyFont="1" applyBorder="1"/>
    <xf numFmtId="1" fontId="60" fillId="0" borderId="20" xfId="0" applyNumberFormat="1" applyFont="1" applyBorder="1" applyAlignment="1">
      <alignment horizontal="center" vertical="center"/>
    </xf>
    <xf numFmtId="1" fontId="54" fillId="0" borderId="20" xfId="0" applyNumberFormat="1" applyFont="1" applyBorder="1" applyAlignment="1">
      <alignment horizontal="center" vertical="center"/>
    </xf>
    <xf numFmtId="1" fontId="54" fillId="0" borderId="20" xfId="0" applyNumberFormat="1" applyFont="1" applyBorder="1" applyAlignment="1">
      <alignment vertical="center"/>
    </xf>
    <xf numFmtId="1" fontId="49" fillId="0" borderId="20" xfId="0" applyNumberFormat="1" applyFont="1" applyBorder="1" applyAlignment="1">
      <alignment horizontal="center" vertical="center"/>
    </xf>
    <xf numFmtId="0" fontId="51" fillId="0" borderId="33" xfId="0" applyFont="1" applyBorder="1" applyAlignment="1">
      <alignment horizontal="center" vertical="center"/>
    </xf>
    <xf numFmtId="0" fontId="60" fillId="0" borderId="33" xfId="0" applyFont="1" applyBorder="1" applyAlignment="1">
      <alignment horizontal="center" vertical="center"/>
    </xf>
    <xf numFmtId="0" fontId="60" fillId="2" borderId="33" xfId="0" applyFont="1" applyFill="1" applyBorder="1" applyAlignment="1">
      <alignment horizontal="center" vertical="center"/>
    </xf>
    <xf numFmtId="0" fontId="49" fillId="0" borderId="30" xfId="0" applyFont="1" applyBorder="1"/>
    <xf numFmtId="0" fontId="49" fillId="0" borderId="31" xfId="0" applyFont="1" applyBorder="1"/>
    <xf numFmtId="1" fontId="54" fillId="0" borderId="31" xfId="0" applyNumberFormat="1" applyFont="1" applyBorder="1" applyAlignment="1">
      <alignment horizontal="center" vertical="center"/>
    </xf>
    <xf numFmtId="1" fontId="54" fillId="0" borderId="31" xfId="0" applyNumberFormat="1" applyFont="1" applyBorder="1" applyAlignment="1">
      <alignment vertical="center"/>
    </xf>
    <xf numFmtId="1" fontId="49" fillId="0" borderId="31" xfId="0" applyNumberFormat="1" applyFont="1" applyBorder="1" applyAlignment="1">
      <alignment horizontal="center" vertical="center"/>
    </xf>
    <xf numFmtId="0" fontId="60" fillId="0" borderId="31" xfId="0" applyFont="1" applyBorder="1"/>
    <xf numFmtId="0" fontId="51" fillId="0" borderId="32" xfId="0" applyFont="1" applyBorder="1" applyAlignment="1">
      <alignment vertical="center"/>
    </xf>
    <xf numFmtId="0" fontId="67" fillId="2" borderId="0" xfId="0" applyFont="1" applyFill="1" applyAlignment="1">
      <alignment vertical="center" wrapText="1"/>
    </xf>
    <xf numFmtId="0" fontId="67" fillId="2" borderId="24" xfId="0" applyFont="1" applyFill="1" applyBorder="1" applyAlignment="1">
      <alignment horizontal="center" vertical="center" wrapText="1"/>
    </xf>
    <xf numFmtId="174" fontId="68" fillId="2" borderId="37" xfId="0" applyNumberFormat="1" applyFont="1" applyFill="1" applyBorder="1" applyAlignment="1">
      <alignment horizontal="center" vertical="center" wrapText="1"/>
    </xf>
    <xf numFmtId="0" fontId="52" fillId="6" borderId="42" xfId="0" applyFont="1" applyFill="1" applyBorder="1"/>
    <xf numFmtId="0" fontId="52" fillId="6" borderId="43" xfId="0" applyFont="1" applyFill="1" applyBorder="1" applyAlignment="1">
      <alignment horizontal="right"/>
    </xf>
    <xf numFmtId="173" fontId="60" fillId="6" borderId="42" xfId="0" applyNumberFormat="1" applyFont="1" applyFill="1" applyBorder="1" applyAlignment="1">
      <alignment horizontal="center"/>
    </xf>
    <xf numFmtId="174" fontId="68" fillId="2" borderId="24" xfId="0" applyNumberFormat="1" applyFont="1" applyFill="1" applyBorder="1" applyAlignment="1">
      <alignment horizontal="center" vertical="center" wrapText="1"/>
    </xf>
    <xf numFmtId="0" fontId="52" fillId="6" borderId="0" xfId="0" applyFont="1" applyFill="1"/>
    <xf numFmtId="0" fontId="24" fillId="2" borderId="20" xfId="0" applyFont="1" applyFill="1" applyBorder="1"/>
    <xf numFmtId="172" fontId="15" fillId="7" borderId="12" xfId="0" applyNumberFormat="1" applyFont="1" applyFill="1" applyBorder="1" applyAlignment="1">
      <alignment horizontal="center" vertical="center"/>
    </xf>
    <xf numFmtId="0" fontId="32" fillId="2" borderId="20" xfId="0" applyFont="1" applyFill="1" applyBorder="1" applyAlignment="1">
      <alignment horizontal="center" vertical="center" wrapText="1"/>
    </xf>
    <xf numFmtId="0" fontId="32" fillId="2" borderId="20" xfId="0" applyFont="1" applyFill="1" applyBorder="1" applyAlignment="1">
      <alignment vertical="center" wrapText="1"/>
    </xf>
    <xf numFmtId="0" fontId="15" fillId="2" borderId="20" xfId="0" applyFont="1" applyFill="1" applyBorder="1" applyAlignment="1">
      <alignment horizontal="right" vertical="center"/>
    </xf>
    <xf numFmtId="173" fontId="15" fillId="2" borderId="20" xfId="0" applyNumberFormat="1" applyFont="1" applyFill="1" applyBorder="1" applyAlignment="1">
      <alignment horizontal="center" vertical="center"/>
    </xf>
    <xf numFmtId="174" fontId="33" fillId="2" borderId="20" xfId="0" applyNumberFormat="1" applyFont="1" applyFill="1" applyBorder="1" applyAlignment="1">
      <alignment horizontal="center" vertical="center" wrapText="1"/>
    </xf>
    <xf numFmtId="0" fontId="24" fillId="2" borderId="20" xfId="0" applyFont="1" applyFill="1" applyBorder="1" applyAlignment="1">
      <alignment horizontal="right"/>
    </xf>
    <xf numFmtId="173" fontId="15" fillId="2" borderId="20" xfId="0" applyNumberFormat="1" applyFont="1" applyFill="1" applyBorder="1" applyAlignment="1">
      <alignment horizontal="center"/>
    </xf>
    <xf numFmtId="2" fontId="15" fillId="2" borderId="20" xfId="0" applyNumberFormat="1" applyFont="1" applyFill="1" applyBorder="1" applyAlignment="1">
      <alignment horizontal="center" vertical="center"/>
    </xf>
    <xf numFmtId="2" fontId="15" fillId="2" borderId="20" xfId="0" applyNumberFormat="1" applyFont="1" applyFill="1" applyBorder="1" applyAlignment="1">
      <alignment vertical="center"/>
    </xf>
    <xf numFmtId="172" fontId="15" fillId="2" borderId="20" xfId="0" applyNumberFormat="1" applyFont="1" applyFill="1" applyBorder="1" applyAlignment="1">
      <alignment horizontal="center" vertical="center"/>
    </xf>
    <xf numFmtId="168" fontId="15" fillId="2" borderId="20" xfId="0" applyNumberFormat="1" applyFont="1" applyFill="1" applyBorder="1" applyAlignment="1">
      <alignment horizontal="center" vertical="center" wrapText="1"/>
    </xf>
    <xf numFmtId="2" fontId="15" fillId="2" borderId="20" xfId="0" applyNumberFormat="1" applyFont="1" applyFill="1" applyBorder="1" applyAlignment="1">
      <alignment horizontal="left" vertical="center"/>
    </xf>
    <xf numFmtId="0" fontId="33" fillId="2" borderId="20" xfId="0" applyFont="1" applyFill="1" applyBorder="1" applyAlignment="1">
      <alignment horizontal="center" vertical="center" wrapText="1"/>
    </xf>
    <xf numFmtId="2" fontId="15" fillId="2" borderId="20" xfId="0" applyNumberFormat="1" applyFont="1" applyFill="1" applyBorder="1" applyAlignment="1">
      <alignment horizontal="center" vertical="center" wrapText="1"/>
    </xf>
    <xf numFmtId="172" fontId="15" fillId="7" borderId="12" xfId="0" applyNumberFormat="1" applyFont="1" applyFill="1" applyBorder="1" applyAlignment="1">
      <alignment horizontal="center" vertical="center" wrapText="1"/>
    </xf>
    <xf numFmtId="0" fontId="8" fillId="7" borderId="12" xfId="0" applyFont="1" applyFill="1" applyBorder="1" applyAlignment="1">
      <alignment horizontal="left" vertical="center" wrapText="1"/>
    </xf>
    <xf numFmtId="2" fontId="15" fillId="7" borderId="12" xfId="0" applyNumberFormat="1" applyFont="1" applyFill="1" applyBorder="1" applyAlignment="1">
      <alignment vertical="center"/>
    </xf>
    <xf numFmtId="1" fontId="45" fillId="8" borderId="12" xfId="0" applyNumberFormat="1" applyFont="1" applyFill="1" applyBorder="1" applyAlignment="1">
      <alignment horizontal="center" vertical="center"/>
    </xf>
    <xf numFmtId="172" fontId="33" fillId="7" borderId="12" xfId="0" applyNumberFormat="1" applyFont="1" applyFill="1" applyBorder="1" applyAlignment="1">
      <alignment horizontal="center" vertical="center" wrapText="1"/>
    </xf>
    <xf numFmtId="173" fontId="60" fillId="6" borderId="24" xfId="1" applyNumberFormat="1" applyFont="1" applyFill="1" applyBorder="1" applyAlignment="1" applyProtection="1">
      <alignment horizontal="center" vertical="center"/>
      <protection hidden="1"/>
    </xf>
    <xf numFmtId="0" fontId="6" fillId="0" borderId="20" xfId="0" applyFont="1" applyBorder="1" applyAlignment="1">
      <alignment vertical="center"/>
    </xf>
    <xf numFmtId="0" fontId="5" fillId="0" borderId="20" xfId="0" applyFont="1" applyBorder="1" applyAlignment="1">
      <alignment horizontal="center" vertical="center"/>
    </xf>
    <xf numFmtId="0" fontId="6" fillId="0" borderId="20" xfId="0" applyFont="1" applyBorder="1" applyAlignment="1">
      <alignment vertical="top"/>
    </xf>
    <xf numFmtId="0" fontId="5" fillId="0" borderId="20" xfId="0" applyFont="1" applyBorder="1" applyAlignment="1">
      <alignment horizontal="right" vertical="center"/>
    </xf>
    <xf numFmtId="17" fontId="6" fillId="0" borderId="20" xfId="0" applyNumberFormat="1" applyFont="1" applyBorder="1" applyAlignment="1">
      <alignment vertical="center"/>
    </xf>
    <xf numFmtId="0" fontId="6" fillId="0" borderId="38" xfId="0" applyFont="1" applyBorder="1" applyAlignment="1">
      <alignment vertical="center"/>
    </xf>
    <xf numFmtId="0" fontId="6" fillId="0" borderId="20" xfId="0" applyFont="1" applyBorder="1" applyAlignment="1">
      <alignment horizontal="center" vertical="center"/>
    </xf>
    <xf numFmtId="0" fontId="14" fillId="0" borderId="20" xfId="0" applyFont="1" applyBorder="1"/>
    <xf numFmtId="0" fontId="6" fillId="0" borderId="20" xfId="0" applyFont="1" applyBorder="1" applyAlignment="1">
      <alignment horizontal="right" vertical="center"/>
    </xf>
    <xf numFmtId="0" fontId="14" fillId="0" borderId="20" xfId="0" applyFont="1" applyBorder="1" applyAlignment="1">
      <alignment vertical="center"/>
    </xf>
    <xf numFmtId="0" fontId="69" fillId="0" borderId="38" xfId="0" applyFont="1" applyBorder="1" applyAlignment="1">
      <alignment vertical="center"/>
    </xf>
    <xf numFmtId="0" fontId="2" fillId="0" borderId="20" xfId="0" applyFont="1" applyBorder="1"/>
    <xf numFmtId="0" fontId="5" fillId="0" borderId="38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39" xfId="0" applyFont="1" applyBorder="1" applyAlignment="1">
      <alignment vertical="center"/>
    </xf>
    <xf numFmtId="0" fontId="2" fillId="0" borderId="38" xfId="0" applyFont="1" applyBorder="1"/>
    <xf numFmtId="1" fontId="16" fillId="0" borderId="20" xfId="0" applyNumberFormat="1" applyFont="1" applyBorder="1" applyAlignment="1">
      <alignment vertical="center"/>
    </xf>
    <xf numFmtId="1" fontId="16" fillId="0" borderId="39" xfId="0" applyNumberFormat="1" applyFont="1" applyBorder="1" applyAlignment="1">
      <alignment vertical="center"/>
    </xf>
    <xf numFmtId="1" fontId="16" fillId="0" borderId="20" xfId="0" applyNumberFormat="1" applyFont="1" applyBorder="1"/>
    <xf numFmtId="1" fontId="16" fillId="0" borderId="39" xfId="0" applyNumberFormat="1" applyFont="1" applyBorder="1"/>
    <xf numFmtId="9" fontId="18" fillId="0" borderId="20" xfId="0" applyNumberFormat="1" applyFont="1" applyBorder="1" applyAlignment="1">
      <alignment vertical="center"/>
    </xf>
    <xf numFmtId="9" fontId="18" fillId="0" borderId="39" xfId="0" applyNumberFormat="1" applyFont="1" applyBorder="1" applyAlignment="1">
      <alignment vertical="center"/>
    </xf>
    <xf numFmtId="0" fontId="2" fillId="0" borderId="40" xfId="0" applyFont="1" applyBorder="1"/>
    <xf numFmtId="0" fontId="2" fillId="0" borderId="34" xfId="0" applyFont="1" applyBorder="1"/>
    <xf numFmtId="1" fontId="19" fillId="0" borderId="34" xfId="0" applyNumberFormat="1" applyFont="1" applyBorder="1" applyAlignment="1">
      <alignment horizontal="center" vertical="center"/>
    </xf>
    <xf numFmtId="0" fontId="2" fillId="0" borderId="41" xfId="0" applyFont="1" applyBorder="1"/>
    <xf numFmtId="0" fontId="70" fillId="0" borderId="0" xfId="0" applyFont="1" applyAlignment="1">
      <alignment horizontal="right" vertical="center"/>
    </xf>
    <xf numFmtId="0" fontId="60" fillId="0" borderId="20" xfId="0" applyFont="1" applyBorder="1" applyAlignment="1">
      <alignment vertical="center"/>
    </xf>
    <xf numFmtId="0" fontId="53" fillId="0" borderId="24" xfId="0" applyFont="1" applyBorder="1" applyAlignment="1">
      <alignment horizontal="center" vertical="center"/>
    </xf>
    <xf numFmtId="169" fontId="61" fillId="0" borderId="21" xfId="0" applyNumberFormat="1" applyFont="1" applyBorder="1" applyAlignment="1">
      <alignment horizontal="center" vertical="center"/>
    </xf>
    <xf numFmtId="2" fontId="61" fillId="0" borderId="21" xfId="0" applyNumberFormat="1" applyFont="1" applyBorder="1" applyAlignment="1">
      <alignment horizontal="center" vertical="center"/>
    </xf>
    <xf numFmtId="0" fontId="61" fillId="0" borderId="3" xfId="0" applyFont="1" applyBorder="1"/>
    <xf numFmtId="0" fontId="61" fillId="0" borderId="4" xfId="0" applyFont="1" applyBorder="1"/>
    <xf numFmtId="0" fontId="61" fillId="0" borderId="12" xfId="0" applyFont="1" applyBorder="1" applyAlignment="1">
      <alignment vertical="center"/>
    </xf>
    <xf numFmtId="169" fontId="61" fillId="0" borderId="12" xfId="0" applyNumberFormat="1" applyFont="1" applyBorder="1" applyAlignment="1">
      <alignment vertical="center"/>
    </xf>
    <xf numFmtId="2" fontId="72" fillId="0" borderId="21" xfId="0" applyNumberFormat="1" applyFont="1" applyBorder="1" applyAlignment="1">
      <alignment horizontal="center" vertical="center"/>
    </xf>
    <xf numFmtId="0" fontId="46" fillId="6" borderId="24" xfId="1" applyFont="1" applyFill="1" applyBorder="1" applyAlignment="1" applyProtection="1">
      <alignment horizontal="center"/>
      <protection locked="0"/>
    </xf>
    <xf numFmtId="0" fontId="47" fillId="0" borderId="24" xfId="1" applyFont="1" applyBorder="1" applyAlignment="1">
      <alignment horizontal="center"/>
    </xf>
    <xf numFmtId="0" fontId="45" fillId="4" borderId="7" xfId="0" applyFont="1" applyFill="1" applyBorder="1" applyAlignment="1">
      <alignment horizontal="center" vertical="center"/>
    </xf>
    <xf numFmtId="0" fontId="53" fillId="0" borderId="23" xfId="0" applyFont="1" applyBorder="1" applyAlignment="1">
      <alignment horizontal="center" vertical="center"/>
    </xf>
    <xf numFmtId="0" fontId="60" fillId="0" borderId="12" xfId="0" applyFont="1" applyBorder="1" applyAlignment="1">
      <alignment horizontal="center"/>
    </xf>
    <xf numFmtId="15" fontId="24" fillId="2" borderId="20" xfId="0" applyNumberFormat="1" applyFont="1" applyFill="1" applyBorder="1" applyAlignment="1">
      <alignment horizontal="center"/>
    </xf>
    <xf numFmtId="17" fontId="40" fillId="2" borderId="20" xfId="0" applyNumberFormat="1" applyFont="1" applyFill="1" applyBorder="1" applyAlignment="1">
      <alignment horizontal="center"/>
    </xf>
    <xf numFmtId="0" fontId="9" fillId="6" borderId="0" xfId="0" applyFont="1" applyFill="1"/>
    <xf numFmtId="168" fontId="52" fillId="6" borderId="0" xfId="0" applyNumberFormat="1" applyFont="1" applyFill="1"/>
    <xf numFmtId="168" fontId="15" fillId="7" borderId="12" xfId="0" applyNumberFormat="1" applyFont="1" applyFill="1" applyBorder="1" applyAlignment="1">
      <alignment horizontal="center" vertical="center"/>
    </xf>
    <xf numFmtId="0" fontId="51" fillId="2" borderId="12" xfId="0" applyFont="1" applyFill="1" applyBorder="1" applyAlignment="1">
      <alignment vertical="center" wrapText="1"/>
    </xf>
    <xf numFmtId="0" fontId="60" fillId="2" borderId="12" xfId="0" applyFont="1" applyFill="1" applyBorder="1"/>
    <xf numFmtId="0" fontId="60" fillId="2" borderId="12" xfId="0" quotePrefix="1" applyFont="1" applyFill="1" applyBorder="1" applyAlignment="1">
      <alignment horizontal="center" vertical="center" wrapText="1"/>
    </xf>
    <xf numFmtId="0" fontId="51" fillId="7" borderId="12" xfId="0" applyFont="1" applyFill="1" applyBorder="1" applyAlignment="1">
      <alignment vertical="center" wrapText="1"/>
    </xf>
    <xf numFmtId="0" fontId="60" fillId="7" borderId="12" xfId="0" applyFont="1" applyFill="1" applyBorder="1" applyAlignment="1">
      <alignment horizontal="center" vertical="center"/>
    </xf>
    <xf numFmtId="1" fontId="60" fillId="7" borderId="12" xfId="0" applyNumberFormat="1" applyFont="1" applyFill="1" applyBorder="1" applyAlignment="1">
      <alignment horizontal="center" vertical="center"/>
    </xf>
    <xf numFmtId="2" fontId="60" fillId="7" borderId="12" xfId="0" quotePrefix="1" applyNumberFormat="1" applyFont="1" applyFill="1" applyBorder="1" applyAlignment="1">
      <alignment horizontal="center" vertical="center"/>
    </xf>
    <xf numFmtId="168" fontId="60" fillId="7" borderId="12" xfId="0" applyNumberFormat="1" applyFont="1" applyFill="1" applyBorder="1" applyAlignment="1">
      <alignment horizontal="center" vertical="center" wrapText="1"/>
    </xf>
    <xf numFmtId="11" fontId="60" fillId="7" borderId="12" xfId="0" applyNumberFormat="1" applyFont="1" applyFill="1" applyBorder="1" applyAlignment="1">
      <alignment horizontal="center" vertical="center"/>
    </xf>
    <xf numFmtId="0" fontId="60" fillId="0" borderId="12" xfId="0" applyFont="1" applyBorder="1" applyAlignment="1">
      <alignment horizontal="center" vertical="center"/>
    </xf>
    <xf numFmtId="0" fontId="60" fillId="0" borderId="12" xfId="0" applyFont="1" applyBorder="1"/>
    <xf numFmtId="168" fontId="60" fillId="0" borderId="12" xfId="0" applyNumberFormat="1" applyFont="1" applyBorder="1" applyAlignment="1">
      <alignment horizontal="center" vertical="center"/>
    </xf>
    <xf numFmtId="2" fontId="60" fillId="0" borderId="12" xfId="0" applyNumberFormat="1" applyFont="1" applyBorder="1" applyAlignment="1">
      <alignment vertical="center"/>
    </xf>
    <xf numFmtId="172" fontId="60" fillId="0" borderId="12" xfId="0" applyNumberFormat="1" applyFont="1" applyBorder="1" applyAlignment="1">
      <alignment horizontal="center" vertical="center"/>
    </xf>
    <xf numFmtId="2" fontId="60" fillId="0" borderId="12" xfId="0" applyNumberFormat="1" applyFont="1" applyBorder="1" applyAlignment="1">
      <alignment horizontal="left" vertical="center"/>
    </xf>
    <xf numFmtId="0" fontId="60" fillId="0" borderId="12" xfId="0" applyFont="1" applyBorder="1" applyAlignment="1">
      <alignment vertical="center" wrapText="1"/>
    </xf>
    <xf numFmtId="2" fontId="61" fillId="0" borderId="16" xfId="0" applyNumberFormat="1" applyFont="1" applyBorder="1" applyAlignment="1">
      <alignment horizontal="center" vertical="center"/>
    </xf>
    <xf numFmtId="0" fontId="53" fillId="2" borderId="22" xfId="0" applyFont="1" applyFill="1" applyBorder="1" applyAlignment="1">
      <alignment horizontal="center" vertical="center"/>
    </xf>
    <xf numFmtId="0" fontId="46" fillId="5" borderId="7" xfId="0" applyFont="1" applyFill="1" applyBorder="1" applyAlignment="1">
      <alignment horizontal="center" vertical="center"/>
    </xf>
    <xf numFmtId="0" fontId="46" fillId="5" borderId="24" xfId="0" quotePrefix="1" applyFont="1" applyFill="1" applyBorder="1" applyAlignment="1">
      <alignment horizontal="center" vertical="center"/>
    </xf>
    <xf numFmtId="2" fontId="73" fillId="0" borderId="21" xfId="0" applyNumberFormat="1" applyFont="1" applyBorder="1" applyAlignment="1">
      <alignment horizontal="center" vertical="center"/>
    </xf>
    <xf numFmtId="1" fontId="36" fillId="6" borderId="24" xfId="1" applyNumberFormat="1" applyFont="1" applyFill="1" applyBorder="1" applyAlignment="1" applyProtection="1">
      <alignment horizontal="center"/>
      <protection locked="0"/>
    </xf>
    <xf numFmtId="2" fontId="15" fillId="2" borderId="12" xfId="0" applyNumberFormat="1" applyFont="1" applyFill="1" applyBorder="1" applyAlignment="1">
      <alignment horizontal="center" vertical="center"/>
    </xf>
    <xf numFmtId="0" fontId="67" fillId="2" borderId="42" xfId="0" applyFont="1" applyFill="1" applyBorder="1" applyAlignment="1">
      <alignment vertical="center" wrapText="1"/>
    </xf>
    <xf numFmtId="0" fontId="60" fillId="6" borderId="43" xfId="1" applyFont="1" applyFill="1" applyBorder="1" applyAlignment="1" applyProtection="1">
      <alignment horizontal="right" vertical="center"/>
      <protection hidden="1"/>
    </xf>
    <xf numFmtId="0" fontId="15" fillId="7" borderId="12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15" fontId="40" fillId="2" borderId="20" xfId="0" applyNumberFormat="1" applyFont="1" applyFill="1" applyBorder="1" applyAlignment="1">
      <alignment horizontal="left"/>
    </xf>
    <xf numFmtId="178" fontId="6" fillId="0" borderId="0" xfId="0" applyNumberFormat="1" applyFont="1" applyAlignment="1">
      <alignment horizontal="left" vertical="center"/>
    </xf>
    <xf numFmtId="0" fontId="74" fillId="0" borderId="2" xfId="0" applyFont="1" applyBorder="1" applyAlignment="1">
      <alignment vertical="center"/>
    </xf>
    <xf numFmtId="0" fontId="15" fillId="0" borderId="20" xfId="2" quotePrefix="1" applyFont="1" applyAlignment="1">
      <alignment vertical="center" wrapText="1"/>
    </xf>
    <xf numFmtId="0" fontId="11" fillId="0" borderId="35" xfId="0" applyFont="1" applyBorder="1" applyAlignment="1">
      <alignment vertical="center"/>
    </xf>
    <xf numFmtId="0" fontId="12" fillId="0" borderId="44" xfId="0" applyFont="1" applyBorder="1" applyAlignment="1">
      <alignment vertical="center"/>
    </xf>
    <xf numFmtId="0" fontId="13" fillId="0" borderId="36" xfId="0" applyFont="1" applyBorder="1" applyAlignment="1">
      <alignment vertical="center"/>
    </xf>
    <xf numFmtId="178" fontId="6" fillId="0" borderId="39" xfId="0" applyNumberFormat="1" applyFont="1" applyBorder="1" applyAlignment="1">
      <alignment horizontal="left" vertical="center"/>
    </xf>
    <xf numFmtId="0" fontId="6" fillId="0" borderId="40" xfId="0" applyFont="1" applyBorder="1" applyAlignment="1">
      <alignment vertical="center"/>
    </xf>
    <xf numFmtId="0" fontId="6" fillId="0" borderId="34" xfId="0" applyFont="1" applyBorder="1" applyAlignment="1">
      <alignment vertical="center"/>
    </xf>
    <xf numFmtId="0" fontId="6" fillId="0" borderId="34" xfId="0" applyFont="1" applyBorder="1" applyAlignment="1">
      <alignment horizontal="center" vertical="center"/>
    </xf>
    <xf numFmtId="0" fontId="15" fillId="0" borderId="34" xfId="0" applyFont="1" applyBorder="1" applyAlignment="1">
      <alignment vertical="center"/>
    </xf>
    <xf numFmtId="0" fontId="6" fillId="0" borderId="34" xfId="0" applyFont="1" applyBorder="1" applyAlignment="1">
      <alignment horizontal="right" vertical="center"/>
    </xf>
    <xf numFmtId="165" fontId="6" fillId="0" borderId="41" xfId="0" applyNumberFormat="1" applyFont="1" applyBorder="1" applyAlignment="1">
      <alignment horizontal="left" vertical="center"/>
    </xf>
    <xf numFmtId="177" fontId="36" fillId="6" borderId="24" xfId="2" applyNumberFormat="1" applyFont="1" applyFill="1" applyBorder="1" applyAlignment="1" applyProtection="1">
      <alignment horizontal="center" vertical="center"/>
      <protection locked="0"/>
    </xf>
    <xf numFmtId="11" fontId="24" fillId="6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/>
    </xf>
    <xf numFmtId="11" fontId="24" fillId="2" borderId="0" xfId="0" applyNumberFormat="1" applyFont="1" applyFill="1" applyAlignment="1">
      <alignment horizontal="center"/>
    </xf>
    <xf numFmtId="0" fontId="24" fillId="2" borderId="0" xfId="0" quotePrefix="1" applyFont="1" applyFill="1" applyAlignment="1">
      <alignment horizontal="left"/>
    </xf>
    <xf numFmtId="0" fontId="9" fillId="6" borderId="34" xfId="2" applyFill="1" applyBorder="1" applyAlignment="1">
      <alignment vertical="center"/>
    </xf>
    <xf numFmtId="0" fontId="9" fillId="6" borderId="20" xfId="2" applyFill="1" applyAlignment="1">
      <alignment vertical="center"/>
    </xf>
    <xf numFmtId="11" fontId="52" fillId="0" borderId="20" xfId="0" applyNumberFormat="1" applyFont="1" applyBorder="1" applyAlignment="1">
      <alignment horizontal="center" vertical="center"/>
    </xf>
    <xf numFmtId="0" fontId="53" fillId="0" borderId="6" xfId="0" applyFont="1" applyBorder="1" applyAlignment="1">
      <alignment horizontal="center" vertical="center"/>
    </xf>
    <xf numFmtId="1" fontId="60" fillId="0" borderId="15" xfId="0" applyNumberFormat="1" applyFont="1" applyBorder="1" applyAlignment="1">
      <alignment horizontal="center" vertical="center"/>
    </xf>
    <xf numFmtId="1" fontId="60" fillId="0" borderId="15" xfId="0" applyNumberFormat="1" applyFont="1" applyBorder="1" applyAlignment="1">
      <alignment vertical="center"/>
    </xf>
    <xf numFmtId="0" fontId="61" fillId="0" borderId="48" xfId="0" applyFont="1" applyBorder="1"/>
    <xf numFmtId="0" fontId="51" fillId="2" borderId="52" xfId="0" applyFont="1" applyFill="1" applyBorder="1" applyAlignment="1">
      <alignment horizontal="center" vertical="center"/>
    </xf>
    <xf numFmtId="12" fontId="60" fillId="0" borderId="33" xfId="0" applyNumberFormat="1" applyFont="1" applyBorder="1" applyAlignment="1">
      <alignment horizontal="center" vertical="center"/>
    </xf>
    <xf numFmtId="0" fontId="51" fillId="0" borderId="52" xfId="0" applyFont="1" applyBorder="1" applyAlignment="1">
      <alignment horizontal="center" vertical="center"/>
    </xf>
    <xf numFmtId="1" fontId="60" fillId="0" borderId="52" xfId="0" applyNumberFormat="1" applyFont="1" applyBorder="1" applyAlignment="1">
      <alignment horizontal="center" vertical="center"/>
    </xf>
    <xf numFmtId="0" fontId="61" fillId="0" borderId="55" xfId="0" applyFont="1" applyBorder="1"/>
    <xf numFmtId="1" fontId="60" fillId="2" borderId="55" xfId="0" applyNumberFormat="1" applyFont="1" applyFill="1" applyBorder="1" applyAlignment="1">
      <alignment horizontal="center" vertical="center"/>
    </xf>
    <xf numFmtId="0" fontId="60" fillId="2" borderId="55" xfId="0" applyFont="1" applyFill="1" applyBorder="1" applyAlignment="1">
      <alignment horizontal="center" vertical="center"/>
    </xf>
    <xf numFmtId="0" fontId="60" fillId="2" borderId="56" xfId="0" applyFont="1" applyFill="1" applyBorder="1" applyAlignment="1">
      <alignment horizontal="center" vertical="center"/>
    </xf>
    <xf numFmtId="0" fontId="51" fillId="0" borderId="57" xfId="0" applyFont="1" applyBorder="1" applyAlignment="1">
      <alignment horizontal="center" vertical="center"/>
    </xf>
    <xf numFmtId="0" fontId="51" fillId="2" borderId="48" xfId="0" applyFont="1" applyFill="1" applyBorder="1" applyAlignment="1">
      <alignment horizontal="center" vertical="center"/>
    </xf>
    <xf numFmtId="1" fontId="54" fillId="0" borderId="27" xfId="0" applyNumberFormat="1" applyFont="1" applyBorder="1" applyAlignment="1">
      <alignment vertical="center"/>
    </xf>
    <xf numFmtId="1" fontId="60" fillId="0" borderId="29" xfId="0" applyNumberFormat="1" applyFont="1" applyBorder="1" applyAlignment="1">
      <alignment vertical="center"/>
    </xf>
    <xf numFmtId="0" fontId="74" fillId="0" borderId="58" xfId="0" applyFont="1" applyBorder="1" applyAlignment="1">
      <alignment vertical="center"/>
    </xf>
    <xf numFmtId="0" fontId="61" fillId="0" borderId="59" xfId="0" applyFont="1" applyBorder="1"/>
    <xf numFmtId="0" fontId="61" fillId="0" borderId="60" xfId="0" applyFont="1" applyBorder="1" applyAlignment="1">
      <alignment vertical="center"/>
    </xf>
    <xf numFmtId="2" fontId="61" fillId="0" borderId="61" xfId="0" applyNumberFormat="1" applyFont="1" applyBorder="1" applyAlignment="1">
      <alignment horizontal="center" vertical="center"/>
    </xf>
    <xf numFmtId="0" fontId="72" fillId="0" borderId="61" xfId="0" applyFont="1" applyBorder="1" applyAlignment="1">
      <alignment horizontal="center"/>
    </xf>
    <xf numFmtId="1" fontId="60" fillId="0" borderId="32" xfId="0" applyNumberFormat="1" applyFont="1" applyBorder="1" applyAlignment="1">
      <alignment vertical="center"/>
    </xf>
    <xf numFmtId="3" fontId="53" fillId="2" borderId="48" xfId="0" applyNumberFormat="1" applyFont="1" applyFill="1" applyBorder="1" applyAlignment="1">
      <alignment horizontal="center" vertical="center"/>
    </xf>
    <xf numFmtId="0" fontId="53" fillId="0" borderId="48" xfId="0" applyFont="1" applyBorder="1" applyAlignment="1">
      <alignment horizontal="center" vertical="center"/>
    </xf>
    <xf numFmtId="0" fontId="36" fillId="6" borderId="24" xfId="2" applyFont="1" applyFill="1" applyBorder="1" applyAlignment="1" applyProtection="1">
      <alignment horizontal="center" vertical="center"/>
      <protection locked="0"/>
    </xf>
    <xf numFmtId="180" fontId="54" fillId="0" borderId="0" xfId="0" applyNumberFormat="1" applyFont="1" applyAlignment="1" applyProtection="1">
      <alignment horizontal="left" vertical="center"/>
      <protection locked="0"/>
    </xf>
    <xf numFmtId="181" fontId="54" fillId="0" borderId="39" xfId="0" applyNumberFormat="1" applyFont="1" applyBorder="1" applyAlignment="1" applyProtection="1">
      <alignment horizontal="left" vertical="center"/>
      <protection locked="0"/>
    </xf>
    <xf numFmtId="0" fontId="49" fillId="0" borderId="62" xfId="3" applyFont="1" applyBorder="1" applyProtection="1">
      <protection hidden="1"/>
    </xf>
    <xf numFmtId="0" fontId="47" fillId="6" borderId="63" xfId="3" applyFont="1" applyFill="1" applyBorder="1" applyAlignment="1">
      <alignment vertical="center"/>
    </xf>
    <xf numFmtId="0" fontId="48" fillId="6" borderId="63" xfId="3" applyFont="1" applyFill="1" applyBorder="1" applyAlignment="1">
      <alignment vertical="center"/>
    </xf>
    <xf numFmtId="0" fontId="49" fillId="0" borderId="64" xfId="3" applyFont="1" applyBorder="1" applyProtection="1">
      <protection hidden="1"/>
    </xf>
    <xf numFmtId="0" fontId="49" fillId="0" borderId="20" xfId="3" applyFont="1" applyProtection="1">
      <protection hidden="1"/>
    </xf>
    <xf numFmtId="0" fontId="49" fillId="0" borderId="65" xfId="3" applyFont="1" applyBorder="1" applyProtection="1">
      <protection hidden="1"/>
    </xf>
    <xf numFmtId="0" fontId="47" fillId="6" borderId="20" xfId="3" applyFont="1" applyFill="1" applyAlignment="1">
      <alignment vertical="center"/>
    </xf>
    <xf numFmtId="0" fontId="48" fillId="6" borderId="20" xfId="3" applyFont="1" applyFill="1" applyAlignment="1">
      <alignment vertical="center"/>
    </xf>
    <xf numFmtId="0" fontId="49" fillId="0" borderId="66" xfId="3" applyFont="1" applyBorder="1" applyProtection="1">
      <protection hidden="1"/>
    </xf>
    <xf numFmtId="0" fontId="49" fillId="0" borderId="67" xfId="3" applyFont="1" applyBorder="1" applyProtection="1">
      <protection hidden="1"/>
    </xf>
    <xf numFmtId="0" fontId="62" fillId="9" borderId="68" xfId="3" applyFont="1" applyFill="1" applyBorder="1" applyAlignment="1">
      <alignment vertical="center"/>
    </xf>
    <xf numFmtId="0" fontId="62" fillId="9" borderId="69" xfId="3" applyFont="1" applyFill="1" applyBorder="1" applyAlignment="1">
      <alignment vertical="center"/>
    </xf>
    <xf numFmtId="0" fontId="62" fillId="9" borderId="20" xfId="3" applyFont="1" applyFill="1" applyAlignment="1">
      <alignment vertical="center"/>
    </xf>
    <xf numFmtId="0" fontId="53" fillId="9" borderId="20" xfId="4" applyFont="1" applyFill="1" applyAlignment="1">
      <alignment horizontal="center" vertical="center"/>
    </xf>
    <xf numFmtId="0" fontId="76" fillId="9" borderId="20" xfId="3" applyFont="1" applyFill="1" applyAlignment="1">
      <alignment horizontal="center" vertical="center"/>
    </xf>
    <xf numFmtId="0" fontId="53" fillId="9" borderId="20" xfId="4" applyFont="1" applyFill="1" applyAlignment="1">
      <alignment vertical="center"/>
    </xf>
    <xf numFmtId="0" fontId="77" fillId="0" borderId="42" xfId="3" applyFont="1" applyBorder="1" applyAlignment="1">
      <alignment horizontal="center" vertical="center"/>
    </xf>
    <xf numFmtId="0" fontId="77" fillId="0" borderId="24" xfId="3" applyFont="1" applyBorder="1" applyAlignment="1">
      <alignment horizontal="center" vertical="center"/>
    </xf>
    <xf numFmtId="0" fontId="75" fillId="0" borderId="20" xfId="3"/>
    <xf numFmtId="0" fontId="55" fillId="0" borderId="20" xfId="3" applyFont="1" applyProtection="1">
      <protection hidden="1"/>
    </xf>
    <xf numFmtId="0" fontId="51" fillId="9" borderId="24" xfId="4" applyFont="1" applyFill="1" applyBorder="1" applyAlignment="1">
      <alignment vertical="center"/>
    </xf>
    <xf numFmtId="0" fontId="51" fillId="9" borderId="43" xfId="4" applyFont="1" applyFill="1" applyBorder="1" applyAlignment="1">
      <alignment vertical="center"/>
    </xf>
    <xf numFmtId="0" fontId="49" fillId="0" borderId="20" xfId="3" applyFont="1" applyAlignment="1" applyProtection="1">
      <alignment horizontal="left"/>
      <protection hidden="1"/>
    </xf>
    <xf numFmtId="164" fontId="49" fillId="0" borderId="20" xfId="3" applyNumberFormat="1" applyFont="1" applyAlignment="1" applyProtection="1">
      <alignment horizontal="left" vertical="center"/>
      <protection hidden="1"/>
    </xf>
    <xf numFmtId="0" fontId="54" fillId="9" borderId="20" xfId="3" applyFont="1" applyFill="1" applyAlignment="1">
      <alignment vertical="top"/>
    </xf>
    <xf numFmtId="0" fontId="47" fillId="0" borderId="34" xfId="3" applyFont="1" applyBorder="1" applyAlignment="1" applyProtection="1">
      <alignment horizontal="center" vertical="center" wrapText="1"/>
      <protection hidden="1"/>
    </xf>
    <xf numFmtId="0" fontId="47" fillId="0" borderId="20" xfId="3" applyFont="1" applyAlignment="1" applyProtection="1">
      <alignment horizontal="center" vertical="center" wrapText="1"/>
      <protection hidden="1"/>
    </xf>
    <xf numFmtId="0" fontId="53" fillId="6" borderId="24" xfId="5" applyFont="1" applyFill="1" applyBorder="1" applyAlignment="1">
      <alignment horizontal="center" vertical="center"/>
    </xf>
    <xf numFmtId="3" fontId="53" fillId="6" borderId="24" xfId="5" applyNumberFormat="1" applyFont="1" applyFill="1" applyBorder="1" applyAlignment="1" applyProtection="1">
      <alignment horizontal="center" vertical="center"/>
      <protection locked="0"/>
    </xf>
    <xf numFmtId="0" fontId="54" fillId="9" borderId="20" xfId="3" applyFont="1" applyFill="1" applyAlignment="1">
      <alignment horizontal="left" vertical="center" wrapText="1"/>
    </xf>
    <xf numFmtId="17" fontId="54" fillId="9" borderId="20" xfId="3" applyNumberFormat="1" applyFont="1" applyFill="1" applyAlignment="1">
      <alignment vertical="center"/>
    </xf>
    <xf numFmtId="0" fontId="54" fillId="6" borderId="24" xfId="5" applyFont="1" applyFill="1" applyBorder="1" applyAlignment="1">
      <alignment horizontal="center" vertical="center"/>
    </xf>
    <xf numFmtId="3" fontId="5" fillId="6" borderId="24" xfId="5" applyNumberFormat="1" applyFont="1" applyFill="1" applyBorder="1" applyAlignment="1" applyProtection="1">
      <alignment horizontal="center" vertical="center"/>
      <protection locked="0"/>
    </xf>
    <xf numFmtId="3" fontId="54" fillId="6" borderId="24" xfId="5" applyNumberFormat="1" applyFont="1" applyFill="1" applyBorder="1" applyAlignment="1" applyProtection="1">
      <alignment horizontal="center" vertical="center"/>
      <protection locked="0"/>
    </xf>
    <xf numFmtId="169" fontId="54" fillId="6" borderId="24" xfId="5" applyNumberFormat="1" applyFont="1" applyFill="1" applyBorder="1" applyAlignment="1" applyProtection="1">
      <alignment horizontal="center" vertical="center"/>
      <protection hidden="1"/>
    </xf>
    <xf numFmtId="0" fontId="54" fillId="9" borderId="24" xfId="3" applyFont="1" applyFill="1" applyBorder="1" applyAlignment="1">
      <alignment horizontal="center" vertical="center" wrapText="1"/>
    </xf>
    <xf numFmtId="0" fontId="54" fillId="0" borderId="20" xfId="3" applyFont="1" applyAlignment="1" applyProtection="1">
      <alignment horizontal="left"/>
      <protection hidden="1"/>
    </xf>
    <xf numFmtId="0" fontId="51" fillId="6" borderId="24" xfId="5" applyFont="1" applyFill="1" applyBorder="1" applyAlignment="1">
      <alignment horizontal="center" vertical="center"/>
    </xf>
    <xf numFmtId="0" fontId="51" fillId="6" borderId="43" xfId="5" applyFont="1" applyFill="1" applyBorder="1" applyAlignment="1">
      <alignment horizontal="center" vertical="center"/>
    </xf>
    <xf numFmtId="0" fontId="53" fillId="6" borderId="20" xfId="5" applyFont="1" applyFill="1" applyAlignment="1">
      <alignment vertical="center"/>
    </xf>
    <xf numFmtId="0" fontId="49" fillId="9" borderId="20" xfId="3" applyFont="1" applyFill="1" applyAlignment="1">
      <alignment vertical="center"/>
    </xf>
    <xf numFmtId="0" fontId="60" fillId="0" borderId="20" xfId="3" applyFont="1" applyProtection="1">
      <protection hidden="1"/>
    </xf>
    <xf numFmtId="0" fontId="51" fillId="9" borderId="20" xfId="4" applyFont="1" applyFill="1" applyAlignment="1">
      <alignment vertical="center"/>
    </xf>
    <xf numFmtId="0" fontId="53" fillId="6" borderId="20" xfId="5" applyFont="1" applyFill="1" applyAlignment="1">
      <alignment horizontal="center" vertical="center"/>
    </xf>
    <xf numFmtId="169" fontId="78" fillId="9" borderId="20" xfId="3" applyNumberFormat="1" applyFont="1" applyFill="1" applyAlignment="1">
      <alignment horizontal="center" vertical="center"/>
    </xf>
    <xf numFmtId="0" fontId="49" fillId="9" borderId="20" xfId="3" applyFont="1" applyFill="1" applyAlignment="1">
      <alignment horizontal="center" vertical="center"/>
    </xf>
    <xf numFmtId="169" fontId="17" fillId="9" borderId="20" xfId="3" applyNumberFormat="1" applyFont="1" applyFill="1" applyAlignment="1">
      <alignment horizontal="center" vertical="center"/>
    </xf>
    <xf numFmtId="0" fontId="60" fillId="0" borderId="24" xfId="3" applyFont="1" applyBorder="1" applyAlignment="1" applyProtection="1">
      <alignment horizontal="center" vertical="center"/>
      <protection hidden="1"/>
    </xf>
    <xf numFmtId="169" fontId="60" fillId="10" borderId="24" xfId="5" applyNumberFormat="1" applyFont="1" applyFill="1" applyBorder="1" applyAlignment="1" applyProtection="1">
      <alignment horizontal="center" vertical="center"/>
      <protection locked="0"/>
    </xf>
    <xf numFmtId="0" fontId="60" fillId="6" borderId="24" xfId="5" applyFont="1" applyFill="1" applyBorder="1" applyAlignment="1" applyProtection="1">
      <alignment horizontal="center"/>
      <protection locked="0"/>
    </xf>
    <xf numFmtId="0" fontId="54" fillId="6" borderId="20" xfId="5" applyFont="1" applyFill="1" applyAlignment="1" applyProtection="1">
      <alignment horizontal="center"/>
      <protection locked="0"/>
    </xf>
    <xf numFmtId="169" fontId="49" fillId="9" borderId="20" xfId="3" applyNumberFormat="1" applyFont="1" applyFill="1" applyAlignment="1">
      <alignment horizontal="center" vertical="center"/>
    </xf>
    <xf numFmtId="0" fontId="55" fillId="9" borderId="20" xfId="3" applyFont="1" applyFill="1" applyAlignment="1">
      <alignment vertical="center"/>
    </xf>
    <xf numFmtId="0" fontId="62" fillId="9" borderId="20" xfId="3" applyFont="1" applyFill="1" applyAlignment="1">
      <alignment horizontal="center" vertical="center"/>
    </xf>
    <xf numFmtId="2" fontId="49" fillId="9" borderId="20" xfId="3" applyNumberFormat="1" applyFont="1" applyFill="1" applyAlignment="1">
      <alignment horizontal="center" vertical="center"/>
    </xf>
    <xf numFmtId="0" fontId="51" fillId="0" borderId="43" xfId="5" applyFont="1" applyBorder="1" applyAlignment="1">
      <alignment horizontal="center" vertical="center"/>
    </xf>
    <xf numFmtId="169" fontId="49" fillId="9" borderId="20" xfId="3" applyNumberFormat="1" applyFont="1" applyFill="1" applyAlignment="1">
      <alignment vertical="center"/>
    </xf>
    <xf numFmtId="0" fontId="62" fillId="9" borderId="20" xfId="3" applyFont="1" applyFill="1" applyAlignment="1">
      <alignment horizontal="center" vertical="center" wrapText="1"/>
    </xf>
    <xf numFmtId="169" fontId="60" fillId="6" borderId="24" xfId="5" applyNumberFormat="1" applyFont="1" applyFill="1" applyBorder="1" applyAlignment="1" applyProtection="1">
      <alignment horizontal="center" vertical="center"/>
      <protection locked="0"/>
    </xf>
    <xf numFmtId="0" fontId="60" fillId="6" borderId="20" xfId="5" applyFont="1" applyFill="1" applyAlignment="1">
      <alignment horizontal="center" vertical="center"/>
    </xf>
    <xf numFmtId="3" fontId="34" fillId="6" borderId="20" xfId="5" applyNumberFormat="1" applyFont="1" applyFill="1" applyAlignment="1" applyProtection="1">
      <alignment vertical="center"/>
      <protection locked="0"/>
    </xf>
    <xf numFmtId="0" fontId="49" fillId="9" borderId="20" xfId="3" applyFont="1" applyFill="1" applyAlignment="1" applyProtection="1">
      <alignment horizontal="center" vertical="center"/>
      <protection hidden="1"/>
    </xf>
    <xf numFmtId="168" fontId="49" fillId="9" borderId="20" xfId="3" applyNumberFormat="1" applyFont="1" applyFill="1" applyAlignment="1" applyProtection="1">
      <alignment horizontal="center" vertical="center"/>
      <protection hidden="1"/>
    </xf>
    <xf numFmtId="0" fontId="51" fillId="0" borderId="24" xfId="3" applyFont="1" applyBorder="1" applyAlignment="1" applyProtection="1">
      <alignment horizontal="center" vertical="center"/>
      <protection hidden="1"/>
    </xf>
    <xf numFmtId="3" fontId="51" fillId="6" borderId="24" xfId="5" applyNumberFormat="1" applyFont="1" applyFill="1" applyBorder="1" applyAlignment="1" applyProtection="1">
      <alignment horizontal="center" vertical="center"/>
      <protection locked="0"/>
    </xf>
    <xf numFmtId="1" fontId="49" fillId="9" borderId="20" xfId="3" applyNumberFormat="1" applyFont="1" applyFill="1" applyAlignment="1">
      <alignment horizontal="center" vertical="center"/>
    </xf>
    <xf numFmtId="12" fontId="49" fillId="9" borderId="20" xfId="3" applyNumberFormat="1" applyFont="1" applyFill="1" applyAlignment="1" applyProtection="1">
      <alignment horizontal="center" vertical="center"/>
      <protection hidden="1"/>
    </xf>
    <xf numFmtId="0" fontId="60" fillId="6" borderId="42" xfId="5" applyFont="1" applyFill="1" applyBorder="1" applyAlignment="1">
      <alignment horizontal="left" vertical="center"/>
    </xf>
    <xf numFmtId="0" fontId="60" fillId="6" borderId="43" xfId="5" applyFont="1" applyFill="1" applyBorder="1" applyAlignment="1">
      <alignment horizontal="left" vertical="center"/>
    </xf>
    <xf numFmtId="3" fontId="60" fillId="6" borderId="24" xfId="5" applyNumberFormat="1" applyFont="1" applyFill="1" applyBorder="1" applyAlignment="1" applyProtection="1">
      <alignment horizontal="center" vertical="center"/>
      <protection locked="0"/>
    </xf>
    <xf numFmtId="0" fontId="60" fillId="6" borderId="24" xfId="5" applyFont="1" applyFill="1" applyBorder="1" applyAlignment="1">
      <alignment horizontal="center" vertical="center"/>
    </xf>
    <xf numFmtId="0" fontId="51" fillId="0" borderId="70" xfId="3" applyFont="1" applyBorder="1" applyAlignment="1" applyProtection="1">
      <alignment horizontal="center" vertical="center"/>
      <protection hidden="1"/>
    </xf>
    <xf numFmtId="0" fontId="60" fillId="6" borderId="71" xfId="5" applyFont="1" applyFill="1" applyBorder="1" applyAlignment="1">
      <alignment horizontal="left" vertical="center"/>
    </xf>
    <xf numFmtId="0" fontId="60" fillId="6" borderId="72" xfId="5" applyFont="1" applyFill="1" applyBorder="1" applyAlignment="1">
      <alignment horizontal="left" vertical="center"/>
    </xf>
    <xf numFmtId="0" fontId="60" fillId="6" borderId="70" xfId="5" applyFont="1" applyFill="1" applyBorder="1" applyAlignment="1">
      <alignment horizontal="center" vertical="center"/>
    </xf>
    <xf numFmtId="3" fontId="60" fillId="6" borderId="70" xfId="5" applyNumberFormat="1" applyFont="1" applyFill="1" applyBorder="1" applyAlignment="1" applyProtection="1">
      <alignment horizontal="center" vertical="center"/>
      <protection locked="0"/>
    </xf>
    <xf numFmtId="0" fontId="60" fillId="0" borderId="73" xfId="3" applyFont="1" applyBorder="1" applyAlignment="1" applyProtection="1">
      <alignment horizontal="center" vertical="center"/>
      <protection hidden="1"/>
    </xf>
    <xf numFmtId="0" fontId="60" fillId="6" borderId="73" xfId="5" applyFont="1" applyFill="1" applyBorder="1" applyAlignment="1">
      <alignment horizontal="center" vertical="center"/>
    </xf>
    <xf numFmtId="169" fontId="60" fillId="6" borderId="73" xfId="5" applyNumberFormat="1" applyFont="1" applyFill="1" applyBorder="1" applyAlignment="1" applyProtection="1">
      <alignment horizontal="center" vertical="center"/>
      <protection hidden="1"/>
    </xf>
    <xf numFmtId="12" fontId="49" fillId="0" borderId="20" xfId="3" applyNumberFormat="1" applyFont="1" applyProtection="1">
      <protection hidden="1"/>
    </xf>
    <xf numFmtId="0" fontId="60" fillId="6" borderId="24" xfId="5" applyFont="1" applyFill="1" applyBorder="1" applyAlignment="1">
      <alignment horizontal="center" vertical="center" wrapText="1"/>
    </xf>
    <xf numFmtId="169" fontId="60" fillId="6" borderId="24" xfId="5" applyNumberFormat="1" applyFont="1" applyFill="1" applyBorder="1" applyAlignment="1" applyProtection="1">
      <alignment horizontal="center" vertical="center"/>
      <protection hidden="1"/>
    </xf>
    <xf numFmtId="0" fontId="54" fillId="6" borderId="20" xfId="5" applyFont="1" applyFill="1" applyAlignment="1" applyProtection="1">
      <alignment horizontal="center"/>
      <protection hidden="1"/>
    </xf>
    <xf numFmtId="1" fontId="49" fillId="9" borderId="20" xfId="3" quotePrefix="1" applyNumberFormat="1" applyFont="1" applyFill="1" applyAlignment="1">
      <alignment horizontal="center" vertical="center"/>
    </xf>
    <xf numFmtId="174" fontId="51" fillId="6" borderId="24" xfId="5" applyNumberFormat="1" applyFont="1" applyFill="1" applyBorder="1" applyAlignment="1" applyProtection="1">
      <alignment horizontal="center" vertical="center"/>
      <protection hidden="1"/>
    </xf>
    <xf numFmtId="0" fontId="54" fillId="6" borderId="20" xfId="5" applyFont="1" applyFill="1" applyAlignment="1" applyProtection="1">
      <alignment horizontal="center" vertical="center"/>
      <protection hidden="1"/>
    </xf>
    <xf numFmtId="0" fontId="49" fillId="0" borderId="20" xfId="3" applyFont="1" applyAlignment="1" applyProtection="1">
      <alignment vertical="center"/>
      <protection hidden="1"/>
    </xf>
    <xf numFmtId="0" fontId="54" fillId="0" borderId="20" xfId="3" applyFont="1" applyProtection="1">
      <protection hidden="1"/>
    </xf>
    <xf numFmtId="1" fontId="62" fillId="9" borderId="20" xfId="3" applyNumberFormat="1" applyFont="1" applyFill="1" applyAlignment="1">
      <alignment horizontal="center" vertical="center"/>
    </xf>
    <xf numFmtId="1" fontId="62" fillId="9" borderId="20" xfId="3" quotePrefix="1" applyNumberFormat="1" applyFont="1" applyFill="1" applyAlignment="1">
      <alignment horizontal="center" vertical="center"/>
    </xf>
    <xf numFmtId="0" fontId="79" fillId="0" borderId="44" xfId="3" applyFont="1" applyBorder="1" applyProtection="1">
      <protection hidden="1"/>
    </xf>
    <xf numFmtId="0" fontId="49" fillId="0" borderId="44" xfId="3" applyFont="1" applyBorder="1" applyProtection="1">
      <protection hidden="1"/>
    </xf>
    <xf numFmtId="0" fontId="60" fillId="0" borderId="24" xfId="3" applyFont="1" applyBorder="1" applyAlignment="1" applyProtection="1">
      <alignment horizontal="left" vertical="center" wrapText="1"/>
      <protection hidden="1"/>
    </xf>
    <xf numFmtId="0" fontId="60" fillId="0" borderId="24" xfId="3" applyFont="1" applyBorder="1" applyAlignment="1" applyProtection="1">
      <alignment vertical="center" wrapText="1"/>
      <protection hidden="1"/>
    </xf>
    <xf numFmtId="0" fontId="54" fillId="0" borderId="20" xfId="3" applyFont="1" applyAlignment="1" applyProtection="1">
      <alignment vertical="center"/>
      <protection hidden="1"/>
    </xf>
    <xf numFmtId="0" fontId="60" fillId="0" borderId="24" xfId="3" applyFont="1" applyBorder="1" applyAlignment="1" applyProtection="1">
      <alignment horizontal="left" vertical="center"/>
      <protection hidden="1"/>
    </xf>
    <xf numFmtId="0" fontId="80" fillId="0" borderId="20" xfId="3" applyFont="1" applyProtection="1">
      <protection hidden="1"/>
    </xf>
    <xf numFmtId="0" fontId="49" fillId="0" borderId="34" xfId="3" applyFont="1" applyBorder="1" applyProtection="1">
      <protection hidden="1"/>
    </xf>
    <xf numFmtId="0" fontId="47" fillId="0" borderId="20" xfId="3" applyFont="1" applyAlignment="1" applyProtection="1">
      <alignment vertical="center"/>
      <protection hidden="1"/>
    </xf>
    <xf numFmtId="0" fontId="60" fillId="9" borderId="20" xfId="2" applyFont="1" applyFill="1"/>
    <xf numFmtId="169" fontId="49" fillId="9" borderId="20" xfId="3" quotePrefix="1" applyNumberFormat="1" applyFont="1" applyFill="1" applyAlignment="1">
      <alignment horizontal="center" vertical="center"/>
    </xf>
    <xf numFmtId="0" fontId="54" fillId="6" borderId="20" xfId="3" applyFont="1" applyFill="1" applyAlignment="1" applyProtection="1">
      <alignment vertical="center"/>
      <protection hidden="1"/>
    </xf>
    <xf numFmtId="0" fontId="65" fillId="0" borderId="20" xfId="3" applyFont="1" applyAlignment="1" applyProtection="1">
      <alignment vertical="center"/>
      <protection hidden="1"/>
    </xf>
    <xf numFmtId="3" fontId="45" fillId="4" borderId="42" xfId="0" applyNumberFormat="1" applyFont="1" applyFill="1" applyBorder="1" applyAlignment="1">
      <alignment horizontal="center" vertical="center"/>
    </xf>
    <xf numFmtId="0" fontId="53" fillId="6" borderId="20" xfId="4" applyFont="1" applyFill="1" applyAlignment="1">
      <alignment horizontal="right" vertical="center"/>
    </xf>
    <xf numFmtId="0" fontId="9" fillId="0" borderId="37" xfId="0" applyFont="1" applyBorder="1" applyAlignment="1">
      <alignment horizontal="left" indent="1"/>
    </xf>
    <xf numFmtId="0" fontId="9" fillId="0" borderId="74" xfId="0" applyFont="1" applyBorder="1" applyAlignment="1">
      <alignment horizontal="left" indent="1"/>
    </xf>
    <xf numFmtId="0" fontId="47" fillId="6" borderId="0" xfId="0" applyFont="1" applyFill="1" applyAlignment="1">
      <alignment horizontal="right"/>
    </xf>
    <xf numFmtId="0" fontId="0" fillId="0" borderId="74" xfId="0" applyBorder="1" applyAlignment="1">
      <alignment horizontal="left" indent="1"/>
    </xf>
    <xf numFmtId="16" fontId="0" fillId="0" borderId="74" xfId="0" applyNumberFormat="1" applyBorder="1" applyAlignment="1">
      <alignment horizontal="left" indent="1"/>
    </xf>
    <xf numFmtId="0" fontId="54" fillId="0" borderId="74" xfId="4" applyFont="1" applyBorder="1" applyAlignment="1">
      <alignment horizontal="left" vertical="center" indent="1"/>
    </xf>
    <xf numFmtId="0" fontId="54" fillId="0" borderId="73" xfId="4" applyFont="1" applyBorder="1" applyAlignment="1">
      <alignment horizontal="left" vertical="center" indent="1"/>
    </xf>
    <xf numFmtId="0" fontId="6" fillId="0" borderId="20" xfId="0" applyFont="1" applyBorder="1" applyAlignment="1">
      <alignment horizontal="left" vertical="center"/>
    </xf>
    <xf numFmtId="178" fontId="24" fillId="2" borderId="12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47" fillId="6" borderId="20" xfId="2" applyFont="1" applyFill="1" applyAlignment="1">
      <alignment horizontal="center" vertical="center"/>
    </xf>
    <xf numFmtId="178" fontId="9" fillId="6" borderId="20" xfId="2" applyNumberFormat="1" applyFill="1" applyAlignment="1">
      <alignment horizontal="center" vertical="center"/>
    </xf>
    <xf numFmtId="0" fontId="9" fillId="6" borderId="24" xfId="0" applyFont="1" applyFill="1" applyBorder="1" applyAlignment="1">
      <alignment horizontal="left" vertical="center" wrapText="1"/>
    </xf>
    <xf numFmtId="0" fontId="0" fillId="6" borderId="0" xfId="0" applyFill="1"/>
    <xf numFmtId="0" fontId="60" fillId="0" borderId="20" xfId="2" quotePrefix="1" applyFont="1" applyAlignment="1">
      <alignment horizontal="left" vertical="center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0" xfId="0" applyFont="1" applyProtection="1">
      <protection hidden="1"/>
    </xf>
    <xf numFmtId="169" fontId="60" fillId="0" borderId="0" xfId="0" applyNumberFormat="1" applyFont="1" applyAlignment="1" applyProtection="1">
      <alignment horizontal="center" vertical="center"/>
      <protection locked="0" hidden="1"/>
    </xf>
    <xf numFmtId="0" fontId="71" fillId="9" borderId="20" xfId="3" applyFont="1" applyFill="1" applyAlignment="1">
      <alignment horizontal="center" vertical="center"/>
    </xf>
    <xf numFmtId="182" fontId="71" fillId="6" borderId="20" xfId="3" applyNumberFormat="1" applyFont="1" applyFill="1" applyAlignment="1" applyProtection="1">
      <alignment horizontal="center"/>
      <protection hidden="1"/>
    </xf>
    <xf numFmtId="0" fontId="53" fillId="9" borderId="20" xfId="4" applyFont="1" applyFill="1" applyAlignment="1">
      <alignment horizontal="center" vertical="center"/>
    </xf>
    <xf numFmtId="0" fontId="51" fillId="6" borderId="42" xfId="5" applyFont="1" applyFill="1" applyBorder="1" applyAlignment="1">
      <alignment horizontal="center" vertical="center"/>
    </xf>
    <xf numFmtId="0" fontId="51" fillId="6" borderId="45" xfId="5" applyFont="1" applyFill="1" applyBorder="1" applyAlignment="1">
      <alignment horizontal="center" vertical="center"/>
    </xf>
    <xf numFmtId="0" fontId="51" fillId="6" borderId="43" xfId="5" applyFont="1" applyFill="1" applyBorder="1" applyAlignment="1">
      <alignment horizontal="center" vertical="center"/>
    </xf>
    <xf numFmtId="0" fontId="63" fillId="9" borderId="20" xfId="3" applyFont="1" applyFill="1" applyAlignment="1">
      <alignment horizontal="center" vertical="center"/>
    </xf>
    <xf numFmtId="0" fontId="77" fillId="0" borderId="42" xfId="3" applyFont="1" applyBorder="1" applyAlignment="1">
      <alignment horizontal="center" vertical="center"/>
    </xf>
    <xf numFmtId="0" fontId="77" fillId="0" borderId="43" xfId="3" applyFont="1" applyBorder="1" applyAlignment="1">
      <alignment horizontal="center" vertical="center"/>
    </xf>
    <xf numFmtId="0" fontId="51" fillId="9" borderId="42" xfId="4" applyFont="1" applyFill="1" applyBorder="1" applyAlignment="1">
      <alignment horizontal="center" vertical="center"/>
    </xf>
    <xf numFmtId="0" fontId="51" fillId="9" borderId="45" xfId="4" applyFont="1" applyFill="1" applyBorder="1" applyAlignment="1">
      <alignment horizontal="center" vertical="center"/>
    </xf>
    <xf numFmtId="166" fontId="49" fillId="0" borderId="20" xfId="3" applyNumberFormat="1" applyFont="1" applyAlignment="1" applyProtection="1">
      <alignment horizontal="left"/>
      <protection hidden="1"/>
    </xf>
    <xf numFmtId="0" fontId="47" fillId="0" borderId="35" xfId="3" applyFont="1" applyBorder="1" applyAlignment="1" applyProtection="1">
      <alignment horizontal="center" vertical="center" wrapText="1"/>
      <protection hidden="1"/>
    </xf>
    <xf numFmtId="0" fontId="47" fillId="0" borderId="44" xfId="3" applyFont="1" applyBorder="1" applyAlignment="1" applyProtection="1">
      <alignment horizontal="center" vertical="center" wrapText="1"/>
      <protection hidden="1"/>
    </xf>
    <xf numFmtId="0" fontId="47" fillId="0" borderId="36" xfId="3" applyFont="1" applyBorder="1" applyAlignment="1" applyProtection="1">
      <alignment horizontal="center" vertical="center" wrapText="1"/>
      <protection hidden="1"/>
    </xf>
    <xf numFmtId="0" fontId="47" fillId="0" borderId="40" xfId="3" applyFont="1" applyBorder="1" applyAlignment="1" applyProtection="1">
      <alignment horizontal="center" vertical="center" wrapText="1"/>
      <protection hidden="1"/>
    </xf>
    <xf numFmtId="0" fontId="47" fillId="0" borderId="34" xfId="3" applyFont="1" applyBorder="1" applyAlignment="1" applyProtection="1">
      <alignment horizontal="center" vertical="center" wrapText="1"/>
      <protection hidden="1"/>
    </xf>
    <xf numFmtId="0" fontId="47" fillId="0" borderId="41" xfId="3" applyFont="1" applyBorder="1" applyAlignment="1" applyProtection="1">
      <alignment horizontal="center" vertical="center" wrapText="1"/>
      <protection hidden="1"/>
    </xf>
    <xf numFmtId="0" fontId="53" fillId="0" borderId="24" xfId="3" applyFont="1" applyBorder="1" applyAlignment="1" applyProtection="1">
      <alignment horizontal="center" vertical="center" wrapText="1"/>
      <protection hidden="1"/>
    </xf>
    <xf numFmtId="0" fontId="54" fillId="0" borderId="24" xfId="3" applyFont="1" applyBorder="1" applyAlignment="1" applyProtection="1">
      <alignment horizontal="center" vertical="center" wrapText="1"/>
      <protection hidden="1"/>
    </xf>
    <xf numFmtId="0" fontId="54" fillId="6" borderId="24" xfId="5" applyFont="1" applyFill="1" applyBorder="1" applyAlignment="1">
      <alignment horizontal="left" vertical="center" indent="1"/>
    </xf>
    <xf numFmtId="0" fontId="54" fillId="6" borderId="24" xfId="5" applyFont="1" applyFill="1" applyBorder="1" applyAlignment="1">
      <alignment horizontal="left" vertical="center" wrapText="1" indent="1"/>
    </xf>
    <xf numFmtId="0" fontId="51" fillId="6" borderId="24" xfId="5" applyFont="1" applyFill="1" applyBorder="1" applyAlignment="1">
      <alignment horizontal="center" vertical="center"/>
    </xf>
    <xf numFmtId="12" fontId="51" fillId="6" borderId="42" xfId="5" applyNumberFormat="1" applyFont="1" applyFill="1" applyBorder="1" applyAlignment="1">
      <alignment horizontal="center" vertical="center"/>
    </xf>
    <xf numFmtId="12" fontId="51" fillId="6" borderId="43" xfId="5" applyNumberFormat="1" applyFont="1" applyFill="1" applyBorder="1" applyAlignment="1">
      <alignment horizontal="center" vertical="center"/>
    </xf>
    <xf numFmtId="12" fontId="60" fillId="0" borderId="42" xfId="5" applyNumberFormat="1" applyFont="1" applyBorder="1" applyAlignment="1">
      <alignment horizontal="center" vertical="center"/>
    </xf>
    <xf numFmtId="12" fontId="60" fillId="0" borderId="43" xfId="5" applyNumberFormat="1" applyFont="1" applyBorder="1" applyAlignment="1">
      <alignment horizontal="center" vertical="center"/>
    </xf>
    <xf numFmtId="12" fontId="60" fillId="0" borderId="24" xfId="5" applyNumberFormat="1" applyFont="1" applyBorder="1" applyAlignment="1">
      <alignment horizontal="center" vertical="center"/>
    </xf>
    <xf numFmtId="0" fontId="60" fillId="0" borderId="24" xfId="3" applyFont="1" applyBorder="1" applyAlignment="1" applyProtection="1">
      <alignment horizontal="center" vertical="center"/>
      <protection hidden="1"/>
    </xf>
    <xf numFmtId="0" fontId="62" fillId="9" borderId="20" xfId="3" applyFont="1" applyFill="1" applyAlignment="1">
      <alignment horizontal="center" vertical="center"/>
    </xf>
    <xf numFmtId="0" fontId="62" fillId="9" borderId="20" xfId="3" applyFont="1" applyFill="1" applyAlignment="1">
      <alignment horizontal="center" vertical="center" wrapText="1"/>
    </xf>
    <xf numFmtId="0" fontId="60" fillId="6" borderId="42" xfId="5" applyFont="1" applyFill="1" applyBorder="1" applyAlignment="1">
      <alignment horizontal="left" vertical="center" wrapText="1" indent="1"/>
    </xf>
    <xf numFmtId="0" fontId="60" fillId="6" borderId="43" xfId="5" applyFont="1" applyFill="1" applyBorder="1" applyAlignment="1">
      <alignment horizontal="left" vertical="center" wrapText="1" indent="1"/>
    </xf>
    <xf numFmtId="0" fontId="51" fillId="0" borderId="42" xfId="3" applyFont="1" applyBorder="1" applyAlignment="1" applyProtection="1">
      <alignment horizontal="center" vertical="center"/>
      <protection hidden="1"/>
    </xf>
    <xf numFmtId="0" fontId="51" fillId="0" borderId="43" xfId="3" applyFont="1" applyBorder="1" applyAlignment="1" applyProtection="1">
      <alignment horizontal="center" vertical="center"/>
      <protection hidden="1"/>
    </xf>
    <xf numFmtId="0" fontId="60" fillId="6" borderId="42" xfId="5" applyFont="1" applyFill="1" applyBorder="1" applyAlignment="1">
      <alignment horizontal="left" vertical="center"/>
    </xf>
    <xf numFmtId="0" fontId="60" fillId="6" borderId="43" xfId="5" applyFont="1" applyFill="1" applyBorder="1" applyAlignment="1">
      <alignment horizontal="left" vertical="center"/>
    </xf>
    <xf numFmtId="0" fontId="60" fillId="6" borderId="40" xfId="5" applyFont="1" applyFill="1" applyBorder="1" applyAlignment="1">
      <alignment horizontal="left" vertical="center"/>
    </xf>
    <xf numFmtId="0" fontId="60" fillId="6" borderId="41" xfId="5" applyFont="1" applyFill="1" applyBorder="1" applyAlignment="1">
      <alignment horizontal="left" vertical="center"/>
    </xf>
    <xf numFmtId="0" fontId="60" fillId="0" borderId="42" xfId="5" applyFont="1" applyBorder="1" applyAlignment="1">
      <alignment horizontal="left" vertical="center" wrapText="1"/>
    </xf>
    <xf numFmtId="0" fontId="60" fillId="0" borderId="43" xfId="5" applyFont="1" applyBorder="1" applyAlignment="1">
      <alignment horizontal="left" vertical="center" wrapText="1"/>
    </xf>
    <xf numFmtId="0" fontId="60" fillId="0" borderId="20" xfId="6" applyFont="1" applyBorder="1" applyAlignment="1" applyProtection="1">
      <alignment horizontal="center" vertical="center" wrapText="1"/>
    </xf>
    <xf numFmtId="0" fontId="60" fillId="6" borderId="42" xfId="5" applyFont="1" applyFill="1" applyBorder="1" applyAlignment="1">
      <alignment horizontal="left" vertical="center" wrapText="1"/>
    </xf>
    <xf numFmtId="0" fontId="60" fillId="6" borderId="43" xfId="5" applyFont="1" applyFill="1" applyBorder="1" applyAlignment="1">
      <alignment horizontal="left" vertical="center" wrapText="1"/>
    </xf>
    <xf numFmtId="0" fontId="49" fillId="0" borderId="20" xfId="3" applyFont="1" applyAlignment="1" applyProtection="1">
      <alignment horizontal="center"/>
      <protection hidden="1"/>
    </xf>
    <xf numFmtId="0" fontId="80" fillId="0" borderId="37" xfId="3" applyFont="1" applyBorder="1" applyAlignment="1" applyProtection="1">
      <alignment horizontal="center" vertical="center" wrapText="1"/>
      <protection hidden="1"/>
    </xf>
    <xf numFmtId="0" fontId="80" fillId="0" borderId="74" xfId="3" applyFont="1" applyBorder="1" applyAlignment="1" applyProtection="1">
      <alignment horizontal="center" vertical="center" wrapText="1"/>
      <protection hidden="1"/>
    </xf>
    <xf numFmtId="0" fontId="80" fillId="0" borderId="73" xfId="3" applyFont="1" applyBorder="1" applyAlignment="1" applyProtection="1">
      <alignment horizontal="center" vertical="center" wrapText="1"/>
      <protection hidden="1"/>
    </xf>
    <xf numFmtId="0" fontId="60" fillId="0" borderId="24" xfId="3" applyFont="1" applyBorder="1" applyAlignment="1" applyProtection="1">
      <alignment horizontal="center" vertical="center" wrapText="1"/>
      <protection hidden="1"/>
    </xf>
    <xf numFmtId="0" fontId="60" fillId="0" borderId="42" xfId="3" applyFont="1" applyBorder="1" applyAlignment="1" applyProtection="1">
      <alignment horizontal="center" vertical="center"/>
      <protection hidden="1"/>
    </xf>
    <xf numFmtId="0" fontId="60" fillId="0" borderId="43" xfId="3" applyFont="1" applyBorder="1" applyAlignment="1" applyProtection="1">
      <alignment horizontal="center" vertical="center"/>
      <protection hidden="1"/>
    </xf>
    <xf numFmtId="0" fontId="60" fillId="0" borderId="42" xfId="3" applyFont="1" applyBorder="1" applyAlignment="1" applyProtection="1">
      <alignment horizontal="center" vertical="center" wrapText="1"/>
      <protection hidden="1"/>
    </xf>
    <xf numFmtId="0" fontId="60" fillId="0" borderId="43" xfId="3" applyFont="1" applyBorder="1" applyAlignment="1" applyProtection="1">
      <alignment horizontal="center" vertical="center" wrapText="1"/>
      <protection hidden="1"/>
    </xf>
    <xf numFmtId="0" fontId="60" fillId="0" borderId="20" xfId="2" quotePrefix="1" applyFont="1" applyAlignment="1">
      <alignment horizontal="left" vertical="center" wrapText="1"/>
    </xf>
    <xf numFmtId="0" fontId="15" fillId="0" borderId="20" xfId="2" quotePrefix="1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179" fontId="71" fillId="0" borderId="0" xfId="0" applyNumberFormat="1" applyFont="1" applyAlignment="1" applyProtection="1">
      <alignment horizontal="center"/>
      <protection locked="0"/>
    </xf>
    <xf numFmtId="0" fontId="6" fillId="0" borderId="0" xfId="0" applyFont="1" applyAlignment="1">
      <alignment horizontal="left" vertical="center" wrapText="1"/>
    </xf>
    <xf numFmtId="166" fontId="2" fillId="0" borderId="0" xfId="0" applyNumberFormat="1" applyFont="1" applyAlignment="1">
      <alignment horizontal="left"/>
    </xf>
    <xf numFmtId="0" fontId="8" fillId="0" borderId="35" xfId="0" applyFont="1" applyBorder="1" applyAlignment="1">
      <alignment horizontal="center" vertical="center" wrapText="1"/>
    </xf>
    <xf numFmtId="0" fontId="9" fillId="0" borderId="44" xfId="0" applyFont="1" applyBorder="1"/>
    <xf numFmtId="0" fontId="9" fillId="0" borderId="36" xfId="0" applyFont="1" applyBorder="1"/>
    <xf numFmtId="0" fontId="15" fillId="0" borderId="16" xfId="0" applyFont="1" applyBorder="1" applyAlignment="1">
      <alignment vertical="center"/>
    </xf>
    <xf numFmtId="0" fontId="60" fillId="0" borderId="15" xfId="0" applyFont="1" applyBorder="1"/>
    <xf numFmtId="0" fontId="15" fillId="0" borderId="16" xfId="0" applyFont="1" applyBorder="1" applyAlignment="1">
      <alignment horizontal="left" vertical="center"/>
    </xf>
    <xf numFmtId="0" fontId="10" fillId="0" borderId="38" xfId="0" applyFont="1" applyBorder="1" applyAlignment="1">
      <alignment horizontal="center" vertical="center" wrapText="1"/>
    </xf>
    <xf numFmtId="0" fontId="9" fillId="0" borderId="20" xfId="0" applyFont="1" applyBorder="1"/>
    <xf numFmtId="0" fontId="9" fillId="0" borderId="39" xfId="0" applyFont="1" applyBorder="1"/>
    <xf numFmtId="0" fontId="5" fillId="0" borderId="16" xfId="0" applyFont="1" applyBorder="1" applyAlignment="1">
      <alignment horizontal="center" vertical="center"/>
    </xf>
    <xf numFmtId="0" fontId="9" fillId="0" borderId="15" xfId="0" applyFont="1" applyBorder="1"/>
    <xf numFmtId="0" fontId="63" fillId="0" borderId="0" xfId="0" applyFont="1" applyAlignment="1">
      <alignment horizontal="center" vertical="center"/>
    </xf>
    <xf numFmtId="0" fontId="50" fillId="0" borderId="0" xfId="0" applyFont="1"/>
    <xf numFmtId="0" fontId="62" fillId="0" borderId="0" xfId="0" applyFont="1" applyAlignment="1">
      <alignment horizontal="center" vertical="center"/>
    </xf>
    <xf numFmtId="0" fontId="62" fillId="0" borderId="0" xfId="0" applyFont="1" applyAlignment="1">
      <alignment horizontal="center" vertical="center" wrapText="1"/>
    </xf>
    <xf numFmtId="0" fontId="60" fillId="0" borderId="53" xfId="0" applyFont="1" applyBorder="1" applyAlignment="1">
      <alignment horizontal="center" vertical="center"/>
    </xf>
    <xf numFmtId="0" fontId="52" fillId="0" borderId="54" xfId="0" applyFont="1" applyBorder="1"/>
    <xf numFmtId="0" fontId="51" fillId="0" borderId="49" xfId="0" applyFont="1" applyBorder="1" applyAlignment="1">
      <alignment horizontal="center" vertical="center"/>
    </xf>
    <xf numFmtId="0" fontId="52" fillId="0" borderId="47" xfId="0" applyFont="1" applyBorder="1"/>
    <xf numFmtId="0" fontId="60" fillId="2" borderId="16" xfId="0" applyFont="1" applyFill="1" applyBorder="1" applyAlignment="1">
      <alignment horizontal="left" vertical="center" wrapText="1"/>
    </xf>
    <xf numFmtId="0" fontId="52" fillId="0" borderId="15" xfId="0" applyFont="1" applyBorder="1"/>
    <xf numFmtId="0" fontId="61" fillId="0" borderId="0" xfId="0" applyFont="1" applyAlignment="1">
      <alignment horizontal="left" vertical="center"/>
    </xf>
    <xf numFmtId="0" fontId="60" fillId="0" borderId="0" xfId="0" applyFont="1" applyAlignment="1">
      <alignment horizontal="left" wrapText="1"/>
    </xf>
    <xf numFmtId="0" fontId="51" fillId="0" borderId="46" xfId="0" applyFont="1" applyBorder="1" applyAlignment="1">
      <alignment horizontal="center" vertical="center"/>
    </xf>
    <xf numFmtId="0" fontId="51" fillId="2" borderId="49" xfId="0" applyFont="1" applyFill="1" applyBorder="1" applyAlignment="1">
      <alignment horizontal="center" vertical="center"/>
    </xf>
    <xf numFmtId="0" fontId="52" fillId="0" borderId="50" xfId="0" applyFont="1" applyBorder="1"/>
    <xf numFmtId="0" fontId="52" fillId="0" borderId="51" xfId="0" applyFont="1" applyBorder="1"/>
    <xf numFmtId="0" fontId="53" fillId="0" borderId="43" xfId="0" applyFont="1" applyBorder="1" applyAlignment="1">
      <alignment horizontal="center" vertical="center"/>
    </xf>
    <xf numFmtId="0" fontId="53" fillId="0" borderId="24" xfId="0" applyFont="1" applyBorder="1" applyAlignment="1">
      <alignment horizontal="center" vertical="center"/>
    </xf>
    <xf numFmtId="0" fontId="60" fillId="2" borderId="16" xfId="0" applyFont="1" applyFill="1" applyBorder="1" applyAlignment="1">
      <alignment horizontal="left" vertical="center"/>
    </xf>
    <xf numFmtId="0" fontId="59" fillId="0" borderId="20" xfId="0" applyFont="1" applyBorder="1" applyAlignment="1">
      <alignment horizontal="center" vertical="center"/>
    </xf>
    <xf numFmtId="0" fontId="52" fillId="0" borderId="20" xfId="0" applyFont="1" applyBorder="1"/>
    <xf numFmtId="0" fontId="51" fillId="0" borderId="16" xfId="0" applyFont="1" applyBorder="1" applyAlignment="1">
      <alignment horizontal="center" vertical="center"/>
    </xf>
    <xf numFmtId="0" fontId="51" fillId="0" borderId="25" xfId="0" applyFont="1" applyBorder="1" applyAlignment="1">
      <alignment horizontal="center" vertical="center" wrapText="1"/>
    </xf>
    <xf numFmtId="0" fontId="51" fillId="0" borderId="26" xfId="0" applyFont="1" applyBorder="1" applyAlignment="1">
      <alignment horizontal="center" vertical="center" wrapText="1"/>
    </xf>
    <xf numFmtId="0" fontId="51" fillId="0" borderId="27" xfId="0" applyFont="1" applyBorder="1" applyAlignment="1">
      <alignment horizontal="center" vertical="center" wrapText="1"/>
    </xf>
    <xf numFmtId="0" fontId="47" fillId="0" borderId="30" xfId="0" applyFont="1" applyBorder="1" applyAlignment="1">
      <alignment horizontal="center" vertical="center" wrapText="1"/>
    </xf>
    <xf numFmtId="0" fontId="47" fillId="0" borderId="31" xfId="0" applyFont="1" applyBorder="1" applyAlignment="1">
      <alignment horizontal="center" vertical="center" wrapText="1"/>
    </xf>
    <xf numFmtId="0" fontId="47" fillId="0" borderId="32" xfId="0" applyFont="1" applyBorder="1" applyAlignment="1">
      <alignment horizontal="center" vertical="center" wrapText="1"/>
    </xf>
    <xf numFmtId="0" fontId="67" fillId="2" borderId="42" xfId="0" applyFont="1" applyFill="1" applyBorder="1" applyAlignment="1">
      <alignment horizontal="center" vertical="center" wrapText="1"/>
    </xf>
    <xf numFmtId="0" fontId="67" fillId="2" borderId="45" xfId="0" applyFont="1" applyFill="1" applyBorder="1" applyAlignment="1">
      <alignment horizontal="center" vertical="center" wrapText="1"/>
    </xf>
    <xf numFmtId="0" fontId="67" fillId="2" borderId="43" xfId="0" applyFont="1" applyFill="1" applyBorder="1" applyAlignment="1">
      <alignment horizontal="center" vertical="center" wrapText="1"/>
    </xf>
    <xf numFmtId="0" fontId="47" fillId="6" borderId="24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/>
    </xf>
    <xf numFmtId="0" fontId="9" fillId="0" borderId="4" xfId="0" applyFont="1" applyBorder="1"/>
    <xf numFmtId="0" fontId="9" fillId="0" borderId="7" xfId="0" applyFont="1" applyBorder="1"/>
    <xf numFmtId="0" fontId="9" fillId="0" borderId="8" xfId="0" applyFont="1" applyBorder="1"/>
    <xf numFmtId="0" fontId="9" fillId="0" borderId="5" xfId="0" applyFont="1" applyBorder="1"/>
    <xf numFmtId="0" fontId="9" fillId="0" borderId="6" xfId="0" applyFont="1" applyBorder="1"/>
    <xf numFmtId="0" fontId="27" fillId="2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1" xfId="0" applyFont="1" applyBorder="1"/>
    <xf numFmtId="0" fontId="15" fillId="2" borderId="10" xfId="0" applyFont="1" applyFill="1" applyBorder="1" applyAlignment="1">
      <alignment horizontal="left" vertical="center" wrapText="1"/>
    </xf>
    <xf numFmtId="0" fontId="9" fillId="0" borderId="14" xfId="0" applyFont="1" applyBorder="1"/>
    <xf numFmtId="0" fontId="9" fillId="0" borderId="11" xfId="0" applyFont="1" applyBorder="1"/>
    <xf numFmtId="0" fontId="32" fillId="2" borderId="20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/>
    </xf>
    <xf numFmtId="0" fontId="24" fillId="0" borderId="42" xfId="0" applyFont="1" applyBorder="1" applyAlignment="1">
      <alignment horizontal="center" vertical="center"/>
    </xf>
    <xf numFmtId="0" fontId="24" fillId="0" borderId="4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8" fontId="24" fillId="0" borderId="42" xfId="0" applyNumberFormat="1" applyFont="1" applyBorder="1" applyAlignment="1">
      <alignment horizontal="center" vertical="center"/>
    </xf>
    <xf numFmtId="178" fontId="24" fillId="0" borderId="43" xfId="0" applyNumberFormat="1" applyFont="1" applyBorder="1" applyAlignment="1">
      <alignment horizontal="center" vertical="center"/>
    </xf>
    <xf numFmtId="178" fontId="9" fillId="6" borderId="42" xfId="2" applyNumberFormat="1" applyFill="1" applyBorder="1" applyAlignment="1">
      <alignment horizontal="center" vertical="center"/>
    </xf>
    <xf numFmtId="178" fontId="9" fillId="6" borderId="43" xfId="2" applyNumberFormat="1" applyFill="1" applyBorder="1" applyAlignment="1">
      <alignment horizontal="center" vertical="center"/>
    </xf>
    <xf numFmtId="0" fontId="47" fillId="6" borderId="20" xfId="2" applyFont="1" applyFill="1" applyAlignment="1">
      <alignment horizontal="center" vertical="center"/>
    </xf>
    <xf numFmtId="0" fontId="35" fillId="2" borderId="18" xfId="0" applyFont="1" applyFill="1" applyBorder="1" applyAlignment="1">
      <alignment horizontal="center"/>
    </xf>
    <xf numFmtId="0" fontId="9" fillId="0" borderId="19" xfId="0" applyFont="1" applyBorder="1"/>
    <xf numFmtId="0" fontId="24" fillId="2" borderId="18" xfId="0" applyFont="1" applyFill="1" applyBorder="1" applyAlignment="1">
      <alignment horizontal="center"/>
    </xf>
    <xf numFmtId="0" fontId="15" fillId="2" borderId="10" xfId="0" applyFont="1" applyFill="1" applyBorder="1" applyAlignment="1">
      <alignment horizontal="left" vertical="center"/>
    </xf>
    <xf numFmtId="183" fontId="9" fillId="6" borderId="24" xfId="0" applyNumberFormat="1" applyFont="1" applyFill="1" applyBorder="1" applyAlignment="1">
      <alignment horizontal="center" vertical="center"/>
    </xf>
    <xf numFmtId="184" fontId="9" fillId="6" borderId="24" xfId="0" applyNumberFormat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/>
    </xf>
  </cellXfs>
  <cellStyles count="7">
    <cellStyle name="Hipervínculo" xfId="6" builtinId="8"/>
    <cellStyle name="Normal" xfId="0" builtinId="0"/>
    <cellStyle name="Normal 2" xfId="1" xr:uid="{49AC9BFB-C321-4C4A-923F-4B833BD2F53B}"/>
    <cellStyle name="Normal 2 2" xfId="2" xr:uid="{DC13531E-CA51-4976-BBC1-3E816696F20A}"/>
    <cellStyle name="Normal 3" xfId="3" xr:uid="{01B0E1B5-4302-4901-85DD-C16BBC77136F}"/>
    <cellStyle name="Normal_ABG-01" xfId="5" xr:uid="{667EFF52-42FD-4F60-8197-36888D629999}"/>
    <cellStyle name="Normal_ENSAYOS" xfId="4" xr:uid="{F2F6F3FB-1102-4F8C-81A6-BB47146B5E8B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Pérdida abrasión</a:t>
            </a:r>
            <a:endParaRPr lang="en-US" sz="1050" b="1" u="sng"/>
          </a:p>
        </c:rich>
      </c:tx>
      <c:layout>
        <c:manualLayout>
          <c:xMode val="edge"/>
          <c:yMode val="edge"/>
          <c:x val="0.31751633475145785"/>
          <c:y val="4.3509489269921639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incertidumbre!$B$41:$B$43</c:f>
              <c:strCache>
                <c:ptCount val="3"/>
                <c:pt idx="0">
                  <c:v>Masa de la muestra de prueba</c:v>
                </c:pt>
                <c:pt idx="1">
                  <c:v>Masa final de la muestra</c:v>
                </c:pt>
                <c:pt idx="2">
                  <c:v>factor de presición </c:v>
                </c:pt>
              </c:strCache>
            </c:strRef>
          </c:cat>
          <c:val>
            <c:numRef>
              <c:f>incertidumbre!$D$41:$D$43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95-48EF-B7A3-B48BB1051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560320"/>
        <c:axId val="145561856"/>
      </c:barChart>
      <c:catAx>
        <c:axId val="145560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45561856"/>
        <c:crosses val="autoZero"/>
        <c:auto val="1"/>
        <c:lblAlgn val="ctr"/>
        <c:lblOffset val="100"/>
        <c:noMultiLvlLbl val="0"/>
      </c:catAx>
      <c:valAx>
        <c:axId val="145561856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4556032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18487</xdr:colOff>
      <xdr:row>57</xdr:row>
      <xdr:rowOff>121920</xdr:rowOff>
    </xdr:from>
    <xdr:to>
      <xdr:col>8</xdr:col>
      <xdr:colOff>767684</xdr:colOff>
      <xdr:row>57</xdr:row>
      <xdr:rowOff>121920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4AB34E72-7322-4F7B-92F1-8F7B4CE18008}"/>
            </a:ext>
          </a:extLst>
        </xdr:cNvPr>
        <xdr:cNvCxnSpPr>
          <a:cxnSpLocks noChangeShapeType="1"/>
        </xdr:cNvCxnSpPr>
      </xdr:nvCxnSpPr>
      <xdr:spPr bwMode="auto">
        <a:xfrm flipV="1">
          <a:off x="18487" y="12790170"/>
          <a:ext cx="7264297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428624</xdr:colOff>
      <xdr:row>52</xdr:row>
      <xdr:rowOff>142875</xdr:rowOff>
    </xdr:from>
    <xdr:to>
      <xdr:col>4</xdr:col>
      <xdr:colOff>666749</xdr:colOff>
      <xdr:row>54</xdr:row>
      <xdr:rowOff>190500</xdr:rowOff>
    </xdr:to>
    <xdr:sp macro="" textlink="">
      <xdr:nvSpPr>
        <xdr:cNvPr id="3" name="4 Rectángulo">
          <a:extLst>
            <a:ext uri="{FF2B5EF4-FFF2-40B4-BE49-F238E27FC236}">
              <a16:creationId xmlns:a16="http://schemas.microsoft.com/office/drawing/2014/main" id="{1372AF19-CB46-4787-B355-CF38273FC536}"/>
            </a:ext>
          </a:extLst>
        </xdr:cNvPr>
        <xdr:cNvSpPr/>
      </xdr:nvSpPr>
      <xdr:spPr>
        <a:xfrm>
          <a:off x="730249" y="11779250"/>
          <a:ext cx="2849563" cy="508000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Revisado:</a:t>
          </a:r>
        </a:p>
        <a:p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Fecha: </a:t>
          </a:r>
        </a:p>
      </xdr:txBody>
    </xdr:sp>
    <xdr:clientData/>
  </xdr:twoCellAnchor>
  <xdr:twoCellAnchor>
    <xdr:from>
      <xdr:col>4</xdr:col>
      <xdr:colOff>790573</xdr:colOff>
      <xdr:row>52</xdr:row>
      <xdr:rowOff>142875</xdr:rowOff>
    </xdr:from>
    <xdr:to>
      <xdr:col>7</xdr:col>
      <xdr:colOff>409574</xdr:colOff>
      <xdr:row>54</xdr:row>
      <xdr:rowOff>190500</xdr:rowOff>
    </xdr:to>
    <xdr:sp macro="" textlink="">
      <xdr:nvSpPr>
        <xdr:cNvPr id="4" name="4 Rectángulo">
          <a:extLst>
            <a:ext uri="{FF2B5EF4-FFF2-40B4-BE49-F238E27FC236}">
              <a16:creationId xmlns:a16="http://schemas.microsoft.com/office/drawing/2014/main" id="{1FB7F880-D808-41FF-A7B7-CA9F87B1F8F8}"/>
            </a:ext>
          </a:extLst>
        </xdr:cNvPr>
        <xdr:cNvSpPr/>
      </xdr:nvSpPr>
      <xdr:spPr>
        <a:xfrm>
          <a:off x="3705223" y="11744325"/>
          <a:ext cx="2762251" cy="504825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Aprobado:</a:t>
          </a:r>
        </a:p>
        <a:p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Fecha: </a:t>
          </a:r>
        </a:p>
      </xdr:txBody>
    </xdr:sp>
    <xdr:clientData/>
  </xdr:twoCellAnchor>
  <xdr:twoCellAnchor editAs="oneCell">
    <xdr:from>
      <xdr:col>0</xdr:col>
      <xdr:colOff>60961</xdr:colOff>
      <xdr:row>19</xdr:row>
      <xdr:rowOff>57150</xdr:rowOff>
    </xdr:from>
    <xdr:to>
      <xdr:col>7</xdr:col>
      <xdr:colOff>917299</xdr:colOff>
      <xdr:row>25</xdr:row>
      <xdr:rowOff>181610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1E3EC40-7763-4672-8BCB-C2DAAE0030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 t="10423" b="7144"/>
        <a:stretch/>
      </xdr:blipFill>
      <xdr:spPr>
        <a:xfrm>
          <a:off x="60961" y="3905250"/>
          <a:ext cx="6914238" cy="149606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4</xdr:col>
      <xdr:colOff>23812</xdr:colOff>
      <xdr:row>0</xdr:row>
      <xdr:rowOff>46037</xdr:rowOff>
    </xdr:from>
    <xdr:to>
      <xdr:col>5</xdr:col>
      <xdr:colOff>341313</xdr:colOff>
      <xdr:row>4</xdr:row>
      <xdr:rowOff>134908</xdr:rowOff>
    </xdr:to>
    <xdr:pic>
      <xdr:nvPicPr>
        <xdr:cNvPr id="7" name="Imagen 7">
          <a:extLst>
            <a:ext uri="{FF2B5EF4-FFF2-40B4-BE49-F238E27FC236}">
              <a16:creationId xmlns:a16="http://schemas.microsoft.com/office/drawing/2014/main" id="{BDC60C0A-35AB-36FB-980D-8F0DE150F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6875" y="46037"/>
          <a:ext cx="1325563" cy="7873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28576</xdr:colOff>
      <xdr:row>37</xdr:row>
      <xdr:rowOff>152400</xdr:rowOff>
    </xdr:from>
    <xdr:to>
      <xdr:col>6</xdr:col>
      <xdr:colOff>67189</xdr:colOff>
      <xdr:row>42</xdr:row>
      <xdr:rowOff>86718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3D0DF57-5104-4CF5-8169-7EE1DB1900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2329816" y="7719060"/>
          <a:ext cx="1440693" cy="1092558"/>
        </a:xfrm>
        <a:prstGeom prst="rect">
          <a:avLst/>
        </a:prstGeom>
      </xdr:spPr>
    </xdr:pic>
    <xdr:clientData/>
  </xdr:twoCellAnchor>
  <xdr:twoCellAnchor>
    <xdr:from>
      <xdr:col>7</xdr:col>
      <xdr:colOff>647700</xdr:colOff>
      <xdr:row>37</xdr:row>
      <xdr:rowOff>83820</xdr:rowOff>
    </xdr:from>
    <xdr:to>
      <xdr:col>9</xdr:col>
      <xdr:colOff>733425</xdr:colOff>
      <xdr:row>41</xdr:row>
      <xdr:rowOff>66674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47380EF3-0CB9-4BFE-86B2-526E6D950ABC}"/>
            </a:ext>
          </a:extLst>
        </xdr:cNvPr>
        <xdr:cNvSpPr/>
      </xdr:nvSpPr>
      <xdr:spPr bwMode="auto">
        <a:xfrm>
          <a:off x="5135880" y="7909560"/>
          <a:ext cx="1221105" cy="942974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6</xdr:col>
      <xdr:colOff>251460</xdr:colOff>
      <xdr:row>37</xdr:row>
      <xdr:rowOff>205740</xdr:rowOff>
    </xdr:from>
    <xdr:to>
      <xdr:col>7</xdr:col>
      <xdr:colOff>563933</xdr:colOff>
      <xdr:row>42</xdr:row>
      <xdr:rowOff>142973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FFE521B-79EC-4C7C-AD50-A4290E618AB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3954780" y="777240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464820</xdr:colOff>
      <xdr:row>34</xdr:row>
      <xdr:rowOff>83820</xdr:rowOff>
    </xdr:from>
    <xdr:to>
      <xdr:col>20</xdr:col>
      <xdr:colOff>345531</xdr:colOff>
      <xdr:row>40</xdr:row>
      <xdr:rowOff>30174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ED63EB9-C2BD-4556-9511-423E1F686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91600" y="7048500"/>
          <a:ext cx="2646771" cy="1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74295</xdr:colOff>
      <xdr:row>11</xdr:row>
      <xdr:rowOff>3809</xdr:rowOff>
    </xdr:from>
    <xdr:ext cx="5629275" cy="1304925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424035" y="1756409"/>
          <a:ext cx="5629275" cy="130492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295275</xdr:colOff>
      <xdr:row>23</xdr:row>
      <xdr:rowOff>0</xdr:rowOff>
    </xdr:from>
    <xdr:ext cx="114300" cy="209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293613" y="3679988"/>
          <a:ext cx="10477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14</xdr:row>
      <xdr:rowOff>152400</xdr:rowOff>
    </xdr:from>
    <xdr:ext cx="2371725" cy="304800"/>
    <xdr:pic>
      <xdr:nvPicPr>
        <xdr:cNvPr id="4" name="image5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5</xdr:col>
      <xdr:colOff>312420</xdr:colOff>
      <xdr:row>14</xdr:row>
      <xdr:rowOff>41910</xdr:rowOff>
    </xdr:from>
    <xdr:to>
      <xdr:col>8</xdr:col>
      <xdr:colOff>499110</xdr:colOff>
      <xdr:row>22</xdr:row>
      <xdr:rowOff>155357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31188E7-27A6-4BCF-A25D-6DB7FAA46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79720" y="3089910"/>
          <a:ext cx="2838450" cy="1553627"/>
        </a:xfrm>
        <a:prstGeom prst="rect">
          <a:avLst/>
        </a:prstGeom>
      </xdr:spPr>
    </xdr:pic>
    <xdr:clientData/>
  </xdr:twoCellAnchor>
  <xdr:twoCellAnchor>
    <xdr:from>
      <xdr:col>4</xdr:col>
      <xdr:colOff>87841</xdr:colOff>
      <xdr:row>37</xdr:row>
      <xdr:rowOff>301627</xdr:rowOff>
    </xdr:from>
    <xdr:to>
      <xdr:col>8</xdr:col>
      <xdr:colOff>161925</xdr:colOff>
      <xdr:row>44</xdr:row>
      <xdr:rowOff>0</xdr:rowOff>
    </xdr:to>
    <xdr:graphicFrame macro="">
      <xdr:nvGraphicFramePr>
        <xdr:cNvPr id="8" name="4 Gráfico">
          <a:extLst>
            <a:ext uri="{FF2B5EF4-FFF2-40B4-BE49-F238E27FC236}">
              <a16:creationId xmlns:a16="http://schemas.microsoft.com/office/drawing/2014/main" id="{FBB19FC4-D21F-4500-ABB9-97633F18B9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561975</xdr:colOff>
      <xdr:row>0</xdr:row>
      <xdr:rowOff>28574</xdr:rowOff>
    </xdr:from>
    <xdr:to>
      <xdr:col>0</xdr:col>
      <xdr:colOff>1533525</xdr:colOff>
      <xdr:row>3</xdr:row>
      <xdr:rowOff>129036</xdr:rowOff>
    </xdr:to>
    <xdr:pic>
      <xdr:nvPicPr>
        <xdr:cNvPr id="2" name="Imagen 7">
          <a:extLst>
            <a:ext uri="{FF2B5EF4-FFF2-40B4-BE49-F238E27FC236}">
              <a16:creationId xmlns:a16="http://schemas.microsoft.com/office/drawing/2014/main" id="{25A7E140-973C-49CB-B3A7-B0B2E569C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28574"/>
          <a:ext cx="971550" cy="5862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57150</xdr:rowOff>
    </xdr:from>
    <xdr:to>
      <xdr:col>11</xdr:col>
      <xdr:colOff>86711</xdr:colOff>
      <xdr:row>5</xdr:row>
      <xdr:rowOff>133350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6C2E2B7-DDA9-576A-4FA2-79C37CC15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381000"/>
          <a:ext cx="7068536" cy="5619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95250</xdr:colOff>
      <xdr:row>10</xdr:row>
      <xdr:rowOff>114300</xdr:rowOff>
    </xdr:from>
    <xdr:ext cx="6457950" cy="1828800"/>
    <xdr:pic>
      <xdr:nvPicPr>
        <xdr:cNvPr id="2" name="image8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05621-80CA-4A25-BA97-AF362D5ED5C6}">
  <dimension ref="A1:V61"/>
  <sheetViews>
    <sheetView showGridLines="0" view="pageBreakPreview" zoomScale="120" zoomScaleNormal="120" zoomScaleSheetLayoutView="120" workbookViewId="0">
      <selection activeCell="B9" sqref="B9"/>
    </sheetView>
  </sheetViews>
  <sheetFormatPr baseColWidth="10" defaultColWidth="10.28515625" defaultRowHeight="15" x14ac:dyDescent="0.25"/>
  <cols>
    <col min="1" max="1" width="4.5703125" style="388" customWidth="1"/>
    <col min="2" max="2" width="19.85546875" style="388" customWidth="1"/>
    <col min="3" max="3" width="14.28515625" style="388" customWidth="1"/>
    <col min="4" max="4" width="5" style="388" customWidth="1"/>
    <col min="5" max="5" width="15.140625" style="388" customWidth="1"/>
    <col min="6" max="6" width="16.85546875" style="388" customWidth="1"/>
    <col min="7" max="8" width="15.140625" style="388" customWidth="1"/>
    <col min="9" max="9" width="3.28515625" style="388" customWidth="1"/>
    <col min="10" max="10" width="6.42578125" style="388" customWidth="1"/>
    <col min="11" max="11" width="4.140625" style="388" customWidth="1"/>
    <col min="12" max="12" width="8" style="388" customWidth="1"/>
    <col min="13" max="13" width="10.28515625" style="388"/>
    <col min="14" max="14" width="10.5703125" style="388" customWidth="1"/>
    <col min="15" max="16" width="10.28515625" style="388"/>
    <col min="17" max="17" width="16.85546875" style="388" customWidth="1"/>
    <col min="18" max="19" width="10.28515625" style="388"/>
    <col min="20" max="22" width="5.7109375" style="388" customWidth="1"/>
    <col min="23" max="16384" width="10.28515625" style="388"/>
  </cols>
  <sheetData>
    <row r="1" spans="1:21" ht="14.25" customHeight="1" thickTop="1" x14ac:dyDescent="0.25">
      <c r="A1" s="384"/>
      <c r="B1" s="385"/>
      <c r="C1" s="385"/>
      <c r="D1" s="386"/>
      <c r="E1" s="386"/>
      <c r="F1" s="386"/>
      <c r="G1" s="386"/>
      <c r="H1" s="386"/>
      <c r="I1" s="387"/>
    </row>
    <row r="2" spans="1:21" ht="14.25" customHeight="1" x14ac:dyDescent="0.25">
      <c r="A2" s="389"/>
      <c r="B2" s="390"/>
      <c r="C2" s="390"/>
      <c r="D2" s="391"/>
      <c r="E2" s="391"/>
      <c r="F2" s="391"/>
      <c r="G2" s="391"/>
      <c r="H2" s="391"/>
      <c r="I2" s="392"/>
      <c r="L2" s="488" t="s">
        <v>209</v>
      </c>
      <c r="M2" s="489"/>
    </row>
    <row r="3" spans="1:21" ht="14.25" customHeight="1" x14ac:dyDescent="0.25">
      <c r="A3" s="389"/>
      <c r="B3" s="390"/>
      <c r="C3" s="390"/>
      <c r="D3" s="391"/>
      <c r="E3" s="391"/>
      <c r="F3" s="391"/>
      <c r="G3" s="391"/>
      <c r="H3" s="391"/>
      <c r="I3" s="392"/>
      <c r="L3" s="488" t="s">
        <v>210</v>
      </c>
      <c r="M3" s="490"/>
    </row>
    <row r="4" spans="1:21" ht="12" customHeight="1" x14ac:dyDescent="0.25">
      <c r="A4" s="389"/>
      <c r="B4" s="390"/>
      <c r="C4" s="390"/>
      <c r="D4" s="391"/>
      <c r="E4" s="391"/>
      <c r="F4" s="391"/>
      <c r="G4" s="391"/>
      <c r="H4" s="391"/>
      <c r="I4" s="392"/>
      <c r="L4" s="488" t="s">
        <v>211</v>
      </c>
      <c r="M4" s="490"/>
    </row>
    <row r="5" spans="1:21" ht="14.25" customHeight="1" thickBot="1" x14ac:dyDescent="0.3">
      <c r="A5" s="393"/>
      <c r="B5" s="394"/>
      <c r="C5" s="394"/>
      <c r="D5" s="394"/>
      <c r="E5" s="394"/>
      <c r="F5" s="394"/>
      <c r="G5" s="394"/>
      <c r="H5" s="394"/>
      <c r="I5" s="395"/>
      <c r="L5" s="488" t="s">
        <v>7</v>
      </c>
      <c r="M5" s="490"/>
    </row>
    <row r="6" spans="1:21" ht="7.5" customHeight="1" thickTop="1" x14ac:dyDescent="0.25">
      <c r="B6" s="396"/>
      <c r="C6" s="396"/>
      <c r="D6" s="396"/>
      <c r="E6" s="396"/>
      <c r="F6" s="396"/>
      <c r="G6" s="396"/>
      <c r="H6" s="396"/>
      <c r="I6" s="396"/>
      <c r="L6" s="491"/>
      <c r="M6" s="492"/>
    </row>
    <row r="7" spans="1:21" ht="15.95" customHeight="1" x14ac:dyDescent="0.25">
      <c r="A7" s="508" t="s">
        <v>0</v>
      </c>
      <c r="B7" s="508"/>
      <c r="C7" s="508"/>
      <c r="D7" s="508"/>
      <c r="E7" s="508"/>
      <c r="F7" s="508"/>
      <c r="G7" s="508"/>
      <c r="H7" s="508"/>
      <c r="I7" s="508"/>
      <c r="L7" s="488" t="s">
        <v>152</v>
      </c>
      <c r="M7" s="492"/>
    </row>
    <row r="8" spans="1:21" ht="15.95" customHeight="1" x14ac:dyDescent="0.25">
      <c r="A8" s="509" t="s">
        <v>169</v>
      </c>
      <c r="B8" s="509"/>
      <c r="C8" s="509"/>
      <c r="D8" s="509"/>
      <c r="E8" s="509"/>
      <c r="F8" s="509"/>
      <c r="G8" s="509"/>
      <c r="H8" s="509"/>
      <c r="I8" s="509"/>
      <c r="L8" s="488" t="s">
        <v>6</v>
      </c>
      <c r="M8" s="493"/>
      <c r="Q8" s="510"/>
      <c r="R8" s="510"/>
      <c r="S8" s="510"/>
      <c r="T8" s="510"/>
      <c r="U8" s="397"/>
    </row>
    <row r="9" spans="1:21" ht="15.95" customHeight="1" x14ac:dyDescent="0.25">
      <c r="B9" s="398"/>
      <c r="C9" s="398"/>
      <c r="D9" s="398"/>
      <c r="E9" s="398"/>
      <c r="F9" s="398"/>
      <c r="G9" s="398"/>
      <c r="H9" s="398"/>
      <c r="I9" s="398"/>
      <c r="L9" s="488" t="s">
        <v>153</v>
      </c>
      <c r="M9" s="492"/>
      <c r="Q9" s="510"/>
      <c r="R9" s="510"/>
      <c r="S9" s="510"/>
      <c r="T9" s="510"/>
      <c r="U9" s="397"/>
    </row>
    <row r="10" spans="1:21" ht="17.45" customHeight="1" x14ac:dyDescent="0.25">
      <c r="B10" s="399"/>
      <c r="C10" s="515" t="s">
        <v>170</v>
      </c>
      <c r="D10" s="516"/>
      <c r="E10" s="400" t="s">
        <v>171</v>
      </c>
      <c r="F10" s="401" t="s">
        <v>172</v>
      </c>
      <c r="G10" s="401" t="s">
        <v>173</v>
      </c>
      <c r="I10" s="402"/>
      <c r="J10" s="402"/>
      <c r="K10" s="402"/>
      <c r="L10" s="491"/>
      <c r="M10" s="492"/>
    </row>
    <row r="11" spans="1:21" ht="17.45" customHeight="1" x14ac:dyDescent="0.25">
      <c r="B11" s="399"/>
      <c r="C11" s="517"/>
      <c r="D11" s="518"/>
      <c r="E11" s="404"/>
      <c r="F11" s="405"/>
      <c r="G11" s="405"/>
      <c r="H11" s="402"/>
      <c r="I11" s="402"/>
      <c r="J11" s="402"/>
      <c r="K11" s="402"/>
      <c r="L11" s="488" t="s">
        <v>12</v>
      </c>
      <c r="M11" s="492"/>
      <c r="N11" s="406"/>
      <c r="O11" s="407"/>
    </row>
    <row r="12" spans="1:21" ht="17.45" customHeight="1" x14ac:dyDescent="0.25">
      <c r="B12" s="399"/>
      <c r="C12" s="408"/>
      <c r="D12" s="408"/>
      <c r="E12" s="408"/>
      <c r="F12" s="408"/>
      <c r="G12" s="408"/>
      <c r="H12" s="408"/>
      <c r="I12" s="398"/>
      <c r="K12" s="403"/>
      <c r="L12" s="488" t="s">
        <v>14</v>
      </c>
      <c r="M12" s="493"/>
      <c r="N12" s="519"/>
      <c r="O12" s="519"/>
    </row>
    <row r="13" spans="1:21" ht="28.5" customHeight="1" x14ac:dyDescent="0.25">
      <c r="A13" s="520" t="s">
        <v>167</v>
      </c>
      <c r="B13" s="521"/>
      <c r="C13" s="521"/>
      <c r="D13" s="521"/>
      <c r="E13" s="521"/>
      <c r="F13" s="521"/>
      <c r="G13" s="521"/>
      <c r="H13" s="521"/>
      <c r="I13" s="522"/>
      <c r="J13" s="403"/>
      <c r="K13" s="403"/>
      <c r="L13" s="488" t="s">
        <v>16</v>
      </c>
      <c r="M13" s="493"/>
    </row>
    <row r="14" spans="1:21" ht="15" customHeight="1" x14ac:dyDescent="0.25">
      <c r="A14" s="523" t="s">
        <v>9</v>
      </c>
      <c r="B14" s="524"/>
      <c r="C14" s="524"/>
      <c r="D14" s="524"/>
      <c r="E14" s="524"/>
      <c r="F14" s="524"/>
      <c r="G14" s="524"/>
      <c r="H14" s="524"/>
      <c r="I14" s="525"/>
      <c r="J14" s="403"/>
      <c r="K14" s="403"/>
      <c r="L14" s="491"/>
      <c r="M14" s="492"/>
    </row>
    <row r="15" spans="1:21" ht="3.75" customHeight="1" x14ac:dyDescent="0.25">
      <c r="A15" s="410"/>
      <c r="B15" s="410"/>
      <c r="C15" s="410"/>
      <c r="D15" s="409"/>
      <c r="E15" s="409"/>
      <c r="F15" s="410"/>
      <c r="G15" s="410"/>
      <c r="H15" s="410"/>
      <c r="I15" s="410"/>
      <c r="J15" s="403"/>
      <c r="K15" s="403"/>
      <c r="L15" s="488" t="s">
        <v>11</v>
      </c>
      <c r="M15" s="494"/>
    </row>
    <row r="16" spans="1:21" ht="23.25" customHeight="1" x14ac:dyDescent="0.25">
      <c r="A16" s="526" t="s">
        <v>174</v>
      </c>
      <c r="B16" s="526"/>
      <c r="C16" s="526"/>
      <c r="D16" s="411" t="s">
        <v>20</v>
      </c>
      <c r="E16" s="412" t="s">
        <v>175</v>
      </c>
      <c r="F16" s="413"/>
      <c r="G16" s="527" t="s">
        <v>176</v>
      </c>
      <c r="H16" s="527"/>
      <c r="I16" s="414"/>
      <c r="J16" s="403"/>
      <c r="K16" s="403"/>
      <c r="L16" s="488" t="s">
        <v>212</v>
      </c>
      <c r="M16" s="494"/>
    </row>
    <row r="17" spans="1:19" ht="18" customHeight="1" x14ac:dyDescent="0.25">
      <c r="A17" s="528" t="s">
        <v>44</v>
      </c>
      <c r="B17" s="528"/>
      <c r="C17" s="528"/>
      <c r="D17" s="415" t="s">
        <v>23</v>
      </c>
      <c r="E17" s="416"/>
      <c r="F17" s="413"/>
      <c r="G17" s="417" t="s">
        <v>177</v>
      </c>
      <c r="H17" s="417" t="s">
        <v>178</v>
      </c>
      <c r="I17" s="414"/>
      <c r="J17" s="403"/>
      <c r="K17" s="403"/>
      <c r="L17" s="488" t="s">
        <v>213</v>
      </c>
      <c r="M17" s="495"/>
    </row>
    <row r="18" spans="1:19" ht="18" customHeight="1" x14ac:dyDescent="0.25">
      <c r="A18" s="528" t="s">
        <v>179</v>
      </c>
      <c r="B18" s="528"/>
      <c r="C18" s="528"/>
      <c r="D18" s="415" t="s">
        <v>23</v>
      </c>
      <c r="E18" s="418"/>
      <c r="F18" s="413"/>
      <c r="G18" s="413"/>
      <c r="H18" s="413" t="s">
        <v>180</v>
      </c>
      <c r="I18" s="414"/>
      <c r="J18" s="403"/>
      <c r="K18" s="403"/>
    </row>
    <row r="19" spans="1:19" ht="21.6" customHeight="1" x14ac:dyDescent="0.25">
      <c r="A19" s="529" t="s">
        <v>181</v>
      </c>
      <c r="B19" s="529"/>
      <c r="C19" s="529"/>
      <c r="D19" s="415" t="s">
        <v>23</v>
      </c>
      <c r="E19" s="418"/>
      <c r="F19" s="413"/>
      <c r="G19" s="419" t="s">
        <v>182</v>
      </c>
      <c r="H19" s="419">
        <v>500</v>
      </c>
      <c r="I19" s="414"/>
      <c r="J19" s="403"/>
      <c r="K19" s="403"/>
    </row>
    <row r="20" spans="1:19" ht="18" customHeight="1" x14ac:dyDescent="0.25">
      <c r="B20" s="399"/>
      <c r="C20" s="413"/>
      <c r="D20" s="413"/>
      <c r="E20" s="413"/>
      <c r="F20" s="413"/>
      <c r="G20" s="413"/>
      <c r="H20" s="413"/>
      <c r="I20" s="414"/>
      <c r="J20" s="403"/>
      <c r="K20" s="403"/>
    </row>
    <row r="21" spans="1:19" ht="18" customHeight="1" x14ac:dyDescent="0.25">
      <c r="B21" s="399"/>
      <c r="C21" s="413"/>
      <c r="D21" s="413"/>
      <c r="E21" s="413"/>
      <c r="F21" s="413"/>
      <c r="G21" s="413"/>
      <c r="H21" s="413"/>
      <c r="I21" s="414"/>
      <c r="J21" s="403"/>
      <c r="K21" s="403"/>
    </row>
    <row r="22" spans="1:19" ht="18" customHeight="1" x14ac:dyDescent="0.25">
      <c r="F22" s="413"/>
      <c r="G22" s="413"/>
      <c r="H22" s="413"/>
      <c r="I22" s="414"/>
      <c r="J22" s="403"/>
      <c r="K22" s="403"/>
    </row>
    <row r="23" spans="1:19" ht="18" customHeight="1" x14ac:dyDescent="0.25">
      <c r="F23" s="413"/>
      <c r="G23" s="413"/>
      <c r="H23" s="413"/>
      <c r="I23" s="414"/>
      <c r="J23" s="403"/>
      <c r="K23" s="403"/>
    </row>
    <row r="24" spans="1:19" ht="18" customHeight="1" x14ac:dyDescent="0.25">
      <c r="F24" s="413"/>
      <c r="G24" s="413"/>
      <c r="H24" s="413"/>
      <c r="I24" s="414"/>
      <c r="J24" s="403"/>
      <c r="K24" s="403"/>
    </row>
    <row r="25" spans="1:19" ht="18" customHeight="1" x14ac:dyDescent="0.25">
      <c r="F25" s="413"/>
      <c r="G25" s="413"/>
      <c r="H25" s="413"/>
      <c r="I25" s="414"/>
      <c r="J25" s="403"/>
      <c r="K25" s="403"/>
    </row>
    <row r="26" spans="1:19" ht="19.149999999999999" customHeight="1" x14ac:dyDescent="0.25">
      <c r="B26" s="420"/>
      <c r="C26" s="413"/>
      <c r="D26" s="413"/>
      <c r="E26" s="413"/>
      <c r="F26" s="413"/>
      <c r="G26" s="413"/>
      <c r="H26" s="413"/>
      <c r="I26" s="414"/>
      <c r="J26" s="403"/>
      <c r="K26" s="403"/>
    </row>
    <row r="27" spans="1:19" ht="15" customHeight="1" x14ac:dyDescent="0.25">
      <c r="A27" s="530" t="s">
        <v>49</v>
      </c>
      <c r="B27" s="530"/>
      <c r="C27" s="530"/>
      <c r="D27" s="530"/>
      <c r="E27" s="511" t="s">
        <v>50</v>
      </c>
      <c r="F27" s="512"/>
      <c r="G27" s="512"/>
      <c r="H27" s="513"/>
      <c r="I27" s="423"/>
      <c r="J27" s="424"/>
      <c r="K27" s="425"/>
      <c r="L27" s="426"/>
      <c r="M27" s="396"/>
      <c r="N27" s="396"/>
      <c r="O27" s="424"/>
      <c r="P27" s="424"/>
      <c r="Q27" s="424"/>
      <c r="R27" s="514"/>
      <c r="S27" s="514"/>
    </row>
    <row r="28" spans="1:19" ht="15" customHeight="1" x14ac:dyDescent="0.25">
      <c r="A28" s="530" t="s">
        <v>51</v>
      </c>
      <c r="B28" s="530"/>
      <c r="C28" s="531" t="s">
        <v>52</v>
      </c>
      <c r="D28" s="532"/>
      <c r="E28" s="421" t="s">
        <v>43</v>
      </c>
      <c r="F28" s="421" t="s">
        <v>54</v>
      </c>
      <c r="G28" s="422" t="s">
        <v>56</v>
      </c>
      <c r="H28" s="422" t="s">
        <v>58</v>
      </c>
      <c r="I28" s="427"/>
      <c r="J28" s="424"/>
      <c r="K28" s="533"/>
      <c r="L28" s="534"/>
      <c r="M28" s="424"/>
      <c r="O28" s="428"/>
      <c r="Q28" s="429"/>
      <c r="R28" s="430"/>
    </row>
    <row r="29" spans="1:19" ht="18" customHeight="1" x14ac:dyDescent="0.25">
      <c r="A29" s="535">
        <v>1.5</v>
      </c>
      <c r="B29" s="535"/>
      <c r="C29" s="536">
        <v>1</v>
      </c>
      <c r="D29" s="536"/>
      <c r="E29" s="432"/>
      <c r="F29" s="433" t="s">
        <v>15</v>
      </c>
      <c r="G29" s="422" t="s">
        <v>15</v>
      </c>
      <c r="H29" s="422" t="s">
        <v>15</v>
      </c>
      <c r="I29" s="434"/>
      <c r="J29" s="424"/>
      <c r="K29" s="425"/>
      <c r="L29" s="426"/>
      <c r="M29" s="424"/>
      <c r="O29" s="435"/>
      <c r="Q29" s="429"/>
      <c r="R29" s="430"/>
    </row>
    <row r="30" spans="1:19" ht="18" customHeight="1" x14ac:dyDescent="0.25">
      <c r="A30" s="535">
        <v>1</v>
      </c>
      <c r="B30" s="535"/>
      <c r="C30" s="535">
        <v>0.75</v>
      </c>
      <c r="D30" s="535"/>
      <c r="E30" s="432"/>
      <c r="F30" s="433" t="s">
        <v>15</v>
      </c>
      <c r="G30" s="422" t="s">
        <v>15</v>
      </c>
      <c r="H30" s="422" t="s">
        <v>15</v>
      </c>
      <c r="I30" s="434"/>
      <c r="J30" s="436"/>
      <c r="K30" s="425"/>
      <c r="L30" s="426"/>
      <c r="M30" s="437"/>
      <c r="N30" s="436"/>
      <c r="O30" s="436"/>
      <c r="P30" s="436"/>
      <c r="Q30" s="429"/>
      <c r="R30" s="438"/>
    </row>
    <row r="31" spans="1:19" ht="18" customHeight="1" x14ac:dyDescent="0.25">
      <c r="A31" s="535">
        <v>0.75</v>
      </c>
      <c r="B31" s="535"/>
      <c r="C31" s="535">
        <v>0.5</v>
      </c>
      <c r="D31" s="535"/>
      <c r="E31" s="432"/>
      <c r="F31" s="432"/>
      <c r="G31" s="433" t="s">
        <v>15</v>
      </c>
      <c r="H31" s="433" t="s">
        <v>15</v>
      </c>
      <c r="I31" s="434"/>
      <c r="J31" s="436"/>
      <c r="K31" s="425"/>
      <c r="L31" s="426"/>
      <c r="M31" s="436"/>
      <c r="N31" s="436"/>
      <c r="O31" s="436"/>
      <c r="P31" s="436"/>
      <c r="Q31" s="429"/>
      <c r="R31" s="438"/>
    </row>
    <row r="32" spans="1:19" ht="18" customHeight="1" x14ac:dyDescent="0.25">
      <c r="A32" s="535">
        <v>0.5</v>
      </c>
      <c r="B32" s="535"/>
      <c r="C32" s="535">
        <v>0.375</v>
      </c>
      <c r="D32" s="535"/>
      <c r="E32" s="432"/>
      <c r="F32" s="432"/>
      <c r="G32" s="433" t="s">
        <v>15</v>
      </c>
      <c r="H32" s="433" t="s">
        <v>15</v>
      </c>
      <c r="I32" s="434"/>
      <c r="J32" s="436"/>
      <c r="K32" s="425"/>
      <c r="L32" s="426"/>
      <c r="M32" s="436"/>
      <c r="N32" s="436"/>
      <c r="O32" s="436"/>
      <c r="P32" s="436"/>
      <c r="Q32" s="429"/>
      <c r="R32" s="438"/>
    </row>
    <row r="33" spans="1:22" ht="18" customHeight="1" x14ac:dyDescent="0.25">
      <c r="A33" s="535">
        <v>0.375</v>
      </c>
      <c r="B33" s="535"/>
      <c r="C33" s="535">
        <v>0.25</v>
      </c>
      <c r="D33" s="535"/>
      <c r="E33" s="433" t="s">
        <v>15</v>
      </c>
      <c r="F33" s="433" t="s">
        <v>15</v>
      </c>
      <c r="G33" s="432"/>
      <c r="H33" s="439"/>
      <c r="I33" s="434"/>
      <c r="J33" s="436"/>
      <c r="K33" s="425"/>
      <c r="L33" s="426"/>
      <c r="M33" s="436"/>
      <c r="N33" s="436"/>
      <c r="O33" s="436"/>
      <c r="P33" s="436"/>
      <c r="Q33" s="429"/>
      <c r="R33" s="438"/>
    </row>
    <row r="34" spans="1:22" ht="18" customHeight="1" x14ac:dyDescent="0.25">
      <c r="A34" s="535">
        <v>0.25</v>
      </c>
      <c r="B34" s="535"/>
      <c r="C34" s="535" t="s">
        <v>183</v>
      </c>
      <c r="D34" s="535"/>
      <c r="E34" s="433" t="s">
        <v>15</v>
      </c>
      <c r="F34" s="433" t="s">
        <v>15</v>
      </c>
      <c r="G34" s="432"/>
      <c r="H34" s="439" t="s">
        <v>15</v>
      </c>
      <c r="I34" s="434"/>
      <c r="J34" s="436"/>
      <c r="K34" s="425"/>
      <c r="L34" s="426"/>
      <c r="M34" s="436"/>
      <c r="N34" s="436"/>
      <c r="O34" s="436"/>
      <c r="P34" s="436"/>
      <c r="Q34" s="436"/>
      <c r="R34" s="436"/>
      <c r="S34" s="436"/>
    </row>
    <row r="35" spans="1:22" ht="18" customHeight="1" x14ac:dyDescent="0.25">
      <c r="A35" s="535" t="s">
        <v>183</v>
      </c>
      <c r="B35" s="535"/>
      <c r="C35" s="535" t="s">
        <v>184</v>
      </c>
      <c r="D35" s="535"/>
      <c r="E35" s="433" t="s">
        <v>15</v>
      </c>
      <c r="F35" s="433" t="s">
        <v>15</v>
      </c>
      <c r="G35" s="433" t="s">
        <v>15</v>
      </c>
      <c r="H35" s="432"/>
      <c r="I35" s="434"/>
      <c r="J35" s="440"/>
      <c r="K35" s="425"/>
      <c r="L35" s="426"/>
      <c r="M35" s="537"/>
      <c r="N35" s="537"/>
      <c r="O35" s="537"/>
      <c r="P35" s="437"/>
      <c r="Q35" s="437"/>
      <c r="R35" s="437"/>
      <c r="S35" s="437"/>
      <c r="T35" s="538"/>
      <c r="U35" s="538"/>
      <c r="V35" s="538"/>
    </row>
    <row r="36" spans="1:22" ht="19.5" customHeight="1" x14ac:dyDescent="0.25">
      <c r="A36" s="536" t="s">
        <v>185</v>
      </c>
      <c r="B36" s="536"/>
      <c r="C36" s="536"/>
      <c r="D36" s="536"/>
      <c r="E36" s="442">
        <f>SUM(E29:E32)</f>
        <v>0</v>
      </c>
      <c r="F36" s="442">
        <f>SUM(F31:F32)</f>
        <v>0</v>
      </c>
      <c r="G36" s="442">
        <f>SUM(G33:G34)</f>
        <v>0</v>
      </c>
      <c r="H36" s="442">
        <f>+H35</f>
        <v>0</v>
      </c>
      <c r="I36" s="434"/>
      <c r="J36" s="440"/>
      <c r="K36" s="425"/>
      <c r="L36" s="426"/>
      <c r="N36" s="437"/>
      <c r="O36" s="437"/>
      <c r="P36" s="437"/>
      <c r="Q36" s="437"/>
      <c r="R36" s="437"/>
      <c r="S36" s="437"/>
      <c r="T36" s="441"/>
      <c r="U36" s="441"/>
      <c r="V36" s="441"/>
    </row>
    <row r="37" spans="1:22" ht="6" customHeight="1" x14ac:dyDescent="0.25">
      <c r="B37" s="425"/>
      <c r="C37" s="443"/>
      <c r="D37" s="444"/>
      <c r="E37" s="444"/>
      <c r="F37" s="444"/>
      <c r="G37" s="444"/>
      <c r="H37" s="444"/>
      <c r="I37" s="434"/>
      <c r="J37" s="435"/>
      <c r="K37" s="425"/>
      <c r="L37" s="426"/>
      <c r="M37" s="445"/>
      <c r="O37" s="446"/>
      <c r="P37" s="428"/>
      <c r="Q37" s="435"/>
      <c r="R37" s="435"/>
      <c r="S37" s="435"/>
      <c r="T37" s="435"/>
      <c r="U37" s="435"/>
      <c r="V37" s="435"/>
    </row>
    <row r="38" spans="1:22" ht="15" customHeight="1" x14ac:dyDescent="0.25">
      <c r="A38" s="447" t="s">
        <v>186</v>
      </c>
      <c r="B38" s="541" t="s">
        <v>19</v>
      </c>
      <c r="C38" s="542"/>
      <c r="D38" s="421" t="s">
        <v>20</v>
      </c>
      <c r="E38" s="448" t="s">
        <v>187</v>
      </c>
      <c r="F38" s="448" t="s">
        <v>188</v>
      </c>
      <c r="G38" s="448" t="s">
        <v>189</v>
      </c>
      <c r="H38" s="448" t="s">
        <v>190</v>
      </c>
      <c r="I38" s="434"/>
      <c r="J38" s="449"/>
      <c r="K38" s="425"/>
      <c r="L38" s="426"/>
      <c r="M38" s="450"/>
      <c r="O38" s="446"/>
      <c r="P38" s="428"/>
      <c r="Q38" s="435"/>
      <c r="R38" s="435"/>
      <c r="S38" s="435"/>
      <c r="T38" s="440"/>
      <c r="U38" s="440"/>
      <c r="V38" s="440"/>
    </row>
    <row r="39" spans="1:22" ht="15" customHeight="1" x14ac:dyDescent="0.25">
      <c r="A39" s="447">
        <v>1</v>
      </c>
      <c r="B39" s="543" t="s">
        <v>191</v>
      </c>
      <c r="C39" s="544"/>
      <c r="D39" s="421"/>
      <c r="E39" s="453">
        <v>12</v>
      </c>
      <c r="F39" s="453">
        <v>11</v>
      </c>
      <c r="G39" s="453">
        <v>8</v>
      </c>
      <c r="H39" s="453">
        <v>6</v>
      </c>
      <c r="I39" s="434"/>
      <c r="J39" s="449"/>
      <c r="K39" s="425"/>
      <c r="L39" s="426"/>
      <c r="M39" s="450"/>
      <c r="O39" s="446"/>
      <c r="P39" s="428"/>
      <c r="Q39" s="435"/>
      <c r="R39" s="435"/>
      <c r="S39" s="435"/>
      <c r="T39" s="440"/>
      <c r="U39" s="440"/>
      <c r="V39" s="440"/>
    </row>
    <row r="40" spans="1:22" ht="19.899999999999999" customHeight="1" x14ac:dyDescent="0.25">
      <c r="A40" s="447">
        <v>2</v>
      </c>
      <c r="B40" s="451" t="s">
        <v>192</v>
      </c>
      <c r="C40" s="452"/>
      <c r="D40" s="454" t="s">
        <v>23</v>
      </c>
      <c r="E40" s="453" t="s">
        <v>193</v>
      </c>
      <c r="F40" s="453" t="s">
        <v>194</v>
      </c>
      <c r="G40" s="453" t="s">
        <v>195</v>
      </c>
      <c r="H40" s="453" t="s">
        <v>196</v>
      </c>
      <c r="I40" s="434"/>
      <c r="J40" s="449"/>
      <c r="K40" s="425"/>
      <c r="L40" s="426"/>
      <c r="M40" s="450"/>
      <c r="O40" s="446"/>
      <c r="P40" s="428"/>
      <c r="Q40" s="435"/>
      <c r="R40" s="435"/>
      <c r="S40" s="435"/>
      <c r="T40" s="440"/>
      <c r="U40" s="440"/>
      <c r="V40" s="440"/>
    </row>
    <row r="41" spans="1:22" ht="19.899999999999999" customHeight="1" thickBot="1" x14ac:dyDescent="0.3">
      <c r="A41" s="455">
        <v>3</v>
      </c>
      <c r="B41" s="456" t="s">
        <v>197</v>
      </c>
      <c r="C41" s="457"/>
      <c r="D41" s="458" t="s">
        <v>23</v>
      </c>
      <c r="E41" s="459"/>
      <c r="F41" s="459"/>
      <c r="G41" s="459"/>
      <c r="H41" s="459"/>
      <c r="I41" s="434"/>
      <c r="J41" s="449"/>
      <c r="K41" s="425"/>
      <c r="L41" s="426"/>
      <c r="M41" s="450"/>
      <c r="O41" s="446"/>
      <c r="P41" s="428"/>
      <c r="Q41" s="435"/>
      <c r="R41" s="435"/>
      <c r="S41" s="435"/>
      <c r="T41" s="440"/>
      <c r="U41" s="440"/>
      <c r="V41" s="440"/>
    </row>
    <row r="42" spans="1:22" ht="19.899999999999999" customHeight="1" thickTop="1" x14ac:dyDescent="0.25">
      <c r="A42" s="460" t="s">
        <v>72</v>
      </c>
      <c r="B42" s="545" t="s">
        <v>161</v>
      </c>
      <c r="C42" s="546"/>
      <c r="D42" s="461" t="s">
        <v>23</v>
      </c>
      <c r="E42" s="462"/>
      <c r="F42" s="462">
        <v>0</v>
      </c>
      <c r="G42" s="462">
        <v>0</v>
      </c>
      <c r="H42" s="462">
        <v>0</v>
      </c>
      <c r="I42" s="434"/>
      <c r="J42" s="449"/>
      <c r="K42" s="425"/>
      <c r="L42" s="426"/>
      <c r="M42" s="450"/>
      <c r="N42" s="463"/>
      <c r="O42" s="446"/>
      <c r="P42" s="428"/>
      <c r="Q42" s="435"/>
      <c r="R42" s="435"/>
      <c r="S42" s="435"/>
      <c r="T42" s="440"/>
      <c r="U42" s="440"/>
      <c r="V42" s="440"/>
    </row>
    <row r="43" spans="1:22" ht="19.899999999999999" customHeight="1" x14ac:dyDescent="0.25">
      <c r="A43" s="431" t="s">
        <v>73</v>
      </c>
      <c r="B43" s="547" t="s">
        <v>162</v>
      </c>
      <c r="C43" s="548"/>
      <c r="D43" s="464" t="s">
        <v>23</v>
      </c>
      <c r="E43" s="465"/>
      <c r="F43" s="465"/>
      <c r="G43" s="465"/>
      <c r="H43" s="465"/>
      <c r="I43" s="434"/>
      <c r="J43" s="449"/>
      <c r="K43" s="425"/>
      <c r="L43" s="426"/>
      <c r="M43" s="450"/>
      <c r="O43" s="446"/>
      <c r="P43" s="428"/>
      <c r="Q43" s="435"/>
      <c r="R43" s="435"/>
      <c r="S43" s="435"/>
      <c r="T43" s="440"/>
      <c r="U43" s="440"/>
      <c r="V43" s="440"/>
    </row>
    <row r="44" spans="1:22" ht="19.899999999999999" customHeight="1" x14ac:dyDescent="0.25">
      <c r="A44" s="454" t="s">
        <v>74</v>
      </c>
      <c r="B44" s="539" t="s">
        <v>75</v>
      </c>
      <c r="C44" s="540"/>
      <c r="D44" s="464" t="s">
        <v>23</v>
      </c>
      <c r="E44" s="442"/>
      <c r="F44" s="442"/>
      <c r="G44" s="442"/>
      <c r="H44" s="442"/>
      <c r="I44" s="466"/>
      <c r="K44" s="425"/>
      <c r="L44" s="426"/>
      <c r="M44" s="445"/>
      <c r="O44" s="446"/>
      <c r="P44" s="428"/>
      <c r="Q44" s="435"/>
      <c r="R44" s="435"/>
      <c r="S44" s="435"/>
      <c r="T44" s="435"/>
      <c r="U44" s="467"/>
      <c r="V44" s="435"/>
    </row>
    <row r="45" spans="1:22" ht="22.9" customHeight="1" x14ac:dyDescent="0.25">
      <c r="A45" s="454" t="s">
        <v>76</v>
      </c>
      <c r="B45" s="539" t="s">
        <v>77</v>
      </c>
      <c r="C45" s="540"/>
      <c r="D45" s="464" t="s">
        <v>23</v>
      </c>
      <c r="E45" s="442"/>
      <c r="F45" s="442"/>
      <c r="G45" s="442"/>
      <c r="H45" s="442"/>
      <c r="I45" s="466"/>
      <c r="K45" s="425"/>
      <c r="L45" s="426"/>
      <c r="M45" s="445"/>
      <c r="O45" s="446"/>
      <c r="P45" s="428"/>
      <c r="Q45" s="435"/>
      <c r="R45" s="435"/>
      <c r="S45" s="435"/>
      <c r="T45" s="435"/>
      <c r="U45" s="467"/>
      <c r="V45" s="435"/>
    </row>
    <row r="46" spans="1:22" ht="19.899999999999999" customHeight="1" x14ac:dyDescent="0.25">
      <c r="A46" s="454" t="s">
        <v>78</v>
      </c>
      <c r="B46" s="550" t="s">
        <v>198</v>
      </c>
      <c r="C46" s="551"/>
      <c r="D46" s="464" t="s">
        <v>26</v>
      </c>
      <c r="E46" s="468"/>
      <c r="F46" s="468"/>
      <c r="G46" s="468"/>
      <c r="H46" s="468"/>
      <c r="I46" s="469"/>
      <c r="J46" s="470"/>
      <c r="K46" s="471"/>
      <c r="L46" s="426"/>
      <c r="M46" s="450"/>
      <c r="O46" s="446"/>
      <c r="P46" s="428"/>
      <c r="Q46" s="435"/>
      <c r="R46" s="435"/>
      <c r="S46" s="435"/>
      <c r="T46" s="472"/>
      <c r="U46" s="473"/>
      <c r="V46" s="472"/>
    </row>
    <row r="47" spans="1:22" ht="24.75" customHeight="1" x14ac:dyDescent="0.25">
      <c r="A47" s="454" t="s">
        <v>199</v>
      </c>
      <c r="B47" s="550" t="s">
        <v>163</v>
      </c>
      <c r="C47" s="551"/>
      <c r="D47" s="464" t="s">
        <v>26</v>
      </c>
      <c r="E47" s="454"/>
      <c r="F47" s="454"/>
      <c r="G47" s="454"/>
      <c r="H47" s="454"/>
      <c r="K47" s="403"/>
      <c r="L47" s="426"/>
      <c r="M47" s="450"/>
      <c r="O47" s="446"/>
      <c r="P47" s="428"/>
      <c r="Q47" s="435"/>
      <c r="R47" s="435"/>
      <c r="S47" s="435"/>
      <c r="T47" s="472"/>
      <c r="U47" s="473"/>
      <c r="V47" s="472"/>
    </row>
    <row r="48" spans="1:22" ht="11.25" customHeight="1" x14ac:dyDescent="0.25">
      <c r="B48" s="474" t="s">
        <v>200</v>
      </c>
      <c r="C48" s="475"/>
      <c r="D48" s="475"/>
      <c r="E48" s="475"/>
      <c r="K48" s="403"/>
      <c r="L48" s="426"/>
      <c r="M48" s="450"/>
      <c r="O48" s="446"/>
      <c r="P48" s="428"/>
      <c r="Q48" s="435"/>
      <c r="R48" s="435"/>
      <c r="S48" s="435"/>
      <c r="T48" s="472"/>
      <c r="U48" s="473"/>
      <c r="V48" s="472"/>
    </row>
    <row r="49" spans="1:22" ht="20.25" customHeight="1" x14ac:dyDescent="0.25">
      <c r="A49" s="552"/>
      <c r="B49" s="553" t="s">
        <v>201</v>
      </c>
      <c r="C49" s="476" t="s">
        <v>202</v>
      </c>
      <c r="D49" s="556"/>
      <c r="E49" s="556"/>
      <c r="F49" s="477" t="s">
        <v>203</v>
      </c>
      <c r="G49" s="557"/>
      <c r="H49" s="558"/>
      <c r="K49" s="403"/>
      <c r="L49" s="426"/>
      <c r="M49" s="445"/>
      <c r="O49" s="446"/>
      <c r="P49" s="428"/>
      <c r="Q49" s="435"/>
      <c r="R49" s="435"/>
      <c r="S49" s="435"/>
      <c r="T49" s="472"/>
      <c r="U49" s="473"/>
      <c r="V49" s="472"/>
    </row>
    <row r="50" spans="1:22" ht="25.5" customHeight="1" x14ac:dyDescent="0.25">
      <c r="A50" s="552"/>
      <c r="B50" s="554"/>
      <c r="C50" s="476" t="s">
        <v>204</v>
      </c>
      <c r="D50" s="556"/>
      <c r="E50" s="556"/>
      <c r="F50" s="476" t="s">
        <v>205</v>
      </c>
      <c r="G50" s="559"/>
      <c r="H50" s="560"/>
      <c r="K50" s="403"/>
      <c r="L50" s="426"/>
      <c r="M50" s="445"/>
      <c r="O50" s="446"/>
      <c r="P50" s="428"/>
      <c r="Q50" s="435"/>
      <c r="R50" s="435"/>
      <c r="S50" s="435"/>
      <c r="T50" s="472"/>
      <c r="U50" s="473"/>
      <c r="V50" s="472"/>
    </row>
    <row r="51" spans="1:22" ht="25.5" customHeight="1" x14ac:dyDescent="0.25">
      <c r="A51" s="478"/>
      <c r="B51" s="555"/>
      <c r="C51" s="476" t="s">
        <v>206</v>
      </c>
      <c r="D51" s="556"/>
      <c r="E51" s="556"/>
      <c r="F51" s="479"/>
      <c r="G51" s="559"/>
      <c r="H51" s="560"/>
      <c r="K51" s="403"/>
      <c r="L51" s="426"/>
      <c r="M51" s="445"/>
      <c r="O51" s="446"/>
      <c r="P51" s="428"/>
      <c r="Q51" s="435"/>
      <c r="R51" s="435"/>
      <c r="S51" s="435"/>
      <c r="T51" s="472"/>
      <c r="U51" s="473"/>
      <c r="V51" s="472"/>
    </row>
    <row r="52" spans="1:22" ht="25.5" customHeight="1" x14ac:dyDescent="0.25">
      <c r="A52" s="480" t="s">
        <v>30</v>
      </c>
      <c r="B52" s="481"/>
      <c r="C52" s="481"/>
      <c r="D52" s="481"/>
      <c r="E52" s="481"/>
      <c r="F52" s="481"/>
      <c r="G52" s="481"/>
      <c r="H52" s="481"/>
      <c r="K52" s="403"/>
      <c r="L52" s="426"/>
      <c r="M52" s="445"/>
      <c r="O52" s="446"/>
      <c r="P52" s="428"/>
      <c r="Q52" s="435"/>
      <c r="R52" s="435"/>
      <c r="S52" s="435"/>
      <c r="T52" s="472"/>
      <c r="U52" s="473"/>
      <c r="V52" s="472"/>
    </row>
    <row r="53" spans="1:22" ht="18" customHeight="1" x14ac:dyDescent="0.25">
      <c r="C53" s="482"/>
      <c r="D53" s="482"/>
      <c r="E53" s="482"/>
      <c r="F53" s="482"/>
      <c r="G53" s="482"/>
      <c r="H53" s="482"/>
      <c r="K53" s="403"/>
      <c r="L53" s="483"/>
      <c r="M53" s="445"/>
      <c r="O53" s="446"/>
      <c r="P53" s="428"/>
      <c r="Q53" s="435"/>
      <c r="R53" s="435"/>
      <c r="S53" s="435"/>
      <c r="T53" s="472"/>
      <c r="U53" s="473"/>
      <c r="V53" s="472"/>
    </row>
    <row r="54" spans="1:22" ht="18" customHeight="1" x14ac:dyDescent="0.25">
      <c r="D54" s="482"/>
      <c r="E54" s="482"/>
      <c r="K54" s="403"/>
      <c r="M54" s="445"/>
      <c r="O54" s="446"/>
      <c r="P54" s="428"/>
      <c r="Q54" s="435"/>
      <c r="R54" s="435"/>
      <c r="S54" s="435"/>
      <c r="T54" s="435"/>
      <c r="U54" s="484"/>
      <c r="V54" s="435"/>
    </row>
    <row r="55" spans="1:22" ht="18" customHeight="1" x14ac:dyDescent="0.25">
      <c r="B55" s="388" t="s">
        <v>207</v>
      </c>
      <c r="C55" s="482"/>
      <c r="D55" s="482"/>
      <c r="E55" s="482"/>
      <c r="F55" s="482"/>
      <c r="G55" s="482"/>
      <c r="H55" s="482"/>
      <c r="K55" s="403"/>
      <c r="M55" s="445"/>
      <c r="O55" s="446"/>
      <c r="P55" s="428"/>
      <c r="Q55" s="435"/>
      <c r="R55" s="435"/>
      <c r="S55" s="435"/>
    </row>
    <row r="56" spans="1:22" ht="16.899999999999999" customHeight="1" x14ac:dyDescent="0.25">
      <c r="A56" s="485" t="s">
        <v>32</v>
      </c>
      <c r="B56" s="485"/>
      <c r="J56" s="435"/>
      <c r="K56" s="403"/>
    </row>
    <row r="57" spans="1:22" ht="13.9" customHeight="1" x14ac:dyDescent="0.25">
      <c r="A57" s="485" t="s">
        <v>166</v>
      </c>
      <c r="B57" s="485"/>
      <c r="C57" s="486"/>
      <c r="D57" s="486"/>
      <c r="E57" s="486"/>
      <c r="F57" s="486"/>
      <c r="G57" s="486"/>
      <c r="H57" s="486"/>
      <c r="I57" s="486"/>
      <c r="J57" s="403"/>
      <c r="K57" s="403"/>
      <c r="L57" s="403"/>
    </row>
    <row r="58" spans="1:22" ht="12" customHeight="1" x14ac:dyDescent="0.25"/>
    <row r="59" spans="1:22" ht="26.45" customHeight="1" x14ac:dyDescent="0.25">
      <c r="A59" s="549" t="s">
        <v>208</v>
      </c>
      <c r="B59" s="549"/>
      <c r="C59" s="549"/>
      <c r="D59" s="549"/>
      <c r="E59" s="549"/>
      <c r="F59" s="549"/>
      <c r="G59" s="549"/>
      <c r="H59" s="549"/>
      <c r="I59" s="549"/>
    </row>
    <row r="60" spans="1:22" ht="15.95" customHeight="1" x14ac:dyDescent="0.25"/>
    <row r="61" spans="1:22" ht="15.95" customHeight="1" x14ac:dyDescent="0.25"/>
  </sheetData>
  <sheetProtection algorithmName="SHA-512" hashValue="wLr5Hw7IUSOIZss3zWh8FxnmumtSHQ3ntngkO3/e4K/VOmOJG4CChhVFPfXunyck3FWZiDeoLpQc2LD8bLtFoQ==" saltValue="JopX8hFg1AeStofpOMxSGQ==" spinCount="100000" sheet="1" objects="1" scenarios="1"/>
  <protectedRanges>
    <protectedRange sqref="C26 C16:C21" name="Rango3_3_1_1_1_1_1_1_1_1"/>
    <protectedRange sqref="C12" name="Rango3_3_1_1_1_1_1_1_1_1_1_1"/>
  </protectedRanges>
  <mergeCells count="56">
    <mergeCell ref="A59:I59"/>
    <mergeCell ref="B45:C45"/>
    <mergeCell ref="B46:C46"/>
    <mergeCell ref="B47:C47"/>
    <mergeCell ref="A49:A50"/>
    <mergeCell ref="B49:B51"/>
    <mergeCell ref="D49:E49"/>
    <mergeCell ref="G49:H49"/>
    <mergeCell ref="D50:E50"/>
    <mergeCell ref="G50:H50"/>
    <mergeCell ref="D51:E51"/>
    <mergeCell ref="G51:H51"/>
    <mergeCell ref="A30:B30"/>
    <mergeCell ref="C30:D30"/>
    <mergeCell ref="B44:C44"/>
    <mergeCell ref="A34:B34"/>
    <mergeCell ref="C34:D34"/>
    <mergeCell ref="A35:B35"/>
    <mergeCell ref="C35:D35"/>
    <mergeCell ref="A36:D36"/>
    <mergeCell ref="B38:C38"/>
    <mergeCell ref="B39:C39"/>
    <mergeCell ref="B42:C42"/>
    <mergeCell ref="B43:C43"/>
    <mergeCell ref="M35:O35"/>
    <mergeCell ref="T35:V35"/>
    <mergeCell ref="A31:B31"/>
    <mergeCell ref="C31:D31"/>
    <mergeCell ref="A32:B32"/>
    <mergeCell ref="C32:D32"/>
    <mergeCell ref="A33:B33"/>
    <mergeCell ref="C33:D33"/>
    <mergeCell ref="A28:B28"/>
    <mergeCell ref="C28:D28"/>
    <mergeCell ref="K28:L28"/>
    <mergeCell ref="A29:B29"/>
    <mergeCell ref="C29:D29"/>
    <mergeCell ref="E27:H27"/>
    <mergeCell ref="R27:S27"/>
    <mergeCell ref="C10:D10"/>
    <mergeCell ref="C11:D11"/>
    <mergeCell ref="N12:O12"/>
    <mergeCell ref="A13:I13"/>
    <mergeCell ref="A14:I14"/>
    <mergeCell ref="A16:C16"/>
    <mergeCell ref="G16:H16"/>
    <mergeCell ref="A17:C17"/>
    <mergeCell ref="A18:C18"/>
    <mergeCell ref="A19:C19"/>
    <mergeCell ref="A27:D27"/>
    <mergeCell ref="A7:I7"/>
    <mergeCell ref="A8:I8"/>
    <mergeCell ref="Q8:R8"/>
    <mergeCell ref="S8:T8"/>
    <mergeCell ref="Q9:R9"/>
    <mergeCell ref="S9:T9"/>
  </mergeCells>
  <printOptions horizontalCentered="1" verticalCentered="1"/>
  <pageMargins left="0" right="0.59055118110236227" top="0.78740157480314965" bottom="0" header="0" footer="0"/>
  <pageSetup paperSize="9" scale="74"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5"/>
  <sheetViews>
    <sheetView showGridLines="0" view="pageBreakPreview" topLeftCell="A10" zoomScaleNormal="100" zoomScaleSheetLayoutView="100" workbookViewId="0">
      <selection activeCell="L18" sqref="L18"/>
    </sheetView>
  </sheetViews>
  <sheetFormatPr baseColWidth="10" defaultColWidth="12.5703125" defaultRowHeight="15" customHeight="1" x14ac:dyDescent="0.2"/>
  <cols>
    <col min="1" max="1" width="11.140625" customWidth="1"/>
    <col min="2" max="2" width="2" customWidth="1"/>
    <col min="3" max="3" width="4.42578125" customWidth="1"/>
    <col min="4" max="4" width="1.42578125" customWidth="1"/>
    <col min="5" max="5" width="14.5703125" customWidth="1"/>
    <col min="6" max="6" width="20.42578125" customWidth="1"/>
    <col min="7" max="7" width="11.42578125" customWidth="1"/>
    <col min="8" max="8" width="15.140625" customWidth="1"/>
    <col min="9" max="9" width="1.42578125" customWidth="1"/>
    <col min="10" max="10" width="14" customWidth="1"/>
    <col min="11" max="11" width="6.42578125" customWidth="1"/>
    <col min="12" max="12" width="10.42578125" customWidth="1"/>
    <col min="13" max="13" width="2.5703125" customWidth="1"/>
    <col min="14" max="14" width="8.85546875" customWidth="1"/>
    <col min="15" max="15" width="10.42578125" hidden="1" customWidth="1"/>
    <col min="16" max="16" width="10.42578125" customWidth="1"/>
    <col min="17" max="17" width="3.42578125" customWidth="1"/>
    <col min="18" max="19" width="10.42578125" customWidth="1"/>
    <col min="20" max="22" width="5.5703125" customWidth="1"/>
    <col min="23" max="24" width="10.42578125" customWidth="1"/>
  </cols>
  <sheetData>
    <row r="1" spans="1:24" ht="8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5.75" customHeight="1" x14ac:dyDescent="0.25">
      <c r="A2" s="563" t="s">
        <v>0</v>
      </c>
      <c r="B2" s="564"/>
      <c r="C2" s="564"/>
      <c r="D2" s="564"/>
      <c r="E2" s="564"/>
      <c r="F2" s="564"/>
      <c r="G2" s="564"/>
      <c r="H2" s="564"/>
      <c r="I2" s="564"/>
      <c r="J2" s="564"/>
      <c r="K2" s="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customHeight="1" x14ac:dyDescent="0.25">
      <c r="A3" s="565">
        <v>0</v>
      </c>
      <c r="B3" s="565"/>
      <c r="C3" s="565"/>
      <c r="D3" s="565"/>
      <c r="E3" s="565"/>
      <c r="F3" s="565"/>
      <c r="G3" s="565"/>
      <c r="H3" s="565"/>
      <c r="I3" s="565"/>
      <c r="J3" s="565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6.5" customHeight="1" x14ac:dyDescent="0.25">
      <c r="A5" s="5" t="s">
        <v>1</v>
      </c>
      <c r="B5" s="5" t="s">
        <v>2</v>
      </c>
      <c r="C5" s="566">
        <f>+FORMATO!M2</f>
        <v>0</v>
      </c>
      <c r="D5" s="566"/>
      <c r="E5" s="566"/>
      <c r="F5" s="566"/>
      <c r="G5" s="566"/>
      <c r="H5" s="7" t="s">
        <v>3</v>
      </c>
      <c r="I5" s="8" t="s">
        <v>2</v>
      </c>
      <c r="J5" s="6" t="s">
        <v>165</v>
      </c>
      <c r="K5" s="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6.5" customHeight="1" x14ac:dyDescent="0.25">
      <c r="A6" s="5" t="s">
        <v>4</v>
      </c>
      <c r="B6" s="5" t="s">
        <v>2</v>
      </c>
      <c r="C6" s="566">
        <f>+FORMATO!M3</f>
        <v>0</v>
      </c>
      <c r="D6" s="566"/>
      <c r="E6" s="566"/>
      <c r="F6" s="566"/>
      <c r="G6" s="566"/>
      <c r="H6" s="288" t="s">
        <v>152</v>
      </c>
      <c r="I6" s="8" t="s">
        <v>2</v>
      </c>
      <c r="J6" s="382">
        <f>+FORMATO!M7</f>
        <v>0</v>
      </c>
      <c r="K6" s="9"/>
      <c r="L6" s="2"/>
      <c r="M6" s="10"/>
      <c r="N6" s="11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6.5" customHeight="1" x14ac:dyDescent="0.25">
      <c r="A7" s="5" t="s">
        <v>5</v>
      </c>
      <c r="B7" s="5" t="s">
        <v>2</v>
      </c>
      <c r="C7" s="566">
        <f>+FORMATO!M4</f>
        <v>0</v>
      </c>
      <c r="D7" s="566"/>
      <c r="E7" s="566"/>
      <c r="F7" s="566"/>
      <c r="G7" s="566"/>
      <c r="H7" s="288" t="s">
        <v>153</v>
      </c>
      <c r="I7" s="8" t="s">
        <v>2</v>
      </c>
      <c r="J7" s="382">
        <f>+FORMATO!M9</f>
        <v>0</v>
      </c>
      <c r="K7" s="9"/>
      <c r="L7" s="2"/>
      <c r="M7" s="567"/>
      <c r="N7" s="564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6.5" customHeight="1" x14ac:dyDescent="0.25">
      <c r="A8" s="5" t="s">
        <v>7</v>
      </c>
      <c r="B8" s="5" t="s">
        <v>2</v>
      </c>
      <c r="C8" s="566">
        <f>+FORMATO!M5</f>
        <v>0</v>
      </c>
      <c r="D8" s="566"/>
      <c r="E8" s="566"/>
      <c r="F8" s="566"/>
      <c r="G8" s="566"/>
      <c r="H8" s="7" t="s">
        <v>6</v>
      </c>
      <c r="I8" s="8" t="s">
        <v>2</v>
      </c>
      <c r="J8" s="336">
        <f>+FORMATO!M8</f>
        <v>0</v>
      </c>
      <c r="K8" s="9"/>
      <c r="L8" s="2"/>
      <c r="M8" s="12"/>
      <c r="N8" s="1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5.75" customHeight="1" x14ac:dyDescent="0.25">
      <c r="A9" s="262" t="s">
        <v>8</v>
      </c>
      <c r="B9" s="262"/>
      <c r="C9" s="263"/>
      <c r="D9" s="263"/>
      <c r="E9" s="264"/>
      <c r="F9" s="264"/>
      <c r="G9" s="264"/>
      <c r="H9" s="265"/>
      <c r="I9" s="263"/>
      <c r="J9" s="266"/>
      <c r="K9" s="9"/>
      <c r="L9" s="2"/>
      <c r="M9" s="12"/>
      <c r="N9" s="1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25.5" customHeight="1" x14ac:dyDescent="0.25">
      <c r="A10" s="568" t="s">
        <v>167</v>
      </c>
      <c r="B10" s="569"/>
      <c r="C10" s="569"/>
      <c r="D10" s="569"/>
      <c r="E10" s="569"/>
      <c r="F10" s="569"/>
      <c r="G10" s="569"/>
      <c r="H10" s="569"/>
      <c r="I10" s="569"/>
      <c r="J10" s="570"/>
      <c r="K10" s="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18" customHeight="1" x14ac:dyDescent="0.25">
      <c r="A11" s="574" t="s">
        <v>9</v>
      </c>
      <c r="B11" s="575"/>
      <c r="C11" s="575"/>
      <c r="D11" s="575"/>
      <c r="E11" s="575"/>
      <c r="F11" s="575"/>
      <c r="G11" s="575"/>
      <c r="H11" s="575"/>
      <c r="I11" s="575"/>
      <c r="J11" s="576"/>
      <c r="K11" s="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5.75" customHeight="1" x14ac:dyDescent="0.25">
      <c r="A12" s="339" t="s">
        <v>10</v>
      </c>
      <c r="B12" s="340"/>
      <c r="C12" s="340"/>
      <c r="D12" s="340"/>
      <c r="E12" s="340"/>
      <c r="F12" s="340"/>
      <c r="G12" s="340"/>
      <c r="H12" s="340"/>
      <c r="I12" s="340"/>
      <c r="J12" s="341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5.75" customHeight="1" x14ac:dyDescent="0.25">
      <c r="A13" s="267" t="s">
        <v>11</v>
      </c>
      <c r="B13" s="262"/>
      <c r="C13" s="268"/>
      <c r="D13" s="268" t="s">
        <v>2</v>
      </c>
      <c r="E13" s="496">
        <f>+FORMATO!M15</f>
        <v>0</v>
      </c>
      <c r="F13" s="269"/>
      <c r="G13" s="269"/>
      <c r="H13" s="270" t="s">
        <v>12</v>
      </c>
      <c r="I13" s="271" t="s">
        <v>2</v>
      </c>
      <c r="J13" s="383">
        <f>+FORMATO!C11</f>
        <v>0</v>
      </c>
      <c r="K13" s="1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5.75" customHeight="1" x14ac:dyDescent="0.25">
      <c r="A14" s="267" t="s">
        <v>13</v>
      </c>
      <c r="B14" s="262"/>
      <c r="C14" s="268"/>
      <c r="D14" s="268" t="s">
        <v>2</v>
      </c>
      <c r="E14" s="496">
        <f>+FORMATO!M16</f>
        <v>0</v>
      </c>
      <c r="F14" s="269"/>
      <c r="G14" s="269"/>
      <c r="H14" s="270" t="s">
        <v>14</v>
      </c>
      <c r="I14" s="271" t="s">
        <v>2</v>
      </c>
      <c r="J14" s="342">
        <f>+FORMATO!M12</f>
        <v>0</v>
      </c>
      <c r="K14" s="14"/>
      <c r="L14" s="2"/>
      <c r="M14" s="2"/>
      <c r="N14" s="2"/>
      <c r="O14" s="2" t="s">
        <v>15</v>
      </c>
      <c r="P14" s="2"/>
      <c r="Q14" s="2"/>
      <c r="R14" s="2"/>
      <c r="S14" s="2"/>
      <c r="T14" s="2"/>
      <c r="U14" s="2"/>
      <c r="V14" s="2"/>
      <c r="W14" s="2"/>
      <c r="X14" s="2"/>
    </row>
    <row r="15" spans="1:24" ht="15.75" customHeight="1" x14ac:dyDescent="0.25">
      <c r="A15" s="272" t="s">
        <v>151</v>
      </c>
      <c r="B15" s="262"/>
      <c r="C15" s="268"/>
      <c r="D15" s="268" t="s">
        <v>2</v>
      </c>
      <c r="E15" s="496">
        <f>+FORMATO!M17</f>
        <v>0</v>
      </c>
      <c r="F15" s="269"/>
      <c r="G15" s="269"/>
      <c r="H15" s="270" t="s">
        <v>16</v>
      </c>
      <c r="I15" s="271" t="s">
        <v>2</v>
      </c>
      <c r="J15" s="342">
        <f>+FORMATO!M13</f>
        <v>0</v>
      </c>
      <c r="K15" s="14"/>
      <c r="L15" s="2"/>
      <c r="M15" s="2"/>
      <c r="N15" s="2"/>
      <c r="O15" s="15">
        <v>1</v>
      </c>
      <c r="P15" s="2"/>
      <c r="Q15" s="2"/>
      <c r="R15" s="2"/>
      <c r="S15" s="2"/>
      <c r="T15" s="2"/>
      <c r="U15" s="2"/>
      <c r="V15" s="2"/>
      <c r="W15" s="2"/>
      <c r="X15" s="2"/>
    </row>
    <row r="16" spans="1:24" ht="15.75" customHeight="1" x14ac:dyDescent="0.25">
      <c r="A16" s="343" t="s">
        <v>17</v>
      </c>
      <c r="B16" s="344"/>
      <c r="C16" s="345"/>
      <c r="D16" s="345" t="s">
        <v>2</v>
      </c>
      <c r="E16" s="346" t="s">
        <v>18</v>
      </c>
      <c r="F16" s="285"/>
      <c r="G16" s="344"/>
      <c r="H16" s="347"/>
      <c r="I16" s="345"/>
      <c r="J16" s="348"/>
      <c r="K16" s="14"/>
      <c r="L16" s="2"/>
      <c r="M16" s="2"/>
      <c r="N16" s="2"/>
      <c r="O16" s="15"/>
      <c r="P16" s="2"/>
      <c r="Q16" s="2"/>
      <c r="R16" s="2"/>
      <c r="S16" s="2"/>
      <c r="T16" s="2"/>
      <c r="U16" s="2"/>
      <c r="V16" s="2"/>
      <c r="W16" s="2"/>
      <c r="X16" s="2"/>
    </row>
    <row r="17" spans="1:24" ht="15.75" customHeight="1" x14ac:dyDescent="0.25">
      <c r="A17" s="274"/>
      <c r="B17" s="275"/>
      <c r="C17" s="275"/>
      <c r="D17" s="275"/>
      <c r="E17" s="275"/>
      <c r="F17" s="275"/>
      <c r="G17" s="275"/>
      <c r="H17" s="275"/>
      <c r="I17" s="275"/>
      <c r="J17" s="276"/>
      <c r="K17" s="16"/>
      <c r="L17" s="17"/>
      <c r="M17" s="17"/>
      <c r="N17" s="17"/>
      <c r="O17" s="15">
        <v>3</v>
      </c>
      <c r="P17" s="17"/>
      <c r="Q17" s="17"/>
      <c r="R17" s="17"/>
      <c r="S17" s="17"/>
      <c r="T17" s="2"/>
      <c r="U17" s="2"/>
      <c r="V17" s="2"/>
      <c r="W17" s="2"/>
      <c r="X17" s="2"/>
    </row>
    <row r="18" spans="1:24" ht="15.75" customHeight="1" x14ac:dyDescent="0.25">
      <c r="A18" s="274"/>
      <c r="B18" s="275"/>
      <c r="C18" s="275"/>
      <c r="D18" s="275"/>
      <c r="E18" s="577" t="s">
        <v>19</v>
      </c>
      <c r="F18" s="578"/>
      <c r="G18" s="18" t="s">
        <v>20</v>
      </c>
      <c r="H18" s="18" t="s">
        <v>21</v>
      </c>
      <c r="I18" s="275"/>
      <c r="J18" s="276"/>
      <c r="K18" s="16"/>
      <c r="L18" s="17"/>
      <c r="M18" s="17"/>
      <c r="N18" s="17"/>
      <c r="O18" s="17"/>
      <c r="P18" s="17"/>
      <c r="Q18" s="17"/>
      <c r="R18" s="17"/>
      <c r="S18" s="17"/>
      <c r="T18" s="2"/>
      <c r="U18" s="2"/>
      <c r="V18" s="2"/>
      <c r="W18" s="2"/>
      <c r="X18" s="2"/>
    </row>
    <row r="19" spans="1:24" ht="21" customHeight="1" x14ac:dyDescent="0.25">
      <c r="A19" s="277"/>
      <c r="B19" s="273"/>
      <c r="C19" s="262"/>
      <c r="D19" s="262"/>
      <c r="E19" s="571" t="s">
        <v>161</v>
      </c>
      <c r="F19" s="572"/>
      <c r="G19" s="33" t="s">
        <v>23</v>
      </c>
      <c r="H19" s="33" t="e">
        <f>ROUND(DATOS!M30,0)</f>
        <v>#VALUE!</v>
      </c>
      <c r="I19" s="278"/>
      <c r="J19" s="279"/>
      <c r="K19" s="19"/>
      <c r="L19" s="20"/>
      <c r="M19" s="2"/>
      <c r="N19" s="21"/>
      <c r="O19" s="22"/>
      <c r="P19" s="23"/>
      <c r="Q19" s="2"/>
      <c r="R19" s="23"/>
      <c r="S19" s="23"/>
      <c r="T19" s="24"/>
      <c r="U19" s="24"/>
      <c r="V19" s="24"/>
      <c r="W19" s="2"/>
      <c r="X19" s="2"/>
    </row>
    <row r="20" spans="1:24" ht="21" customHeight="1" x14ac:dyDescent="0.25">
      <c r="A20" s="277"/>
      <c r="B20" s="273"/>
      <c r="C20" s="262"/>
      <c r="D20" s="262"/>
      <c r="E20" s="571" t="s">
        <v>162</v>
      </c>
      <c r="F20" s="572"/>
      <c r="G20" s="33" t="s">
        <v>23</v>
      </c>
      <c r="H20" s="33" t="str">
        <f>+DATOS!M33</f>
        <v/>
      </c>
      <c r="I20" s="280"/>
      <c r="J20" s="281"/>
      <c r="K20" s="2"/>
      <c r="L20" s="25"/>
      <c r="M20" s="2"/>
      <c r="N20" s="21"/>
      <c r="O20" s="22"/>
      <c r="P20" s="23"/>
      <c r="Q20" s="2"/>
      <c r="R20" s="23"/>
      <c r="S20" s="23"/>
      <c r="T20" s="23"/>
      <c r="U20" s="19"/>
      <c r="V20" s="23"/>
      <c r="W20" s="2"/>
      <c r="X20" s="2"/>
    </row>
    <row r="21" spans="1:24" ht="21" customHeight="1" x14ac:dyDescent="0.25">
      <c r="A21" s="277"/>
      <c r="B21" s="273"/>
      <c r="C21" s="262"/>
      <c r="D21" s="262"/>
      <c r="E21" s="573" t="s">
        <v>25</v>
      </c>
      <c r="F21" s="572"/>
      <c r="G21" s="26" t="s">
        <v>26</v>
      </c>
      <c r="H21" s="26" t="str">
        <f>+DATOS!M34</f>
        <v/>
      </c>
      <c r="I21" s="282"/>
      <c r="J21" s="283"/>
      <c r="K21" s="2"/>
      <c r="L21" s="20"/>
      <c r="M21" s="2"/>
      <c r="N21" s="21"/>
      <c r="O21" s="22"/>
      <c r="P21" s="23"/>
      <c r="Q21" s="2"/>
      <c r="R21" s="23"/>
      <c r="S21" s="23"/>
      <c r="T21" s="27"/>
      <c r="U21" s="27"/>
      <c r="V21" s="27"/>
      <c r="W21" s="2"/>
      <c r="X21" s="2"/>
    </row>
    <row r="22" spans="1:24" ht="13.5" customHeight="1" x14ac:dyDescent="0.25">
      <c r="A22" s="284"/>
      <c r="B22" s="285"/>
      <c r="C22" s="285"/>
      <c r="D22" s="285"/>
      <c r="E22" s="285"/>
      <c r="F22" s="285"/>
      <c r="G22" s="285"/>
      <c r="H22" s="285"/>
      <c r="I22" s="286"/>
      <c r="J22" s="287"/>
      <c r="K22" s="2"/>
      <c r="L22" s="20"/>
      <c r="M22" s="2"/>
      <c r="N22" s="21"/>
      <c r="O22" s="22"/>
      <c r="P22" s="23"/>
      <c r="Q22" s="2"/>
      <c r="R22" s="23"/>
      <c r="S22" s="23"/>
      <c r="T22" s="27"/>
      <c r="U22" s="27"/>
      <c r="V22" s="27"/>
      <c r="W22" s="2"/>
      <c r="X22" s="2"/>
    </row>
    <row r="23" spans="1:24" ht="3.75" customHeight="1" x14ac:dyDescent="0.25">
      <c r="A23" s="28"/>
      <c r="B23" s="28"/>
      <c r="C23" s="29"/>
      <c r="D23" s="29"/>
      <c r="E23" s="29"/>
      <c r="F23" s="30"/>
      <c r="G23" s="31"/>
      <c r="H23" s="2"/>
      <c r="I23" s="27"/>
      <c r="J23" s="2"/>
      <c r="K23" s="2"/>
      <c r="L23" s="20"/>
      <c r="M23" s="2"/>
      <c r="N23" s="21"/>
      <c r="O23" s="22"/>
      <c r="P23" s="23"/>
      <c r="Q23" s="2"/>
      <c r="R23" s="23"/>
      <c r="S23" s="23"/>
      <c r="T23" s="27"/>
      <c r="U23" s="27"/>
      <c r="V23" s="27"/>
      <c r="W23" s="2"/>
      <c r="X23" s="2"/>
    </row>
    <row r="24" spans="1:24" ht="15" customHeight="1" x14ac:dyDescent="0.25">
      <c r="A24" s="28" t="s">
        <v>27</v>
      </c>
      <c r="B24" s="28"/>
      <c r="C24" s="29"/>
      <c r="D24" s="29"/>
      <c r="E24" s="29"/>
      <c r="F24" s="2"/>
      <c r="G24" s="2"/>
      <c r="H24" s="2"/>
      <c r="I24" s="27"/>
      <c r="J24" s="2"/>
      <c r="K24" s="2"/>
      <c r="L24" s="20"/>
      <c r="M24" s="2"/>
      <c r="N24" s="21"/>
      <c r="O24" s="22"/>
      <c r="P24" s="23"/>
      <c r="Q24" s="2"/>
      <c r="R24" s="23"/>
      <c r="S24" s="23"/>
      <c r="T24" s="27"/>
      <c r="U24" s="27"/>
      <c r="V24" s="27"/>
      <c r="W24" s="2"/>
      <c r="X24" s="2"/>
    </row>
    <row r="25" spans="1:24" ht="19.5" customHeight="1" x14ac:dyDescent="0.25">
      <c r="A25" s="32" t="s">
        <v>28</v>
      </c>
      <c r="B25" s="32"/>
      <c r="C25" s="29"/>
      <c r="D25" s="29"/>
      <c r="E25" s="29"/>
      <c r="F25" s="2"/>
      <c r="G25" s="33">
        <f>+DATOS!H16</f>
        <v>0</v>
      </c>
      <c r="H25" s="2"/>
      <c r="I25" s="27"/>
      <c r="J25" s="2"/>
      <c r="K25" s="2"/>
      <c r="L25" s="20"/>
      <c r="M25" s="2"/>
      <c r="N25" s="21"/>
      <c r="O25" s="22"/>
      <c r="P25" s="23"/>
      <c r="Q25" s="2"/>
      <c r="R25" s="23"/>
      <c r="S25" s="23"/>
      <c r="T25" s="27"/>
      <c r="U25" s="27"/>
      <c r="V25" s="27"/>
      <c r="W25" s="2"/>
      <c r="X25" s="2"/>
    </row>
    <row r="26" spans="1:24" ht="19.5" customHeight="1" x14ac:dyDescent="0.25">
      <c r="A26" s="32" t="s">
        <v>29</v>
      </c>
      <c r="B26" s="32"/>
      <c r="C26" s="29"/>
      <c r="D26" s="29"/>
      <c r="E26" s="29"/>
      <c r="F26" s="2"/>
      <c r="G26" s="34" t="str">
        <f>+DATOS!H12</f>
        <v>-</v>
      </c>
      <c r="H26" s="35"/>
      <c r="I26" s="27"/>
      <c r="J26" s="2"/>
      <c r="K26" s="2"/>
      <c r="L26" s="20"/>
      <c r="M26" s="2"/>
      <c r="N26" s="21"/>
      <c r="O26" s="22"/>
      <c r="P26" s="23"/>
      <c r="Q26" s="2"/>
      <c r="R26" s="23"/>
      <c r="S26" s="23"/>
      <c r="T26" s="27"/>
      <c r="U26" s="27"/>
      <c r="V26" s="27"/>
      <c r="W26" s="2"/>
      <c r="X26" s="2"/>
    </row>
    <row r="27" spans="1:24" ht="9" customHeight="1" x14ac:dyDescent="0.25">
      <c r="A27" s="32"/>
      <c r="B27" s="32"/>
      <c r="C27" s="29"/>
      <c r="D27" s="29"/>
      <c r="E27" s="29"/>
      <c r="F27" s="2"/>
      <c r="G27" s="2"/>
      <c r="H27" s="2"/>
      <c r="I27" s="27"/>
      <c r="J27" s="2"/>
      <c r="K27" s="2"/>
      <c r="L27" s="20"/>
      <c r="M27" s="2"/>
      <c r="N27" s="21"/>
      <c r="O27" s="22"/>
      <c r="P27" s="23"/>
      <c r="Q27" s="2"/>
      <c r="R27" s="23"/>
      <c r="S27" s="23"/>
      <c r="T27" s="27"/>
      <c r="U27" s="27"/>
      <c r="V27" s="27"/>
      <c r="W27" s="2"/>
      <c r="X27" s="2"/>
    </row>
    <row r="28" spans="1:24" ht="15.75" customHeight="1" x14ac:dyDescent="0.25">
      <c r="A28" s="36" t="s">
        <v>30</v>
      </c>
      <c r="B28" s="37"/>
      <c r="C28" s="2"/>
      <c r="D28" s="2"/>
      <c r="E28" s="2"/>
      <c r="F28" s="2"/>
      <c r="G28" s="2"/>
      <c r="H28" s="2"/>
      <c r="I28" s="27"/>
      <c r="J28" s="2"/>
      <c r="K28" s="2"/>
      <c r="L28" s="20"/>
      <c r="M28" s="2"/>
      <c r="N28" s="21"/>
      <c r="O28" s="22"/>
      <c r="P28" s="23"/>
      <c r="Q28" s="2"/>
      <c r="R28" s="23"/>
      <c r="S28" s="23"/>
      <c r="T28" s="27"/>
      <c r="U28" s="27"/>
      <c r="V28" s="27"/>
      <c r="W28" s="2"/>
      <c r="X28" s="2"/>
    </row>
    <row r="29" spans="1:24" ht="15.75" customHeight="1" x14ac:dyDescent="0.25">
      <c r="A29" s="504" t="s">
        <v>227</v>
      </c>
      <c r="B29" s="504"/>
      <c r="C29" s="504"/>
      <c r="D29" s="505"/>
      <c r="E29" s="505"/>
      <c r="F29" s="506"/>
      <c r="G29" s="507"/>
      <c r="H29" s="507"/>
      <c r="I29" s="507"/>
      <c r="J29" s="507"/>
      <c r="K29" s="39"/>
      <c r="L29" s="25"/>
      <c r="M29" s="2"/>
      <c r="N29" s="21"/>
      <c r="O29" s="22"/>
      <c r="P29" s="23"/>
      <c r="Q29" s="2"/>
      <c r="R29" s="23"/>
      <c r="S29" s="23"/>
      <c r="T29" s="27"/>
      <c r="U29" s="27"/>
      <c r="V29" s="27"/>
      <c r="W29" s="2"/>
      <c r="X29" s="2"/>
    </row>
    <row r="30" spans="1:24" ht="36" customHeight="1" x14ac:dyDescent="0.25">
      <c r="A30" s="561" t="s">
        <v>228</v>
      </c>
      <c r="B30" s="561"/>
      <c r="C30" s="561"/>
      <c r="D30" s="561"/>
      <c r="E30" s="561"/>
      <c r="F30" s="561"/>
      <c r="G30" s="561"/>
      <c r="H30" s="561"/>
      <c r="I30" s="561"/>
      <c r="J30" s="561"/>
      <c r="K30" s="2"/>
      <c r="L30" s="25"/>
      <c r="M30" s="2"/>
      <c r="N30" s="21"/>
      <c r="O30" s="22"/>
      <c r="P30" s="23"/>
      <c r="Q30" s="2"/>
      <c r="R30" s="23"/>
      <c r="S30" s="23"/>
      <c r="T30" s="27"/>
      <c r="U30" s="27"/>
      <c r="V30" s="27"/>
      <c r="W30" s="2"/>
      <c r="X30" s="2"/>
    </row>
    <row r="31" spans="1:24" ht="15" customHeight="1" x14ac:dyDescent="0.25">
      <c r="A31" s="561" t="s">
        <v>229</v>
      </c>
      <c r="B31" s="561"/>
      <c r="C31" s="561"/>
      <c r="D31" s="561"/>
      <c r="E31" s="561"/>
      <c r="F31" s="561"/>
      <c r="G31" s="561"/>
      <c r="H31" s="561"/>
      <c r="I31" s="561"/>
      <c r="J31" s="561"/>
      <c r="K31" s="40"/>
      <c r="L31" s="25"/>
      <c r="M31" s="2"/>
      <c r="N31" s="21"/>
      <c r="O31" s="22"/>
      <c r="P31" s="23"/>
      <c r="Q31" s="2"/>
      <c r="R31" s="23"/>
      <c r="S31" s="23"/>
      <c r="T31" s="27"/>
      <c r="U31" s="27"/>
      <c r="V31" s="27"/>
      <c r="W31" s="2"/>
      <c r="X31" s="2"/>
    </row>
    <row r="32" spans="1:24" ht="27" customHeight="1" x14ac:dyDescent="0.25">
      <c r="A32" s="561" t="s">
        <v>230</v>
      </c>
      <c r="B32" s="561"/>
      <c r="C32" s="561"/>
      <c r="D32" s="561"/>
      <c r="E32" s="561"/>
      <c r="F32" s="561"/>
      <c r="G32" s="561"/>
      <c r="H32" s="561"/>
      <c r="I32" s="561"/>
      <c r="J32" s="561"/>
      <c r="K32" s="2"/>
      <c r="L32" s="25"/>
      <c r="M32" s="2"/>
      <c r="N32" s="21"/>
      <c r="O32" s="22"/>
      <c r="P32" s="23"/>
      <c r="Q32" s="2"/>
      <c r="R32" s="23"/>
      <c r="S32" s="23"/>
      <c r="T32" s="23"/>
      <c r="U32" s="23"/>
      <c r="V32" s="23"/>
      <c r="W32" s="2"/>
      <c r="X32" s="2"/>
    </row>
    <row r="33" spans="1:24" ht="23.45" customHeight="1" x14ac:dyDescent="0.25">
      <c r="A33" s="562" t="s">
        <v>231</v>
      </c>
      <c r="B33" s="562"/>
      <c r="C33" s="562"/>
      <c r="D33" s="562"/>
      <c r="E33" s="562"/>
      <c r="F33" s="562"/>
      <c r="G33" s="562"/>
      <c r="H33" s="562"/>
      <c r="I33" s="562"/>
      <c r="J33" s="562"/>
      <c r="K33" s="338"/>
      <c r="L33" s="338"/>
      <c r="M33" s="338"/>
      <c r="N33" s="338"/>
      <c r="O33" s="22"/>
      <c r="P33" s="23"/>
      <c r="Q33" s="2"/>
      <c r="R33" s="23"/>
      <c r="S33" s="23"/>
      <c r="T33" s="23"/>
      <c r="U33" s="23"/>
      <c r="V33" s="23"/>
      <c r="W33" s="2"/>
      <c r="X33" s="2"/>
    </row>
    <row r="34" spans="1:24" ht="6.75" customHeight="1" x14ac:dyDescent="0.25">
      <c r="A34" s="36"/>
      <c r="B34" s="36"/>
      <c r="C34" s="38"/>
      <c r="D34" s="38"/>
      <c r="E34" s="38"/>
      <c r="F34" s="2"/>
      <c r="G34" s="2"/>
      <c r="H34" s="2"/>
      <c r="I34" s="2"/>
      <c r="J34" s="2"/>
      <c r="K34" s="27"/>
      <c r="L34" s="25"/>
      <c r="M34" s="2"/>
      <c r="N34" s="21"/>
      <c r="O34" s="22"/>
      <c r="P34" s="23"/>
      <c r="Q34" s="2"/>
      <c r="R34" s="23"/>
      <c r="S34" s="23"/>
      <c r="T34" s="23"/>
      <c r="U34" s="23"/>
      <c r="V34" s="23"/>
      <c r="W34" s="2"/>
      <c r="X34" s="2"/>
    </row>
    <row r="35" spans="1:24" ht="15.75" customHeight="1" x14ac:dyDescent="0.25">
      <c r="A35" s="36" t="s">
        <v>31</v>
      </c>
      <c r="B35" s="36"/>
      <c r="C35" s="27"/>
      <c r="D35" s="27"/>
      <c r="E35" s="27"/>
      <c r="F35" s="27"/>
      <c r="G35" s="27"/>
      <c r="H35" s="27"/>
      <c r="I35" s="27"/>
      <c r="J35" s="27"/>
      <c r="K35" s="27"/>
      <c r="L35" s="25"/>
      <c r="M35" s="2"/>
      <c r="N35" s="21"/>
      <c r="O35" s="22"/>
      <c r="P35" s="23"/>
      <c r="Q35" s="2"/>
      <c r="R35" s="23"/>
      <c r="S35" s="23"/>
      <c r="T35" s="2"/>
      <c r="U35" s="2"/>
      <c r="V35" s="2"/>
      <c r="W35" s="2"/>
      <c r="X35" s="2"/>
    </row>
    <row r="36" spans="1:24" ht="16.5" customHeight="1" x14ac:dyDescent="0.25">
      <c r="A36" s="42"/>
      <c r="B36" s="43"/>
      <c r="C36" s="41"/>
      <c r="D36" s="41"/>
      <c r="E36" s="41"/>
      <c r="F36" s="41"/>
      <c r="G36" s="41"/>
      <c r="H36" s="41"/>
      <c r="I36" s="41"/>
      <c r="J36" s="41"/>
      <c r="K36" s="27"/>
      <c r="L36" s="25"/>
      <c r="M36" s="2"/>
      <c r="N36" s="21"/>
      <c r="O36" s="22"/>
      <c r="P36" s="23"/>
      <c r="Q36" s="2"/>
      <c r="R36" s="23"/>
      <c r="S36" s="23"/>
      <c r="T36" s="2"/>
      <c r="U36" s="2"/>
      <c r="V36" s="2"/>
      <c r="W36" s="2"/>
      <c r="X36" s="2"/>
    </row>
    <row r="37" spans="1:24" ht="15.75" customHeight="1" x14ac:dyDescent="0.25">
      <c r="A37" s="36"/>
      <c r="B37" s="36"/>
      <c r="C37" s="38"/>
      <c r="D37" s="38"/>
      <c r="E37" s="38"/>
      <c r="F37" s="38"/>
      <c r="G37" s="38"/>
      <c r="H37" s="38"/>
      <c r="I37" s="38"/>
      <c r="J37" s="38"/>
      <c r="K37" s="27"/>
      <c r="L37" s="25"/>
      <c r="M37" s="2"/>
      <c r="N37" s="21"/>
      <c r="O37" s="22"/>
      <c r="P37" s="23"/>
      <c r="Q37" s="2"/>
      <c r="R37" s="23"/>
      <c r="S37" s="23"/>
      <c r="T37" s="2"/>
      <c r="U37" s="2"/>
      <c r="V37" s="2"/>
      <c r="W37" s="2"/>
      <c r="X37" s="2"/>
    </row>
    <row r="38" spans="1:24" ht="28.9" customHeight="1" x14ac:dyDescent="0.25">
      <c r="A38" s="36"/>
      <c r="B38" s="36"/>
      <c r="C38" s="38"/>
      <c r="D38" s="38"/>
      <c r="E38" s="38"/>
      <c r="F38" s="38"/>
      <c r="G38" s="38"/>
      <c r="H38" s="38"/>
      <c r="I38" s="38"/>
      <c r="J38" s="38"/>
      <c r="K38" s="27"/>
      <c r="L38" s="25"/>
      <c r="M38" s="2"/>
      <c r="N38" s="21"/>
      <c r="O38" s="22"/>
      <c r="P38" s="23"/>
      <c r="Q38" s="2"/>
      <c r="R38" s="23"/>
      <c r="S38" s="23"/>
      <c r="T38" s="2"/>
      <c r="U38" s="2"/>
      <c r="V38" s="2"/>
      <c r="W38" s="2"/>
      <c r="X38" s="2"/>
    </row>
    <row r="39" spans="1:24" ht="15.75" customHeight="1" x14ac:dyDescent="0.25">
      <c r="A39" s="36"/>
      <c r="B39" s="36"/>
      <c r="C39" s="38"/>
      <c r="D39" s="38"/>
      <c r="E39" s="38"/>
      <c r="F39" s="38"/>
      <c r="G39" s="38"/>
      <c r="H39" s="38"/>
      <c r="I39" s="38"/>
      <c r="J39" s="38"/>
      <c r="K39" s="27"/>
      <c r="L39" s="25"/>
      <c r="M39" s="2"/>
      <c r="N39" s="21"/>
      <c r="O39" s="22"/>
      <c r="P39" s="23"/>
      <c r="Q39" s="2"/>
      <c r="R39" s="23"/>
      <c r="S39" s="23"/>
      <c r="T39" s="2"/>
      <c r="U39" s="2"/>
      <c r="V39" s="2"/>
      <c r="W39" s="2"/>
      <c r="X39" s="2"/>
    </row>
    <row r="40" spans="1:24" ht="15.75" customHeight="1" x14ac:dyDescent="0.25">
      <c r="A40" s="36"/>
      <c r="B40" s="36"/>
      <c r="C40" s="38"/>
      <c r="D40" s="38"/>
      <c r="E40" s="38"/>
      <c r="F40" s="38"/>
      <c r="G40" s="38"/>
      <c r="H40" s="38"/>
      <c r="I40" s="38"/>
      <c r="J40" s="38"/>
      <c r="K40" s="27"/>
      <c r="L40" s="25"/>
      <c r="M40" s="2"/>
      <c r="N40" s="21"/>
      <c r="O40" s="22"/>
      <c r="P40" s="23"/>
      <c r="Q40" s="2"/>
      <c r="R40" s="23"/>
      <c r="S40" s="23"/>
      <c r="T40" s="2"/>
      <c r="U40" s="2"/>
      <c r="V40" s="2"/>
      <c r="W40" s="2"/>
      <c r="X40" s="2"/>
    </row>
    <row r="41" spans="1:24" ht="15.75" customHeight="1" x14ac:dyDescent="0.25">
      <c r="A41" s="36"/>
      <c r="B41" s="36"/>
      <c r="C41" s="38"/>
      <c r="D41" s="38"/>
      <c r="E41" s="38"/>
      <c r="F41" s="38"/>
      <c r="G41" s="38"/>
      <c r="H41" s="38"/>
      <c r="I41" s="38"/>
      <c r="J41" s="38"/>
      <c r="K41" s="27"/>
      <c r="L41" s="25"/>
      <c r="M41" s="2"/>
      <c r="N41" s="21"/>
      <c r="O41" s="22"/>
      <c r="P41" s="23"/>
      <c r="Q41" s="2"/>
      <c r="R41" s="23"/>
      <c r="S41" s="23"/>
      <c r="T41" s="2"/>
      <c r="U41" s="2"/>
      <c r="V41" s="2"/>
      <c r="W41" s="2"/>
      <c r="X41" s="2"/>
    </row>
    <row r="42" spans="1:24" ht="15.75" customHeight="1" x14ac:dyDescent="0.25">
      <c r="A42" s="36"/>
      <c r="B42" s="36"/>
      <c r="C42" s="38"/>
      <c r="D42" s="38"/>
      <c r="E42" s="38"/>
      <c r="F42" s="2"/>
      <c r="G42" s="2"/>
      <c r="H42" s="2"/>
      <c r="I42" s="2"/>
      <c r="J42" s="2"/>
      <c r="K42" s="27"/>
      <c r="L42" s="25"/>
      <c r="M42" s="2"/>
      <c r="N42" s="21"/>
      <c r="O42" s="22"/>
      <c r="P42" s="23"/>
      <c r="Q42" s="2"/>
      <c r="R42" s="23"/>
      <c r="S42" s="23"/>
      <c r="T42" s="2"/>
      <c r="U42" s="2"/>
      <c r="V42" s="2"/>
      <c r="W42" s="2"/>
      <c r="X42" s="2"/>
    </row>
    <row r="43" spans="1:24" ht="15.75" customHeight="1" x14ac:dyDescent="0.25">
      <c r="A43" s="6" t="s">
        <v>32</v>
      </c>
      <c r="B43" s="6"/>
      <c r="C43" s="2"/>
      <c r="D43" s="2"/>
      <c r="E43" s="2"/>
      <c r="F43" s="2"/>
      <c r="G43" s="2"/>
      <c r="H43" s="2"/>
      <c r="I43" s="2"/>
      <c r="J43" s="2"/>
      <c r="K43" s="23"/>
      <c r="L43" s="25"/>
      <c r="M43" s="2"/>
      <c r="N43" s="25"/>
      <c r="O43" s="23"/>
      <c r="P43" s="23"/>
      <c r="Q43" s="2"/>
      <c r="R43" s="23"/>
      <c r="S43" s="25"/>
      <c r="T43" s="2"/>
      <c r="U43" s="2"/>
      <c r="V43" s="2"/>
      <c r="W43" s="2"/>
      <c r="X43" s="2"/>
    </row>
    <row r="44" spans="1:24" ht="15.75" customHeight="1" x14ac:dyDescent="0.25">
      <c r="A44" s="6" t="s">
        <v>232</v>
      </c>
      <c r="B44" s="6"/>
      <c r="C44" s="2"/>
      <c r="D44" s="2"/>
      <c r="E44" s="2"/>
      <c r="F44" s="2"/>
      <c r="G44" s="2"/>
      <c r="H44" s="2"/>
      <c r="I44" s="2"/>
      <c r="J44" s="44" t="s">
        <v>33</v>
      </c>
      <c r="K44" s="2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3.5" customHeight="1" x14ac:dyDescent="0.2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9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30.75" customHeight="1" x14ac:dyDescent="0.25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3.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13.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3.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3.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3.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3.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3.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3.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3.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3.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3.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3.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3.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3.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3.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3.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3.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3.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3.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3.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3.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3.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3.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3.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3.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3.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3.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3.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3.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3.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3.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3.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3.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3.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3.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3.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3.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3.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3.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3.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3.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3.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3.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3.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3.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3.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3.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3.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3.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3.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3.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3.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3.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3.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3.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3.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3.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3.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3.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3.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3.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3.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3.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3.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3.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3.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3.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3.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3.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3.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3.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3.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3.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3.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3.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3.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3.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3.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3.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3.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3.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3.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3.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3.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3.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3.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3.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3.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3.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3.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3.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3.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3.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3.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3.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3.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3.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3.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3.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3.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3.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3.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3.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3.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3.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3.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3.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3.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3.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3.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3.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3.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3.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3.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3.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3.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3.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3.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3.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3.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3.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3.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3.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3.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3.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3.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3.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3.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3.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3.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3.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3.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3.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3.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3.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3.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3.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3.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3.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3.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3.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3.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3.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3.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3.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3.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3.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3.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3.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3.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3.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3.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3.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3.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3.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3.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3.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3.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3.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3.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3.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3.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3.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3.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3.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3.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3.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3.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3.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3.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3.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3.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3.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3.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3.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3.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13.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13.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13.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13.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13.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3.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13.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3.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3.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3.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3.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3.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3.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13.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13.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13.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13.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13.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13.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13.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13.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13.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13.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13.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13.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13.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13.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13.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13.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13.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13.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3.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13.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3.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13.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13.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3.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13.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13.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3.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13.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3.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13.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3.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13.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13.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13.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3.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13.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3.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3.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3.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3.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13.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3.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13.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13.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13.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3.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3.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13.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3.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3.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13.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3.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3.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13.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13.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13.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13.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13.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13.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3.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3.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3.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3.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3.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13.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3.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3.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3.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13.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3.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3.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3.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3.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3.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13.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3.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13.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3.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13.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13.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13.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13.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13.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13.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13.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13.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3.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13.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13.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13.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13.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13.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3.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13.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3.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13.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13.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13.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13.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13.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13.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13.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13.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13.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3.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13.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13.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13.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13.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13.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13.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13.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13.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3.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13.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13.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3.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13.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3.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13.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3.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13.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13.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13.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13.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13.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13.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13.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13.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3.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13.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13.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3.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13.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3.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13.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13.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13.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13.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13.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13.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13.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13.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13.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3.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13.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13.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13.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13.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13.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13.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13.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13.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13.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13.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13.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13.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3.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13.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13.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3.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13.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3.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13.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3.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13.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13.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13.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13.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13.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13.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13.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13.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3.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13.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13.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13.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13.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13.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13.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13.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13.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13.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3.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13.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3.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13.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13.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13.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13.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13.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13.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13.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13.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13.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3.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13.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13.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13.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13.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13.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3.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13.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13.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3.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13.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3.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13.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3.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13.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13.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13.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13.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13.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13.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13.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13.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3.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13.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13.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13.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13.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3.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13.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13.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13.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13.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13.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13.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13.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13.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13.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13.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13.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13.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13.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13.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13.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13.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13.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13.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13.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13.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13.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13.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13.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13.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13.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13.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13.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13.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3.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13.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13.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13.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13.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13.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13.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13.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13.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13.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13.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13.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13.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13.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13.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13.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13.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13.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13.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13.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13.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13.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13.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3.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3.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3.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3.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3.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3.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3.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13.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3.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3.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3.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3.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3.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3.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3.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13.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13.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3.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13.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3.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13.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3.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13.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13.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13.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13.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13.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13.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13.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13.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3.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13.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13.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13.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3.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13.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3.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13.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13.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13.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13.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13.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13.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13.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13.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13.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3.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13.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3.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13.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13.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13.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13.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13.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13.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13.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13.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3.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13.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13.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3.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13.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3.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13.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3.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13.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13.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13.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13.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13.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13.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13.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13.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3.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3.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13.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3.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13.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13.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13.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13.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13.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3.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13.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13.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13.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3.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13.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3.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13.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13.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13.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13.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13.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3.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13.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13.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13.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3.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13.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13.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13.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13.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3.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3.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3.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3.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3.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3.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3.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3.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3.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3.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3.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3.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3.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3.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3.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13.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3.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3.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3.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3.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3.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3.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3.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3.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3.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3.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3.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3.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3.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3.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3.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3.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3.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3.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3.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3.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3.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3.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3.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3.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3.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3.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3.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3.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3.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3.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3.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3.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3.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3.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13.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3.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3.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3.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3.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3.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3.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3.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3.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3.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3.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3.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3.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3.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3.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3.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3.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3.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3.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3.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3.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3.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3.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3.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3.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3.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3.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3.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3.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3.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3.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3.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3.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3.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3.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3.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3.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3.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3.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3.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3.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3.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3.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3.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3.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3.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3.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3.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3.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3.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3.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3.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3.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3.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3.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3.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3.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3.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3.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3.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3.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3.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3.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3.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3.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3.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3.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3.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3.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3.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3.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3.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3.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3.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3.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3.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3.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3.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3.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3.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3.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3.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3.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3.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3.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3.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3.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3.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3.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3.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3.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3.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3.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3.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3.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3.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3.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3.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3.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3.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3.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3.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3.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3.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13.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3.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3.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3.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3.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3.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3.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3.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3.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3.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3.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3.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3.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3.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3.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3.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3.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3.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3.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3.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3.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3.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3.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3.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3.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3.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3.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3.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3.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3.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3.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3.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3.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3.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3.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3.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3.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3.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3.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3.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3.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3.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3.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3.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3.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3.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3.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3.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3.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3.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13.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3.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3.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3.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3.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3.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3.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3.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3.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3.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3.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3.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13.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3.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3.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3.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3.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3.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3.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3.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3.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3.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3.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3.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3.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3.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3.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3.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3.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3.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3.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3.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3.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3.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3.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3.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3.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3.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3.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3.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3.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3.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3.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3.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3.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3.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3.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3.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3.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3.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3.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13.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13.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13.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13.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13.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3.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13.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3.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3.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13.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3.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13.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3.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13.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13.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13.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13.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13.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13.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13.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13.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3.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13.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13.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13.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13.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13.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13.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13.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13.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13.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13.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3.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13.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3.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3.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13.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3.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3.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3.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3.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3.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13.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13.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3.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3.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13.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3.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3.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3.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3.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3.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3.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3.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3.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3.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3.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13.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13.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3.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13.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13.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13.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3.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13.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13.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13.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13.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13.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13.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13.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13.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13.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13.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13.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13.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3.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13.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3.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13.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13.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13.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13.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13.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13.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13.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13.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13.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3.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13.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13.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3.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13.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3.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13.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3.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13.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13.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13.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13.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13.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13.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13.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13.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13.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13.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ht="13.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ht="13.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ht="13.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ht="13.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ht="13.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ht="13.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ht="13.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ht="13.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ht="13.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ht="13.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13.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13.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13.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ht="13.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ht="13.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ht="13.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ht="13.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ht="13.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ht="13.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</sheetData>
  <sheetProtection algorithmName="SHA-512" hashValue="Frfnxq9nwP2hoskuFaSWNjBfkMtWS05EVsGo+EZ6s1Qjo4nDCr0hsQQfgFPLODY5fQWjrfN5YLGQNaAY5kINNw==" saltValue="oeazzZczi8yssDJ0TgR3ZA==" spinCount="100000" sheet="1" objects="1" scenarios="1"/>
  <mergeCells count="17">
    <mergeCell ref="M7:N7"/>
    <mergeCell ref="A10:J10"/>
    <mergeCell ref="E19:F19"/>
    <mergeCell ref="E20:F20"/>
    <mergeCell ref="E21:F21"/>
    <mergeCell ref="A11:J11"/>
    <mergeCell ref="E18:F18"/>
    <mergeCell ref="C7:G7"/>
    <mergeCell ref="C8:G8"/>
    <mergeCell ref="A32:J32"/>
    <mergeCell ref="A33:J33"/>
    <mergeCell ref="A2:J2"/>
    <mergeCell ref="A3:J3"/>
    <mergeCell ref="A31:J31"/>
    <mergeCell ref="C5:G5"/>
    <mergeCell ref="C6:G6"/>
    <mergeCell ref="A30:J30"/>
  </mergeCells>
  <printOptions horizontalCentered="1"/>
  <pageMargins left="0" right="0" top="1.5748031496062993" bottom="0" header="0" footer="0"/>
  <pageSetup paperSize="274" scale="95" orientation="portrait" r:id="rId1"/>
  <headerFooter scaleWithDoc="0">
    <oddHeader xml:space="preserve">&amp;C&amp;G
</oddHead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98"/>
  <sheetViews>
    <sheetView showGridLines="0" tabSelected="1" workbookViewId="0">
      <selection activeCell="J7" sqref="J7"/>
    </sheetView>
  </sheetViews>
  <sheetFormatPr baseColWidth="10" defaultColWidth="12.5703125" defaultRowHeight="15" customHeight="1" x14ac:dyDescent="0.2"/>
  <cols>
    <col min="1" max="1" width="5.140625" style="126" customWidth="1"/>
    <col min="2" max="2" width="14.5703125" style="126" customWidth="1"/>
    <col min="3" max="3" width="14.85546875" style="126" customWidth="1"/>
    <col min="4" max="4" width="3.7109375" style="126" customWidth="1"/>
    <col min="5" max="11" width="14" style="126" customWidth="1"/>
    <col min="12" max="12" width="16.42578125" style="126" customWidth="1"/>
    <col min="13" max="18" width="12.7109375" style="126" customWidth="1"/>
    <col min="19" max="19" width="13.42578125" style="126" customWidth="1"/>
    <col min="20" max="20" width="15.140625" style="126" customWidth="1"/>
    <col min="21" max="23" width="7.42578125" style="126" customWidth="1"/>
    <col min="24" max="24" width="10.42578125" style="126" customWidth="1"/>
    <col min="25" max="27" width="5.5703125" style="126" customWidth="1"/>
    <col min="28" max="16384" width="12.5703125" style="126"/>
  </cols>
  <sheetData>
    <row r="1" spans="1:27" ht="7.5" customHeight="1" thickBot="1" x14ac:dyDescent="0.3">
      <c r="A1" s="181"/>
      <c r="B1" s="181"/>
      <c r="C1" s="181"/>
      <c r="D1" s="182"/>
      <c r="E1" s="182"/>
      <c r="F1" s="182"/>
      <c r="G1" s="182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25"/>
      <c r="T1" s="125"/>
      <c r="U1" s="125"/>
      <c r="V1" s="125"/>
      <c r="W1" s="125"/>
      <c r="X1" s="125"/>
      <c r="Y1" s="125"/>
      <c r="Z1" s="125"/>
      <c r="AA1" s="125"/>
    </row>
    <row r="2" spans="1:27" ht="15.75" customHeight="1" x14ac:dyDescent="0.25">
      <c r="A2" s="601" t="s">
        <v>167</v>
      </c>
      <c r="B2" s="602"/>
      <c r="C2" s="602"/>
      <c r="D2" s="602"/>
      <c r="E2" s="602"/>
      <c r="F2" s="602"/>
      <c r="G2" s="602"/>
      <c r="H2" s="602"/>
      <c r="I2" s="602"/>
      <c r="J2" s="602"/>
      <c r="K2" s="602"/>
      <c r="L2" s="602"/>
      <c r="M2" s="602"/>
      <c r="N2" s="602"/>
      <c r="O2" s="602"/>
      <c r="P2" s="602"/>
      <c r="Q2" s="602"/>
      <c r="R2" s="603"/>
      <c r="S2" s="125"/>
      <c r="T2" s="125"/>
      <c r="U2" s="125"/>
      <c r="V2" s="125"/>
      <c r="W2" s="125"/>
      <c r="X2" s="125"/>
      <c r="Y2" s="125"/>
      <c r="Z2" s="125"/>
      <c r="AA2" s="125"/>
    </row>
    <row r="3" spans="1:27" ht="12" customHeight="1" thickBot="1" x14ac:dyDescent="0.3">
      <c r="A3" s="604" t="s">
        <v>9</v>
      </c>
      <c r="B3" s="605"/>
      <c r="C3" s="605"/>
      <c r="D3" s="605"/>
      <c r="E3" s="605"/>
      <c r="F3" s="605"/>
      <c r="G3" s="605"/>
      <c r="H3" s="605"/>
      <c r="I3" s="605"/>
      <c r="J3" s="605"/>
      <c r="K3" s="605"/>
      <c r="L3" s="605"/>
      <c r="M3" s="605"/>
      <c r="N3" s="605"/>
      <c r="O3" s="605"/>
      <c r="P3" s="605"/>
      <c r="Q3" s="605"/>
      <c r="R3" s="606"/>
      <c r="S3" s="125"/>
      <c r="T3" s="125"/>
      <c r="U3" s="125"/>
      <c r="V3" s="125"/>
      <c r="W3" s="125"/>
      <c r="X3" s="125"/>
      <c r="Y3" s="125"/>
      <c r="Z3" s="125"/>
      <c r="AA3" s="125"/>
    </row>
    <row r="4" spans="1:27" ht="3.75" customHeight="1" x14ac:dyDescent="0.25">
      <c r="A4" s="202"/>
      <c r="B4" s="203"/>
      <c r="C4" s="203"/>
      <c r="D4" s="204"/>
      <c r="E4" s="204"/>
      <c r="F4" s="204"/>
      <c r="G4" s="204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6"/>
      <c r="S4" s="125"/>
      <c r="T4" s="125"/>
      <c r="U4" s="125"/>
      <c r="V4" s="125"/>
      <c r="W4" s="125"/>
      <c r="X4" s="125"/>
      <c r="Y4" s="125"/>
      <c r="Z4" s="125"/>
      <c r="AA4" s="125"/>
    </row>
    <row r="5" spans="1:27" ht="15.75" customHeight="1" x14ac:dyDescent="0.25">
      <c r="A5" s="207" t="s">
        <v>35</v>
      </c>
      <c r="B5" s="184"/>
      <c r="C5" s="184"/>
      <c r="D5" s="184"/>
      <c r="E5" s="184"/>
      <c r="F5" s="184"/>
      <c r="G5" s="184"/>
      <c r="H5" s="179"/>
      <c r="I5" s="179"/>
      <c r="J5" s="179"/>
      <c r="K5" s="179"/>
      <c r="L5" s="179"/>
      <c r="M5" s="185"/>
      <c r="N5" s="186"/>
      <c r="O5" s="186"/>
      <c r="P5" s="186"/>
      <c r="Q5" s="186"/>
      <c r="R5" s="208"/>
      <c r="S5" s="125"/>
      <c r="T5" s="128"/>
      <c r="U5" s="128"/>
      <c r="V5" s="125"/>
      <c r="W5" s="125"/>
      <c r="X5" s="125"/>
      <c r="Y5" s="125"/>
      <c r="Z5" s="125"/>
      <c r="AA5" s="125"/>
    </row>
    <row r="6" spans="1:27" ht="18" customHeight="1" x14ac:dyDescent="0.25">
      <c r="A6" s="207" t="s">
        <v>36</v>
      </c>
      <c r="B6" s="184"/>
      <c r="C6" s="187">
        <f>+balanza!C10</f>
        <v>1</v>
      </c>
      <c r="D6" s="184" t="s">
        <v>23</v>
      </c>
      <c r="E6" s="184"/>
      <c r="F6" s="184"/>
      <c r="G6" s="184"/>
      <c r="H6" s="188"/>
      <c r="I6" s="188"/>
      <c r="J6" s="188"/>
      <c r="K6" s="188"/>
      <c r="L6" s="188"/>
      <c r="M6" s="188"/>
      <c r="N6" s="186"/>
      <c r="O6" s="186"/>
      <c r="P6" s="186"/>
      <c r="Q6" s="186"/>
      <c r="R6" s="209"/>
      <c r="S6" s="125"/>
      <c r="T6" s="125"/>
      <c r="U6" s="125"/>
      <c r="V6" s="125"/>
      <c r="W6" s="125"/>
      <c r="X6" s="125"/>
      <c r="Y6" s="125"/>
      <c r="Z6" s="125"/>
      <c r="AA6" s="125"/>
    </row>
    <row r="7" spans="1:27" ht="18" customHeight="1" x14ac:dyDescent="0.25">
      <c r="A7" s="207" t="s">
        <v>37</v>
      </c>
      <c r="B7" s="184"/>
      <c r="C7" s="356">
        <f>+balanza!C7</f>
        <v>-1.4899999999999999E-6</v>
      </c>
      <c r="D7" s="184"/>
      <c r="E7" s="184"/>
      <c r="F7" s="184"/>
      <c r="G7" s="184"/>
      <c r="H7" s="190"/>
      <c r="I7" s="190"/>
      <c r="J7" s="190"/>
      <c r="K7" s="190"/>
      <c r="L7" s="190"/>
      <c r="M7" s="190"/>
      <c r="N7" s="186"/>
      <c r="O7" s="186"/>
      <c r="P7" s="186"/>
      <c r="Q7" s="186"/>
      <c r="R7" s="209"/>
      <c r="S7" s="125"/>
      <c r="T7" s="125"/>
      <c r="U7" s="125"/>
      <c r="V7" s="125"/>
      <c r="W7" s="125"/>
      <c r="X7" s="125"/>
      <c r="Y7" s="125"/>
      <c r="Z7" s="125"/>
      <c r="AA7" s="125"/>
    </row>
    <row r="8" spans="1:27" ht="13.5" customHeight="1" x14ac:dyDescent="0.25">
      <c r="A8" s="207" t="s">
        <v>38</v>
      </c>
      <c r="B8" s="184"/>
      <c r="C8" s="189" t="str">
        <f>+balanza!C11</f>
        <v>EQP-0054</v>
      </c>
      <c r="D8" s="184"/>
      <c r="E8" s="184"/>
      <c r="F8" s="184"/>
      <c r="G8" s="184"/>
      <c r="H8" s="191"/>
      <c r="I8" s="191"/>
      <c r="J8" s="192"/>
      <c r="K8" s="192"/>
      <c r="L8" s="192"/>
      <c r="M8" s="185"/>
      <c r="N8" s="186"/>
      <c r="O8" s="186"/>
      <c r="P8" s="186"/>
      <c r="Q8" s="186"/>
      <c r="R8" s="209"/>
      <c r="S8" s="125"/>
      <c r="T8" s="125"/>
      <c r="U8" s="125"/>
      <c r="V8" s="125"/>
      <c r="W8" s="125"/>
      <c r="X8" s="125"/>
      <c r="Y8" s="125"/>
      <c r="Z8" s="125"/>
      <c r="AA8" s="125"/>
    </row>
    <row r="9" spans="1:27" ht="15.75" customHeight="1" x14ac:dyDescent="0.25">
      <c r="A9" s="207" t="s">
        <v>40</v>
      </c>
      <c r="B9" s="184"/>
      <c r="C9" s="193">
        <f>+balanza!D12</f>
        <v>46160</v>
      </c>
      <c r="D9" s="184"/>
      <c r="E9" s="194"/>
      <c r="F9" s="184"/>
      <c r="G9" s="184"/>
      <c r="H9" s="195"/>
      <c r="I9" s="195"/>
      <c r="J9" s="195"/>
      <c r="K9" s="195"/>
      <c r="L9" s="195"/>
      <c r="M9" s="195"/>
      <c r="N9" s="183"/>
      <c r="O9" s="186"/>
      <c r="P9" s="186"/>
      <c r="Q9" s="186"/>
      <c r="R9" s="209"/>
      <c r="S9" s="125"/>
      <c r="T9" s="125"/>
      <c r="U9" s="125"/>
      <c r="V9" s="125"/>
      <c r="W9" s="125"/>
      <c r="X9" s="125"/>
      <c r="Y9" s="125"/>
      <c r="Z9" s="125"/>
      <c r="AA9" s="125"/>
    </row>
    <row r="10" spans="1:27" ht="3.75" customHeight="1" x14ac:dyDescent="0.25">
      <c r="A10" s="210"/>
      <c r="B10" s="196"/>
      <c r="C10" s="197"/>
      <c r="D10" s="198"/>
      <c r="E10" s="198"/>
      <c r="F10" s="198"/>
      <c r="G10" s="198"/>
      <c r="H10" s="199"/>
      <c r="I10" s="199"/>
      <c r="J10" s="198"/>
      <c r="K10" s="198"/>
      <c r="L10" s="198"/>
      <c r="M10" s="200"/>
      <c r="N10" s="201"/>
      <c r="O10" s="186"/>
      <c r="P10" s="186"/>
      <c r="Q10" s="186"/>
      <c r="R10" s="209"/>
      <c r="S10" s="125"/>
      <c r="T10" s="125"/>
      <c r="U10" s="125"/>
      <c r="V10" s="125"/>
      <c r="W10" s="125"/>
      <c r="X10" s="125"/>
      <c r="Y10" s="125"/>
      <c r="Z10" s="125"/>
      <c r="AA10" s="125"/>
    </row>
    <row r="11" spans="1:27" ht="15.75" customHeight="1" x14ac:dyDescent="0.25">
      <c r="A11" s="211"/>
      <c r="B11" s="179"/>
      <c r="C11" s="179"/>
      <c r="D11" s="179"/>
      <c r="E11" s="179"/>
      <c r="F11" s="179"/>
      <c r="G11" s="179"/>
      <c r="H11" s="290" t="s">
        <v>159</v>
      </c>
      <c r="I11" s="290" t="s">
        <v>160</v>
      </c>
      <c r="J11" s="179"/>
      <c r="K11" s="179"/>
      <c r="L11" s="179"/>
      <c r="M11" s="598" t="s">
        <v>41</v>
      </c>
      <c r="N11" s="599"/>
      <c r="O11" s="599"/>
      <c r="P11" s="180"/>
      <c r="Q11" s="180"/>
      <c r="R11" s="212"/>
      <c r="S11" s="130"/>
      <c r="T11" s="130"/>
      <c r="U11" s="130"/>
      <c r="V11" s="130"/>
      <c r="W11" s="130"/>
      <c r="X11" s="130"/>
      <c r="Y11" s="125"/>
      <c r="Z11" s="125"/>
      <c r="AA11" s="125"/>
    </row>
    <row r="12" spans="1:27" ht="15.75" customHeight="1" x14ac:dyDescent="0.25">
      <c r="A12" s="211"/>
      <c r="B12" s="600" t="s">
        <v>19</v>
      </c>
      <c r="C12" s="588"/>
      <c r="D12" s="131" t="s">
        <v>20</v>
      </c>
      <c r="E12" s="132" t="s">
        <v>21</v>
      </c>
      <c r="F12" s="213"/>
      <c r="G12" s="133" t="s">
        <v>42</v>
      </c>
      <c r="H12" s="300" t="s">
        <v>15</v>
      </c>
      <c r="I12" s="133" t="s">
        <v>15</v>
      </c>
      <c r="J12" s="179"/>
      <c r="K12" s="179"/>
      <c r="L12" s="179"/>
      <c r="M12" s="179"/>
      <c r="N12" s="214"/>
      <c r="O12" s="214"/>
      <c r="P12" s="214"/>
      <c r="Q12" s="214"/>
      <c r="R12" s="212"/>
      <c r="S12" s="130"/>
      <c r="T12" s="130"/>
      <c r="U12" s="130"/>
      <c r="V12" s="130"/>
      <c r="W12" s="130"/>
      <c r="X12" s="130"/>
      <c r="Y12" s="125"/>
      <c r="Z12" s="125"/>
      <c r="AA12" s="125"/>
    </row>
    <row r="13" spans="1:27" ht="18.75" customHeight="1" x14ac:dyDescent="0.25">
      <c r="A13" s="211"/>
      <c r="B13" s="597" t="s">
        <v>44</v>
      </c>
      <c r="C13" s="588"/>
      <c r="D13" s="135" t="s">
        <v>23</v>
      </c>
      <c r="E13" s="175">
        <f>+FORMATO!E17</f>
        <v>0</v>
      </c>
      <c r="F13" s="213"/>
      <c r="G13" s="136" t="s">
        <v>150</v>
      </c>
      <c r="H13" s="174"/>
      <c r="I13" s="133" t="e">
        <f>+IF(H13=P34,"Cumple","No Cumple")</f>
        <v>#N/A</v>
      </c>
      <c r="K13" s="179"/>
      <c r="L13" s="179"/>
      <c r="M13" s="179"/>
      <c r="N13" s="214"/>
      <c r="O13" s="214"/>
      <c r="P13" s="214"/>
      <c r="Q13" s="214"/>
      <c r="R13" s="215"/>
      <c r="S13" s="130"/>
      <c r="T13" s="130"/>
      <c r="U13" s="130"/>
      <c r="V13" s="130"/>
      <c r="W13" s="130"/>
      <c r="X13" s="130"/>
      <c r="Y13" s="125"/>
      <c r="Z13" s="125"/>
      <c r="AA13" s="125"/>
    </row>
    <row r="14" spans="1:27" ht="18.75" customHeight="1" x14ac:dyDescent="0.25">
      <c r="A14" s="211"/>
      <c r="B14" s="597" t="s">
        <v>45</v>
      </c>
      <c r="C14" s="588"/>
      <c r="D14" s="135" t="s">
        <v>23</v>
      </c>
      <c r="E14" s="175">
        <f>+FORMATO!E18</f>
        <v>0</v>
      </c>
      <c r="F14" s="213"/>
      <c r="G14" s="136" t="s">
        <v>154</v>
      </c>
      <c r="H14" s="487">
        <f>+FORMATO!E41</f>
        <v>0</v>
      </c>
      <c r="I14" s="136" t="e">
        <f>IF(AND(O34=H12,H14&gt;Q34,H14&lt;R34),"Cumple","No Cumple")</f>
        <v>#N/A</v>
      </c>
      <c r="K14" s="179"/>
      <c r="L14" s="179"/>
      <c r="M14" s="179"/>
      <c r="N14" s="214"/>
      <c r="O14" s="214"/>
      <c r="P14" s="214"/>
      <c r="Q14" s="214"/>
      <c r="R14" s="215"/>
      <c r="S14" s="130"/>
      <c r="T14" s="130"/>
      <c r="U14" s="130"/>
      <c r="V14" s="130"/>
      <c r="W14" s="130"/>
      <c r="X14" s="130"/>
      <c r="Y14" s="125"/>
      <c r="Z14" s="125"/>
      <c r="AA14" s="125"/>
    </row>
    <row r="15" spans="1:27" ht="18.75" customHeight="1" x14ac:dyDescent="0.25">
      <c r="A15" s="211"/>
      <c r="B15" s="597" t="s">
        <v>47</v>
      </c>
      <c r="C15" s="588"/>
      <c r="D15" s="135" t="s">
        <v>23</v>
      </c>
      <c r="E15" s="175">
        <f>+FORMATO!E19</f>
        <v>0</v>
      </c>
      <c r="F15" s="213"/>
      <c r="G15" s="325" t="s">
        <v>46</v>
      </c>
      <c r="H15" s="326"/>
      <c r="I15" s="290">
        <f>+FORMATO!G11</f>
        <v>0</v>
      </c>
      <c r="J15" s="179"/>
      <c r="K15" s="179"/>
      <c r="L15" s="179"/>
      <c r="M15" s="179"/>
      <c r="N15" s="214"/>
      <c r="O15" s="214"/>
      <c r="P15" s="214"/>
      <c r="Q15" s="214"/>
      <c r="R15" s="215"/>
      <c r="S15" s="130"/>
      <c r="T15" s="130"/>
      <c r="U15" s="130"/>
      <c r="V15" s="130"/>
      <c r="W15" s="130"/>
      <c r="X15" s="130"/>
      <c r="Y15" s="125"/>
      <c r="Z15" s="125"/>
      <c r="AA15" s="125"/>
    </row>
    <row r="16" spans="1:27" ht="18.75" customHeight="1" x14ac:dyDescent="0.25">
      <c r="A16" s="211"/>
      <c r="B16" s="597" t="s">
        <v>48</v>
      </c>
      <c r="C16" s="588"/>
      <c r="D16" s="138"/>
      <c r="E16" s="138" t="e">
        <f>(E14-E15)/E15*100</f>
        <v>#DIV/0!</v>
      </c>
      <c r="F16" s="324" t="e">
        <f>IF(E16&lt;0.1,"cumple","no cumple")</f>
        <v>#DIV/0!</v>
      </c>
      <c r="G16" s="136" t="s">
        <v>168</v>
      </c>
      <c r="H16" s="327"/>
      <c r="I16" s="179"/>
      <c r="J16" s="179"/>
      <c r="K16" s="179"/>
      <c r="L16" s="179"/>
      <c r="M16" s="179"/>
      <c r="N16" s="214"/>
      <c r="O16" s="214"/>
      <c r="P16" s="214"/>
      <c r="Q16" s="214"/>
      <c r="R16" s="215"/>
      <c r="S16" s="130"/>
      <c r="T16" s="130"/>
      <c r="U16" s="130"/>
      <c r="V16" s="130"/>
      <c r="W16" s="130"/>
      <c r="X16" s="130"/>
      <c r="Y16" s="125"/>
      <c r="Z16" s="125"/>
      <c r="AA16" s="125"/>
    </row>
    <row r="17" spans="1:27" ht="15.75" customHeight="1" thickBot="1" x14ac:dyDescent="0.3">
      <c r="A17" s="211"/>
      <c r="B17" s="139"/>
      <c r="C17" s="139"/>
      <c r="D17" s="139"/>
      <c r="E17" s="139"/>
      <c r="F17" s="213"/>
      <c r="G17" s="213"/>
      <c r="H17" s="183"/>
      <c r="I17" s="179"/>
      <c r="J17" s="179"/>
      <c r="K17" s="179"/>
      <c r="L17" s="179"/>
      <c r="M17" s="179"/>
      <c r="N17" s="214"/>
      <c r="O17" s="214"/>
      <c r="P17" s="214"/>
      <c r="Q17" s="214"/>
      <c r="R17" s="215"/>
      <c r="S17" s="130"/>
      <c r="T17" s="130"/>
      <c r="U17" s="130"/>
      <c r="V17" s="130"/>
      <c r="W17" s="130"/>
      <c r="X17" s="130"/>
      <c r="Y17" s="125"/>
      <c r="Z17" s="125"/>
      <c r="AA17" s="125"/>
    </row>
    <row r="18" spans="1:27" ht="15.75" customHeight="1" x14ac:dyDescent="0.25">
      <c r="A18" s="216"/>
      <c r="B18" s="591" t="s">
        <v>49</v>
      </c>
      <c r="C18" s="586"/>
      <c r="D18" s="360"/>
      <c r="E18" s="592" t="s">
        <v>50</v>
      </c>
      <c r="F18" s="593"/>
      <c r="G18" s="593"/>
      <c r="H18" s="593"/>
      <c r="I18" s="593"/>
      <c r="J18" s="593"/>
      <c r="K18" s="593"/>
      <c r="L18" s="594"/>
      <c r="M18" s="595" t="s">
        <v>164</v>
      </c>
      <c r="N18" s="596"/>
      <c r="O18" s="596"/>
      <c r="P18" s="596"/>
      <c r="Q18" s="214"/>
      <c r="R18" s="215"/>
      <c r="S18" s="142"/>
      <c r="T18" s="142"/>
      <c r="U18" s="141"/>
      <c r="V18" s="579"/>
      <c r="W18" s="580"/>
      <c r="X18" s="580"/>
      <c r="Y18" s="125"/>
      <c r="Z18" s="125"/>
      <c r="AA18" s="125"/>
    </row>
    <row r="19" spans="1:27" ht="15.75" customHeight="1" x14ac:dyDescent="0.25">
      <c r="A19" s="216"/>
      <c r="B19" s="222" t="s">
        <v>51</v>
      </c>
      <c r="C19" s="143" t="s">
        <v>52</v>
      </c>
      <c r="D19" s="140"/>
      <c r="E19" s="131" t="s">
        <v>43</v>
      </c>
      <c r="F19" s="131" t="s">
        <v>53</v>
      </c>
      <c r="G19" s="131" t="s">
        <v>54</v>
      </c>
      <c r="H19" s="131" t="s">
        <v>55</v>
      </c>
      <c r="I19" s="144" t="s">
        <v>56</v>
      </c>
      <c r="J19" s="131" t="s">
        <v>57</v>
      </c>
      <c r="K19" s="144" t="s">
        <v>58</v>
      </c>
      <c r="L19" s="361" t="s">
        <v>59</v>
      </c>
      <c r="M19" s="357" t="s">
        <v>60</v>
      </c>
      <c r="N19" s="301" t="s">
        <v>61</v>
      </c>
      <c r="O19" s="301" t="s">
        <v>62</v>
      </c>
      <c r="P19" s="301" t="s">
        <v>63</v>
      </c>
      <c r="Q19" s="192"/>
      <c r="R19" s="215"/>
      <c r="S19" s="141"/>
      <c r="T19" s="125"/>
      <c r="U19" s="145"/>
      <c r="V19" s="141"/>
      <c r="W19" s="145"/>
      <c r="X19" s="125"/>
      <c r="Y19" s="125"/>
      <c r="Z19" s="125"/>
      <c r="AA19" s="125"/>
    </row>
    <row r="20" spans="1:27" ht="19.5" customHeight="1" x14ac:dyDescent="0.25">
      <c r="A20" s="216"/>
      <c r="B20" s="362">
        <v>1.5</v>
      </c>
      <c r="C20" s="146">
        <v>1</v>
      </c>
      <c r="D20" s="140"/>
      <c r="E20" s="176">
        <f>+FORMATO!E29</f>
        <v>0</v>
      </c>
      <c r="F20" s="162">
        <f>+E20+$C$7*E20</f>
        <v>0</v>
      </c>
      <c r="G20" s="147" t="s">
        <v>15</v>
      </c>
      <c r="H20" s="302" t="s">
        <v>15</v>
      </c>
      <c r="I20" s="131" t="s">
        <v>15</v>
      </c>
      <c r="J20" s="143" t="s">
        <v>15</v>
      </c>
      <c r="K20" s="131" t="s">
        <v>15</v>
      </c>
      <c r="L20" s="363" t="s">
        <v>15</v>
      </c>
      <c r="M20" s="358" t="str">
        <f>IF(E20="","",IF(AND(E20&lt;=1275,E20&gt;=1225),"cumple","no cumple"))</f>
        <v>no cumple</v>
      </c>
      <c r="N20" s="295"/>
      <c r="O20" s="148"/>
      <c r="P20" s="148"/>
      <c r="Q20" s="289"/>
      <c r="R20" s="215"/>
      <c r="S20" s="141"/>
      <c r="T20" s="125"/>
      <c r="U20" s="145"/>
      <c r="V20" s="141"/>
      <c r="W20" s="145"/>
      <c r="X20" s="125"/>
      <c r="Y20" s="125"/>
      <c r="Z20" s="125"/>
      <c r="AA20" s="125"/>
    </row>
    <row r="21" spans="1:27" ht="19.5" customHeight="1" x14ac:dyDescent="0.25">
      <c r="A21" s="216"/>
      <c r="B21" s="362">
        <v>1</v>
      </c>
      <c r="C21" s="146">
        <v>0.75</v>
      </c>
      <c r="D21" s="140"/>
      <c r="E21" s="176">
        <f>+FORMATO!E30</f>
        <v>0</v>
      </c>
      <c r="F21" s="162">
        <f t="shared" ref="F21:F23" si="0">+E21+$C$7*E21</f>
        <v>0</v>
      </c>
      <c r="G21" s="147" t="s">
        <v>15</v>
      </c>
      <c r="H21" s="302" t="s">
        <v>15</v>
      </c>
      <c r="I21" s="131" t="s">
        <v>15</v>
      </c>
      <c r="J21" s="143" t="s">
        <v>15</v>
      </c>
      <c r="K21" s="131" t="s">
        <v>15</v>
      </c>
      <c r="L21" s="363" t="s">
        <v>15</v>
      </c>
      <c r="M21" s="358" t="str">
        <f t="shared" ref="M21" si="1">IF(E21="","",IF(AND(E21&lt;=1275,E21&gt;=1225),"cumple","no cumple"))</f>
        <v>no cumple</v>
      </c>
      <c r="N21" s="295"/>
      <c r="O21" s="148"/>
      <c r="P21" s="148"/>
      <c r="Q21" s="289"/>
      <c r="R21" s="215"/>
      <c r="S21" s="149"/>
      <c r="T21" s="149"/>
      <c r="U21" s="149"/>
      <c r="V21" s="141"/>
      <c r="W21" s="150"/>
      <c r="X21" s="125"/>
      <c r="Y21" s="125"/>
      <c r="Z21" s="125"/>
      <c r="AA21" s="125"/>
    </row>
    <row r="22" spans="1:27" ht="19.5" customHeight="1" x14ac:dyDescent="0.25">
      <c r="A22" s="216"/>
      <c r="B22" s="362">
        <v>0.75</v>
      </c>
      <c r="C22" s="146">
        <v>0.5</v>
      </c>
      <c r="D22" s="140"/>
      <c r="E22" s="176">
        <f>+FORMATO!E31</f>
        <v>0</v>
      </c>
      <c r="F22" s="162">
        <f t="shared" si="0"/>
        <v>0</v>
      </c>
      <c r="G22" s="177">
        <f>+FORMATO!F31</f>
        <v>0</v>
      </c>
      <c r="H22" s="162">
        <f>+G22+$C$7*G22</f>
        <v>0</v>
      </c>
      <c r="I22" s="131" t="s">
        <v>15</v>
      </c>
      <c r="J22" s="143" t="s">
        <v>15</v>
      </c>
      <c r="K22" s="131" t="s">
        <v>15</v>
      </c>
      <c r="L22" s="363" t="s">
        <v>15</v>
      </c>
      <c r="M22" s="358" t="str">
        <f t="shared" ref="M22:M23" si="2">IF(E22="","",IF(AND(E22&lt;=1260,E22&gt;=1240),"cumple","no cumple"))</f>
        <v>no cumple</v>
      </c>
      <c r="N22" s="162" t="str">
        <f t="shared" ref="N22:N23" si="3">IF(G22="","",IF(AND(G22&lt;=2510,G22&gt;=2490),"cumple","no cumple"))</f>
        <v>no cumple</v>
      </c>
      <c r="O22" s="148"/>
      <c r="P22" s="148"/>
      <c r="Q22" s="289"/>
      <c r="R22" s="215"/>
      <c r="S22" s="149"/>
      <c r="T22" s="149"/>
      <c r="U22" s="149"/>
      <c r="V22" s="149"/>
      <c r="W22" s="149"/>
      <c r="X22" s="149"/>
      <c r="Y22" s="125"/>
      <c r="Z22" s="125"/>
      <c r="AA22" s="125"/>
    </row>
    <row r="23" spans="1:27" ht="19.5" customHeight="1" x14ac:dyDescent="0.25">
      <c r="A23" s="216"/>
      <c r="B23" s="362">
        <v>0.5</v>
      </c>
      <c r="C23" s="146">
        <v>0.375</v>
      </c>
      <c r="D23" s="140"/>
      <c r="E23" s="176">
        <f>+FORMATO!E32</f>
        <v>0</v>
      </c>
      <c r="F23" s="162">
        <f t="shared" si="0"/>
        <v>0</v>
      </c>
      <c r="G23" s="177">
        <f>+FORMATO!F32</f>
        <v>0</v>
      </c>
      <c r="H23" s="162">
        <f>+G23+$C$7*G23</f>
        <v>0</v>
      </c>
      <c r="I23" s="131" t="s">
        <v>15</v>
      </c>
      <c r="J23" s="143" t="s">
        <v>15</v>
      </c>
      <c r="K23" s="131" t="s">
        <v>15</v>
      </c>
      <c r="L23" s="363" t="s">
        <v>15</v>
      </c>
      <c r="M23" s="358" t="str">
        <f t="shared" si="2"/>
        <v>no cumple</v>
      </c>
      <c r="N23" s="162" t="str">
        <f t="shared" si="3"/>
        <v>no cumple</v>
      </c>
      <c r="O23" s="162"/>
      <c r="P23" s="162"/>
      <c r="Q23" s="219"/>
      <c r="R23" s="215"/>
      <c r="S23" s="142"/>
      <c r="T23" s="142"/>
      <c r="U23" s="142"/>
      <c r="V23" s="581"/>
      <c r="W23" s="580"/>
      <c r="X23" s="151"/>
      <c r="Y23" s="582"/>
      <c r="Z23" s="580"/>
      <c r="AA23" s="580"/>
    </row>
    <row r="24" spans="1:27" ht="19.5" customHeight="1" x14ac:dyDescent="0.25">
      <c r="A24" s="216"/>
      <c r="B24" s="362">
        <v>0.375</v>
      </c>
      <c r="C24" s="146">
        <v>0.25</v>
      </c>
      <c r="D24" s="140"/>
      <c r="E24" s="152" t="s">
        <v>15</v>
      </c>
      <c r="F24" s="152" t="s">
        <v>15</v>
      </c>
      <c r="G24" s="135" t="s">
        <v>15</v>
      </c>
      <c r="H24" s="135" t="s">
        <v>15</v>
      </c>
      <c r="I24" s="178">
        <f>+FORMATO!G33</f>
        <v>0</v>
      </c>
      <c r="J24" s="162">
        <f>+I24+$C$7*I24</f>
        <v>0</v>
      </c>
      <c r="K24" s="131" t="s">
        <v>15</v>
      </c>
      <c r="L24" s="363" t="s">
        <v>15</v>
      </c>
      <c r="M24" s="359"/>
      <c r="N24" s="162"/>
      <c r="O24" s="162" t="str">
        <f t="shared" ref="O24:O25" si="4">IF(I24="","",IF(AND(I24&lt;=2510,I24&gt;=2490),"cumple","no cumple"))</f>
        <v>no cumple</v>
      </c>
      <c r="P24" s="162"/>
      <c r="Q24" s="219"/>
      <c r="R24" s="215"/>
      <c r="S24" s="151"/>
      <c r="T24" s="151"/>
      <c r="U24" s="151"/>
      <c r="V24" s="151"/>
      <c r="W24" s="151"/>
      <c r="X24" s="151"/>
      <c r="Y24" s="580"/>
      <c r="Z24" s="580"/>
      <c r="AA24" s="580"/>
    </row>
    <row r="25" spans="1:27" ht="19.5" customHeight="1" x14ac:dyDescent="0.25">
      <c r="A25" s="216"/>
      <c r="B25" s="362">
        <v>0.25</v>
      </c>
      <c r="C25" s="146" t="s">
        <v>64</v>
      </c>
      <c r="D25" s="140"/>
      <c r="E25" s="152" t="s">
        <v>15</v>
      </c>
      <c r="F25" s="152" t="s">
        <v>15</v>
      </c>
      <c r="G25" s="135" t="s">
        <v>15</v>
      </c>
      <c r="H25" s="135" t="s">
        <v>15</v>
      </c>
      <c r="I25" s="178">
        <f>+FORMATO!G34</f>
        <v>0</v>
      </c>
      <c r="J25" s="162">
        <f>+I25+$C$7*I25</f>
        <v>0</v>
      </c>
      <c r="K25" s="131" t="s">
        <v>15</v>
      </c>
      <c r="L25" s="363" t="s">
        <v>15</v>
      </c>
      <c r="M25" s="359"/>
      <c r="N25" s="162"/>
      <c r="O25" s="162" t="str">
        <f t="shared" si="4"/>
        <v>no cumple</v>
      </c>
      <c r="P25" s="162"/>
      <c r="Q25" s="219"/>
      <c r="R25" s="215"/>
      <c r="S25" s="151"/>
      <c r="T25" s="151"/>
      <c r="U25" s="151"/>
      <c r="V25" s="151"/>
      <c r="W25" s="151"/>
      <c r="X25" s="151"/>
      <c r="Y25" s="580"/>
      <c r="Z25" s="580"/>
      <c r="AA25" s="580"/>
    </row>
    <row r="26" spans="1:27" ht="19.5" customHeight="1" x14ac:dyDescent="0.25">
      <c r="A26" s="216"/>
      <c r="B26" s="362" t="s">
        <v>64</v>
      </c>
      <c r="C26" s="146" t="s">
        <v>65</v>
      </c>
      <c r="D26" s="140"/>
      <c r="E26" s="152" t="s">
        <v>15</v>
      </c>
      <c r="F26" s="152" t="s">
        <v>15</v>
      </c>
      <c r="G26" s="135" t="s">
        <v>15</v>
      </c>
      <c r="H26" s="135" t="s">
        <v>15</v>
      </c>
      <c r="I26" s="131" t="s">
        <v>15</v>
      </c>
      <c r="J26" s="131" t="s">
        <v>15</v>
      </c>
      <c r="K26" s="178">
        <f>+FORMATO!H35</f>
        <v>0</v>
      </c>
      <c r="L26" s="364">
        <f>+K26+$C$7*K26</f>
        <v>0</v>
      </c>
      <c r="M26" s="359"/>
      <c r="N26" s="296"/>
      <c r="O26" s="162"/>
      <c r="P26" s="162" t="str">
        <f t="shared" ref="P26:P27" si="5">IF(K26="","",IF(AND(K26&lt;=5010,K26&gt;=4990),"cumple","no cumple"))</f>
        <v>no cumple</v>
      </c>
      <c r="Q26" s="219"/>
      <c r="R26" s="215"/>
      <c r="S26" s="151"/>
      <c r="T26" s="151"/>
      <c r="U26" s="151"/>
      <c r="V26" s="151"/>
      <c r="W26" s="151"/>
      <c r="X26" s="151"/>
      <c r="Y26" s="580"/>
      <c r="Z26" s="580"/>
      <c r="AA26" s="580"/>
    </row>
    <row r="27" spans="1:27" ht="19.5" customHeight="1" thickBot="1" x14ac:dyDescent="0.3">
      <c r="A27" s="216"/>
      <c r="B27" s="583" t="s">
        <v>66</v>
      </c>
      <c r="C27" s="584"/>
      <c r="D27" s="365"/>
      <c r="E27" s="366">
        <f>SUM(E20:E23)</f>
        <v>0</v>
      </c>
      <c r="F27" s="366">
        <f>IF(E20="","",SUM(F20:F23))</f>
        <v>0</v>
      </c>
      <c r="G27" s="367">
        <f>SUM(G22:G23)</f>
        <v>0</v>
      </c>
      <c r="H27" s="367">
        <f>IF(G22="","",SUM(H22:H23))</f>
        <v>0</v>
      </c>
      <c r="I27" s="367">
        <f>SUM(I23:I26)</f>
        <v>0</v>
      </c>
      <c r="J27" s="366">
        <f>IF(I24="","",SUM(J24:J25))</f>
        <v>0</v>
      </c>
      <c r="K27" s="367">
        <f>SUM(K23:K26)</f>
        <v>0</v>
      </c>
      <c r="L27" s="368">
        <f>IF(K26="","",SUM(L26))</f>
        <v>0</v>
      </c>
      <c r="M27" s="358" t="str">
        <f>IF(E27="","",IF(AND(E27&lt;=5010,E27&gt;=4990),"cumple","no cumple"))</f>
        <v>no cumple</v>
      </c>
      <c r="N27" s="162" t="str">
        <f>IF(G27="","",IF(AND(G27&lt;=5010,G27&gt;=4990),"cumple","no cumple"))</f>
        <v>no cumple</v>
      </c>
      <c r="O27" s="162" t="str">
        <f>IF(I27="","",IF(AND(I27&lt;=5010,I27&gt;=4990),"cumple","no cumple"))</f>
        <v>no cumple</v>
      </c>
      <c r="P27" s="162" t="str">
        <f t="shared" si="5"/>
        <v>no cumple</v>
      </c>
      <c r="Q27" s="219"/>
      <c r="R27" s="215"/>
      <c r="S27" s="151"/>
      <c r="T27" s="151"/>
      <c r="U27" s="151"/>
      <c r="V27" s="151"/>
      <c r="W27" s="151"/>
      <c r="X27" s="151"/>
      <c r="Y27" s="154"/>
      <c r="Z27" s="154"/>
      <c r="AA27" s="154"/>
    </row>
    <row r="28" spans="1:27" ht="15.75" customHeight="1" thickBot="1" x14ac:dyDescent="0.3">
      <c r="A28" s="216"/>
      <c r="B28" s="217"/>
      <c r="C28" s="217"/>
      <c r="D28" s="217"/>
      <c r="E28" s="217"/>
      <c r="F28" s="217"/>
      <c r="G28" s="218"/>
      <c r="H28" s="218"/>
      <c r="I28" s="219"/>
      <c r="J28" s="220"/>
      <c r="K28" s="220"/>
      <c r="L28" s="220"/>
      <c r="M28" s="220"/>
      <c r="N28" s="221"/>
      <c r="O28" s="214"/>
      <c r="P28" s="214"/>
      <c r="Q28" s="214"/>
      <c r="R28" s="215"/>
      <c r="S28" s="159"/>
      <c r="T28" s="125"/>
      <c r="U28" s="160"/>
      <c r="V28" s="125"/>
      <c r="W28" s="145"/>
      <c r="X28" s="145"/>
      <c r="Y28" s="161"/>
      <c r="Z28" s="161"/>
      <c r="AA28" s="161"/>
    </row>
    <row r="29" spans="1:27" ht="15.75" customHeight="1" x14ac:dyDescent="0.25">
      <c r="A29" s="369" t="s">
        <v>67</v>
      </c>
      <c r="B29" s="585" t="s">
        <v>19</v>
      </c>
      <c r="C29" s="586"/>
      <c r="D29" s="370" t="s">
        <v>20</v>
      </c>
      <c r="E29" s="379" t="s">
        <v>60</v>
      </c>
      <c r="F29" s="380" t="s">
        <v>68</v>
      </c>
      <c r="G29" s="379" t="s">
        <v>61</v>
      </c>
      <c r="H29" s="380" t="s">
        <v>69</v>
      </c>
      <c r="I29" s="379" t="s">
        <v>62</v>
      </c>
      <c r="J29" s="380" t="s">
        <v>70</v>
      </c>
      <c r="K29" s="379" t="s">
        <v>63</v>
      </c>
      <c r="L29" s="380" t="s">
        <v>71</v>
      </c>
      <c r="M29" s="371"/>
      <c r="N29" s="221"/>
      <c r="O29" s="136" t="s">
        <v>155</v>
      </c>
      <c r="P29" s="136" t="s">
        <v>156</v>
      </c>
      <c r="Q29" s="136" t="s">
        <v>157</v>
      </c>
      <c r="R29" s="136" t="s">
        <v>158</v>
      </c>
      <c r="S29" s="159"/>
      <c r="T29" s="125"/>
      <c r="U29" s="160"/>
      <c r="V29" s="125"/>
      <c r="W29" s="145"/>
      <c r="X29" s="145"/>
      <c r="Y29" s="161"/>
      <c r="Z29" s="161"/>
      <c r="AA29" s="161"/>
    </row>
    <row r="30" spans="1:27" ht="25.5" customHeight="1" x14ac:dyDescent="0.25">
      <c r="A30" s="223" t="s">
        <v>72</v>
      </c>
      <c r="B30" s="597" t="s">
        <v>161</v>
      </c>
      <c r="C30" s="588"/>
      <c r="D30" s="135" t="s">
        <v>23</v>
      </c>
      <c r="E30" s="153"/>
      <c r="F30" s="162">
        <f>+F27</f>
        <v>0</v>
      </c>
      <c r="G30" s="153"/>
      <c r="H30" s="162">
        <f>+H27</f>
        <v>0</v>
      </c>
      <c r="I30" s="153"/>
      <c r="J30" s="162">
        <f>+J27</f>
        <v>0</v>
      </c>
      <c r="K30" s="153"/>
      <c r="L30" s="162">
        <f>+L27</f>
        <v>0</v>
      </c>
      <c r="M30" s="364" t="str">
        <f>IF(H12="A",F30,IF(H12="B",H30,IF(H12="C",J30,IF(H12="D",L30,""))))</f>
        <v/>
      </c>
      <c r="N30" s="221"/>
      <c r="O30" s="137" t="s">
        <v>43</v>
      </c>
      <c r="P30" s="137">
        <v>12</v>
      </c>
      <c r="Q30" s="137">
        <v>4975</v>
      </c>
      <c r="R30" s="137">
        <v>5025</v>
      </c>
      <c r="S30" s="159"/>
      <c r="T30" s="125"/>
      <c r="U30" s="160"/>
      <c r="V30" s="125"/>
      <c r="W30" s="145"/>
      <c r="X30" s="145"/>
      <c r="Y30" s="161"/>
      <c r="Z30" s="161"/>
      <c r="AA30" s="161"/>
    </row>
    <row r="31" spans="1:27" ht="25.5" customHeight="1" x14ac:dyDescent="0.25">
      <c r="A31" s="223" t="s">
        <v>73</v>
      </c>
      <c r="B31" s="587" t="s">
        <v>162</v>
      </c>
      <c r="C31" s="588"/>
      <c r="D31" s="163" t="s">
        <v>23</v>
      </c>
      <c r="E31" s="259">
        <f>+FORMATO!E43</f>
        <v>0</v>
      </c>
      <c r="F31" s="162"/>
      <c r="G31" s="176">
        <f>+FORMATO!F43</f>
        <v>0</v>
      </c>
      <c r="H31" s="162"/>
      <c r="I31" s="176">
        <f>+FORMATO!G43</f>
        <v>0</v>
      </c>
      <c r="J31" s="162"/>
      <c r="K31" s="176">
        <f>+FORMATO!H43</f>
        <v>0</v>
      </c>
      <c r="L31" s="162"/>
      <c r="M31" s="364"/>
      <c r="N31" s="221"/>
      <c r="O31" s="137" t="s">
        <v>54</v>
      </c>
      <c r="P31" s="137">
        <v>11</v>
      </c>
      <c r="Q31" s="137">
        <v>4555</v>
      </c>
      <c r="R31" s="137">
        <v>4605</v>
      </c>
      <c r="S31" s="159"/>
      <c r="T31" s="125"/>
      <c r="U31" s="160"/>
      <c r="V31" s="125"/>
      <c r="W31" s="145"/>
      <c r="X31" s="145"/>
      <c r="Y31" s="161"/>
      <c r="Z31" s="161"/>
      <c r="AA31" s="161"/>
    </row>
    <row r="32" spans="1:27" ht="25.5" customHeight="1" x14ac:dyDescent="0.25">
      <c r="A32" s="224" t="s">
        <v>74</v>
      </c>
      <c r="B32" s="587" t="s">
        <v>75</v>
      </c>
      <c r="C32" s="588"/>
      <c r="D32" s="163" t="s">
        <v>23</v>
      </c>
      <c r="E32" s="259">
        <f>+FORMATO!E44</f>
        <v>0</v>
      </c>
      <c r="F32" s="162"/>
      <c r="G32" s="176">
        <f>+FORMATO!F44</f>
        <v>0</v>
      </c>
      <c r="H32" s="162"/>
      <c r="I32" s="176">
        <f>+FORMATO!G44</f>
        <v>0</v>
      </c>
      <c r="J32" s="162"/>
      <c r="K32" s="176">
        <f>+FORMATO!H44</f>
        <v>0</v>
      </c>
      <c r="L32" s="162"/>
      <c r="M32" s="364"/>
      <c r="N32" s="221"/>
      <c r="O32" s="137" t="s">
        <v>56</v>
      </c>
      <c r="P32" s="137">
        <v>8</v>
      </c>
      <c r="Q32" s="137">
        <v>3310</v>
      </c>
      <c r="R32" s="137">
        <v>3350</v>
      </c>
      <c r="S32" s="159"/>
      <c r="T32" s="125"/>
      <c r="U32" s="160"/>
      <c r="V32" s="125"/>
      <c r="W32" s="145"/>
      <c r="X32" s="145"/>
      <c r="Y32" s="161"/>
      <c r="Z32" s="161"/>
      <c r="AA32" s="161"/>
    </row>
    <row r="33" spans="1:27" ht="25.5" customHeight="1" x14ac:dyDescent="0.25">
      <c r="A33" s="224" t="s">
        <v>76</v>
      </c>
      <c r="B33" s="587" t="s">
        <v>77</v>
      </c>
      <c r="C33" s="588"/>
      <c r="D33" s="163" t="s">
        <v>23</v>
      </c>
      <c r="E33" s="259">
        <f>+FORMATO!E45</f>
        <v>0</v>
      </c>
      <c r="F33" s="162">
        <f>E33+$C$7*E33</f>
        <v>0</v>
      </c>
      <c r="G33" s="176">
        <f>+FORMATO!F45</f>
        <v>0</v>
      </c>
      <c r="H33" s="162">
        <f>G33+$C$7*G33</f>
        <v>0</v>
      </c>
      <c r="I33" s="176">
        <f>+FORMATO!G45</f>
        <v>0</v>
      </c>
      <c r="J33" s="162">
        <f>I33+$C$7*I33</f>
        <v>0</v>
      </c>
      <c r="K33" s="176">
        <f>+FORMATO!H45</f>
        <v>0</v>
      </c>
      <c r="L33" s="162">
        <f>K33+$C$7*K33</f>
        <v>0</v>
      </c>
      <c r="M33" s="364" t="str">
        <f>IF(H12="A",F33,IF(H12="B",H33,IF(H12="C",J33,IF(H12="D",L33,""))))</f>
        <v/>
      </c>
      <c r="N33" s="221"/>
      <c r="O33" s="137" t="s">
        <v>58</v>
      </c>
      <c r="P33" s="137">
        <v>6</v>
      </c>
      <c r="Q33" s="137">
        <v>2485</v>
      </c>
      <c r="R33" s="137">
        <v>2515</v>
      </c>
      <c r="S33" s="159"/>
      <c r="T33" s="125"/>
      <c r="U33" s="160"/>
      <c r="V33" s="125"/>
      <c r="W33" s="145"/>
      <c r="X33" s="145"/>
      <c r="Y33" s="161"/>
      <c r="Z33" s="161"/>
      <c r="AA33" s="161"/>
    </row>
    <row r="34" spans="1:27" ht="25.5" customHeight="1" x14ac:dyDescent="0.25">
      <c r="A34" s="224" t="s">
        <v>78</v>
      </c>
      <c r="B34" s="587" t="s">
        <v>79</v>
      </c>
      <c r="C34" s="588"/>
      <c r="D34" s="163" t="s">
        <v>26</v>
      </c>
      <c r="E34" s="164"/>
      <c r="F34" s="164" t="str">
        <f>IF(F33=0,"---",((F30-F33)/F30)*100)</f>
        <v>---</v>
      </c>
      <c r="G34" s="164"/>
      <c r="H34" s="164" t="str">
        <f>IF(H33=0,"---",((H30-H33)/H30)*100)</f>
        <v>---</v>
      </c>
      <c r="I34" s="164"/>
      <c r="J34" s="164" t="str">
        <f>IF(J33=0,"---",((J30-J33)/J30)*100)</f>
        <v>---</v>
      </c>
      <c r="K34" s="164"/>
      <c r="L34" s="164" t="str">
        <f>IF(L33=0,"---",((L30-L33)/L30)*100)</f>
        <v>---</v>
      </c>
      <c r="M34" s="364" t="str">
        <f>IF(H12="A",F34,IF(H12="B",H34,IF(H12="C",J34,IF(H12="D",L34,""))))</f>
        <v/>
      </c>
      <c r="N34" s="221"/>
      <c r="O34" s="137" t="str">
        <f>+H12</f>
        <v>-</v>
      </c>
      <c r="P34" s="137" t="e">
        <f>LOOKUP(O34,O30:O33,P30:P33)</f>
        <v>#N/A</v>
      </c>
      <c r="Q34" s="137" t="e">
        <f>LOOKUP(O34,O30:O33,Q30:Q33)</f>
        <v>#N/A</v>
      </c>
      <c r="R34" s="137" t="e">
        <f>LOOKUP(O34,O30:O33,R30:R33)</f>
        <v>#N/A</v>
      </c>
      <c r="S34" s="159"/>
      <c r="T34" s="125"/>
      <c r="U34" s="160"/>
      <c r="V34" s="125"/>
      <c r="W34" s="145"/>
      <c r="X34" s="145"/>
      <c r="Y34" s="161"/>
      <c r="Z34" s="161"/>
      <c r="AA34" s="161"/>
    </row>
    <row r="35" spans="1:27" ht="21" customHeight="1" x14ac:dyDescent="0.25">
      <c r="A35" s="216"/>
      <c r="B35" s="337" t="s">
        <v>48</v>
      </c>
      <c r="C35" s="293"/>
      <c r="D35" s="294"/>
      <c r="E35" s="291" t="str">
        <f>IF(E27=0,"",(E32-E33)/E33*100)</f>
        <v/>
      </c>
      <c r="F35" s="297" t="str">
        <f>IF(E35="","",IF(E35&lt;0.1,"Cumple","No Cumple"))</f>
        <v/>
      </c>
      <c r="G35" s="291" t="str">
        <f>IF(G27=0,"",(G32-G33)/G33*100)</f>
        <v/>
      </c>
      <c r="H35" s="292" t="str">
        <f>IF(G35="","",IF(G35&lt;0.1,"cumple","no cumple"))</f>
        <v/>
      </c>
      <c r="I35" s="291" t="str">
        <f>IF(I27=0,"",(I32-I33)/I33*100)</f>
        <v/>
      </c>
      <c r="J35" s="328" t="str">
        <f>IF(I35="","",IF(I35&lt;0.1,"cumple","no cumple"))</f>
        <v/>
      </c>
      <c r="K35" s="291" t="str">
        <f>IF(K27=0,"",(K32-K33)/K33*100)</f>
        <v/>
      </c>
      <c r="L35" s="292" t="str">
        <f>IF(K35="","",IF(K35&lt;0.1,"cumple","no cumple"))</f>
        <v/>
      </c>
      <c r="M35" s="372"/>
      <c r="N35" s="221"/>
      <c r="O35" s="214"/>
      <c r="P35" s="214"/>
      <c r="Q35" s="214"/>
      <c r="R35" s="215"/>
      <c r="S35" s="159"/>
      <c r="T35" s="125"/>
      <c r="U35" s="160"/>
      <c r="V35" s="125"/>
      <c r="W35" s="145"/>
      <c r="X35" s="145"/>
      <c r="Y35" s="161"/>
      <c r="Z35" s="161"/>
      <c r="AA35" s="161"/>
    </row>
    <row r="36" spans="1:27" ht="21" customHeight="1" thickBot="1" x14ac:dyDescent="0.3">
      <c r="A36" s="225"/>
      <c r="B36" s="373" t="s">
        <v>163</v>
      </c>
      <c r="C36" s="374"/>
      <c r="D36" s="375" t="s">
        <v>26</v>
      </c>
      <c r="E36" s="376" t="str">
        <f>IF(E27=0,"",((E31-E33)/E27)*100)</f>
        <v/>
      </c>
      <c r="F36" s="377" t="str">
        <f>IF(E36="","",IF(E36&lt;=0.2,"Cumple","No Cumple"))</f>
        <v/>
      </c>
      <c r="G36" s="376" t="str">
        <f>IF(G27=0,"",((G31-G33)/G27)*100)</f>
        <v/>
      </c>
      <c r="H36" s="377" t="str">
        <f>IF(G36="","",IF(G36&lt;=0.2,"Cumple","No Cumple"))</f>
        <v/>
      </c>
      <c r="I36" s="376" t="str">
        <f>IF(I27=0,"",((I31-I33)/I27)*100)</f>
        <v/>
      </c>
      <c r="J36" s="377" t="str">
        <f>IF(I36="","",IF(I36&lt;=0.2,"Cumple","No Cumple"))</f>
        <v/>
      </c>
      <c r="K36" s="376" t="str">
        <f>IF(K27=0,"",((K31-K33)/K27)*100)</f>
        <v/>
      </c>
      <c r="L36" s="377" t="str">
        <f>IF(K36="","",IF(K36&lt;=0.2,"Cumple","No Cumple"))</f>
        <v/>
      </c>
      <c r="M36" s="378"/>
      <c r="N36" s="221"/>
      <c r="O36" s="214"/>
      <c r="P36" s="214"/>
      <c r="Q36" s="214"/>
      <c r="R36" s="215"/>
      <c r="S36" s="159"/>
      <c r="T36" s="125"/>
      <c r="U36" s="160"/>
      <c r="V36" s="125"/>
      <c r="W36" s="145"/>
      <c r="X36" s="145"/>
      <c r="Y36" s="161"/>
      <c r="Z36" s="161"/>
      <c r="AA36" s="161"/>
    </row>
    <row r="37" spans="1:27" ht="15.75" customHeight="1" thickBot="1" x14ac:dyDescent="0.3">
      <c r="A37" s="225"/>
      <c r="B37" s="226"/>
      <c r="C37" s="226"/>
      <c r="D37" s="226"/>
      <c r="E37" s="226"/>
      <c r="F37" s="226"/>
      <c r="G37" s="227"/>
      <c r="H37" s="227"/>
      <c r="I37" s="227"/>
      <c r="J37" s="228"/>
      <c r="K37" s="228"/>
      <c r="L37" s="228"/>
      <c r="M37" s="228"/>
      <c r="N37" s="229"/>
      <c r="O37" s="230"/>
      <c r="P37" s="230"/>
      <c r="Q37" s="230"/>
      <c r="R37" s="231"/>
      <c r="S37" s="159"/>
      <c r="T37" s="125"/>
      <c r="U37" s="160"/>
      <c r="V37" s="125"/>
      <c r="W37" s="145"/>
      <c r="X37" s="145"/>
      <c r="Y37" s="161"/>
      <c r="Z37" s="161"/>
      <c r="AA37" s="161"/>
    </row>
    <row r="38" spans="1:27" ht="15.75" customHeight="1" x14ac:dyDescent="0.25">
      <c r="A38" s="125"/>
      <c r="B38" s="125"/>
      <c r="C38" s="125"/>
      <c r="D38" s="125"/>
      <c r="E38" s="125"/>
      <c r="F38" s="125"/>
      <c r="G38" s="130"/>
      <c r="H38" s="156"/>
      <c r="I38" s="156"/>
      <c r="J38" s="157"/>
      <c r="K38" s="157"/>
      <c r="L38" s="157"/>
      <c r="M38" s="157"/>
      <c r="N38" s="158"/>
      <c r="O38" s="134"/>
      <c r="P38" s="134"/>
      <c r="Q38" s="134"/>
      <c r="R38" s="130"/>
      <c r="S38" s="159"/>
      <c r="T38" s="125"/>
      <c r="U38" s="160"/>
      <c r="V38" s="125"/>
      <c r="W38" s="145"/>
      <c r="X38" s="145"/>
      <c r="Y38" s="161"/>
      <c r="Z38" s="161"/>
      <c r="AA38" s="161"/>
    </row>
    <row r="39" spans="1:27" ht="15.75" customHeight="1" x14ac:dyDescent="0.25">
      <c r="A39" s="125"/>
      <c r="B39" s="125"/>
      <c r="C39" s="125"/>
      <c r="D39" s="125"/>
      <c r="E39" s="125"/>
      <c r="F39" s="125"/>
      <c r="G39" s="156"/>
      <c r="H39" s="156"/>
      <c r="I39" s="156"/>
      <c r="J39" s="157"/>
      <c r="K39" s="157"/>
      <c r="L39" s="157"/>
      <c r="M39" s="157"/>
      <c r="N39" s="158"/>
      <c r="O39" s="134"/>
      <c r="P39" s="134"/>
      <c r="Q39" s="134"/>
      <c r="R39" s="130"/>
      <c r="S39" s="159"/>
      <c r="T39" s="125"/>
      <c r="U39" s="160"/>
      <c r="V39" s="125"/>
      <c r="W39" s="145"/>
      <c r="X39" s="145"/>
      <c r="Y39" s="161"/>
      <c r="Z39" s="161"/>
      <c r="AA39" s="161"/>
    </row>
    <row r="40" spans="1:27" ht="15.75" customHeight="1" x14ac:dyDescent="0.25">
      <c r="A40" s="125"/>
      <c r="B40" s="125"/>
      <c r="C40" s="125"/>
      <c r="D40" s="125"/>
      <c r="E40" s="125"/>
      <c r="F40" s="125"/>
      <c r="G40" s="156"/>
      <c r="H40" s="156"/>
      <c r="I40" s="156"/>
      <c r="J40" s="157"/>
      <c r="K40" s="157"/>
      <c r="L40" s="157"/>
      <c r="M40" s="157"/>
      <c r="N40" s="158"/>
      <c r="O40" s="134"/>
      <c r="P40" s="134"/>
      <c r="Q40" s="134"/>
      <c r="R40" s="130"/>
      <c r="S40" s="159"/>
      <c r="T40" s="125"/>
      <c r="U40" s="160"/>
      <c r="V40" s="125"/>
      <c r="W40" s="145"/>
      <c r="X40" s="145"/>
      <c r="Y40" s="161"/>
      <c r="Z40" s="161"/>
      <c r="AA40" s="161"/>
    </row>
    <row r="41" spans="1:27" ht="15" customHeight="1" x14ac:dyDescent="0.25">
      <c r="A41" s="165"/>
      <c r="B41" s="155"/>
      <c r="C41" s="155"/>
      <c r="D41" s="125"/>
      <c r="E41" s="125"/>
      <c r="F41" s="125"/>
      <c r="G41" s="125"/>
      <c r="H41" s="125"/>
      <c r="I41" s="125"/>
      <c r="J41" s="166"/>
      <c r="K41" s="166"/>
      <c r="L41" s="166"/>
      <c r="M41" s="125"/>
      <c r="N41" s="125"/>
      <c r="O41" s="127"/>
      <c r="P41" s="127"/>
      <c r="Q41" s="127"/>
      <c r="R41" s="130"/>
      <c r="S41" s="159"/>
      <c r="T41" s="125"/>
      <c r="U41" s="160"/>
      <c r="V41" s="125"/>
      <c r="W41" s="145"/>
      <c r="X41" s="145"/>
      <c r="Y41" s="166"/>
      <c r="Z41" s="166"/>
      <c r="AA41" s="166"/>
    </row>
    <row r="42" spans="1:27" ht="17.25" customHeight="1" x14ac:dyDescent="0.25">
      <c r="A42" s="167"/>
      <c r="B42" s="589"/>
      <c r="C42" s="580"/>
      <c r="D42" s="125"/>
      <c r="E42" s="125"/>
      <c r="F42" s="125"/>
      <c r="G42" s="125"/>
      <c r="H42" s="125"/>
      <c r="I42" s="125"/>
      <c r="J42" s="166"/>
      <c r="K42" s="166"/>
      <c r="L42" s="166"/>
      <c r="M42" s="125"/>
      <c r="N42" s="125"/>
      <c r="O42" s="127"/>
      <c r="P42" s="127"/>
      <c r="Q42" s="127"/>
      <c r="R42" s="130"/>
      <c r="S42" s="159"/>
      <c r="T42" s="125"/>
      <c r="U42" s="160"/>
      <c r="V42" s="125"/>
      <c r="W42" s="145"/>
      <c r="X42" s="145"/>
      <c r="Y42" s="166"/>
      <c r="Z42" s="166"/>
      <c r="AA42" s="166"/>
    </row>
    <row r="43" spans="1:27" ht="10.5" customHeight="1" x14ac:dyDescent="0.25">
      <c r="A43" s="134"/>
      <c r="B43" s="155"/>
      <c r="C43" s="155"/>
      <c r="D43" s="125"/>
      <c r="E43" s="125"/>
      <c r="F43" s="125"/>
      <c r="G43" s="125"/>
      <c r="H43" s="125"/>
      <c r="I43" s="125"/>
      <c r="J43" s="166"/>
      <c r="K43" s="166"/>
      <c r="L43" s="166"/>
      <c r="M43" s="125"/>
      <c r="N43" s="125"/>
      <c r="O43" s="127"/>
      <c r="P43" s="127"/>
      <c r="Q43" s="127"/>
      <c r="R43" s="130"/>
      <c r="S43" s="159"/>
      <c r="T43" s="125"/>
      <c r="U43" s="160"/>
      <c r="V43" s="125"/>
      <c r="W43" s="145"/>
      <c r="X43" s="145"/>
      <c r="Y43" s="166"/>
      <c r="Z43" s="166"/>
      <c r="AA43" s="166"/>
    </row>
    <row r="44" spans="1:27" ht="15.75" customHeight="1" x14ac:dyDescent="0.25">
      <c r="A44" s="168"/>
      <c r="B44" s="125"/>
      <c r="C44" s="125"/>
      <c r="D44" s="125"/>
      <c r="E44" s="125"/>
      <c r="F44" s="125"/>
      <c r="G44" s="125"/>
      <c r="H44" s="125"/>
      <c r="I44" s="125"/>
      <c r="J44" s="166"/>
      <c r="K44" s="166"/>
      <c r="L44" s="166"/>
      <c r="M44" s="125"/>
      <c r="N44" s="125"/>
      <c r="O44" s="127"/>
      <c r="P44" s="127"/>
      <c r="Q44" s="127"/>
      <c r="R44" s="130"/>
      <c r="S44" s="159"/>
      <c r="T44" s="125"/>
      <c r="U44" s="160"/>
      <c r="V44" s="125"/>
      <c r="W44" s="145"/>
      <c r="X44" s="145"/>
      <c r="Y44" s="166"/>
      <c r="Z44" s="166"/>
      <c r="AA44" s="166"/>
    </row>
    <row r="45" spans="1:27" ht="15.75" customHeight="1" x14ac:dyDescent="0.25">
      <c r="A45" s="167"/>
      <c r="B45" s="125"/>
      <c r="C45" s="125"/>
      <c r="D45" s="125"/>
      <c r="E45" s="125"/>
      <c r="F45" s="125"/>
      <c r="G45" s="125"/>
      <c r="H45" s="125"/>
      <c r="I45" s="125"/>
      <c r="J45" s="166"/>
      <c r="K45" s="166"/>
      <c r="L45" s="166"/>
      <c r="M45" s="125"/>
      <c r="N45" s="125"/>
      <c r="O45" s="127"/>
      <c r="P45" s="127"/>
      <c r="Q45" s="127"/>
      <c r="R45" s="130"/>
      <c r="S45" s="169"/>
      <c r="T45" s="125"/>
      <c r="U45" s="160"/>
      <c r="V45" s="125"/>
      <c r="W45" s="145"/>
      <c r="X45" s="145"/>
      <c r="Y45" s="166"/>
      <c r="Z45" s="166"/>
      <c r="AA45" s="166"/>
    </row>
    <row r="46" spans="1:27" ht="15.75" customHeight="1" x14ac:dyDescent="0.25">
      <c r="A46" s="167"/>
      <c r="B46" s="125"/>
      <c r="C46" s="125"/>
      <c r="D46" s="125"/>
      <c r="E46" s="125"/>
      <c r="F46" s="125"/>
      <c r="G46" s="125"/>
      <c r="H46" s="125"/>
      <c r="I46" s="125"/>
      <c r="J46" s="166"/>
      <c r="K46" s="166"/>
      <c r="L46" s="166"/>
      <c r="M46" s="125"/>
      <c r="N46" s="125"/>
      <c r="O46" s="127"/>
      <c r="P46" s="127"/>
      <c r="Q46" s="127"/>
      <c r="R46" s="130"/>
      <c r="S46" s="169"/>
      <c r="T46" s="125"/>
      <c r="U46" s="160"/>
      <c r="V46" s="125"/>
      <c r="W46" s="145"/>
      <c r="X46" s="145"/>
      <c r="Y46" s="166"/>
      <c r="Z46" s="166"/>
      <c r="AA46" s="166"/>
    </row>
    <row r="47" spans="1:27" ht="26.25" customHeight="1" x14ac:dyDescent="0.25">
      <c r="A47" s="590"/>
      <c r="B47" s="580"/>
      <c r="C47" s="580"/>
      <c r="D47" s="580"/>
      <c r="E47" s="580"/>
      <c r="F47" s="580"/>
      <c r="G47" s="580"/>
      <c r="H47" s="580"/>
      <c r="I47" s="580"/>
      <c r="J47" s="580"/>
      <c r="K47" s="580"/>
      <c r="L47" s="580"/>
      <c r="M47" s="580"/>
      <c r="N47" s="166"/>
      <c r="O47" s="127"/>
      <c r="P47" s="127"/>
      <c r="Q47" s="127"/>
      <c r="R47" s="134"/>
      <c r="S47" s="169"/>
      <c r="T47" s="125"/>
      <c r="U47" s="160"/>
      <c r="V47" s="125"/>
      <c r="W47" s="145"/>
      <c r="X47" s="145"/>
      <c r="Y47" s="166"/>
      <c r="Z47" s="166"/>
      <c r="AA47" s="166"/>
    </row>
    <row r="48" spans="1:27" ht="15.75" customHeight="1" x14ac:dyDescent="0.25">
      <c r="A48" s="167"/>
      <c r="B48" s="125"/>
      <c r="C48" s="125"/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66"/>
      <c r="O48" s="127"/>
      <c r="P48" s="127"/>
      <c r="Q48" s="127"/>
      <c r="R48" s="125"/>
      <c r="S48" s="169"/>
      <c r="T48" s="125"/>
      <c r="U48" s="160"/>
      <c r="V48" s="125"/>
      <c r="W48" s="145"/>
      <c r="X48" s="145"/>
      <c r="Y48" s="145"/>
      <c r="Z48" s="145"/>
      <c r="AA48" s="145"/>
    </row>
    <row r="49" spans="1:27" ht="15.75" customHeight="1" x14ac:dyDescent="0.25">
      <c r="A49" s="170"/>
      <c r="B49" s="124"/>
      <c r="C49" s="124"/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66"/>
      <c r="O49" s="127"/>
      <c r="P49" s="127"/>
      <c r="Q49" s="127"/>
      <c r="R49" s="125"/>
      <c r="S49" s="169"/>
      <c r="T49" s="125"/>
      <c r="U49" s="160"/>
      <c r="V49" s="125"/>
      <c r="W49" s="145"/>
      <c r="X49" s="145"/>
      <c r="Y49" s="145"/>
      <c r="Z49" s="145"/>
      <c r="AA49" s="145"/>
    </row>
    <row r="50" spans="1:27" ht="15.75" customHeight="1" x14ac:dyDescent="0.25">
      <c r="A50" s="170"/>
      <c r="B50" s="124"/>
      <c r="C50" s="124"/>
      <c r="D50" s="124"/>
      <c r="E50" s="124"/>
      <c r="F50" s="124"/>
      <c r="G50" s="124"/>
      <c r="H50" s="124"/>
      <c r="I50" s="124"/>
      <c r="J50" s="124"/>
      <c r="K50" s="124"/>
      <c r="L50" s="124"/>
      <c r="M50" s="124"/>
      <c r="N50" s="166"/>
      <c r="O50" s="127"/>
      <c r="P50" s="127"/>
      <c r="Q50" s="127"/>
      <c r="R50" s="125"/>
      <c r="S50" s="169"/>
      <c r="T50" s="125"/>
      <c r="U50" s="160"/>
      <c r="V50" s="125"/>
      <c r="W50" s="145"/>
      <c r="X50" s="145"/>
      <c r="Y50" s="125"/>
      <c r="Z50" s="125"/>
      <c r="AA50" s="125"/>
    </row>
    <row r="51" spans="1:27" ht="15.75" customHeight="1" x14ac:dyDescent="0.25">
      <c r="A51" s="170"/>
      <c r="B51" s="124"/>
      <c r="C51" s="124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66"/>
      <c r="O51" s="127"/>
      <c r="P51" s="127"/>
      <c r="Q51" s="127"/>
      <c r="R51" s="125"/>
      <c r="S51" s="169"/>
      <c r="T51" s="125"/>
      <c r="U51" s="160"/>
      <c r="V51" s="125"/>
      <c r="W51" s="145"/>
      <c r="X51" s="145"/>
      <c r="Y51" s="125"/>
      <c r="Z51" s="125"/>
      <c r="AA51" s="125"/>
    </row>
    <row r="52" spans="1:27" ht="15.75" customHeight="1" x14ac:dyDescent="0.25">
      <c r="A52" s="129"/>
      <c r="B52" s="125"/>
      <c r="C52" s="125"/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45"/>
      <c r="O52" s="127"/>
      <c r="P52" s="127"/>
      <c r="Q52" s="127"/>
      <c r="R52" s="125"/>
      <c r="S52" s="169"/>
      <c r="T52" s="125"/>
      <c r="U52" s="169"/>
      <c r="V52" s="125"/>
      <c r="W52" s="145"/>
      <c r="X52" s="169"/>
      <c r="Y52" s="125"/>
      <c r="Z52" s="125"/>
      <c r="AA52" s="125"/>
    </row>
    <row r="53" spans="1:27" ht="15.75" customHeight="1" x14ac:dyDescent="0.25">
      <c r="A53" s="129"/>
      <c r="B53" s="125"/>
      <c r="C53" s="125"/>
      <c r="D53" s="125"/>
      <c r="E53" s="125"/>
      <c r="F53" s="125"/>
      <c r="G53" s="125"/>
      <c r="H53" s="125"/>
      <c r="I53" s="125"/>
      <c r="J53" s="125"/>
      <c r="K53" s="125"/>
      <c r="L53" s="125"/>
      <c r="M53" s="171"/>
      <c r="N53" s="145"/>
      <c r="O53" s="127"/>
      <c r="P53" s="127"/>
      <c r="Q53" s="127"/>
      <c r="R53" s="125"/>
      <c r="S53" s="125"/>
      <c r="T53" s="125"/>
      <c r="U53" s="125"/>
      <c r="V53" s="125"/>
      <c r="W53" s="125"/>
      <c r="X53" s="125"/>
      <c r="Y53" s="125"/>
      <c r="Z53" s="125"/>
      <c r="AA53" s="125"/>
    </row>
    <row r="54" spans="1:27" ht="13.5" customHeight="1" x14ac:dyDescent="0.25">
      <c r="A54" s="172"/>
      <c r="B54" s="172"/>
      <c r="C54" s="172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27"/>
      <c r="O54" s="127"/>
      <c r="P54" s="127"/>
      <c r="Q54" s="127"/>
      <c r="R54" s="127"/>
      <c r="S54" s="125"/>
      <c r="T54" s="125"/>
      <c r="U54" s="125"/>
      <c r="V54" s="125"/>
      <c r="W54" s="125"/>
      <c r="X54" s="125"/>
      <c r="Y54" s="125"/>
      <c r="Z54" s="125"/>
      <c r="AA54" s="125"/>
    </row>
    <row r="55" spans="1:27" ht="15.75" customHeight="1" x14ac:dyDescent="0.25">
      <c r="A55" s="125"/>
      <c r="B55" s="125"/>
      <c r="C55" s="125"/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</row>
    <row r="56" spans="1:27" ht="30.75" customHeight="1" x14ac:dyDescent="0.25">
      <c r="A56" s="173"/>
      <c r="B56" s="173"/>
      <c r="C56" s="173"/>
      <c r="D56" s="173"/>
      <c r="E56" s="173"/>
      <c r="F56" s="173"/>
      <c r="G56" s="173"/>
      <c r="H56" s="173"/>
      <c r="I56" s="173"/>
      <c r="J56" s="173"/>
      <c r="K56" s="173"/>
      <c r="L56" s="173"/>
      <c r="M56" s="173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  <c r="AA56" s="125"/>
    </row>
    <row r="57" spans="1:27" ht="15.75" customHeight="1" x14ac:dyDescent="0.25">
      <c r="A57" s="125"/>
      <c r="B57" s="125"/>
      <c r="C57" s="125"/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</row>
    <row r="58" spans="1:27" ht="15.75" customHeight="1" x14ac:dyDescent="0.25">
      <c r="A58" s="125"/>
      <c r="B58" s="125"/>
      <c r="C58" s="125"/>
      <c r="D58" s="125"/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  <c r="AA58" s="125"/>
    </row>
    <row r="59" spans="1:27" ht="13.5" customHeight="1" x14ac:dyDescent="0.25">
      <c r="A59" s="125"/>
      <c r="B59" s="125"/>
      <c r="C59" s="125"/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</row>
    <row r="60" spans="1:27" ht="13.5" customHeight="1" x14ac:dyDescent="0.25">
      <c r="A60" s="125"/>
      <c r="B60" s="125"/>
      <c r="C60" s="125"/>
      <c r="D60" s="125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</row>
    <row r="61" spans="1:27" ht="13.5" customHeight="1" x14ac:dyDescent="0.25">
      <c r="A61" s="125"/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</row>
    <row r="62" spans="1:27" ht="13.5" customHeight="1" x14ac:dyDescent="0.25">
      <c r="A62" s="125"/>
      <c r="B62" s="125"/>
      <c r="C62" s="125"/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  <c r="AA62" s="125"/>
    </row>
    <row r="63" spans="1:27" ht="13.5" customHeight="1" x14ac:dyDescent="0.25">
      <c r="A63" s="125"/>
      <c r="B63" s="125"/>
      <c r="C63" s="125"/>
      <c r="D63" s="125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  <c r="AA63" s="125"/>
    </row>
    <row r="64" spans="1:27" ht="13.5" customHeight="1" x14ac:dyDescent="0.25">
      <c r="A64" s="125"/>
      <c r="B64" s="125"/>
      <c r="C64" s="125"/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  <c r="AA64" s="125"/>
    </row>
    <row r="65" spans="1:27" ht="13.5" customHeight="1" x14ac:dyDescent="0.25">
      <c r="A65" s="125"/>
      <c r="B65" s="125"/>
      <c r="C65" s="125"/>
      <c r="D65" s="125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  <c r="AA65" s="125"/>
    </row>
    <row r="66" spans="1:27" ht="13.5" customHeight="1" x14ac:dyDescent="0.25">
      <c r="A66" s="125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</row>
    <row r="67" spans="1:27" ht="13.5" customHeight="1" x14ac:dyDescent="0.25">
      <c r="A67" s="125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</row>
    <row r="68" spans="1:27" ht="13.5" customHeight="1" x14ac:dyDescent="0.25">
      <c r="A68" s="125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</row>
    <row r="69" spans="1:27" ht="13.5" customHeight="1" x14ac:dyDescent="0.25">
      <c r="A69" s="125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</row>
    <row r="70" spans="1:27" ht="13.5" customHeight="1" x14ac:dyDescent="0.25">
      <c r="A70" s="125"/>
      <c r="B70" s="125"/>
      <c r="C70" s="125"/>
      <c r="D70" s="125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  <c r="Z70" s="125"/>
      <c r="AA70" s="125"/>
    </row>
    <row r="71" spans="1:27" ht="13.5" customHeight="1" x14ac:dyDescent="0.25">
      <c r="A71" s="125"/>
      <c r="B71" s="125"/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  <c r="AA71" s="125"/>
    </row>
    <row r="72" spans="1:27" ht="13.5" customHeight="1" x14ac:dyDescent="0.25">
      <c r="A72" s="125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  <c r="AA72" s="125"/>
    </row>
    <row r="73" spans="1:27" ht="13.5" customHeight="1" x14ac:dyDescent="0.25">
      <c r="A73" s="125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5"/>
      <c r="AA73" s="125"/>
    </row>
    <row r="74" spans="1:27" ht="13.5" customHeight="1" x14ac:dyDescent="0.25">
      <c r="A74" s="125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</row>
    <row r="75" spans="1:27" ht="13.5" customHeight="1" x14ac:dyDescent="0.25">
      <c r="A75" s="125"/>
      <c r="B75" s="125"/>
      <c r="C75" s="125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  <c r="AA75" s="125"/>
    </row>
    <row r="76" spans="1:27" ht="13.5" customHeight="1" x14ac:dyDescent="0.25">
      <c r="A76" s="125"/>
      <c r="B76" s="125"/>
      <c r="C76" s="125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  <c r="AA76" s="125"/>
    </row>
    <row r="77" spans="1:27" ht="13.5" customHeight="1" x14ac:dyDescent="0.25">
      <c r="A77" s="125"/>
      <c r="B77" s="125"/>
      <c r="C77" s="125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125"/>
      <c r="AA77" s="125"/>
    </row>
    <row r="78" spans="1:27" ht="13.5" customHeight="1" x14ac:dyDescent="0.25">
      <c r="A78" s="125"/>
      <c r="B78" s="125"/>
      <c r="C78" s="125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5"/>
      <c r="AA78" s="125"/>
    </row>
    <row r="79" spans="1:27" ht="13.5" customHeight="1" x14ac:dyDescent="0.25">
      <c r="A79" s="125"/>
      <c r="B79" s="125"/>
      <c r="C79" s="125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  <c r="AA79" s="125"/>
    </row>
    <row r="80" spans="1:27" ht="13.5" customHeight="1" x14ac:dyDescent="0.25">
      <c r="A80" s="125"/>
      <c r="B80" s="125"/>
      <c r="C80" s="125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  <c r="AA80" s="125"/>
    </row>
    <row r="81" spans="1:27" ht="13.5" customHeight="1" x14ac:dyDescent="0.25">
      <c r="A81" s="125"/>
      <c r="B81" s="125"/>
      <c r="C81" s="125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  <c r="AA81" s="125"/>
    </row>
    <row r="82" spans="1:27" ht="13.5" customHeight="1" x14ac:dyDescent="0.25">
      <c r="A82" s="125"/>
      <c r="B82" s="125"/>
      <c r="C82" s="125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  <c r="AA82" s="125"/>
    </row>
    <row r="83" spans="1:27" ht="13.5" customHeight="1" x14ac:dyDescent="0.25">
      <c r="A83" s="125"/>
      <c r="B83" s="125"/>
      <c r="C83" s="125"/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  <c r="AA83" s="125"/>
    </row>
    <row r="84" spans="1:27" ht="13.5" customHeight="1" x14ac:dyDescent="0.25">
      <c r="A84" s="125"/>
      <c r="B84" s="125"/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  <c r="AA84" s="125"/>
    </row>
    <row r="85" spans="1:27" ht="13.5" customHeight="1" x14ac:dyDescent="0.25">
      <c r="A85" s="125"/>
      <c r="B85" s="125"/>
      <c r="C85" s="125"/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  <c r="AA85" s="125"/>
    </row>
    <row r="86" spans="1:27" ht="13.5" customHeight="1" x14ac:dyDescent="0.25">
      <c r="A86" s="125"/>
      <c r="B86" s="125"/>
      <c r="C86" s="125"/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5"/>
      <c r="AA86" s="125"/>
    </row>
    <row r="87" spans="1:27" ht="13.5" customHeight="1" x14ac:dyDescent="0.25">
      <c r="A87" s="125"/>
      <c r="B87" s="125"/>
      <c r="C87" s="125"/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  <c r="AA87" s="125"/>
    </row>
    <row r="88" spans="1:27" ht="13.5" customHeight="1" x14ac:dyDescent="0.25">
      <c r="A88" s="125"/>
      <c r="B88" s="125"/>
      <c r="C88" s="125"/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  <c r="AA88" s="125"/>
    </row>
    <row r="89" spans="1:27" ht="13.5" customHeight="1" x14ac:dyDescent="0.25">
      <c r="A89" s="125"/>
      <c r="B89" s="125"/>
      <c r="C89" s="125"/>
      <c r="D89" s="125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  <c r="AA89" s="125"/>
    </row>
    <row r="90" spans="1:27" ht="13.5" customHeight="1" x14ac:dyDescent="0.25">
      <c r="A90" s="125"/>
      <c r="B90" s="125"/>
      <c r="C90" s="125"/>
      <c r="D90" s="125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  <c r="AA90" s="125"/>
    </row>
    <row r="91" spans="1:27" ht="13.5" customHeight="1" x14ac:dyDescent="0.25">
      <c r="A91" s="125"/>
      <c r="B91" s="125"/>
      <c r="C91" s="125"/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  <c r="AA91" s="125"/>
    </row>
    <row r="92" spans="1:27" ht="13.5" customHeight="1" x14ac:dyDescent="0.25">
      <c r="A92" s="125"/>
      <c r="B92" s="125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  <c r="AA92" s="125"/>
    </row>
    <row r="93" spans="1:27" ht="13.5" customHeight="1" x14ac:dyDescent="0.25">
      <c r="A93" s="125"/>
      <c r="B93" s="125"/>
      <c r="C93" s="125"/>
      <c r="D93" s="125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  <c r="AA93" s="125"/>
    </row>
    <row r="94" spans="1:27" ht="13.5" customHeight="1" x14ac:dyDescent="0.25">
      <c r="A94" s="125"/>
      <c r="B94" s="125"/>
      <c r="C94" s="125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  <c r="AA94" s="125"/>
    </row>
    <row r="95" spans="1:27" ht="13.5" customHeight="1" x14ac:dyDescent="0.25">
      <c r="A95" s="125"/>
      <c r="B95" s="125"/>
      <c r="C95" s="125"/>
      <c r="D95" s="125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  <c r="AA95" s="125"/>
    </row>
    <row r="96" spans="1:27" ht="13.5" customHeight="1" x14ac:dyDescent="0.25">
      <c r="A96" s="125"/>
      <c r="B96" s="125"/>
      <c r="C96" s="125"/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25"/>
      <c r="AA96" s="125"/>
    </row>
    <row r="97" spans="1:27" ht="13.5" customHeight="1" x14ac:dyDescent="0.25">
      <c r="A97" s="125"/>
      <c r="B97" s="125"/>
      <c r="C97" s="125"/>
      <c r="D97" s="125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  <c r="AA97" s="125"/>
    </row>
    <row r="98" spans="1:27" ht="13.5" customHeight="1" x14ac:dyDescent="0.25">
      <c r="A98" s="125"/>
      <c r="B98" s="125"/>
      <c r="C98" s="125"/>
      <c r="D98" s="125"/>
      <c r="E98" s="125"/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  <c r="Z98" s="125"/>
      <c r="AA98" s="125"/>
    </row>
    <row r="99" spans="1:27" ht="13.5" customHeight="1" x14ac:dyDescent="0.25">
      <c r="A99" s="125"/>
      <c r="B99" s="125"/>
      <c r="C99" s="125"/>
      <c r="D99" s="125"/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  <c r="Z99" s="125"/>
      <c r="AA99" s="125"/>
    </row>
    <row r="100" spans="1:27" ht="13.5" customHeight="1" x14ac:dyDescent="0.25">
      <c r="A100" s="125"/>
      <c r="B100" s="125"/>
      <c r="C100" s="125"/>
      <c r="D100" s="125"/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  <c r="AA100" s="125"/>
    </row>
    <row r="101" spans="1:27" ht="13.5" customHeight="1" x14ac:dyDescent="0.25">
      <c r="A101" s="125"/>
      <c r="B101" s="125"/>
      <c r="C101" s="125"/>
      <c r="D101" s="125"/>
      <c r="E101" s="125"/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  <c r="W101" s="125"/>
      <c r="X101" s="125"/>
      <c r="Y101" s="125"/>
      <c r="Z101" s="125"/>
      <c r="AA101" s="125"/>
    </row>
    <row r="102" spans="1:27" ht="13.5" customHeight="1" x14ac:dyDescent="0.25">
      <c r="A102" s="125"/>
      <c r="B102" s="125"/>
      <c r="C102" s="125"/>
      <c r="D102" s="125"/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125"/>
      <c r="U102" s="125"/>
      <c r="V102" s="125"/>
      <c r="W102" s="125"/>
      <c r="X102" s="125"/>
      <c r="Y102" s="125"/>
      <c r="Z102" s="125"/>
      <c r="AA102" s="125"/>
    </row>
    <row r="103" spans="1:27" ht="13.5" customHeight="1" x14ac:dyDescent="0.25">
      <c r="A103" s="125"/>
      <c r="B103" s="125"/>
      <c r="C103" s="125"/>
      <c r="D103" s="125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  <c r="W103" s="125"/>
      <c r="X103" s="125"/>
      <c r="Y103" s="125"/>
      <c r="Z103" s="125"/>
      <c r="AA103" s="125"/>
    </row>
    <row r="104" spans="1:27" ht="13.5" customHeight="1" x14ac:dyDescent="0.25">
      <c r="A104" s="125"/>
      <c r="B104" s="125"/>
      <c r="C104" s="125"/>
      <c r="D104" s="125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  <c r="AA104" s="125"/>
    </row>
    <row r="105" spans="1:27" ht="13.5" customHeight="1" x14ac:dyDescent="0.25">
      <c r="A105" s="125"/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  <c r="AA105" s="125"/>
    </row>
    <row r="106" spans="1:27" ht="13.5" customHeight="1" x14ac:dyDescent="0.25">
      <c r="A106" s="125"/>
      <c r="B106" s="125"/>
      <c r="C106" s="125"/>
      <c r="D106" s="125"/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  <c r="AA106" s="125"/>
    </row>
    <row r="107" spans="1:27" ht="13.5" customHeight="1" x14ac:dyDescent="0.25">
      <c r="A107" s="125"/>
      <c r="B107" s="125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125"/>
    </row>
    <row r="108" spans="1:27" ht="13.5" customHeight="1" x14ac:dyDescent="0.25">
      <c r="A108" s="125"/>
      <c r="B108" s="125"/>
      <c r="C108" s="125"/>
      <c r="D108" s="125"/>
      <c r="E108" s="125"/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  <c r="AA108" s="125"/>
    </row>
    <row r="109" spans="1:27" ht="13.5" customHeight="1" x14ac:dyDescent="0.25">
      <c r="A109" s="125"/>
      <c r="B109" s="125"/>
      <c r="C109" s="125"/>
      <c r="D109" s="125"/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  <c r="AA109" s="125"/>
    </row>
    <row r="110" spans="1:27" ht="13.5" customHeight="1" x14ac:dyDescent="0.25">
      <c r="A110" s="125"/>
      <c r="B110" s="125"/>
      <c r="C110" s="125"/>
      <c r="D110" s="125"/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  <c r="AA110" s="125"/>
    </row>
    <row r="111" spans="1:27" ht="13.5" customHeight="1" x14ac:dyDescent="0.25">
      <c r="A111" s="125"/>
      <c r="B111" s="125"/>
      <c r="C111" s="125"/>
      <c r="D111" s="125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  <c r="Y111" s="125"/>
      <c r="Z111" s="125"/>
      <c r="AA111" s="125"/>
    </row>
    <row r="112" spans="1:27" ht="13.5" customHeight="1" x14ac:dyDescent="0.25">
      <c r="A112" s="125"/>
      <c r="B112" s="125"/>
      <c r="C112" s="125"/>
      <c r="D112" s="125"/>
      <c r="E112" s="125"/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  <c r="AA112" s="125"/>
    </row>
    <row r="113" spans="1:27" ht="13.5" customHeight="1" x14ac:dyDescent="0.25">
      <c r="A113" s="125"/>
      <c r="B113" s="125"/>
      <c r="C113" s="125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  <c r="AA113" s="125"/>
    </row>
    <row r="114" spans="1:27" ht="13.5" customHeight="1" x14ac:dyDescent="0.25">
      <c r="A114" s="125"/>
      <c r="B114" s="125"/>
      <c r="C114" s="125"/>
      <c r="D114" s="125"/>
      <c r="E114" s="125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125"/>
      <c r="U114" s="125"/>
      <c r="V114" s="125"/>
      <c r="W114" s="125"/>
      <c r="X114" s="125"/>
      <c r="Y114" s="125"/>
      <c r="Z114" s="125"/>
      <c r="AA114" s="125"/>
    </row>
    <row r="115" spans="1:27" ht="13.5" customHeight="1" x14ac:dyDescent="0.25">
      <c r="A115" s="125"/>
      <c r="B115" s="125"/>
      <c r="C115" s="125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</row>
    <row r="116" spans="1:27" ht="13.5" customHeight="1" x14ac:dyDescent="0.25">
      <c r="A116" s="125"/>
      <c r="B116" s="125"/>
      <c r="C116" s="125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</row>
    <row r="117" spans="1:27" ht="13.5" customHeight="1" x14ac:dyDescent="0.25">
      <c r="A117" s="125"/>
      <c r="B117" s="125"/>
      <c r="C117" s="125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</row>
    <row r="118" spans="1:27" ht="13.5" customHeight="1" x14ac:dyDescent="0.25">
      <c r="A118" s="125"/>
      <c r="B118" s="125"/>
      <c r="C118" s="125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</row>
    <row r="119" spans="1:27" ht="13.5" customHeight="1" x14ac:dyDescent="0.25">
      <c r="A119" s="125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</row>
    <row r="120" spans="1:27" ht="13.5" customHeight="1" x14ac:dyDescent="0.25">
      <c r="A120" s="125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</row>
    <row r="121" spans="1:27" ht="13.5" customHeight="1" x14ac:dyDescent="0.25">
      <c r="A121" s="125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</row>
    <row r="122" spans="1:27" ht="13.5" customHeight="1" x14ac:dyDescent="0.25">
      <c r="A122" s="125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</row>
    <row r="123" spans="1:27" ht="13.5" customHeight="1" x14ac:dyDescent="0.25">
      <c r="A123" s="125"/>
      <c r="B123" s="125"/>
      <c r="C123" s="125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</row>
    <row r="124" spans="1:27" ht="13.5" customHeight="1" x14ac:dyDescent="0.25">
      <c r="A124" s="125"/>
      <c r="B124" s="125"/>
      <c r="C124" s="125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</row>
    <row r="125" spans="1:27" ht="13.5" customHeight="1" x14ac:dyDescent="0.25">
      <c r="A125" s="125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</row>
    <row r="126" spans="1:27" ht="13.5" customHeight="1" x14ac:dyDescent="0.25">
      <c r="A126" s="125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</row>
    <row r="127" spans="1:27" ht="13.5" customHeight="1" x14ac:dyDescent="0.25">
      <c r="A127" s="125"/>
      <c r="B127" s="125"/>
      <c r="C127" s="125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</row>
    <row r="128" spans="1:27" ht="13.5" customHeight="1" x14ac:dyDescent="0.25">
      <c r="A128" s="125"/>
      <c r="B128" s="125"/>
      <c r="C128" s="125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</row>
    <row r="129" spans="1:27" ht="13.5" customHeight="1" x14ac:dyDescent="0.25">
      <c r="A129" s="125"/>
      <c r="B129" s="125"/>
      <c r="C129" s="125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</row>
    <row r="130" spans="1:27" ht="13.5" customHeight="1" x14ac:dyDescent="0.25">
      <c r="A130" s="125"/>
      <c r="B130" s="125"/>
      <c r="C130" s="125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</row>
    <row r="131" spans="1:27" ht="13.5" customHeight="1" x14ac:dyDescent="0.25">
      <c r="A131" s="125"/>
      <c r="B131" s="125"/>
      <c r="C131" s="125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</row>
    <row r="132" spans="1:27" ht="13.5" customHeight="1" x14ac:dyDescent="0.25">
      <c r="A132" s="125"/>
      <c r="B132" s="125"/>
      <c r="C132" s="125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</row>
    <row r="133" spans="1:27" ht="13.5" customHeight="1" x14ac:dyDescent="0.25">
      <c r="A133" s="125"/>
      <c r="B133" s="125"/>
      <c r="C133" s="125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</row>
    <row r="134" spans="1:27" ht="13.5" customHeight="1" x14ac:dyDescent="0.25">
      <c r="A134" s="125"/>
      <c r="B134" s="125"/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</row>
    <row r="135" spans="1:27" ht="13.5" customHeight="1" x14ac:dyDescent="0.25">
      <c r="A135" s="125"/>
      <c r="B135" s="125"/>
      <c r="C135" s="125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</row>
    <row r="136" spans="1:27" ht="13.5" customHeight="1" x14ac:dyDescent="0.25">
      <c r="A136" s="125"/>
      <c r="B136" s="125"/>
      <c r="C136" s="125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</row>
    <row r="137" spans="1:27" ht="13.5" customHeight="1" x14ac:dyDescent="0.25">
      <c r="A137" s="125"/>
      <c r="B137" s="125"/>
      <c r="C137" s="125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</row>
    <row r="138" spans="1:27" ht="13.5" customHeight="1" x14ac:dyDescent="0.25">
      <c r="A138" s="125"/>
      <c r="B138" s="125"/>
      <c r="C138" s="125"/>
      <c r="D138" s="125"/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125"/>
      <c r="U138" s="125"/>
      <c r="V138" s="125"/>
      <c r="W138" s="125"/>
      <c r="X138" s="125"/>
      <c r="Y138" s="125"/>
      <c r="Z138" s="125"/>
      <c r="AA138" s="125"/>
    </row>
    <row r="139" spans="1:27" ht="13.5" customHeight="1" x14ac:dyDescent="0.25">
      <c r="A139" s="125"/>
      <c r="B139" s="125"/>
      <c r="C139" s="125"/>
      <c r="D139" s="125"/>
      <c r="E139" s="125"/>
      <c r="F139" s="125"/>
      <c r="G139" s="125"/>
      <c r="H139" s="125"/>
      <c r="I139" s="125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125"/>
      <c r="U139" s="125"/>
      <c r="V139" s="125"/>
      <c r="W139" s="125"/>
      <c r="X139" s="125"/>
      <c r="Y139" s="125"/>
      <c r="Z139" s="125"/>
      <c r="AA139" s="125"/>
    </row>
    <row r="140" spans="1:27" ht="13.5" customHeight="1" x14ac:dyDescent="0.25">
      <c r="A140" s="125"/>
      <c r="B140" s="125"/>
      <c r="C140" s="125"/>
      <c r="D140" s="125"/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  <c r="AA140" s="125"/>
    </row>
    <row r="141" spans="1:27" ht="13.5" customHeight="1" x14ac:dyDescent="0.25">
      <c r="A141" s="125"/>
      <c r="B141" s="125"/>
      <c r="C141" s="125"/>
      <c r="D141" s="125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5"/>
      <c r="U141" s="125"/>
      <c r="V141" s="125"/>
      <c r="W141" s="125"/>
      <c r="X141" s="125"/>
      <c r="Y141" s="125"/>
      <c r="Z141" s="125"/>
      <c r="AA141" s="125"/>
    </row>
    <row r="142" spans="1:27" ht="13.5" customHeight="1" x14ac:dyDescent="0.25">
      <c r="A142" s="125"/>
      <c r="B142" s="125"/>
      <c r="C142" s="125"/>
      <c r="D142" s="125"/>
      <c r="E142" s="125"/>
      <c r="F142" s="125"/>
      <c r="G142" s="125"/>
      <c r="H142" s="125"/>
      <c r="I142" s="125"/>
      <c r="J142" s="125"/>
      <c r="K142" s="125"/>
      <c r="L142" s="125"/>
      <c r="M142" s="125"/>
      <c r="N142" s="125"/>
      <c r="O142" s="125"/>
      <c r="P142" s="125"/>
      <c r="Q142" s="125"/>
      <c r="R142" s="125"/>
      <c r="S142" s="125"/>
      <c r="T142" s="125"/>
      <c r="U142" s="125"/>
      <c r="V142" s="125"/>
      <c r="W142" s="125"/>
      <c r="X142" s="125"/>
      <c r="Y142" s="125"/>
      <c r="Z142" s="125"/>
      <c r="AA142" s="125"/>
    </row>
    <row r="143" spans="1:27" ht="13.5" customHeight="1" x14ac:dyDescent="0.25">
      <c r="A143" s="125"/>
      <c r="B143" s="125"/>
      <c r="C143" s="125"/>
      <c r="D143" s="125"/>
      <c r="E143" s="125"/>
      <c r="F143" s="125"/>
      <c r="G143" s="125"/>
      <c r="H143" s="125"/>
      <c r="I143" s="125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  <c r="Y143" s="125"/>
      <c r="Z143" s="125"/>
      <c r="AA143" s="125"/>
    </row>
    <row r="144" spans="1:27" ht="13.5" customHeight="1" x14ac:dyDescent="0.25">
      <c r="A144" s="125"/>
      <c r="B144" s="125"/>
      <c r="C144" s="125"/>
      <c r="D144" s="125"/>
      <c r="E144" s="125"/>
      <c r="F144" s="125"/>
      <c r="G144" s="125"/>
      <c r="H144" s="125"/>
      <c r="I144" s="125"/>
      <c r="J144" s="125"/>
      <c r="K144" s="125"/>
      <c r="L144" s="125"/>
      <c r="M144" s="125"/>
      <c r="N144" s="125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  <c r="Y144" s="125"/>
      <c r="Z144" s="125"/>
      <c r="AA144" s="125"/>
    </row>
    <row r="145" spans="1:27" ht="13.5" customHeight="1" x14ac:dyDescent="0.25">
      <c r="A145" s="125"/>
      <c r="B145" s="125"/>
      <c r="C145" s="125"/>
      <c r="D145" s="125"/>
      <c r="E145" s="125"/>
      <c r="F145" s="125"/>
      <c r="G145" s="125"/>
      <c r="H145" s="125"/>
      <c r="I145" s="125"/>
      <c r="J145" s="125"/>
      <c r="K145" s="125"/>
      <c r="L145" s="125"/>
      <c r="M145" s="125"/>
      <c r="N145" s="125"/>
      <c r="O145" s="125"/>
      <c r="P145" s="125"/>
      <c r="Q145" s="125"/>
      <c r="R145" s="125"/>
      <c r="S145" s="125"/>
      <c r="T145" s="125"/>
      <c r="U145" s="125"/>
      <c r="V145" s="125"/>
      <c r="W145" s="125"/>
      <c r="X145" s="125"/>
      <c r="Y145" s="125"/>
      <c r="Z145" s="125"/>
      <c r="AA145" s="125"/>
    </row>
    <row r="146" spans="1:27" ht="13.5" customHeight="1" x14ac:dyDescent="0.25">
      <c r="A146" s="125"/>
      <c r="B146" s="125"/>
      <c r="C146" s="125"/>
      <c r="D146" s="125"/>
      <c r="E146" s="125"/>
      <c r="F146" s="125"/>
      <c r="G146" s="125"/>
      <c r="H146" s="125"/>
      <c r="I146" s="125"/>
      <c r="J146" s="125"/>
      <c r="K146" s="125"/>
      <c r="L146" s="125"/>
      <c r="M146" s="125"/>
      <c r="N146" s="125"/>
      <c r="O146" s="125"/>
      <c r="P146" s="125"/>
      <c r="Q146" s="125"/>
      <c r="R146" s="125"/>
      <c r="S146" s="125"/>
      <c r="T146" s="125"/>
      <c r="U146" s="125"/>
      <c r="V146" s="125"/>
      <c r="W146" s="125"/>
      <c r="X146" s="125"/>
      <c r="Y146" s="125"/>
      <c r="Z146" s="125"/>
      <c r="AA146" s="125"/>
    </row>
    <row r="147" spans="1:27" ht="13.5" customHeight="1" x14ac:dyDescent="0.25">
      <c r="A147" s="125"/>
      <c r="B147" s="125"/>
      <c r="C147" s="125"/>
      <c r="D147" s="125"/>
      <c r="E147" s="125"/>
      <c r="F147" s="125"/>
      <c r="G147" s="125"/>
      <c r="H147" s="125"/>
      <c r="I147" s="125"/>
      <c r="J147" s="125"/>
      <c r="K147" s="125"/>
      <c r="L147" s="125"/>
      <c r="M147" s="125"/>
      <c r="N147" s="125"/>
      <c r="O147" s="125"/>
      <c r="P147" s="125"/>
      <c r="Q147" s="125"/>
      <c r="R147" s="125"/>
      <c r="S147" s="125"/>
      <c r="T147" s="125"/>
      <c r="U147" s="125"/>
      <c r="V147" s="125"/>
      <c r="W147" s="125"/>
      <c r="X147" s="125"/>
      <c r="Y147" s="125"/>
      <c r="Z147" s="125"/>
      <c r="AA147" s="125"/>
    </row>
    <row r="148" spans="1:27" ht="13.5" customHeight="1" x14ac:dyDescent="0.25">
      <c r="A148" s="125"/>
      <c r="B148" s="125"/>
      <c r="C148" s="125"/>
      <c r="D148" s="125"/>
      <c r="E148" s="125"/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  <c r="Q148" s="125"/>
      <c r="R148" s="125"/>
      <c r="S148" s="125"/>
      <c r="T148" s="125"/>
      <c r="U148" s="125"/>
      <c r="V148" s="125"/>
      <c r="W148" s="125"/>
      <c r="X148" s="125"/>
      <c r="Y148" s="125"/>
      <c r="Z148" s="125"/>
      <c r="AA148" s="125"/>
    </row>
    <row r="149" spans="1:27" ht="13.5" customHeight="1" x14ac:dyDescent="0.25">
      <c r="A149" s="125"/>
      <c r="B149" s="125"/>
      <c r="C149" s="125"/>
      <c r="D149" s="125"/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125"/>
      <c r="T149" s="125"/>
      <c r="U149" s="125"/>
      <c r="V149" s="125"/>
      <c r="W149" s="125"/>
      <c r="X149" s="125"/>
      <c r="Y149" s="125"/>
      <c r="Z149" s="125"/>
      <c r="AA149" s="125"/>
    </row>
    <row r="150" spans="1:27" ht="13.5" customHeight="1" x14ac:dyDescent="0.25">
      <c r="A150" s="125"/>
      <c r="B150" s="125"/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  <c r="AA150" s="125"/>
    </row>
    <row r="151" spans="1:27" ht="13.5" customHeight="1" x14ac:dyDescent="0.25">
      <c r="A151" s="125"/>
      <c r="B151" s="125"/>
      <c r="C151" s="125"/>
      <c r="D151" s="125"/>
      <c r="E151" s="125"/>
      <c r="F151" s="125"/>
      <c r="G151" s="125"/>
      <c r="H151" s="125"/>
      <c r="I151" s="125"/>
      <c r="J151" s="125"/>
      <c r="K151" s="125"/>
      <c r="L151" s="125"/>
      <c r="M151" s="125"/>
      <c r="N151" s="125"/>
      <c r="O151" s="125"/>
      <c r="P151" s="125"/>
      <c r="Q151" s="125"/>
      <c r="R151" s="125"/>
      <c r="S151" s="125"/>
      <c r="T151" s="125"/>
      <c r="U151" s="125"/>
      <c r="V151" s="125"/>
      <c r="W151" s="125"/>
      <c r="X151" s="125"/>
      <c r="Y151" s="125"/>
      <c r="Z151" s="125"/>
      <c r="AA151" s="125"/>
    </row>
    <row r="152" spans="1:27" ht="13.5" customHeight="1" x14ac:dyDescent="0.25">
      <c r="A152" s="125"/>
      <c r="B152" s="125"/>
      <c r="C152" s="125"/>
      <c r="D152" s="125"/>
      <c r="E152" s="125"/>
      <c r="F152" s="125"/>
      <c r="G152" s="125"/>
      <c r="H152" s="125"/>
      <c r="I152" s="125"/>
      <c r="J152" s="125"/>
      <c r="K152" s="125"/>
      <c r="L152" s="125"/>
      <c r="M152" s="125"/>
      <c r="N152" s="125"/>
      <c r="O152" s="125"/>
      <c r="P152" s="125"/>
      <c r="Q152" s="125"/>
      <c r="R152" s="125"/>
      <c r="S152" s="125"/>
      <c r="T152" s="125"/>
      <c r="U152" s="125"/>
      <c r="V152" s="125"/>
      <c r="W152" s="125"/>
      <c r="X152" s="125"/>
      <c r="Y152" s="125"/>
      <c r="Z152" s="125"/>
      <c r="AA152" s="125"/>
    </row>
    <row r="153" spans="1:27" ht="13.5" customHeight="1" x14ac:dyDescent="0.25">
      <c r="A153" s="125"/>
      <c r="B153" s="125"/>
      <c r="C153" s="125"/>
      <c r="D153" s="125"/>
      <c r="E153" s="125"/>
      <c r="F153" s="125"/>
      <c r="G153" s="125"/>
      <c r="H153" s="125"/>
      <c r="I153" s="125"/>
      <c r="J153" s="125"/>
      <c r="K153" s="125"/>
      <c r="L153" s="125"/>
      <c r="M153" s="125"/>
      <c r="N153" s="125"/>
      <c r="O153" s="125"/>
      <c r="P153" s="125"/>
      <c r="Q153" s="125"/>
      <c r="R153" s="125"/>
      <c r="S153" s="125"/>
      <c r="T153" s="125"/>
      <c r="U153" s="125"/>
      <c r="V153" s="125"/>
      <c r="W153" s="125"/>
      <c r="X153" s="125"/>
      <c r="Y153" s="125"/>
      <c r="Z153" s="125"/>
      <c r="AA153" s="125"/>
    </row>
    <row r="154" spans="1:27" ht="13.5" customHeight="1" x14ac:dyDescent="0.25">
      <c r="A154" s="125"/>
      <c r="B154" s="125"/>
      <c r="C154" s="125"/>
      <c r="D154" s="125"/>
      <c r="E154" s="125"/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5"/>
      <c r="U154" s="125"/>
      <c r="V154" s="125"/>
      <c r="W154" s="125"/>
      <c r="X154" s="125"/>
      <c r="Y154" s="125"/>
      <c r="Z154" s="125"/>
      <c r="AA154" s="125"/>
    </row>
    <row r="155" spans="1:27" ht="13.5" customHeight="1" x14ac:dyDescent="0.25">
      <c r="A155" s="125"/>
      <c r="B155" s="125"/>
      <c r="C155" s="125"/>
      <c r="D155" s="125"/>
      <c r="E155" s="125"/>
      <c r="F155" s="125"/>
      <c r="G155" s="125"/>
      <c r="H155" s="125"/>
      <c r="I155" s="125"/>
      <c r="J155" s="125"/>
      <c r="K155" s="125"/>
      <c r="L155" s="125"/>
      <c r="M155" s="125"/>
      <c r="N155" s="125"/>
      <c r="O155" s="125"/>
      <c r="P155" s="125"/>
      <c r="Q155" s="125"/>
      <c r="R155" s="125"/>
      <c r="S155" s="125"/>
      <c r="T155" s="125"/>
      <c r="U155" s="125"/>
      <c r="V155" s="125"/>
      <c r="W155" s="125"/>
      <c r="X155" s="125"/>
      <c r="Y155" s="125"/>
      <c r="Z155" s="125"/>
      <c r="AA155" s="125"/>
    </row>
    <row r="156" spans="1:27" ht="13.5" customHeight="1" x14ac:dyDescent="0.25">
      <c r="A156" s="125"/>
      <c r="B156" s="125"/>
      <c r="C156" s="125"/>
      <c r="D156" s="125"/>
      <c r="E156" s="125"/>
      <c r="F156" s="125"/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S156" s="125"/>
      <c r="T156" s="125"/>
      <c r="U156" s="125"/>
      <c r="V156" s="125"/>
      <c r="W156" s="125"/>
      <c r="X156" s="125"/>
      <c r="Y156" s="125"/>
      <c r="Z156" s="125"/>
      <c r="AA156" s="125"/>
    </row>
    <row r="157" spans="1:27" ht="13.5" customHeight="1" x14ac:dyDescent="0.25">
      <c r="A157" s="125"/>
      <c r="B157" s="125"/>
      <c r="C157" s="125"/>
      <c r="D157" s="125"/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125"/>
      <c r="U157" s="125"/>
      <c r="V157" s="125"/>
      <c r="W157" s="125"/>
      <c r="X157" s="125"/>
      <c r="Y157" s="125"/>
      <c r="Z157" s="125"/>
      <c r="AA157" s="125"/>
    </row>
    <row r="158" spans="1:27" ht="13.5" customHeight="1" x14ac:dyDescent="0.25">
      <c r="A158" s="125"/>
      <c r="B158" s="125"/>
      <c r="C158" s="125"/>
      <c r="D158" s="125"/>
      <c r="E158" s="125"/>
      <c r="F158" s="125"/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  <c r="T158" s="125"/>
      <c r="U158" s="125"/>
      <c r="V158" s="125"/>
      <c r="W158" s="125"/>
      <c r="X158" s="125"/>
      <c r="Y158" s="125"/>
      <c r="Z158" s="125"/>
      <c r="AA158" s="125"/>
    </row>
    <row r="159" spans="1:27" ht="13.5" customHeight="1" x14ac:dyDescent="0.25">
      <c r="A159" s="125"/>
      <c r="B159" s="125"/>
      <c r="C159" s="125"/>
      <c r="D159" s="125"/>
      <c r="E159" s="125"/>
      <c r="F159" s="125"/>
      <c r="G159" s="125"/>
      <c r="H159" s="125"/>
      <c r="I159" s="125"/>
      <c r="J159" s="125"/>
      <c r="K159" s="125"/>
      <c r="L159" s="125"/>
      <c r="M159" s="125"/>
      <c r="N159" s="125"/>
      <c r="O159" s="125"/>
      <c r="P159" s="125"/>
      <c r="Q159" s="125"/>
      <c r="R159" s="125"/>
      <c r="S159" s="125"/>
      <c r="T159" s="125"/>
      <c r="U159" s="125"/>
      <c r="V159" s="125"/>
      <c r="W159" s="125"/>
      <c r="X159" s="125"/>
      <c r="Y159" s="125"/>
      <c r="Z159" s="125"/>
      <c r="AA159" s="125"/>
    </row>
    <row r="160" spans="1:27" ht="13.5" customHeight="1" x14ac:dyDescent="0.25">
      <c r="A160" s="125"/>
      <c r="B160" s="125"/>
      <c r="C160" s="125"/>
      <c r="D160" s="125"/>
      <c r="E160" s="125"/>
      <c r="F160" s="125"/>
      <c r="G160" s="125"/>
      <c r="H160" s="125"/>
      <c r="I160" s="125"/>
      <c r="J160" s="125"/>
      <c r="K160" s="125"/>
      <c r="L160" s="125"/>
      <c r="M160" s="125"/>
      <c r="N160" s="125"/>
      <c r="O160" s="125"/>
      <c r="P160" s="125"/>
      <c r="Q160" s="125"/>
      <c r="R160" s="125"/>
      <c r="S160" s="125"/>
      <c r="T160" s="125"/>
      <c r="U160" s="125"/>
      <c r="V160" s="125"/>
      <c r="W160" s="125"/>
      <c r="X160" s="125"/>
      <c r="Y160" s="125"/>
      <c r="Z160" s="125"/>
      <c r="AA160" s="125"/>
    </row>
    <row r="161" spans="1:27" ht="13.5" customHeight="1" x14ac:dyDescent="0.25">
      <c r="A161" s="125"/>
      <c r="B161" s="125"/>
      <c r="C161" s="125"/>
      <c r="D161" s="125"/>
      <c r="E161" s="125"/>
      <c r="F161" s="125"/>
      <c r="G161" s="125"/>
      <c r="H161" s="125"/>
      <c r="I161" s="125"/>
      <c r="J161" s="125"/>
      <c r="K161" s="125"/>
      <c r="L161" s="125"/>
      <c r="M161" s="125"/>
      <c r="N161" s="125"/>
      <c r="O161" s="125"/>
      <c r="P161" s="125"/>
      <c r="Q161" s="125"/>
      <c r="R161" s="125"/>
      <c r="S161" s="125"/>
      <c r="T161" s="125"/>
      <c r="U161" s="125"/>
      <c r="V161" s="125"/>
      <c r="W161" s="125"/>
      <c r="X161" s="125"/>
      <c r="Y161" s="125"/>
      <c r="Z161" s="125"/>
      <c r="AA161" s="125"/>
    </row>
    <row r="162" spans="1:27" ht="13.5" customHeight="1" x14ac:dyDescent="0.25">
      <c r="A162" s="125"/>
      <c r="B162" s="125"/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  <c r="AA162" s="125"/>
    </row>
    <row r="163" spans="1:27" ht="13.5" customHeight="1" x14ac:dyDescent="0.25">
      <c r="A163" s="125"/>
      <c r="B163" s="125"/>
      <c r="C163" s="125"/>
      <c r="D163" s="125"/>
      <c r="E163" s="125"/>
      <c r="F163" s="125"/>
      <c r="G163" s="125"/>
      <c r="H163" s="125"/>
      <c r="I163" s="125"/>
      <c r="J163" s="125"/>
      <c r="K163" s="125"/>
      <c r="L163" s="125"/>
      <c r="M163" s="125"/>
      <c r="N163" s="125"/>
      <c r="O163" s="125"/>
      <c r="P163" s="125"/>
      <c r="Q163" s="125"/>
      <c r="R163" s="125"/>
      <c r="S163" s="125"/>
      <c r="T163" s="125"/>
      <c r="U163" s="125"/>
      <c r="V163" s="125"/>
      <c r="W163" s="125"/>
      <c r="X163" s="125"/>
      <c r="Y163" s="125"/>
      <c r="Z163" s="125"/>
      <c r="AA163" s="125"/>
    </row>
    <row r="164" spans="1:27" ht="13.5" customHeight="1" x14ac:dyDescent="0.25">
      <c r="A164" s="125"/>
      <c r="B164" s="125"/>
      <c r="C164" s="125"/>
      <c r="D164" s="125"/>
      <c r="E164" s="125"/>
      <c r="F164" s="125"/>
      <c r="G164" s="125"/>
      <c r="H164" s="125"/>
      <c r="I164" s="125"/>
      <c r="J164" s="125"/>
      <c r="K164" s="125"/>
      <c r="L164" s="125"/>
      <c r="M164" s="125"/>
      <c r="N164" s="125"/>
      <c r="O164" s="125"/>
      <c r="P164" s="125"/>
      <c r="Q164" s="125"/>
      <c r="R164" s="125"/>
      <c r="S164" s="125"/>
      <c r="T164" s="125"/>
      <c r="U164" s="125"/>
      <c r="V164" s="125"/>
      <c r="W164" s="125"/>
      <c r="X164" s="125"/>
      <c r="Y164" s="125"/>
      <c r="Z164" s="125"/>
      <c r="AA164" s="125"/>
    </row>
    <row r="165" spans="1:27" ht="13.5" customHeight="1" x14ac:dyDescent="0.25">
      <c r="A165" s="125"/>
      <c r="B165" s="125"/>
      <c r="C165" s="125"/>
      <c r="D165" s="125"/>
      <c r="E165" s="125"/>
      <c r="F165" s="125"/>
      <c r="G165" s="125"/>
      <c r="H165" s="125"/>
      <c r="I165" s="125"/>
      <c r="J165" s="125"/>
      <c r="K165" s="125"/>
      <c r="L165" s="125"/>
      <c r="M165" s="125"/>
      <c r="N165" s="125"/>
      <c r="O165" s="125"/>
      <c r="P165" s="125"/>
      <c r="Q165" s="125"/>
      <c r="R165" s="125"/>
      <c r="S165" s="125"/>
      <c r="T165" s="125"/>
      <c r="U165" s="125"/>
      <c r="V165" s="125"/>
      <c r="W165" s="125"/>
      <c r="X165" s="125"/>
      <c r="Y165" s="125"/>
      <c r="Z165" s="125"/>
      <c r="AA165" s="125"/>
    </row>
    <row r="166" spans="1:27" ht="13.5" customHeight="1" x14ac:dyDescent="0.25">
      <c r="A166" s="125"/>
      <c r="B166" s="125"/>
      <c r="C166" s="125"/>
      <c r="D166" s="125"/>
      <c r="E166" s="125"/>
      <c r="F166" s="125"/>
      <c r="G166" s="125"/>
      <c r="H166" s="125"/>
      <c r="I166" s="125"/>
      <c r="J166" s="125"/>
      <c r="K166" s="125"/>
      <c r="L166" s="125"/>
      <c r="M166" s="125"/>
      <c r="N166" s="125"/>
      <c r="O166" s="125"/>
      <c r="P166" s="125"/>
      <c r="Q166" s="125"/>
      <c r="R166" s="125"/>
      <c r="S166" s="125"/>
      <c r="T166" s="125"/>
      <c r="U166" s="125"/>
      <c r="V166" s="125"/>
      <c r="W166" s="125"/>
      <c r="X166" s="125"/>
      <c r="Y166" s="125"/>
      <c r="Z166" s="125"/>
      <c r="AA166" s="125"/>
    </row>
    <row r="167" spans="1:27" ht="13.5" customHeight="1" x14ac:dyDescent="0.25">
      <c r="A167" s="125"/>
      <c r="B167" s="125"/>
      <c r="C167" s="125"/>
      <c r="D167" s="125"/>
      <c r="E167" s="125"/>
      <c r="F167" s="125"/>
      <c r="G167" s="125"/>
      <c r="H167" s="125"/>
      <c r="I167" s="125"/>
      <c r="J167" s="125"/>
      <c r="K167" s="125"/>
      <c r="L167" s="125"/>
      <c r="M167" s="125"/>
      <c r="N167" s="125"/>
      <c r="O167" s="125"/>
      <c r="P167" s="125"/>
      <c r="Q167" s="125"/>
      <c r="R167" s="125"/>
      <c r="S167" s="125"/>
      <c r="T167" s="125"/>
      <c r="U167" s="125"/>
      <c r="V167" s="125"/>
      <c r="W167" s="125"/>
      <c r="X167" s="125"/>
      <c r="Y167" s="125"/>
      <c r="Z167" s="125"/>
      <c r="AA167" s="125"/>
    </row>
    <row r="168" spans="1:27" ht="13.5" customHeight="1" x14ac:dyDescent="0.25">
      <c r="A168" s="125"/>
      <c r="B168" s="125"/>
      <c r="C168" s="125"/>
      <c r="D168" s="125"/>
      <c r="E168" s="125"/>
      <c r="F168" s="125"/>
      <c r="G168" s="125"/>
      <c r="H168" s="125"/>
      <c r="I168" s="125"/>
      <c r="J168" s="125"/>
      <c r="K168" s="125"/>
      <c r="L168" s="125"/>
      <c r="M168" s="125"/>
      <c r="N168" s="125"/>
      <c r="O168" s="125"/>
      <c r="P168" s="125"/>
      <c r="Q168" s="125"/>
      <c r="R168" s="125"/>
      <c r="S168" s="125"/>
      <c r="T168" s="125"/>
      <c r="U168" s="125"/>
      <c r="V168" s="125"/>
      <c r="W168" s="125"/>
      <c r="X168" s="125"/>
      <c r="Y168" s="125"/>
      <c r="Z168" s="125"/>
      <c r="AA168" s="125"/>
    </row>
    <row r="169" spans="1:27" ht="13.5" customHeight="1" x14ac:dyDescent="0.25">
      <c r="A169" s="125"/>
      <c r="B169" s="125"/>
      <c r="C169" s="125"/>
      <c r="D169" s="125"/>
      <c r="E169" s="125"/>
      <c r="F169" s="125"/>
      <c r="G169" s="125"/>
      <c r="H169" s="125"/>
      <c r="I169" s="125"/>
      <c r="J169" s="125"/>
      <c r="K169" s="125"/>
      <c r="L169" s="125"/>
      <c r="M169" s="125"/>
      <c r="N169" s="125"/>
      <c r="O169" s="125"/>
      <c r="P169" s="125"/>
      <c r="Q169" s="125"/>
      <c r="R169" s="125"/>
      <c r="S169" s="125"/>
      <c r="T169" s="125"/>
      <c r="U169" s="125"/>
      <c r="V169" s="125"/>
      <c r="W169" s="125"/>
      <c r="X169" s="125"/>
      <c r="Y169" s="125"/>
      <c r="Z169" s="125"/>
      <c r="AA169" s="125"/>
    </row>
    <row r="170" spans="1:27" ht="13.5" customHeight="1" x14ac:dyDescent="0.25">
      <c r="A170" s="125"/>
      <c r="B170" s="125"/>
      <c r="C170" s="125"/>
      <c r="D170" s="125"/>
      <c r="E170" s="125"/>
      <c r="F170" s="125"/>
      <c r="G170" s="125"/>
      <c r="H170" s="125"/>
      <c r="I170" s="125"/>
      <c r="J170" s="125"/>
      <c r="K170" s="125"/>
      <c r="L170" s="125"/>
      <c r="M170" s="125"/>
      <c r="N170" s="125"/>
      <c r="O170" s="125"/>
      <c r="P170" s="125"/>
      <c r="Q170" s="125"/>
      <c r="R170" s="125"/>
      <c r="S170" s="125"/>
      <c r="T170" s="125"/>
      <c r="U170" s="125"/>
      <c r="V170" s="125"/>
      <c r="W170" s="125"/>
      <c r="X170" s="125"/>
      <c r="Y170" s="125"/>
      <c r="Z170" s="125"/>
      <c r="AA170" s="125"/>
    </row>
    <row r="171" spans="1:27" ht="13.5" customHeight="1" x14ac:dyDescent="0.25">
      <c r="A171" s="125"/>
      <c r="B171" s="125"/>
      <c r="C171" s="125"/>
      <c r="D171" s="125"/>
      <c r="E171" s="125"/>
      <c r="F171" s="125"/>
      <c r="G171" s="125"/>
      <c r="H171" s="125"/>
      <c r="I171" s="125"/>
      <c r="J171" s="125"/>
      <c r="K171" s="125"/>
      <c r="L171" s="125"/>
      <c r="M171" s="125"/>
      <c r="N171" s="125"/>
      <c r="O171" s="125"/>
      <c r="P171" s="125"/>
      <c r="Q171" s="125"/>
      <c r="R171" s="125"/>
      <c r="S171" s="125"/>
      <c r="T171" s="125"/>
      <c r="U171" s="125"/>
      <c r="V171" s="125"/>
      <c r="W171" s="125"/>
      <c r="X171" s="125"/>
      <c r="Y171" s="125"/>
      <c r="Z171" s="125"/>
      <c r="AA171" s="125"/>
    </row>
    <row r="172" spans="1:27" ht="13.5" customHeight="1" x14ac:dyDescent="0.25">
      <c r="A172" s="125"/>
      <c r="B172" s="125"/>
      <c r="C172" s="125"/>
      <c r="D172" s="125"/>
      <c r="E172" s="125"/>
      <c r="F172" s="125"/>
      <c r="G172" s="125"/>
      <c r="H172" s="125"/>
      <c r="I172" s="125"/>
      <c r="J172" s="125"/>
      <c r="K172" s="125"/>
      <c r="L172" s="125"/>
      <c r="M172" s="125"/>
      <c r="N172" s="125"/>
      <c r="O172" s="125"/>
      <c r="P172" s="125"/>
      <c r="Q172" s="125"/>
      <c r="R172" s="125"/>
      <c r="S172" s="125"/>
      <c r="T172" s="125"/>
      <c r="U172" s="125"/>
      <c r="V172" s="125"/>
      <c r="W172" s="125"/>
      <c r="X172" s="125"/>
      <c r="Y172" s="125"/>
      <c r="Z172" s="125"/>
      <c r="AA172" s="125"/>
    </row>
    <row r="173" spans="1:27" ht="13.5" customHeight="1" x14ac:dyDescent="0.25">
      <c r="A173" s="125"/>
      <c r="B173" s="125"/>
      <c r="C173" s="125"/>
      <c r="D173" s="125"/>
      <c r="E173" s="125"/>
      <c r="F173" s="125"/>
      <c r="G173" s="125"/>
      <c r="H173" s="125"/>
      <c r="I173" s="125"/>
      <c r="J173" s="125"/>
      <c r="K173" s="125"/>
      <c r="L173" s="125"/>
      <c r="M173" s="125"/>
      <c r="N173" s="125"/>
      <c r="O173" s="125"/>
      <c r="P173" s="125"/>
      <c r="Q173" s="125"/>
      <c r="R173" s="125"/>
      <c r="S173" s="125"/>
      <c r="T173" s="125"/>
      <c r="U173" s="125"/>
      <c r="V173" s="125"/>
      <c r="W173" s="125"/>
      <c r="X173" s="125"/>
      <c r="Y173" s="125"/>
      <c r="Z173" s="125"/>
      <c r="AA173" s="125"/>
    </row>
    <row r="174" spans="1:27" ht="13.5" customHeight="1" x14ac:dyDescent="0.25">
      <c r="A174" s="125"/>
      <c r="B174" s="125"/>
      <c r="C174" s="125"/>
      <c r="D174" s="125"/>
      <c r="E174" s="125"/>
      <c r="F174" s="125"/>
      <c r="G174" s="125"/>
      <c r="H174" s="125"/>
      <c r="I174" s="125"/>
      <c r="J174" s="125"/>
      <c r="K174" s="125"/>
      <c r="L174" s="125"/>
      <c r="M174" s="125"/>
      <c r="N174" s="125"/>
      <c r="O174" s="125"/>
      <c r="P174" s="125"/>
      <c r="Q174" s="125"/>
      <c r="R174" s="125"/>
      <c r="S174" s="125"/>
      <c r="T174" s="125"/>
      <c r="U174" s="125"/>
      <c r="V174" s="125"/>
      <c r="W174" s="125"/>
      <c r="X174" s="125"/>
      <c r="Y174" s="125"/>
      <c r="Z174" s="125"/>
      <c r="AA174" s="125"/>
    </row>
    <row r="175" spans="1:27" ht="13.5" customHeight="1" x14ac:dyDescent="0.25">
      <c r="A175" s="125"/>
      <c r="B175" s="125"/>
      <c r="C175" s="125"/>
      <c r="D175" s="125"/>
      <c r="E175" s="125"/>
      <c r="F175" s="125"/>
      <c r="G175" s="125"/>
      <c r="H175" s="125"/>
      <c r="I175" s="125"/>
      <c r="J175" s="125"/>
      <c r="K175" s="125"/>
      <c r="L175" s="125"/>
      <c r="M175" s="125"/>
      <c r="N175" s="125"/>
      <c r="O175" s="125"/>
      <c r="P175" s="125"/>
      <c r="Q175" s="125"/>
      <c r="R175" s="125"/>
      <c r="S175" s="125"/>
      <c r="T175" s="125"/>
      <c r="U175" s="125"/>
      <c r="V175" s="125"/>
      <c r="W175" s="125"/>
      <c r="X175" s="125"/>
      <c r="Y175" s="125"/>
      <c r="Z175" s="125"/>
      <c r="AA175" s="125"/>
    </row>
    <row r="176" spans="1:27" ht="13.5" customHeight="1" x14ac:dyDescent="0.25">
      <c r="A176" s="125"/>
      <c r="B176" s="125"/>
      <c r="C176" s="125"/>
      <c r="D176" s="125"/>
      <c r="E176" s="125"/>
      <c r="F176" s="125"/>
      <c r="G176" s="125"/>
      <c r="H176" s="125"/>
      <c r="I176" s="125"/>
      <c r="J176" s="125"/>
      <c r="K176" s="125"/>
      <c r="L176" s="125"/>
      <c r="M176" s="125"/>
      <c r="N176" s="125"/>
      <c r="O176" s="125"/>
      <c r="P176" s="125"/>
      <c r="Q176" s="125"/>
      <c r="R176" s="125"/>
      <c r="S176" s="125"/>
      <c r="T176" s="125"/>
      <c r="U176" s="125"/>
      <c r="V176" s="125"/>
      <c r="W176" s="125"/>
      <c r="X176" s="125"/>
      <c r="Y176" s="125"/>
      <c r="Z176" s="125"/>
      <c r="AA176" s="125"/>
    </row>
    <row r="177" spans="1:27" ht="13.5" customHeight="1" x14ac:dyDescent="0.25">
      <c r="A177" s="125"/>
      <c r="B177" s="125"/>
      <c r="C177" s="125"/>
      <c r="D177" s="125"/>
      <c r="E177" s="125"/>
      <c r="F177" s="125"/>
      <c r="G177" s="125"/>
      <c r="H177" s="125"/>
      <c r="I177" s="125"/>
      <c r="J177" s="125"/>
      <c r="K177" s="125"/>
      <c r="L177" s="125"/>
      <c r="M177" s="125"/>
      <c r="N177" s="125"/>
      <c r="O177" s="125"/>
      <c r="P177" s="125"/>
      <c r="Q177" s="125"/>
      <c r="R177" s="125"/>
      <c r="S177" s="125"/>
      <c r="T177" s="125"/>
      <c r="U177" s="125"/>
      <c r="V177" s="125"/>
      <c r="W177" s="125"/>
      <c r="X177" s="125"/>
      <c r="Y177" s="125"/>
      <c r="Z177" s="125"/>
      <c r="AA177" s="125"/>
    </row>
    <row r="178" spans="1:27" ht="13.5" customHeight="1" x14ac:dyDescent="0.25">
      <c r="A178" s="125"/>
      <c r="B178" s="125"/>
      <c r="C178" s="125"/>
      <c r="D178" s="125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  <c r="AA178" s="125"/>
    </row>
    <row r="179" spans="1:27" ht="13.5" customHeight="1" x14ac:dyDescent="0.25">
      <c r="A179" s="125"/>
      <c r="B179" s="125"/>
      <c r="C179" s="125"/>
      <c r="D179" s="125"/>
      <c r="E179" s="125"/>
      <c r="F179" s="125"/>
      <c r="G179" s="125"/>
      <c r="H179" s="125"/>
      <c r="I179" s="125"/>
      <c r="J179" s="125"/>
      <c r="K179" s="125"/>
      <c r="L179" s="125"/>
      <c r="M179" s="125"/>
      <c r="N179" s="125"/>
      <c r="O179" s="125"/>
      <c r="P179" s="125"/>
      <c r="Q179" s="125"/>
      <c r="R179" s="125"/>
      <c r="S179" s="125"/>
      <c r="T179" s="125"/>
      <c r="U179" s="125"/>
      <c r="V179" s="125"/>
      <c r="W179" s="125"/>
      <c r="X179" s="125"/>
      <c r="Y179" s="125"/>
      <c r="Z179" s="125"/>
      <c r="AA179" s="125"/>
    </row>
    <row r="180" spans="1:27" ht="13.5" customHeight="1" x14ac:dyDescent="0.25">
      <c r="A180" s="125"/>
      <c r="B180" s="125"/>
      <c r="C180" s="125"/>
      <c r="D180" s="125"/>
      <c r="E180" s="125"/>
      <c r="F180" s="125"/>
      <c r="G180" s="125"/>
      <c r="H180" s="125"/>
      <c r="I180" s="125"/>
      <c r="J180" s="125"/>
      <c r="K180" s="125"/>
      <c r="L180" s="125"/>
      <c r="M180" s="125"/>
      <c r="N180" s="125"/>
      <c r="O180" s="125"/>
      <c r="P180" s="125"/>
      <c r="Q180" s="125"/>
      <c r="R180" s="125"/>
      <c r="S180" s="125"/>
      <c r="T180" s="125"/>
      <c r="U180" s="125"/>
      <c r="V180" s="125"/>
      <c r="W180" s="125"/>
      <c r="X180" s="125"/>
      <c r="Y180" s="125"/>
      <c r="Z180" s="125"/>
      <c r="AA180" s="125"/>
    </row>
    <row r="181" spans="1:27" ht="13.5" customHeight="1" x14ac:dyDescent="0.25">
      <c r="A181" s="125"/>
      <c r="B181" s="125"/>
      <c r="C181" s="125"/>
      <c r="D181" s="125"/>
      <c r="E181" s="125"/>
      <c r="F181" s="125"/>
      <c r="G181" s="125"/>
      <c r="H181" s="125"/>
      <c r="I181" s="125"/>
      <c r="J181" s="125"/>
      <c r="K181" s="125"/>
      <c r="L181" s="125"/>
      <c r="M181" s="125"/>
      <c r="N181" s="125"/>
      <c r="O181" s="125"/>
      <c r="P181" s="125"/>
      <c r="Q181" s="125"/>
      <c r="R181" s="125"/>
      <c r="S181" s="125"/>
      <c r="T181" s="125"/>
      <c r="U181" s="125"/>
      <c r="V181" s="125"/>
      <c r="W181" s="125"/>
      <c r="X181" s="125"/>
      <c r="Y181" s="125"/>
      <c r="Z181" s="125"/>
      <c r="AA181" s="125"/>
    </row>
    <row r="182" spans="1:27" ht="13.5" customHeight="1" x14ac:dyDescent="0.25">
      <c r="A182" s="125"/>
      <c r="B182" s="125"/>
      <c r="C182" s="125"/>
      <c r="D182" s="125"/>
      <c r="E182" s="125"/>
      <c r="F182" s="125"/>
      <c r="G182" s="125"/>
      <c r="H182" s="125"/>
      <c r="I182" s="125"/>
      <c r="J182" s="125"/>
      <c r="K182" s="125"/>
      <c r="L182" s="125"/>
      <c r="M182" s="125"/>
      <c r="N182" s="125"/>
      <c r="O182" s="125"/>
      <c r="P182" s="125"/>
      <c r="Q182" s="125"/>
      <c r="R182" s="125"/>
      <c r="S182" s="125"/>
      <c r="T182" s="125"/>
      <c r="U182" s="125"/>
      <c r="V182" s="125"/>
      <c r="W182" s="125"/>
      <c r="X182" s="125"/>
      <c r="Y182" s="125"/>
      <c r="Z182" s="125"/>
      <c r="AA182" s="125"/>
    </row>
    <row r="183" spans="1:27" ht="13.5" customHeight="1" x14ac:dyDescent="0.25">
      <c r="A183" s="125"/>
      <c r="B183" s="125"/>
      <c r="C183" s="125"/>
      <c r="D183" s="125"/>
      <c r="E183" s="125"/>
      <c r="F183" s="125"/>
      <c r="G183" s="125"/>
      <c r="H183" s="125"/>
      <c r="I183" s="125"/>
      <c r="J183" s="125"/>
      <c r="K183" s="125"/>
      <c r="L183" s="125"/>
      <c r="M183" s="125"/>
      <c r="N183" s="125"/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  <c r="Y183" s="125"/>
      <c r="Z183" s="125"/>
      <c r="AA183" s="125"/>
    </row>
    <row r="184" spans="1:27" ht="13.5" customHeight="1" x14ac:dyDescent="0.25">
      <c r="A184" s="125"/>
      <c r="B184" s="125"/>
      <c r="C184" s="125"/>
      <c r="D184" s="125"/>
      <c r="E184" s="125"/>
      <c r="F184" s="125"/>
      <c r="G184" s="125"/>
      <c r="H184" s="125"/>
      <c r="I184" s="125"/>
      <c r="J184" s="125"/>
      <c r="K184" s="125"/>
      <c r="L184" s="125"/>
      <c r="M184" s="125"/>
      <c r="N184" s="125"/>
      <c r="O184" s="125"/>
      <c r="P184" s="125"/>
      <c r="Q184" s="125"/>
      <c r="R184" s="125"/>
      <c r="S184" s="125"/>
      <c r="T184" s="125"/>
      <c r="U184" s="125"/>
      <c r="V184" s="125"/>
      <c r="W184" s="125"/>
      <c r="X184" s="125"/>
      <c r="Y184" s="125"/>
      <c r="Z184" s="125"/>
      <c r="AA184" s="125"/>
    </row>
    <row r="185" spans="1:27" ht="13.5" customHeight="1" x14ac:dyDescent="0.25">
      <c r="A185" s="125"/>
      <c r="B185" s="125"/>
      <c r="C185" s="125"/>
      <c r="D185" s="125"/>
      <c r="E185" s="125"/>
      <c r="F185" s="125"/>
      <c r="G185" s="125"/>
      <c r="H185" s="125"/>
      <c r="I185" s="125"/>
      <c r="J185" s="125"/>
      <c r="K185" s="125"/>
      <c r="L185" s="125"/>
      <c r="M185" s="125"/>
      <c r="N185" s="125"/>
      <c r="O185" s="125"/>
      <c r="P185" s="125"/>
      <c r="Q185" s="125"/>
      <c r="R185" s="125"/>
      <c r="S185" s="125"/>
      <c r="T185" s="125"/>
      <c r="U185" s="125"/>
      <c r="V185" s="125"/>
      <c r="W185" s="125"/>
      <c r="X185" s="125"/>
      <c r="Y185" s="125"/>
      <c r="Z185" s="125"/>
      <c r="AA185" s="125"/>
    </row>
    <row r="186" spans="1:27" ht="13.5" customHeight="1" x14ac:dyDescent="0.25">
      <c r="A186" s="125"/>
      <c r="B186" s="125"/>
      <c r="C186" s="125"/>
      <c r="D186" s="125"/>
      <c r="E186" s="125"/>
      <c r="F186" s="125"/>
      <c r="G186" s="125"/>
      <c r="H186" s="125"/>
      <c r="I186" s="125"/>
      <c r="J186" s="125"/>
      <c r="K186" s="125"/>
      <c r="L186" s="125"/>
      <c r="M186" s="125"/>
      <c r="N186" s="125"/>
      <c r="O186" s="125"/>
      <c r="P186" s="125"/>
      <c r="Q186" s="125"/>
      <c r="R186" s="125"/>
      <c r="S186" s="125"/>
      <c r="T186" s="125"/>
      <c r="U186" s="125"/>
      <c r="V186" s="125"/>
      <c r="W186" s="125"/>
      <c r="X186" s="125"/>
      <c r="Y186" s="125"/>
      <c r="Z186" s="125"/>
      <c r="AA186" s="125"/>
    </row>
    <row r="187" spans="1:27" ht="13.5" customHeight="1" x14ac:dyDescent="0.25">
      <c r="A187" s="125"/>
      <c r="B187" s="125"/>
      <c r="C187" s="125"/>
      <c r="D187" s="125"/>
      <c r="E187" s="125"/>
      <c r="F187" s="125"/>
      <c r="G187" s="125"/>
      <c r="H187" s="125"/>
      <c r="I187" s="125"/>
      <c r="J187" s="125"/>
      <c r="K187" s="125"/>
      <c r="L187" s="125"/>
      <c r="M187" s="125"/>
      <c r="N187" s="125"/>
      <c r="O187" s="125"/>
      <c r="P187" s="125"/>
      <c r="Q187" s="125"/>
      <c r="R187" s="125"/>
      <c r="S187" s="125"/>
      <c r="T187" s="125"/>
      <c r="U187" s="125"/>
      <c r="V187" s="125"/>
      <c r="W187" s="125"/>
      <c r="X187" s="125"/>
      <c r="Y187" s="125"/>
      <c r="Z187" s="125"/>
      <c r="AA187" s="125"/>
    </row>
    <row r="188" spans="1:27" ht="13.5" customHeight="1" x14ac:dyDescent="0.25">
      <c r="A188" s="125"/>
      <c r="B188" s="125"/>
      <c r="C188" s="125"/>
      <c r="D188" s="125"/>
      <c r="E188" s="125"/>
      <c r="F188" s="125"/>
      <c r="G188" s="125"/>
      <c r="H188" s="125"/>
      <c r="I188" s="125"/>
      <c r="J188" s="125"/>
      <c r="K188" s="125"/>
      <c r="L188" s="125"/>
      <c r="M188" s="125"/>
      <c r="N188" s="125"/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  <c r="Y188" s="125"/>
      <c r="Z188" s="125"/>
      <c r="AA188" s="125"/>
    </row>
    <row r="189" spans="1:27" ht="13.5" customHeight="1" x14ac:dyDescent="0.25">
      <c r="A189" s="125"/>
      <c r="B189" s="125"/>
      <c r="C189" s="125"/>
      <c r="D189" s="125"/>
      <c r="E189" s="125"/>
      <c r="F189" s="125"/>
      <c r="G189" s="125"/>
      <c r="H189" s="125"/>
      <c r="I189" s="125"/>
      <c r="J189" s="125"/>
      <c r="K189" s="125"/>
      <c r="L189" s="125"/>
      <c r="M189" s="125"/>
      <c r="N189" s="125"/>
      <c r="O189" s="125"/>
      <c r="P189" s="125"/>
      <c r="Q189" s="125"/>
      <c r="R189" s="125"/>
      <c r="S189" s="125"/>
      <c r="T189" s="125"/>
      <c r="U189" s="125"/>
      <c r="V189" s="125"/>
      <c r="W189" s="125"/>
      <c r="X189" s="125"/>
      <c r="Y189" s="125"/>
      <c r="Z189" s="125"/>
      <c r="AA189" s="125"/>
    </row>
    <row r="190" spans="1:27" ht="13.5" customHeight="1" x14ac:dyDescent="0.25">
      <c r="A190" s="125"/>
      <c r="B190" s="125"/>
      <c r="C190" s="125"/>
      <c r="D190" s="125"/>
      <c r="E190" s="125"/>
      <c r="F190" s="125"/>
      <c r="G190" s="125"/>
      <c r="H190" s="125"/>
      <c r="I190" s="125"/>
      <c r="J190" s="125"/>
      <c r="K190" s="125"/>
      <c r="L190" s="125"/>
      <c r="M190" s="125"/>
      <c r="N190" s="125"/>
      <c r="O190" s="125"/>
      <c r="P190" s="125"/>
      <c r="Q190" s="125"/>
      <c r="R190" s="125"/>
      <c r="S190" s="125"/>
      <c r="T190" s="125"/>
      <c r="U190" s="125"/>
      <c r="V190" s="125"/>
      <c r="W190" s="125"/>
      <c r="X190" s="125"/>
      <c r="Y190" s="125"/>
      <c r="Z190" s="125"/>
      <c r="AA190" s="125"/>
    </row>
    <row r="191" spans="1:27" ht="13.5" customHeight="1" x14ac:dyDescent="0.25">
      <c r="A191" s="125"/>
      <c r="B191" s="125"/>
      <c r="C191" s="125"/>
      <c r="D191" s="125"/>
      <c r="E191" s="125"/>
      <c r="F191" s="125"/>
      <c r="G191" s="125"/>
      <c r="H191" s="125"/>
      <c r="I191" s="125"/>
      <c r="J191" s="125"/>
      <c r="K191" s="125"/>
      <c r="L191" s="125"/>
      <c r="M191" s="125"/>
      <c r="N191" s="125"/>
      <c r="O191" s="125"/>
      <c r="P191" s="125"/>
      <c r="Q191" s="125"/>
      <c r="R191" s="125"/>
      <c r="S191" s="125"/>
      <c r="T191" s="125"/>
      <c r="U191" s="125"/>
      <c r="V191" s="125"/>
      <c r="W191" s="125"/>
      <c r="X191" s="125"/>
      <c r="Y191" s="125"/>
      <c r="Z191" s="125"/>
      <c r="AA191" s="125"/>
    </row>
    <row r="192" spans="1:27" ht="13.5" customHeight="1" x14ac:dyDescent="0.25">
      <c r="A192" s="125"/>
      <c r="B192" s="125"/>
      <c r="C192" s="125"/>
      <c r="D192" s="125"/>
      <c r="E192" s="125"/>
      <c r="F192" s="125"/>
      <c r="G192" s="125"/>
      <c r="H192" s="125"/>
      <c r="I192" s="125"/>
      <c r="J192" s="125"/>
      <c r="K192" s="125"/>
      <c r="L192" s="125"/>
      <c r="M192" s="125"/>
      <c r="N192" s="125"/>
      <c r="O192" s="125"/>
      <c r="P192" s="125"/>
      <c r="Q192" s="125"/>
      <c r="R192" s="125"/>
      <c r="S192" s="125"/>
      <c r="T192" s="125"/>
      <c r="U192" s="125"/>
      <c r="V192" s="125"/>
      <c r="W192" s="125"/>
      <c r="X192" s="125"/>
      <c r="Y192" s="125"/>
      <c r="Z192" s="125"/>
      <c r="AA192" s="125"/>
    </row>
    <row r="193" spans="1:27" ht="13.5" customHeight="1" x14ac:dyDescent="0.25">
      <c r="A193" s="125"/>
      <c r="B193" s="125"/>
      <c r="C193" s="125"/>
      <c r="D193" s="125"/>
      <c r="E193" s="125"/>
      <c r="F193" s="125"/>
      <c r="G193" s="125"/>
      <c r="H193" s="125"/>
      <c r="I193" s="125"/>
      <c r="J193" s="125"/>
      <c r="K193" s="125"/>
      <c r="L193" s="125"/>
      <c r="M193" s="125"/>
      <c r="N193" s="125"/>
      <c r="O193" s="125"/>
      <c r="P193" s="125"/>
      <c r="Q193" s="125"/>
      <c r="R193" s="125"/>
      <c r="S193" s="125"/>
      <c r="T193" s="125"/>
      <c r="U193" s="125"/>
      <c r="V193" s="125"/>
      <c r="W193" s="125"/>
      <c r="X193" s="125"/>
      <c r="Y193" s="125"/>
      <c r="Z193" s="125"/>
      <c r="AA193" s="125"/>
    </row>
    <row r="194" spans="1:27" ht="13.5" customHeight="1" x14ac:dyDescent="0.25">
      <c r="A194" s="125"/>
      <c r="B194" s="125"/>
      <c r="C194" s="125"/>
      <c r="D194" s="125"/>
      <c r="E194" s="125"/>
      <c r="F194" s="125"/>
      <c r="G194" s="125"/>
      <c r="H194" s="125"/>
      <c r="I194" s="125"/>
      <c r="J194" s="125"/>
      <c r="K194" s="125"/>
      <c r="L194" s="125"/>
      <c r="M194" s="125"/>
      <c r="N194" s="125"/>
      <c r="O194" s="125"/>
      <c r="P194" s="125"/>
      <c r="Q194" s="125"/>
      <c r="R194" s="125"/>
      <c r="S194" s="125"/>
      <c r="T194" s="125"/>
      <c r="U194" s="125"/>
      <c r="V194" s="125"/>
      <c r="W194" s="125"/>
      <c r="X194" s="125"/>
      <c r="Y194" s="125"/>
      <c r="Z194" s="125"/>
      <c r="AA194" s="125"/>
    </row>
    <row r="195" spans="1:27" ht="13.5" customHeight="1" x14ac:dyDescent="0.25">
      <c r="A195" s="125"/>
      <c r="B195" s="125"/>
      <c r="C195" s="125"/>
      <c r="D195" s="125"/>
      <c r="E195" s="125"/>
      <c r="F195" s="125"/>
      <c r="G195" s="125"/>
      <c r="H195" s="125"/>
      <c r="I195" s="125"/>
      <c r="J195" s="125"/>
      <c r="K195" s="125"/>
      <c r="L195" s="125"/>
      <c r="M195" s="125"/>
      <c r="N195" s="125"/>
      <c r="O195" s="125"/>
      <c r="P195" s="125"/>
      <c r="Q195" s="125"/>
      <c r="R195" s="125"/>
      <c r="S195" s="125"/>
      <c r="T195" s="125"/>
      <c r="U195" s="125"/>
      <c r="V195" s="125"/>
      <c r="W195" s="125"/>
      <c r="X195" s="125"/>
      <c r="Y195" s="125"/>
      <c r="Z195" s="125"/>
      <c r="AA195" s="125"/>
    </row>
    <row r="196" spans="1:27" ht="13.5" customHeight="1" x14ac:dyDescent="0.25">
      <c r="A196" s="125"/>
      <c r="B196" s="125"/>
      <c r="C196" s="125"/>
      <c r="D196" s="125"/>
      <c r="E196" s="125"/>
      <c r="F196" s="125"/>
      <c r="G196" s="125"/>
      <c r="H196" s="125"/>
      <c r="I196" s="125"/>
      <c r="J196" s="125"/>
      <c r="K196" s="125"/>
      <c r="L196" s="125"/>
      <c r="M196" s="125"/>
      <c r="N196" s="125"/>
      <c r="O196" s="125"/>
      <c r="P196" s="125"/>
      <c r="Q196" s="125"/>
      <c r="R196" s="125"/>
      <c r="S196" s="125"/>
      <c r="T196" s="125"/>
      <c r="U196" s="125"/>
      <c r="V196" s="125"/>
      <c r="W196" s="125"/>
      <c r="X196" s="125"/>
      <c r="Y196" s="125"/>
      <c r="Z196" s="125"/>
      <c r="AA196" s="125"/>
    </row>
    <row r="197" spans="1:27" ht="13.5" customHeight="1" x14ac:dyDescent="0.25">
      <c r="A197" s="125"/>
      <c r="B197" s="125"/>
      <c r="C197" s="125"/>
      <c r="D197" s="125"/>
      <c r="E197" s="125"/>
      <c r="F197" s="125"/>
      <c r="G197" s="125"/>
      <c r="H197" s="125"/>
      <c r="I197" s="125"/>
      <c r="J197" s="125"/>
      <c r="K197" s="125"/>
      <c r="L197" s="125"/>
      <c r="M197" s="125"/>
      <c r="N197" s="125"/>
      <c r="O197" s="125"/>
      <c r="P197" s="125"/>
      <c r="Q197" s="125"/>
      <c r="R197" s="125"/>
      <c r="S197" s="125"/>
      <c r="T197" s="125"/>
      <c r="U197" s="125"/>
      <c r="V197" s="125"/>
      <c r="W197" s="125"/>
      <c r="X197" s="125"/>
      <c r="Y197" s="125"/>
      <c r="Z197" s="125"/>
      <c r="AA197" s="125"/>
    </row>
    <row r="198" spans="1:27" ht="13.5" customHeight="1" x14ac:dyDescent="0.25">
      <c r="A198" s="125"/>
      <c r="B198" s="125"/>
      <c r="C198" s="125"/>
      <c r="D198" s="125"/>
      <c r="E198" s="125"/>
      <c r="F198" s="125"/>
      <c r="G198" s="125"/>
      <c r="H198" s="125"/>
      <c r="I198" s="125"/>
      <c r="J198" s="125"/>
      <c r="K198" s="125"/>
      <c r="L198" s="125"/>
      <c r="M198" s="125"/>
      <c r="N198" s="125"/>
      <c r="O198" s="125"/>
      <c r="P198" s="125"/>
      <c r="Q198" s="125"/>
      <c r="R198" s="125"/>
      <c r="S198" s="125"/>
      <c r="T198" s="125"/>
      <c r="U198" s="125"/>
      <c r="V198" s="125"/>
      <c r="W198" s="125"/>
      <c r="X198" s="125"/>
      <c r="Y198" s="125"/>
      <c r="Z198" s="125"/>
      <c r="AA198" s="125"/>
    </row>
    <row r="199" spans="1:27" ht="13.5" customHeight="1" x14ac:dyDescent="0.25">
      <c r="A199" s="125"/>
      <c r="B199" s="125"/>
      <c r="C199" s="125"/>
      <c r="D199" s="125"/>
      <c r="E199" s="125"/>
      <c r="F199" s="125"/>
      <c r="G199" s="125"/>
      <c r="H199" s="125"/>
      <c r="I199" s="125"/>
      <c r="J199" s="125"/>
      <c r="K199" s="125"/>
      <c r="L199" s="125"/>
      <c r="M199" s="125"/>
      <c r="N199" s="125"/>
      <c r="O199" s="125"/>
      <c r="P199" s="125"/>
      <c r="Q199" s="125"/>
      <c r="R199" s="125"/>
      <c r="S199" s="125"/>
      <c r="T199" s="125"/>
      <c r="U199" s="125"/>
      <c r="V199" s="125"/>
      <c r="W199" s="125"/>
      <c r="X199" s="125"/>
      <c r="Y199" s="125"/>
      <c r="Z199" s="125"/>
      <c r="AA199" s="125"/>
    </row>
    <row r="200" spans="1:27" ht="13.5" customHeight="1" x14ac:dyDescent="0.25">
      <c r="A200" s="125"/>
      <c r="B200" s="125"/>
      <c r="C200" s="125"/>
      <c r="D200" s="125"/>
      <c r="E200" s="125"/>
      <c r="F200" s="125"/>
      <c r="G200" s="125"/>
      <c r="H200" s="125"/>
      <c r="I200" s="125"/>
      <c r="J200" s="125"/>
      <c r="K200" s="125"/>
      <c r="L200" s="125"/>
      <c r="M200" s="125"/>
      <c r="N200" s="125"/>
      <c r="O200" s="125"/>
      <c r="P200" s="125"/>
      <c r="Q200" s="125"/>
      <c r="R200" s="125"/>
      <c r="S200" s="125"/>
      <c r="T200" s="125"/>
      <c r="U200" s="125"/>
      <c r="V200" s="125"/>
      <c r="W200" s="125"/>
      <c r="X200" s="125"/>
      <c r="Y200" s="125"/>
      <c r="Z200" s="125"/>
      <c r="AA200" s="125"/>
    </row>
    <row r="201" spans="1:27" ht="13.5" customHeight="1" x14ac:dyDescent="0.25">
      <c r="A201" s="125"/>
      <c r="B201" s="125"/>
      <c r="C201" s="125"/>
      <c r="D201" s="125"/>
      <c r="E201" s="125"/>
      <c r="F201" s="125"/>
      <c r="G201" s="125"/>
      <c r="H201" s="125"/>
      <c r="I201" s="125"/>
      <c r="J201" s="125"/>
      <c r="K201" s="125"/>
      <c r="L201" s="125"/>
      <c r="M201" s="125"/>
      <c r="N201" s="125"/>
      <c r="O201" s="125"/>
      <c r="P201" s="125"/>
      <c r="Q201" s="125"/>
      <c r="R201" s="125"/>
      <c r="S201" s="125"/>
      <c r="T201" s="125"/>
      <c r="U201" s="125"/>
      <c r="V201" s="125"/>
      <c r="W201" s="125"/>
      <c r="X201" s="125"/>
      <c r="Y201" s="125"/>
      <c r="Z201" s="125"/>
      <c r="AA201" s="125"/>
    </row>
    <row r="202" spans="1:27" ht="13.5" customHeight="1" x14ac:dyDescent="0.25">
      <c r="A202" s="125"/>
      <c r="B202" s="125"/>
      <c r="C202" s="125"/>
      <c r="D202" s="125"/>
      <c r="E202" s="125"/>
      <c r="F202" s="125"/>
      <c r="G202" s="125"/>
      <c r="H202" s="125"/>
      <c r="I202" s="125"/>
      <c r="J202" s="125"/>
      <c r="K202" s="125"/>
      <c r="L202" s="125"/>
      <c r="M202" s="125"/>
      <c r="N202" s="125"/>
      <c r="O202" s="125"/>
      <c r="P202" s="125"/>
      <c r="Q202" s="125"/>
      <c r="R202" s="125"/>
      <c r="S202" s="125"/>
      <c r="T202" s="125"/>
      <c r="U202" s="125"/>
      <c r="V202" s="125"/>
      <c r="W202" s="125"/>
      <c r="X202" s="125"/>
      <c r="Y202" s="125"/>
      <c r="Z202" s="125"/>
      <c r="AA202" s="125"/>
    </row>
    <row r="203" spans="1:27" ht="13.5" customHeight="1" x14ac:dyDescent="0.25">
      <c r="A203" s="125"/>
      <c r="B203" s="125"/>
      <c r="C203" s="125"/>
      <c r="D203" s="125"/>
      <c r="E203" s="125"/>
      <c r="F203" s="125"/>
      <c r="G203" s="125"/>
      <c r="H203" s="125"/>
      <c r="I203" s="125"/>
      <c r="J203" s="125"/>
      <c r="K203" s="125"/>
      <c r="L203" s="125"/>
      <c r="M203" s="125"/>
      <c r="N203" s="125"/>
      <c r="O203" s="125"/>
      <c r="P203" s="125"/>
      <c r="Q203" s="125"/>
      <c r="R203" s="125"/>
      <c r="S203" s="125"/>
      <c r="T203" s="125"/>
      <c r="U203" s="125"/>
      <c r="V203" s="125"/>
      <c r="W203" s="125"/>
      <c r="X203" s="125"/>
      <c r="Y203" s="125"/>
      <c r="Z203" s="125"/>
      <c r="AA203" s="125"/>
    </row>
    <row r="204" spans="1:27" ht="13.5" customHeight="1" x14ac:dyDescent="0.25">
      <c r="A204" s="125"/>
      <c r="B204" s="125"/>
      <c r="C204" s="125"/>
      <c r="D204" s="125"/>
      <c r="E204" s="125"/>
      <c r="F204" s="125"/>
      <c r="G204" s="125"/>
      <c r="H204" s="125"/>
      <c r="I204" s="125"/>
      <c r="J204" s="125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  <c r="AA204" s="125"/>
    </row>
    <row r="205" spans="1:27" ht="13.5" customHeight="1" x14ac:dyDescent="0.25">
      <c r="A205" s="125"/>
      <c r="B205" s="125"/>
      <c r="C205" s="125"/>
      <c r="D205" s="125"/>
      <c r="E205" s="125"/>
      <c r="F205" s="125"/>
      <c r="G205" s="125"/>
      <c r="H205" s="125"/>
      <c r="I205" s="125"/>
      <c r="J205" s="125"/>
      <c r="K205" s="125"/>
      <c r="L205" s="125"/>
      <c r="M205" s="125"/>
      <c r="N205" s="125"/>
      <c r="O205" s="125"/>
      <c r="P205" s="125"/>
      <c r="Q205" s="125"/>
      <c r="R205" s="125"/>
      <c r="S205" s="125"/>
      <c r="T205" s="125"/>
      <c r="U205" s="125"/>
      <c r="V205" s="125"/>
      <c r="W205" s="125"/>
      <c r="X205" s="125"/>
      <c r="Y205" s="125"/>
      <c r="Z205" s="125"/>
      <c r="AA205" s="125"/>
    </row>
    <row r="206" spans="1:27" ht="13.5" customHeight="1" x14ac:dyDescent="0.25">
      <c r="A206" s="125"/>
      <c r="B206" s="125"/>
      <c r="C206" s="125"/>
      <c r="D206" s="125"/>
      <c r="E206" s="125"/>
      <c r="F206" s="125"/>
      <c r="G206" s="125"/>
      <c r="H206" s="125"/>
      <c r="I206" s="125"/>
      <c r="J206" s="125"/>
      <c r="K206" s="125"/>
      <c r="L206" s="125"/>
      <c r="M206" s="125"/>
      <c r="N206" s="125"/>
      <c r="O206" s="125"/>
      <c r="P206" s="125"/>
      <c r="Q206" s="125"/>
      <c r="R206" s="125"/>
      <c r="S206" s="125"/>
      <c r="T206" s="125"/>
      <c r="U206" s="125"/>
      <c r="V206" s="125"/>
      <c r="W206" s="125"/>
      <c r="X206" s="125"/>
      <c r="Y206" s="125"/>
      <c r="Z206" s="125"/>
      <c r="AA206" s="125"/>
    </row>
    <row r="207" spans="1:27" ht="13.5" customHeight="1" x14ac:dyDescent="0.25">
      <c r="A207" s="125"/>
      <c r="B207" s="125"/>
      <c r="C207" s="125"/>
      <c r="D207" s="125"/>
      <c r="E207" s="125"/>
      <c r="F207" s="125"/>
      <c r="G207" s="125"/>
      <c r="H207" s="125"/>
      <c r="I207" s="125"/>
      <c r="J207" s="125"/>
      <c r="K207" s="125"/>
      <c r="L207" s="125"/>
      <c r="M207" s="125"/>
      <c r="N207" s="125"/>
      <c r="O207" s="125"/>
      <c r="P207" s="125"/>
      <c r="Q207" s="125"/>
      <c r="R207" s="125"/>
      <c r="S207" s="125"/>
      <c r="T207" s="125"/>
      <c r="U207" s="125"/>
      <c r="V207" s="125"/>
      <c r="W207" s="125"/>
      <c r="X207" s="125"/>
      <c r="Y207" s="125"/>
      <c r="Z207" s="125"/>
      <c r="AA207" s="125"/>
    </row>
    <row r="208" spans="1:27" ht="13.5" customHeight="1" x14ac:dyDescent="0.25">
      <c r="A208" s="125"/>
      <c r="B208" s="125"/>
      <c r="C208" s="125"/>
      <c r="D208" s="125"/>
      <c r="E208" s="125"/>
      <c r="F208" s="125"/>
      <c r="G208" s="125"/>
      <c r="H208" s="125"/>
      <c r="I208" s="125"/>
      <c r="J208" s="125"/>
      <c r="K208" s="125"/>
      <c r="L208" s="125"/>
      <c r="M208" s="125"/>
      <c r="N208" s="125"/>
      <c r="O208" s="125"/>
      <c r="P208" s="125"/>
      <c r="Q208" s="125"/>
      <c r="R208" s="125"/>
      <c r="S208" s="125"/>
      <c r="T208" s="125"/>
      <c r="U208" s="125"/>
      <c r="V208" s="125"/>
      <c r="W208" s="125"/>
      <c r="X208" s="125"/>
      <c r="Y208" s="125"/>
      <c r="Z208" s="125"/>
      <c r="AA208" s="125"/>
    </row>
    <row r="209" spans="1:27" ht="13.5" customHeight="1" x14ac:dyDescent="0.25">
      <c r="A209" s="125"/>
      <c r="B209" s="125"/>
      <c r="C209" s="125"/>
      <c r="D209" s="125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  <c r="AA209" s="125"/>
    </row>
    <row r="210" spans="1:27" ht="13.5" customHeight="1" x14ac:dyDescent="0.25">
      <c r="A210" s="125"/>
      <c r="B210" s="125"/>
      <c r="C210" s="125"/>
      <c r="D210" s="125"/>
      <c r="E210" s="125"/>
      <c r="F210" s="125"/>
      <c r="G210" s="125"/>
      <c r="H210" s="125"/>
      <c r="I210" s="125"/>
      <c r="J210" s="125"/>
      <c r="K210" s="125"/>
      <c r="L210" s="125"/>
      <c r="M210" s="125"/>
      <c r="N210" s="125"/>
      <c r="O210" s="125"/>
      <c r="P210" s="125"/>
      <c r="Q210" s="125"/>
      <c r="R210" s="125"/>
      <c r="S210" s="125"/>
      <c r="T210" s="125"/>
      <c r="U210" s="125"/>
      <c r="V210" s="125"/>
      <c r="W210" s="125"/>
      <c r="X210" s="125"/>
      <c r="Y210" s="125"/>
      <c r="Z210" s="125"/>
      <c r="AA210" s="125"/>
    </row>
    <row r="211" spans="1:27" ht="13.5" customHeight="1" x14ac:dyDescent="0.25">
      <c r="A211" s="125"/>
      <c r="B211" s="125"/>
      <c r="C211" s="125"/>
      <c r="D211" s="125"/>
      <c r="E211" s="125"/>
      <c r="F211" s="125"/>
      <c r="G211" s="125"/>
      <c r="H211" s="125"/>
      <c r="I211" s="125"/>
      <c r="J211" s="125"/>
      <c r="K211" s="125"/>
      <c r="L211" s="125"/>
      <c r="M211" s="125"/>
      <c r="N211" s="125"/>
      <c r="O211" s="125"/>
      <c r="P211" s="125"/>
      <c r="Q211" s="125"/>
      <c r="R211" s="125"/>
      <c r="S211" s="125"/>
      <c r="T211" s="125"/>
      <c r="U211" s="125"/>
      <c r="V211" s="125"/>
      <c r="W211" s="125"/>
      <c r="X211" s="125"/>
      <c r="Y211" s="125"/>
      <c r="Z211" s="125"/>
      <c r="AA211" s="125"/>
    </row>
    <row r="212" spans="1:27" ht="13.5" customHeight="1" x14ac:dyDescent="0.25">
      <c r="A212" s="125"/>
      <c r="B212" s="125"/>
      <c r="C212" s="125"/>
      <c r="D212" s="125"/>
      <c r="E212" s="125"/>
      <c r="F212" s="125"/>
      <c r="G212" s="125"/>
      <c r="H212" s="125"/>
      <c r="I212" s="125"/>
      <c r="J212" s="125"/>
      <c r="K212" s="125"/>
      <c r="L212" s="125"/>
      <c r="M212" s="125"/>
      <c r="N212" s="125"/>
      <c r="O212" s="125"/>
      <c r="P212" s="125"/>
      <c r="Q212" s="125"/>
      <c r="R212" s="125"/>
      <c r="S212" s="125"/>
      <c r="T212" s="125"/>
      <c r="U212" s="125"/>
      <c r="V212" s="125"/>
      <c r="W212" s="125"/>
      <c r="X212" s="125"/>
      <c r="Y212" s="125"/>
      <c r="Z212" s="125"/>
      <c r="AA212" s="125"/>
    </row>
    <row r="213" spans="1:27" ht="13.5" customHeight="1" x14ac:dyDescent="0.25">
      <c r="A213" s="125"/>
      <c r="B213" s="125"/>
      <c r="C213" s="125"/>
      <c r="D213" s="125"/>
      <c r="E213" s="125"/>
      <c r="F213" s="125"/>
      <c r="G213" s="125"/>
      <c r="H213" s="125"/>
      <c r="I213" s="125"/>
      <c r="J213" s="125"/>
      <c r="K213" s="125"/>
      <c r="L213" s="125"/>
      <c r="M213" s="125"/>
      <c r="N213" s="125"/>
      <c r="O213" s="125"/>
      <c r="P213" s="125"/>
      <c r="Q213" s="125"/>
      <c r="R213" s="125"/>
      <c r="S213" s="125"/>
      <c r="T213" s="125"/>
      <c r="U213" s="125"/>
      <c r="V213" s="125"/>
      <c r="W213" s="125"/>
      <c r="X213" s="125"/>
      <c r="Y213" s="125"/>
      <c r="Z213" s="125"/>
      <c r="AA213" s="125"/>
    </row>
    <row r="214" spans="1:27" ht="13.5" customHeight="1" x14ac:dyDescent="0.25">
      <c r="A214" s="125"/>
      <c r="B214" s="125"/>
      <c r="C214" s="125"/>
      <c r="D214" s="125"/>
      <c r="E214" s="125"/>
      <c r="F214" s="125"/>
      <c r="G214" s="125"/>
      <c r="H214" s="125"/>
      <c r="I214" s="125"/>
      <c r="J214" s="125"/>
      <c r="K214" s="125"/>
      <c r="L214" s="125"/>
      <c r="M214" s="125"/>
      <c r="N214" s="125"/>
      <c r="O214" s="125"/>
      <c r="P214" s="125"/>
      <c r="Q214" s="125"/>
      <c r="R214" s="125"/>
      <c r="S214" s="125"/>
      <c r="T214" s="125"/>
      <c r="U214" s="125"/>
      <c r="V214" s="125"/>
      <c r="W214" s="125"/>
      <c r="X214" s="125"/>
      <c r="Y214" s="125"/>
      <c r="Z214" s="125"/>
      <c r="AA214" s="125"/>
    </row>
    <row r="215" spans="1:27" ht="13.5" customHeight="1" x14ac:dyDescent="0.25">
      <c r="A215" s="125"/>
      <c r="B215" s="125"/>
      <c r="C215" s="125"/>
      <c r="D215" s="125"/>
      <c r="E215" s="125"/>
      <c r="F215" s="125"/>
      <c r="G215" s="125"/>
      <c r="H215" s="125"/>
      <c r="I215" s="125"/>
      <c r="J215" s="125"/>
      <c r="K215" s="125"/>
      <c r="L215" s="125"/>
      <c r="M215" s="125"/>
      <c r="N215" s="125"/>
      <c r="O215" s="125"/>
      <c r="P215" s="125"/>
      <c r="Q215" s="125"/>
      <c r="R215" s="125"/>
      <c r="S215" s="125"/>
      <c r="T215" s="125"/>
      <c r="U215" s="125"/>
      <c r="V215" s="125"/>
      <c r="W215" s="125"/>
      <c r="X215" s="125"/>
      <c r="Y215" s="125"/>
      <c r="Z215" s="125"/>
      <c r="AA215" s="125"/>
    </row>
    <row r="216" spans="1:27" ht="13.5" customHeight="1" x14ac:dyDescent="0.25">
      <c r="A216" s="125"/>
      <c r="B216" s="125"/>
      <c r="C216" s="125"/>
      <c r="D216" s="125"/>
      <c r="E216" s="125"/>
      <c r="F216" s="125"/>
      <c r="G216" s="125"/>
      <c r="H216" s="125"/>
      <c r="I216" s="125"/>
      <c r="J216" s="125"/>
      <c r="K216" s="125"/>
      <c r="L216" s="125"/>
      <c r="M216" s="125"/>
      <c r="N216" s="125"/>
      <c r="O216" s="125"/>
      <c r="P216" s="125"/>
      <c r="Q216" s="125"/>
      <c r="R216" s="125"/>
      <c r="S216" s="125"/>
      <c r="T216" s="125"/>
      <c r="U216" s="125"/>
      <c r="V216" s="125"/>
      <c r="W216" s="125"/>
      <c r="X216" s="125"/>
      <c r="Y216" s="125"/>
      <c r="Z216" s="125"/>
      <c r="AA216" s="125"/>
    </row>
    <row r="217" spans="1:27" ht="13.5" customHeight="1" x14ac:dyDescent="0.25">
      <c r="A217" s="125"/>
      <c r="B217" s="125"/>
      <c r="C217" s="125"/>
      <c r="D217" s="125"/>
      <c r="E217" s="125"/>
      <c r="F217" s="125"/>
      <c r="G217" s="125"/>
      <c r="H217" s="125"/>
      <c r="I217" s="125"/>
      <c r="J217" s="125"/>
      <c r="K217" s="125"/>
      <c r="L217" s="125"/>
      <c r="M217" s="125"/>
      <c r="N217" s="125"/>
      <c r="O217" s="125"/>
      <c r="P217" s="125"/>
      <c r="Q217" s="125"/>
      <c r="R217" s="125"/>
      <c r="S217" s="125"/>
      <c r="T217" s="125"/>
      <c r="U217" s="125"/>
      <c r="V217" s="125"/>
      <c r="W217" s="125"/>
      <c r="X217" s="125"/>
      <c r="Y217" s="125"/>
      <c r="Z217" s="125"/>
      <c r="AA217" s="125"/>
    </row>
    <row r="218" spans="1:27" ht="13.5" customHeight="1" x14ac:dyDescent="0.25">
      <c r="A218" s="125"/>
      <c r="B218" s="125"/>
      <c r="C218" s="125"/>
      <c r="D218" s="125"/>
      <c r="E218" s="125"/>
      <c r="F218" s="125"/>
      <c r="G218" s="125"/>
      <c r="H218" s="125"/>
      <c r="I218" s="125"/>
      <c r="J218" s="125"/>
      <c r="K218" s="125"/>
      <c r="L218" s="125"/>
      <c r="M218" s="125"/>
      <c r="N218" s="125"/>
      <c r="O218" s="125"/>
      <c r="P218" s="125"/>
      <c r="Q218" s="125"/>
      <c r="R218" s="125"/>
      <c r="S218" s="125"/>
      <c r="T218" s="125"/>
      <c r="U218" s="125"/>
      <c r="V218" s="125"/>
      <c r="W218" s="125"/>
      <c r="X218" s="125"/>
      <c r="Y218" s="125"/>
      <c r="Z218" s="125"/>
      <c r="AA218" s="125"/>
    </row>
    <row r="219" spans="1:27" ht="13.5" customHeight="1" x14ac:dyDescent="0.25">
      <c r="A219" s="125"/>
      <c r="B219" s="125"/>
      <c r="C219" s="125"/>
      <c r="D219" s="125"/>
      <c r="E219" s="125"/>
      <c r="F219" s="125"/>
      <c r="G219" s="125"/>
      <c r="H219" s="125"/>
      <c r="I219" s="125"/>
      <c r="J219" s="125"/>
      <c r="K219" s="125"/>
      <c r="L219" s="125"/>
      <c r="M219" s="125"/>
      <c r="N219" s="125"/>
      <c r="O219" s="125"/>
      <c r="P219" s="125"/>
      <c r="Q219" s="125"/>
      <c r="R219" s="125"/>
      <c r="S219" s="125"/>
      <c r="T219" s="125"/>
      <c r="U219" s="125"/>
      <c r="V219" s="125"/>
      <c r="W219" s="125"/>
      <c r="X219" s="125"/>
      <c r="Y219" s="125"/>
      <c r="Z219" s="125"/>
      <c r="AA219" s="125"/>
    </row>
    <row r="220" spans="1:27" ht="13.5" customHeight="1" x14ac:dyDescent="0.25">
      <c r="A220" s="125"/>
      <c r="B220" s="125"/>
      <c r="C220" s="125"/>
      <c r="D220" s="125"/>
      <c r="E220" s="125"/>
      <c r="F220" s="125"/>
      <c r="G220" s="125"/>
      <c r="H220" s="125"/>
      <c r="I220" s="125"/>
      <c r="J220" s="125"/>
      <c r="K220" s="125"/>
      <c r="L220" s="125"/>
      <c r="M220" s="125"/>
      <c r="N220" s="125"/>
      <c r="O220" s="125"/>
      <c r="P220" s="125"/>
      <c r="Q220" s="125"/>
      <c r="R220" s="125"/>
      <c r="S220" s="125"/>
      <c r="T220" s="125"/>
      <c r="U220" s="125"/>
      <c r="V220" s="125"/>
      <c r="W220" s="125"/>
      <c r="X220" s="125"/>
      <c r="Y220" s="125"/>
      <c r="Z220" s="125"/>
      <c r="AA220" s="125"/>
    </row>
    <row r="221" spans="1:27" ht="13.5" customHeight="1" x14ac:dyDescent="0.25">
      <c r="A221" s="125"/>
      <c r="B221" s="125"/>
      <c r="C221" s="125"/>
      <c r="D221" s="125"/>
      <c r="E221" s="125"/>
      <c r="F221" s="125"/>
      <c r="G221" s="125"/>
      <c r="H221" s="125"/>
      <c r="I221" s="125"/>
      <c r="J221" s="125"/>
      <c r="K221" s="125"/>
      <c r="L221" s="125"/>
      <c r="M221" s="125"/>
      <c r="N221" s="125"/>
      <c r="O221" s="125"/>
      <c r="P221" s="125"/>
      <c r="Q221" s="125"/>
      <c r="R221" s="125"/>
      <c r="S221" s="125"/>
      <c r="T221" s="125"/>
      <c r="U221" s="125"/>
      <c r="V221" s="125"/>
      <c r="W221" s="125"/>
      <c r="X221" s="125"/>
      <c r="Y221" s="125"/>
      <c r="Z221" s="125"/>
      <c r="AA221" s="125"/>
    </row>
    <row r="222" spans="1:27" ht="13.5" customHeight="1" x14ac:dyDescent="0.25">
      <c r="A222" s="125"/>
      <c r="B222" s="125"/>
      <c r="C222" s="125"/>
      <c r="D222" s="125"/>
      <c r="E222" s="125"/>
      <c r="F222" s="125"/>
      <c r="G222" s="125"/>
      <c r="H222" s="125"/>
      <c r="I222" s="125"/>
      <c r="J222" s="125"/>
      <c r="K222" s="125"/>
      <c r="L222" s="125"/>
      <c r="M222" s="125"/>
      <c r="N222" s="125"/>
      <c r="O222" s="125"/>
      <c r="P222" s="125"/>
      <c r="Q222" s="125"/>
      <c r="R222" s="125"/>
      <c r="S222" s="125"/>
      <c r="T222" s="125"/>
      <c r="U222" s="125"/>
      <c r="V222" s="125"/>
      <c r="W222" s="125"/>
      <c r="X222" s="125"/>
      <c r="Y222" s="125"/>
      <c r="Z222" s="125"/>
      <c r="AA222" s="125"/>
    </row>
    <row r="223" spans="1:27" ht="13.5" customHeight="1" x14ac:dyDescent="0.25">
      <c r="A223" s="125"/>
      <c r="B223" s="125"/>
      <c r="C223" s="125"/>
      <c r="D223" s="125"/>
      <c r="E223" s="125"/>
      <c r="F223" s="125"/>
      <c r="G223" s="125"/>
      <c r="H223" s="125"/>
      <c r="I223" s="125"/>
      <c r="J223" s="125"/>
      <c r="K223" s="125"/>
      <c r="L223" s="125"/>
      <c r="M223" s="125"/>
      <c r="N223" s="125"/>
      <c r="O223" s="125"/>
      <c r="P223" s="125"/>
      <c r="Q223" s="125"/>
      <c r="R223" s="125"/>
      <c r="S223" s="125"/>
      <c r="T223" s="125"/>
      <c r="U223" s="125"/>
      <c r="V223" s="125"/>
      <c r="W223" s="125"/>
      <c r="X223" s="125"/>
      <c r="Y223" s="125"/>
      <c r="Z223" s="125"/>
      <c r="AA223" s="125"/>
    </row>
    <row r="224" spans="1:27" ht="13.5" customHeight="1" x14ac:dyDescent="0.25">
      <c r="A224" s="125"/>
      <c r="B224" s="125"/>
      <c r="C224" s="125"/>
      <c r="D224" s="125"/>
      <c r="E224" s="125"/>
      <c r="F224" s="125"/>
      <c r="G224" s="125"/>
      <c r="H224" s="125"/>
      <c r="I224" s="125"/>
      <c r="J224" s="125"/>
      <c r="K224" s="125"/>
      <c r="L224" s="125"/>
      <c r="M224" s="125"/>
      <c r="N224" s="125"/>
      <c r="O224" s="125"/>
      <c r="P224" s="125"/>
      <c r="Q224" s="125"/>
      <c r="R224" s="125"/>
      <c r="S224" s="125"/>
      <c r="T224" s="125"/>
      <c r="U224" s="125"/>
      <c r="V224" s="125"/>
      <c r="W224" s="125"/>
      <c r="X224" s="125"/>
      <c r="Y224" s="125"/>
      <c r="Z224" s="125"/>
      <c r="AA224" s="125"/>
    </row>
    <row r="225" spans="1:27" ht="13.5" customHeight="1" x14ac:dyDescent="0.25">
      <c r="A225" s="125"/>
      <c r="B225" s="125"/>
      <c r="C225" s="125"/>
      <c r="D225" s="125"/>
      <c r="E225" s="125"/>
      <c r="F225" s="125"/>
      <c r="G225" s="125"/>
      <c r="H225" s="125"/>
      <c r="I225" s="125"/>
      <c r="J225" s="125"/>
      <c r="K225" s="125"/>
      <c r="L225" s="125"/>
      <c r="M225" s="125"/>
      <c r="N225" s="125"/>
      <c r="O225" s="125"/>
      <c r="P225" s="125"/>
      <c r="Q225" s="125"/>
      <c r="R225" s="125"/>
      <c r="S225" s="125"/>
      <c r="T225" s="125"/>
      <c r="U225" s="125"/>
      <c r="V225" s="125"/>
      <c r="W225" s="125"/>
      <c r="X225" s="125"/>
      <c r="Y225" s="125"/>
      <c r="Z225" s="125"/>
      <c r="AA225" s="125"/>
    </row>
    <row r="226" spans="1:27" ht="13.5" customHeight="1" x14ac:dyDescent="0.25">
      <c r="A226" s="125"/>
      <c r="B226" s="125"/>
      <c r="C226" s="125"/>
      <c r="D226" s="125"/>
      <c r="E226" s="125"/>
      <c r="F226" s="125"/>
      <c r="G226" s="125"/>
      <c r="H226" s="125"/>
      <c r="I226" s="125"/>
      <c r="J226" s="125"/>
      <c r="K226" s="125"/>
      <c r="L226" s="125"/>
      <c r="M226" s="125"/>
      <c r="N226" s="125"/>
      <c r="O226" s="125"/>
      <c r="P226" s="125"/>
      <c r="Q226" s="125"/>
      <c r="R226" s="125"/>
      <c r="S226" s="125"/>
      <c r="T226" s="125"/>
      <c r="U226" s="125"/>
      <c r="V226" s="125"/>
      <c r="W226" s="125"/>
      <c r="X226" s="125"/>
      <c r="Y226" s="125"/>
      <c r="Z226" s="125"/>
      <c r="AA226" s="125"/>
    </row>
    <row r="227" spans="1:27" ht="13.5" customHeight="1" x14ac:dyDescent="0.25">
      <c r="A227" s="125"/>
      <c r="B227" s="125"/>
      <c r="C227" s="125"/>
      <c r="D227" s="125"/>
      <c r="E227" s="125"/>
      <c r="F227" s="125"/>
      <c r="G227" s="125"/>
      <c r="H227" s="125"/>
      <c r="I227" s="125"/>
      <c r="J227" s="125"/>
      <c r="K227" s="125"/>
      <c r="L227" s="125"/>
      <c r="M227" s="125"/>
      <c r="N227" s="125"/>
      <c r="O227" s="125"/>
      <c r="P227" s="125"/>
      <c r="Q227" s="125"/>
      <c r="R227" s="125"/>
      <c r="S227" s="125"/>
      <c r="T227" s="125"/>
      <c r="U227" s="125"/>
      <c r="V227" s="125"/>
      <c r="W227" s="125"/>
      <c r="X227" s="125"/>
      <c r="Y227" s="125"/>
      <c r="Z227" s="125"/>
      <c r="AA227" s="125"/>
    </row>
    <row r="228" spans="1:27" ht="13.5" customHeight="1" x14ac:dyDescent="0.25">
      <c r="A228" s="125"/>
      <c r="B228" s="125"/>
      <c r="C228" s="125"/>
      <c r="D228" s="125"/>
      <c r="E228" s="125"/>
      <c r="F228" s="125"/>
      <c r="G228" s="125"/>
      <c r="H228" s="125"/>
      <c r="I228" s="125"/>
      <c r="J228" s="125"/>
      <c r="K228" s="125"/>
      <c r="L228" s="125"/>
      <c r="M228" s="125"/>
      <c r="N228" s="125"/>
      <c r="O228" s="125"/>
      <c r="P228" s="125"/>
      <c r="Q228" s="125"/>
      <c r="R228" s="125"/>
      <c r="S228" s="125"/>
      <c r="T228" s="125"/>
      <c r="U228" s="125"/>
      <c r="V228" s="125"/>
      <c r="W228" s="125"/>
      <c r="X228" s="125"/>
      <c r="Y228" s="125"/>
      <c r="Z228" s="125"/>
      <c r="AA228" s="125"/>
    </row>
    <row r="229" spans="1:27" ht="13.5" customHeight="1" x14ac:dyDescent="0.25">
      <c r="A229" s="125"/>
      <c r="B229" s="125"/>
      <c r="C229" s="125"/>
      <c r="D229" s="125"/>
      <c r="E229" s="125"/>
      <c r="F229" s="125"/>
      <c r="G229" s="125"/>
      <c r="H229" s="125"/>
      <c r="I229" s="125"/>
      <c r="J229" s="125"/>
      <c r="K229" s="125"/>
      <c r="L229" s="125"/>
      <c r="M229" s="125"/>
      <c r="N229" s="125"/>
      <c r="O229" s="125"/>
      <c r="P229" s="125"/>
      <c r="Q229" s="125"/>
      <c r="R229" s="125"/>
      <c r="S229" s="125"/>
      <c r="T229" s="125"/>
      <c r="U229" s="125"/>
      <c r="V229" s="125"/>
      <c r="W229" s="125"/>
      <c r="X229" s="125"/>
      <c r="Y229" s="125"/>
      <c r="Z229" s="125"/>
      <c r="AA229" s="125"/>
    </row>
    <row r="230" spans="1:27" ht="13.5" customHeight="1" x14ac:dyDescent="0.25">
      <c r="A230" s="125"/>
      <c r="B230" s="125"/>
      <c r="C230" s="125"/>
      <c r="D230" s="125"/>
      <c r="E230" s="125"/>
      <c r="F230" s="125"/>
      <c r="G230" s="125"/>
      <c r="H230" s="125"/>
      <c r="I230" s="125"/>
      <c r="J230" s="125"/>
      <c r="K230" s="125"/>
      <c r="L230" s="125"/>
      <c r="M230" s="125"/>
      <c r="N230" s="125"/>
      <c r="O230" s="125"/>
      <c r="P230" s="125"/>
      <c r="Q230" s="125"/>
      <c r="R230" s="125"/>
      <c r="S230" s="125"/>
      <c r="T230" s="125"/>
      <c r="U230" s="125"/>
      <c r="V230" s="125"/>
      <c r="W230" s="125"/>
      <c r="X230" s="125"/>
      <c r="Y230" s="125"/>
      <c r="Z230" s="125"/>
      <c r="AA230" s="125"/>
    </row>
    <row r="231" spans="1:27" ht="13.5" customHeight="1" x14ac:dyDescent="0.25">
      <c r="A231" s="125"/>
      <c r="B231" s="125"/>
      <c r="C231" s="125"/>
      <c r="D231" s="125"/>
      <c r="E231" s="125"/>
      <c r="F231" s="125"/>
      <c r="G231" s="125"/>
      <c r="H231" s="125"/>
      <c r="I231" s="125"/>
      <c r="J231" s="125"/>
      <c r="K231" s="125"/>
      <c r="L231" s="125"/>
      <c r="M231" s="125"/>
      <c r="N231" s="125"/>
      <c r="O231" s="125"/>
      <c r="P231" s="125"/>
      <c r="Q231" s="125"/>
      <c r="R231" s="125"/>
      <c r="S231" s="125"/>
      <c r="T231" s="125"/>
      <c r="U231" s="125"/>
      <c r="V231" s="125"/>
      <c r="W231" s="125"/>
      <c r="X231" s="125"/>
      <c r="Y231" s="125"/>
      <c r="Z231" s="125"/>
      <c r="AA231" s="125"/>
    </row>
    <row r="232" spans="1:27" ht="13.5" customHeight="1" x14ac:dyDescent="0.25">
      <c r="A232" s="125"/>
      <c r="B232" s="125"/>
      <c r="C232" s="125"/>
      <c r="D232" s="125"/>
      <c r="E232" s="125"/>
      <c r="F232" s="125"/>
      <c r="G232" s="125"/>
      <c r="H232" s="125"/>
      <c r="I232" s="125"/>
      <c r="J232" s="125"/>
      <c r="K232" s="125"/>
      <c r="L232" s="125"/>
      <c r="M232" s="125"/>
      <c r="N232" s="125"/>
      <c r="O232" s="125"/>
      <c r="P232" s="125"/>
      <c r="Q232" s="125"/>
      <c r="R232" s="125"/>
      <c r="S232" s="125"/>
      <c r="T232" s="125"/>
      <c r="U232" s="125"/>
      <c r="V232" s="125"/>
      <c r="W232" s="125"/>
      <c r="X232" s="125"/>
      <c r="Y232" s="125"/>
      <c r="Z232" s="125"/>
      <c r="AA232" s="125"/>
    </row>
    <row r="233" spans="1:27" ht="13.5" customHeight="1" x14ac:dyDescent="0.25">
      <c r="A233" s="125"/>
      <c r="B233" s="125"/>
      <c r="C233" s="125"/>
      <c r="D233" s="125"/>
      <c r="E233" s="125"/>
      <c r="F233" s="125"/>
      <c r="G233" s="125"/>
      <c r="H233" s="125"/>
      <c r="I233" s="125"/>
      <c r="J233" s="125"/>
      <c r="K233" s="125"/>
      <c r="L233" s="125"/>
      <c r="M233" s="125"/>
      <c r="N233" s="125"/>
      <c r="O233" s="125"/>
      <c r="P233" s="125"/>
      <c r="Q233" s="125"/>
      <c r="R233" s="125"/>
      <c r="S233" s="125"/>
      <c r="T233" s="125"/>
      <c r="U233" s="125"/>
      <c r="V233" s="125"/>
      <c r="W233" s="125"/>
      <c r="X233" s="125"/>
      <c r="Y233" s="125"/>
      <c r="Z233" s="125"/>
      <c r="AA233" s="125"/>
    </row>
    <row r="234" spans="1:27" ht="13.5" customHeight="1" x14ac:dyDescent="0.25">
      <c r="A234" s="125"/>
      <c r="B234" s="125"/>
      <c r="C234" s="125"/>
      <c r="D234" s="125"/>
      <c r="E234" s="125"/>
      <c r="F234" s="125"/>
      <c r="G234" s="125"/>
      <c r="H234" s="125"/>
      <c r="I234" s="125"/>
      <c r="J234" s="125"/>
      <c r="K234" s="125"/>
      <c r="L234" s="125"/>
      <c r="M234" s="125"/>
      <c r="N234" s="125"/>
      <c r="O234" s="125"/>
      <c r="P234" s="125"/>
      <c r="Q234" s="125"/>
      <c r="R234" s="125"/>
      <c r="S234" s="125"/>
      <c r="T234" s="125"/>
      <c r="U234" s="125"/>
      <c r="V234" s="125"/>
      <c r="W234" s="125"/>
      <c r="X234" s="125"/>
      <c r="Y234" s="125"/>
      <c r="Z234" s="125"/>
      <c r="AA234" s="125"/>
    </row>
    <row r="235" spans="1:27" ht="13.5" customHeight="1" x14ac:dyDescent="0.25">
      <c r="A235" s="125"/>
      <c r="B235" s="125"/>
      <c r="C235" s="125"/>
      <c r="D235" s="125"/>
      <c r="E235" s="125"/>
      <c r="F235" s="125"/>
      <c r="G235" s="125"/>
      <c r="H235" s="125"/>
      <c r="I235" s="125"/>
      <c r="J235" s="125"/>
      <c r="K235" s="125"/>
      <c r="L235" s="125"/>
      <c r="M235" s="125"/>
      <c r="N235" s="125"/>
      <c r="O235" s="125"/>
      <c r="P235" s="125"/>
      <c r="Q235" s="125"/>
      <c r="R235" s="125"/>
      <c r="S235" s="125"/>
      <c r="T235" s="125"/>
      <c r="U235" s="125"/>
      <c r="V235" s="125"/>
      <c r="W235" s="125"/>
      <c r="X235" s="125"/>
      <c r="Y235" s="125"/>
      <c r="Z235" s="125"/>
      <c r="AA235" s="125"/>
    </row>
    <row r="236" spans="1:27" ht="13.5" customHeight="1" x14ac:dyDescent="0.25">
      <c r="A236" s="125"/>
      <c r="B236" s="125"/>
      <c r="C236" s="125"/>
      <c r="D236" s="125"/>
      <c r="E236" s="125"/>
      <c r="F236" s="125"/>
      <c r="G236" s="125"/>
      <c r="H236" s="125"/>
      <c r="I236" s="125"/>
      <c r="J236" s="125"/>
      <c r="K236" s="125"/>
      <c r="L236" s="125"/>
      <c r="M236" s="125"/>
      <c r="N236" s="125"/>
      <c r="O236" s="125"/>
      <c r="P236" s="125"/>
      <c r="Q236" s="125"/>
      <c r="R236" s="125"/>
      <c r="S236" s="125"/>
      <c r="T236" s="125"/>
      <c r="U236" s="125"/>
      <c r="V236" s="125"/>
      <c r="W236" s="125"/>
      <c r="X236" s="125"/>
      <c r="Y236" s="125"/>
      <c r="Z236" s="125"/>
      <c r="AA236" s="125"/>
    </row>
    <row r="237" spans="1:27" ht="13.5" customHeight="1" x14ac:dyDescent="0.25">
      <c r="A237" s="125"/>
      <c r="B237" s="125"/>
      <c r="C237" s="125"/>
      <c r="D237" s="125"/>
      <c r="E237" s="125"/>
      <c r="F237" s="125"/>
      <c r="G237" s="125"/>
      <c r="H237" s="125"/>
      <c r="I237" s="125"/>
      <c r="J237" s="125"/>
      <c r="K237" s="125"/>
      <c r="L237" s="125"/>
      <c r="M237" s="125"/>
      <c r="N237" s="125"/>
      <c r="O237" s="125"/>
      <c r="P237" s="125"/>
      <c r="Q237" s="125"/>
      <c r="R237" s="125"/>
      <c r="S237" s="125"/>
      <c r="T237" s="125"/>
      <c r="U237" s="125"/>
      <c r="V237" s="125"/>
      <c r="W237" s="125"/>
      <c r="X237" s="125"/>
      <c r="Y237" s="125"/>
      <c r="Z237" s="125"/>
      <c r="AA237" s="125"/>
    </row>
    <row r="238" spans="1:27" ht="13.5" customHeight="1" x14ac:dyDescent="0.25">
      <c r="A238" s="125"/>
      <c r="B238" s="125"/>
      <c r="C238" s="125"/>
      <c r="D238" s="125"/>
      <c r="E238" s="125"/>
      <c r="F238" s="125"/>
      <c r="G238" s="125"/>
      <c r="H238" s="125"/>
      <c r="I238" s="125"/>
      <c r="J238" s="125"/>
      <c r="K238" s="125"/>
      <c r="L238" s="125"/>
      <c r="M238" s="125"/>
      <c r="N238" s="125"/>
      <c r="O238" s="125"/>
      <c r="P238" s="125"/>
      <c r="Q238" s="125"/>
      <c r="R238" s="125"/>
      <c r="S238" s="125"/>
      <c r="T238" s="125"/>
      <c r="U238" s="125"/>
      <c r="V238" s="125"/>
      <c r="W238" s="125"/>
      <c r="X238" s="125"/>
      <c r="Y238" s="125"/>
      <c r="Z238" s="125"/>
      <c r="AA238" s="125"/>
    </row>
    <row r="239" spans="1:27" ht="13.5" customHeight="1" x14ac:dyDescent="0.25">
      <c r="A239" s="125"/>
      <c r="B239" s="125"/>
      <c r="C239" s="125"/>
      <c r="D239" s="125"/>
      <c r="E239" s="125"/>
      <c r="F239" s="125"/>
      <c r="G239" s="125"/>
      <c r="H239" s="125"/>
      <c r="I239" s="125"/>
      <c r="J239" s="125"/>
      <c r="K239" s="125"/>
      <c r="L239" s="125"/>
      <c r="M239" s="125"/>
      <c r="N239" s="125"/>
      <c r="O239" s="125"/>
      <c r="P239" s="125"/>
      <c r="Q239" s="125"/>
      <c r="R239" s="125"/>
      <c r="S239" s="125"/>
      <c r="T239" s="125"/>
      <c r="U239" s="125"/>
      <c r="V239" s="125"/>
      <c r="W239" s="125"/>
      <c r="X239" s="125"/>
      <c r="Y239" s="125"/>
      <c r="Z239" s="125"/>
      <c r="AA239" s="125"/>
    </row>
    <row r="240" spans="1:27" ht="13.5" customHeight="1" x14ac:dyDescent="0.25">
      <c r="A240" s="125"/>
      <c r="B240" s="125"/>
      <c r="C240" s="125"/>
      <c r="D240" s="125"/>
      <c r="E240" s="125"/>
      <c r="F240" s="125"/>
      <c r="G240" s="125"/>
      <c r="H240" s="125"/>
      <c r="I240" s="125"/>
      <c r="J240" s="125"/>
      <c r="K240" s="125"/>
      <c r="L240" s="125"/>
      <c r="M240" s="125"/>
      <c r="N240" s="125"/>
      <c r="O240" s="125"/>
      <c r="P240" s="125"/>
      <c r="Q240" s="125"/>
      <c r="R240" s="125"/>
      <c r="S240" s="125"/>
      <c r="T240" s="125"/>
      <c r="U240" s="125"/>
      <c r="V240" s="125"/>
      <c r="W240" s="125"/>
      <c r="X240" s="125"/>
      <c r="Y240" s="125"/>
      <c r="Z240" s="125"/>
      <c r="AA240" s="125"/>
    </row>
    <row r="241" spans="1:27" ht="13.5" customHeight="1" x14ac:dyDescent="0.25">
      <c r="A241" s="125"/>
      <c r="B241" s="125"/>
      <c r="C241" s="125"/>
      <c r="D241" s="125"/>
      <c r="E241" s="125"/>
      <c r="F241" s="125"/>
      <c r="G241" s="125"/>
      <c r="H241" s="125"/>
      <c r="I241" s="125"/>
      <c r="J241" s="125"/>
      <c r="K241" s="125"/>
      <c r="L241" s="125"/>
      <c r="M241" s="125"/>
      <c r="N241" s="125"/>
      <c r="O241" s="125"/>
      <c r="P241" s="125"/>
      <c r="Q241" s="125"/>
      <c r="R241" s="125"/>
      <c r="S241" s="125"/>
      <c r="T241" s="125"/>
      <c r="U241" s="125"/>
      <c r="V241" s="125"/>
      <c r="W241" s="125"/>
      <c r="X241" s="125"/>
      <c r="Y241" s="125"/>
      <c r="Z241" s="125"/>
      <c r="AA241" s="125"/>
    </row>
    <row r="242" spans="1:27" ht="13.5" customHeight="1" x14ac:dyDescent="0.25">
      <c r="A242" s="125"/>
      <c r="B242" s="125"/>
      <c r="C242" s="125"/>
      <c r="D242" s="125"/>
      <c r="E242" s="125"/>
      <c r="F242" s="125"/>
      <c r="G242" s="125"/>
      <c r="H242" s="125"/>
      <c r="I242" s="125"/>
      <c r="J242" s="125"/>
      <c r="K242" s="125"/>
      <c r="L242" s="125"/>
      <c r="M242" s="125"/>
      <c r="N242" s="125"/>
      <c r="O242" s="125"/>
      <c r="P242" s="125"/>
      <c r="Q242" s="125"/>
      <c r="R242" s="125"/>
      <c r="S242" s="125"/>
      <c r="T242" s="125"/>
      <c r="U242" s="125"/>
      <c r="V242" s="125"/>
      <c r="W242" s="125"/>
      <c r="X242" s="125"/>
      <c r="Y242" s="125"/>
      <c r="Z242" s="125"/>
      <c r="AA242" s="125"/>
    </row>
    <row r="243" spans="1:27" ht="13.5" customHeight="1" x14ac:dyDescent="0.25">
      <c r="A243" s="125"/>
      <c r="B243" s="125"/>
      <c r="C243" s="125"/>
      <c r="D243" s="125"/>
      <c r="E243" s="125"/>
      <c r="F243" s="125"/>
      <c r="G243" s="125"/>
      <c r="H243" s="125"/>
      <c r="I243" s="125"/>
      <c r="J243" s="125"/>
      <c r="K243" s="125"/>
      <c r="L243" s="125"/>
      <c r="M243" s="125"/>
      <c r="N243" s="125"/>
      <c r="O243" s="125"/>
      <c r="P243" s="125"/>
      <c r="Q243" s="125"/>
      <c r="R243" s="125"/>
      <c r="S243" s="125"/>
      <c r="T243" s="125"/>
      <c r="U243" s="125"/>
      <c r="V243" s="125"/>
      <c r="W243" s="125"/>
      <c r="X243" s="125"/>
      <c r="Y243" s="125"/>
      <c r="Z243" s="125"/>
      <c r="AA243" s="125"/>
    </row>
    <row r="244" spans="1:27" ht="13.5" customHeight="1" x14ac:dyDescent="0.25">
      <c r="A244" s="125"/>
      <c r="B244" s="125"/>
      <c r="C244" s="125"/>
      <c r="D244" s="125"/>
      <c r="E244" s="125"/>
      <c r="F244" s="125"/>
      <c r="G244" s="125"/>
      <c r="H244" s="125"/>
      <c r="I244" s="125"/>
      <c r="J244" s="125"/>
      <c r="K244" s="125"/>
      <c r="L244" s="125"/>
      <c r="M244" s="125"/>
      <c r="N244" s="125"/>
      <c r="O244" s="125"/>
      <c r="P244" s="125"/>
      <c r="Q244" s="125"/>
      <c r="R244" s="125"/>
      <c r="S244" s="125"/>
      <c r="T244" s="125"/>
      <c r="U244" s="125"/>
      <c r="V244" s="125"/>
      <c r="W244" s="125"/>
      <c r="X244" s="125"/>
      <c r="Y244" s="125"/>
      <c r="Z244" s="125"/>
      <c r="AA244" s="125"/>
    </row>
    <row r="245" spans="1:27" ht="13.5" customHeight="1" x14ac:dyDescent="0.25">
      <c r="A245" s="125"/>
      <c r="B245" s="125"/>
      <c r="C245" s="125"/>
      <c r="D245" s="125"/>
      <c r="E245" s="125"/>
      <c r="F245" s="125"/>
      <c r="G245" s="125"/>
      <c r="H245" s="125"/>
      <c r="I245" s="125"/>
      <c r="J245" s="125"/>
      <c r="K245" s="125"/>
      <c r="L245" s="125"/>
      <c r="M245" s="125"/>
      <c r="N245" s="125"/>
      <c r="O245" s="125"/>
      <c r="P245" s="125"/>
      <c r="Q245" s="125"/>
      <c r="R245" s="125"/>
      <c r="S245" s="125"/>
      <c r="T245" s="125"/>
      <c r="U245" s="125"/>
      <c r="V245" s="125"/>
      <c r="W245" s="125"/>
      <c r="X245" s="125"/>
      <c r="Y245" s="125"/>
      <c r="Z245" s="125"/>
      <c r="AA245" s="125"/>
    </row>
    <row r="246" spans="1:27" ht="13.5" customHeight="1" x14ac:dyDescent="0.25">
      <c r="A246" s="125"/>
      <c r="B246" s="125"/>
      <c r="C246" s="125"/>
      <c r="D246" s="125"/>
      <c r="E246" s="125"/>
      <c r="F246" s="125"/>
      <c r="G246" s="125"/>
      <c r="H246" s="125"/>
      <c r="I246" s="125"/>
      <c r="J246" s="125"/>
      <c r="K246" s="125"/>
      <c r="L246" s="125"/>
      <c r="M246" s="125"/>
      <c r="N246" s="125"/>
      <c r="O246" s="125"/>
      <c r="P246" s="125"/>
      <c r="Q246" s="125"/>
      <c r="R246" s="125"/>
      <c r="S246" s="125"/>
      <c r="T246" s="125"/>
      <c r="U246" s="125"/>
      <c r="V246" s="125"/>
      <c r="W246" s="125"/>
      <c r="X246" s="125"/>
      <c r="Y246" s="125"/>
      <c r="Z246" s="125"/>
      <c r="AA246" s="125"/>
    </row>
    <row r="247" spans="1:27" ht="13.5" customHeight="1" x14ac:dyDescent="0.25">
      <c r="A247" s="125"/>
      <c r="B247" s="125"/>
      <c r="C247" s="125"/>
      <c r="D247" s="125"/>
      <c r="E247" s="125"/>
      <c r="F247" s="125"/>
      <c r="G247" s="125"/>
      <c r="H247" s="125"/>
      <c r="I247" s="125"/>
      <c r="J247" s="125"/>
      <c r="K247" s="125"/>
      <c r="L247" s="125"/>
      <c r="M247" s="125"/>
      <c r="N247" s="125"/>
      <c r="O247" s="125"/>
      <c r="P247" s="125"/>
      <c r="Q247" s="125"/>
      <c r="R247" s="125"/>
      <c r="S247" s="125"/>
      <c r="T247" s="125"/>
      <c r="U247" s="125"/>
      <c r="V247" s="125"/>
      <c r="W247" s="125"/>
      <c r="X247" s="125"/>
      <c r="Y247" s="125"/>
      <c r="Z247" s="125"/>
      <c r="AA247" s="125"/>
    </row>
    <row r="248" spans="1:27" ht="13.5" customHeight="1" x14ac:dyDescent="0.25">
      <c r="A248" s="125"/>
      <c r="B248" s="125"/>
      <c r="C248" s="125"/>
      <c r="D248" s="125"/>
      <c r="E248" s="125"/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  <c r="AA248" s="125"/>
    </row>
    <row r="249" spans="1:27" ht="13.5" customHeight="1" x14ac:dyDescent="0.25">
      <c r="A249" s="125"/>
      <c r="B249" s="125"/>
      <c r="C249" s="125"/>
      <c r="D249" s="125"/>
      <c r="E249" s="125"/>
      <c r="F249" s="125"/>
      <c r="G249" s="125"/>
      <c r="H249" s="125"/>
      <c r="I249" s="125"/>
      <c r="J249" s="125"/>
      <c r="K249" s="125"/>
      <c r="L249" s="125"/>
      <c r="M249" s="125"/>
      <c r="N249" s="125"/>
      <c r="O249" s="125"/>
      <c r="P249" s="125"/>
      <c r="Q249" s="125"/>
      <c r="R249" s="125"/>
      <c r="S249" s="125"/>
      <c r="T249" s="125"/>
      <c r="U249" s="125"/>
      <c r="V249" s="125"/>
      <c r="W249" s="125"/>
      <c r="X249" s="125"/>
      <c r="Y249" s="125"/>
      <c r="Z249" s="125"/>
      <c r="AA249" s="125"/>
    </row>
    <row r="250" spans="1:27" ht="13.5" customHeight="1" x14ac:dyDescent="0.25">
      <c r="A250" s="125"/>
      <c r="B250" s="125"/>
      <c r="C250" s="125"/>
      <c r="D250" s="125"/>
      <c r="E250" s="125"/>
      <c r="F250" s="125"/>
      <c r="G250" s="125"/>
      <c r="H250" s="125"/>
      <c r="I250" s="125"/>
      <c r="J250" s="125"/>
      <c r="K250" s="125"/>
      <c r="L250" s="125"/>
      <c r="M250" s="125"/>
      <c r="N250" s="125"/>
      <c r="O250" s="125"/>
      <c r="P250" s="125"/>
      <c r="Q250" s="125"/>
      <c r="R250" s="125"/>
      <c r="S250" s="125"/>
      <c r="T250" s="125"/>
      <c r="U250" s="125"/>
      <c r="V250" s="125"/>
      <c r="W250" s="125"/>
      <c r="X250" s="125"/>
      <c r="Y250" s="125"/>
      <c r="Z250" s="125"/>
      <c r="AA250" s="125"/>
    </row>
    <row r="251" spans="1:27" ht="13.5" customHeight="1" x14ac:dyDescent="0.25">
      <c r="A251" s="125"/>
      <c r="B251" s="125"/>
      <c r="C251" s="125"/>
      <c r="D251" s="125"/>
      <c r="E251" s="125"/>
      <c r="F251" s="125"/>
      <c r="G251" s="125"/>
      <c r="H251" s="125"/>
      <c r="I251" s="125"/>
      <c r="J251" s="125"/>
      <c r="K251" s="125"/>
      <c r="L251" s="125"/>
      <c r="M251" s="125"/>
      <c r="N251" s="125"/>
      <c r="O251" s="125"/>
      <c r="P251" s="125"/>
      <c r="Q251" s="125"/>
      <c r="R251" s="125"/>
      <c r="S251" s="125"/>
      <c r="T251" s="125"/>
      <c r="U251" s="125"/>
      <c r="V251" s="125"/>
      <c r="W251" s="125"/>
      <c r="X251" s="125"/>
      <c r="Y251" s="125"/>
      <c r="Z251" s="125"/>
      <c r="AA251" s="125"/>
    </row>
    <row r="252" spans="1:27" ht="13.5" customHeight="1" x14ac:dyDescent="0.25">
      <c r="A252" s="125"/>
      <c r="B252" s="125"/>
      <c r="C252" s="125"/>
      <c r="D252" s="125"/>
      <c r="E252" s="125"/>
      <c r="F252" s="125"/>
      <c r="G252" s="125"/>
      <c r="H252" s="125"/>
      <c r="I252" s="125"/>
      <c r="J252" s="125"/>
      <c r="K252" s="125"/>
      <c r="L252" s="125"/>
      <c r="M252" s="125"/>
      <c r="N252" s="125"/>
      <c r="O252" s="125"/>
      <c r="P252" s="125"/>
      <c r="Q252" s="125"/>
      <c r="R252" s="125"/>
      <c r="S252" s="125"/>
      <c r="T252" s="125"/>
      <c r="U252" s="125"/>
      <c r="V252" s="125"/>
      <c r="W252" s="125"/>
      <c r="X252" s="125"/>
      <c r="Y252" s="125"/>
      <c r="Z252" s="125"/>
      <c r="AA252" s="125"/>
    </row>
    <row r="253" spans="1:27" ht="13.5" customHeight="1" x14ac:dyDescent="0.25">
      <c r="A253" s="125"/>
      <c r="B253" s="125"/>
      <c r="C253" s="125"/>
      <c r="D253" s="125"/>
      <c r="E253" s="125"/>
      <c r="F253" s="125"/>
      <c r="G253" s="125"/>
      <c r="H253" s="125"/>
      <c r="I253" s="125"/>
      <c r="J253" s="125"/>
      <c r="K253" s="125"/>
      <c r="L253" s="125"/>
      <c r="M253" s="125"/>
      <c r="N253" s="125"/>
      <c r="O253" s="125"/>
      <c r="P253" s="125"/>
      <c r="Q253" s="125"/>
      <c r="R253" s="125"/>
      <c r="S253" s="125"/>
      <c r="T253" s="125"/>
      <c r="U253" s="125"/>
      <c r="V253" s="125"/>
      <c r="W253" s="125"/>
      <c r="X253" s="125"/>
      <c r="Y253" s="125"/>
      <c r="Z253" s="125"/>
      <c r="AA253" s="125"/>
    </row>
    <row r="254" spans="1:27" ht="13.5" customHeight="1" x14ac:dyDescent="0.25">
      <c r="A254" s="125"/>
      <c r="B254" s="125"/>
      <c r="C254" s="125"/>
      <c r="D254" s="125"/>
      <c r="E254" s="125"/>
      <c r="F254" s="125"/>
      <c r="G254" s="125"/>
      <c r="H254" s="125"/>
      <c r="I254" s="125"/>
      <c r="J254" s="125"/>
      <c r="K254" s="125"/>
      <c r="L254" s="125"/>
      <c r="M254" s="125"/>
      <c r="N254" s="125"/>
      <c r="O254" s="125"/>
      <c r="P254" s="125"/>
      <c r="Q254" s="125"/>
      <c r="R254" s="125"/>
      <c r="S254" s="125"/>
      <c r="T254" s="125"/>
      <c r="U254" s="125"/>
      <c r="V254" s="125"/>
      <c r="W254" s="125"/>
      <c r="X254" s="125"/>
      <c r="Y254" s="125"/>
      <c r="Z254" s="125"/>
      <c r="AA254" s="125"/>
    </row>
    <row r="255" spans="1:27" ht="13.5" customHeight="1" x14ac:dyDescent="0.25">
      <c r="A255" s="125"/>
      <c r="B255" s="125"/>
      <c r="C255" s="125"/>
      <c r="D255" s="125"/>
      <c r="E255" s="125"/>
      <c r="F255" s="125"/>
      <c r="G255" s="125"/>
      <c r="H255" s="125"/>
      <c r="I255" s="125"/>
      <c r="J255" s="125"/>
      <c r="K255" s="125"/>
      <c r="L255" s="125"/>
      <c r="M255" s="125"/>
      <c r="N255" s="125"/>
      <c r="O255" s="125"/>
      <c r="P255" s="125"/>
      <c r="Q255" s="125"/>
      <c r="R255" s="125"/>
      <c r="S255" s="125"/>
      <c r="T255" s="125"/>
      <c r="U255" s="125"/>
      <c r="V255" s="125"/>
      <c r="W255" s="125"/>
      <c r="X255" s="125"/>
      <c r="Y255" s="125"/>
      <c r="Z255" s="125"/>
      <c r="AA255" s="125"/>
    </row>
    <row r="256" spans="1:27" ht="13.5" customHeight="1" x14ac:dyDescent="0.25">
      <c r="A256" s="125"/>
      <c r="B256" s="125"/>
      <c r="C256" s="125"/>
      <c r="D256" s="125"/>
      <c r="E256" s="125"/>
      <c r="F256" s="125"/>
      <c r="G256" s="125"/>
      <c r="H256" s="125"/>
      <c r="I256" s="125"/>
      <c r="J256" s="125"/>
      <c r="K256" s="125"/>
      <c r="L256" s="125"/>
      <c r="M256" s="125"/>
      <c r="N256" s="125"/>
      <c r="O256" s="125"/>
      <c r="P256" s="125"/>
      <c r="Q256" s="125"/>
      <c r="R256" s="125"/>
      <c r="S256" s="125"/>
      <c r="T256" s="125"/>
      <c r="U256" s="125"/>
      <c r="V256" s="125"/>
      <c r="W256" s="125"/>
      <c r="X256" s="125"/>
      <c r="Y256" s="125"/>
      <c r="Z256" s="125"/>
      <c r="AA256" s="125"/>
    </row>
    <row r="257" spans="1:27" ht="13.5" customHeight="1" x14ac:dyDescent="0.25">
      <c r="A257" s="125"/>
      <c r="B257" s="125"/>
      <c r="C257" s="125"/>
      <c r="D257" s="125"/>
      <c r="E257" s="125"/>
      <c r="F257" s="125"/>
      <c r="G257" s="125"/>
      <c r="H257" s="125"/>
      <c r="I257" s="125"/>
      <c r="J257" s="125"/>
      <c r="K257" s="125"/>
      <c r="L257" s="125"/>
      <c r="M257" s="125"/>
      <c r="N257" s="125"/>
      <c r="O257" s="125"/>
      <c r="P257" s="125"/>
      <c r="Q257" s="125"/>
      <c r="R257" s="125"/>
      <c r="S257" s="125"/>
      <c r="T257" s="125"/>
      <c r="U257" s="125"/>
      <c r="V257" s="125"/>
      <c r="W257" s="125"/>
      <c r="X257" s="125"/>
      <c r="Y257" s="125"/>
      <c r="Z257" s="125"/>
      <c r="AA257" s="125"/>
    </row>
    <row r="258" spans="1:27" ht="13.5" customHeight="1" x14ac:dyDescent="0.25">
      <c r="A258" s="125"/>
      <c r="B258" s="125"/>
      <c r="C258" s="125"/>
      <c r="D258" s="125"/>
      <c r="E258" s="125"/>
      <c r="F258" s="125"/>
      <c r="G258" s="125"/>
      <c r="H258" s="125"/>
      <c r="I258" s="125"/>
      <c r="J258" s="125"/>
      <c r="K258" s="125"/>
      <c r="L258" s="125"/>
      <c r="M258" s="125"/>
      <c r="N258" s="125"/>
      <c r="O258" s="125"/>
      <c r="P258" s="125"/>
      <c r="Q258" s="125"/>
      <c r="R258" s="125"/>
      <c r="S258" s="125"/>
      <c r="T258" s="125"/>
      <c r="U258" s="125"/>
      <c r="V258" s="125"/>
      <c r="W258" s="125"/>
      <c r="X258" s="125"/>
      <c r="Y258" s="125"/>
      <c r="Z258" s="125"/>
      <c r="AA258" s="125"/>
    </row>
    <row r="259" spans="1:27" ht="13.5" customHeight="1" x14ac:dyDescent="0.25">
      <c r="A259" s="125"/>
      <c r="B259" s="125"/>
      <c r="C259" s="125"/>
      <c r="D259" s="125"/>
      <c r="E259" s="125"/>
      <c r="F259" s="125"/>
      <c r="G259" s="125"/>
      <c r="H259" s="125"/>
      <c r="I259" s="125"/>
      <c r="J259" s="125"/>
      <c r="K259" s="125"/>
      <c r="L259" s="125"/>
      <c r="M259" s="125"/>
      <c r="N259" s="125"/>
      <c r="O259" s="125"/>
      <c r="P259" s="125"/>
      <c r="Q259" s="125"/>
      <c r="R259" s="125"/>
      <c r="S259" s="125"/>
      <c r="T259" s="125"/>
      <c r="U259" s="125"/>
      <c r="V259" s="125"/>
      <c r="W259" s="125"/>
      <c r="X259" s="125"/>
      <c r="Y259" s="125"/>
      <c r="Z259" s="125"/>
      <c r="AA259" s="125"/>
    </row>
    <row r="260" spans="1:27" ht="13.5" customHeight="1" x14ac:dyDescent="0.25">
      <c r="A260" s="125"/>
      <c r="B260" s="125"/>
      <c r="C260" s="125"/>
      <c r="D260" s="125"/>
      <c r="E260" s="125"/>
      <c r="F260" s="125"/>
      <c r="G260" s="125"/>
      <c r="H260" s="125"/>
      <c r="I260" s="125"/>
      <c r="J260" s="125"/>
      <c r="K260" s="125"/>
      <c r="L260" s="125"/>
      <c r="M260" s="125"/>
      <c r="N260" s="125"/>
      <c r="O260" s="125"/>
      <c r="P260" s="125"/>
      <c r="Q260" s="125"/>
      <c r="R260" s="125"/>
      <c r="S260" s="125"/>
      <c r="T260" s="125"/>
      <c r="U260" s="125"/>
      <c r="V260" s="125"/>
      <c r="W260" s="125"/>
      <c r="X260" s="125"/>
      <c r="Y260" s="125"/>
      <c r="Z260" s="125"/>
      <c r="AA260" s="125"/>
    </row>
    <row r="261" spans="1:27" ht="13.5" customHeight="1" x14ac:dyDescent="0.25">
      <c r="A261" s="125"/>
      <c r="B261" s="125"/>
      <c r="C261" s="125"/>
      <c r="D261" s="125"/>
      <c r="E261" s="125"/>
      <c r="F261" s="125"/>
      <c r="G261" s="125"/>
      <c r="H261" s="125"/>
      <c r="I261" s="125"/>
      <c r="J261" s="125"/>
      <c r="K261" s="125"/>
      <c r="L261" s="125"/>
      <c r="M261" s="125"/>
      <c r="N261" s="125"/>
      <c r="O261" s="125"/>
      <c r="P261" s="125"/>
      <c r="Q261" s="125"/>
      <c r="R261" s="125"/>
      <c r="S261" s="125"/>
      <c r="T261" s="125"/>
      <c r="U261" s="125"/>
      <c r="V261" s="125"/>
      <c r="W261" s="125"/>
      <c r="X261" s="125"/>
      <c r="Y261" s="125"/>
      <c r="Z261" s="125"/>
      <c r="AA261" s="125"/>
    </row>
    <row r="262" spans="1:27" ht="13.5" customHeight="1" x14ac:dyDescent="0.25">
      <c r="A262" s="125"/>
      <c r="B262" s="125"/>
      <c r="C262" s="125"/>
      <c r="D262" s="125"/>
      <c r="E262" s="125"/>
      <c r="F262" s="125"/>
      <c r="G262" s="125"/>
      <c r="H262" s="125"/>
      <c r="I262" s="125"/>
      <c r="J262" s="125"/>
      <c r="K262" s="125"/>
      <c r="L262" s="125"/>
      <c r="M262" s="125"/>
      <c r="N262" s="125"/>
      <c r="O262" s="125"/>
      <c r="P262" s="125"/>
      <c r="Q262" s="125"/>
      <c r="R262" s="125"/>
      <c r="S262" s="125"/>
      <c r="T262" s="125"/>
      <c r="U262" s="125"/>
      <c r="V262" s="125"/>
      <c r="W262" s="125"/>
      <c r="X262" s="125"/>
      <c r="Y262" s="125"/>
      <c r="Z262" s="125"/>
      <c r="AA262" s="125"/>
    </row>
    <row r="263" spans="1:27" ht="13.5" customHeight="1" x14ac:dyDescent="0.25">
      <c r="A263" s="125"/>
      <c r="B263" s="125"/>
      <c r="C263" s="125"/>
      <c r="D263" s="125"/>
      <c r="E263" s="125"/>
      <c r="F263" s="125"/>
      <c r="G263" s="125"/>
      <c r="H263" s="125"/>
      <c r="I263" s="125"/>
      <c r="J263" s="125"/>
      <c r="K263" s="125"/>
      <c r="L263" s="125"/>
      <c r="M263" s="125"/>
      <c r="N263" s="125"/>
      <c r="O263" s="125"/>
      <c r="P263" s="125"/>
      <c r="Q263" s="125"/>
      <c r="R263" s="125"/>
      <c r="S263" s="125"/>
      <c r="T263" s="125"/>
      <c r="U263" s="125"/>
      <c r="V263" s="125"/>
      <c r="W263" s="125"/>
      <c r="X263" s="125"/>
      <c r="Y263" s="125"/>
      <c r="Z263" s="125"/>
      <c r="AA263" s="125"/>
    </row>
    <row r="264" spans="1:27" ht="13.5" customHeight="1" x14ac:dyDescent="0.25">
      <c r="A264" s="125"/>
      <c r="B264" s="125"/>
      <c r="C264" s="125"/>
      <c r="D264" s="125"/>
      <c r="E264" s="125"/>
      <c r="F264" s="125"/>
      <c r="G264" s="125"/>
      <c r="H264" s="125"/>
      <c r="I264" s="125"/>
      <c r="J264" s="125"/>
      <c r="K264" s="125"/>
      <c r="L264" s="125"/>
      <c r="M264" s="125"/>
      <c r="N264" s="125"/>
      <c r="O264" s="125"/>
      <c r="P264" s="125"/>
      <c r="Q264" s="125"/>
      <c r="R264" s="125"/>
      <c r="S264" s="125"/>
      <c r="T264" s="125"/>
      <c r="U264" s="125"/>
      <c r="V264" s="125"/>
      <c r="W264" s="125"/>
      <c r="X264" s="125"/>
      <c r="Y264" s="125"/>
      <c r="Z264" s="125"/>
      <c r="AA264" s="125"/>
    </row>
    <row r="265" spans="1:27" ht="13.5" customHeight="1" x14ac:dyDescent="0.25">
      <c r="A265" s="125"/>
      <c r="B265" s="125"/>
      <c r="C265" s="125"/>
      <c r="D265" s="125"/>
      <c r="E265" s="125"/>
      <c r="F265" s="125"/>
      <c r="G265" s="125"/>
      <c r="H265" s="125"/>
      <c r="I265" s="125"/>
      <c r="J265" s="125"/>
      <c r="K265" s="125"/>
      <c r="L265" s="125"/>
      <c r="M265" s="125"/>
      <c r="N265" s="125"/>
      <c r="O265" s="125"/>
      <c r="P265" s="125"/>
      <c r="Q265" s="125"/>
      <c r="R265" s="125"/>
      <c r="S265" s="125"/>
      <c r="T265" s="125"/>
      <c r="U265" s="125"/>
      <c r="V265" s="125"/>
      <c r="W265" s="125"/>
      <c r="X265" s="125"/>
      <c r="Y265" s="125"/>
      <c r="Z265" s="125"/>
      <c r="AA265" s="125"/>
    </row>
    <row r="266" spans="1:27" ht="13.5" customHeight="1" x14ac:dyDescent="0.25">
      <c r="A266" s="125"/>
      <c r="B266" s="125"/>
      <c r="C266" s="125"/>
      <c r="D266" s="125"/>
      <c r="E266" s="125"/>
      <c r="F266" s="125"/>
      <c r="G266" s="125"/>
      <c r="H266" s="125"/>
      <c r="I266" s="125"/>
      <c r="J266" s="125"/>
      <c r="K266" s="125"/>
      <c r="L266" s="125"/>
      <c r="M266" s="125"/>
      <c r="N266" s="125"/>
      <c r="O266" s="125"/>
      <c r="P266" s="125"/>
      <c r="Q266" s="125"/>
      <c r="R266" s="125"/>
      <c r="S266" s="125"/>
      <c r="T266" s="125"/>
      <c r="U266" s="125"/>
      <c r="V266" s="125"/>
      <c r="W266" s="125"/>
      <c r="X266" s="125"/>
      <c r="Y266" s="125"/>
      <c r="Z266" s="125"/>
      <c r="AA266" s="125"/>
    </row>
    <row r="267" spans="1:27" ht="13.5" customHeight="1" x14ac:dyDescent="0.25">
      <c r="A267" s="125"/>
      <c r="B267" s="125"/>
      <c r="C267" s="125"/>
      <c r="D267" s="125"/>
      <c r="E267" s="125"/>
      <c r="F267" s="125"/>
      <c r="G267" s="125"/>
      <c r="H267" s="125"/>
      <c r="I267" s="125"/>
      <c r="J267" s="125"/>
      <c r="K267" s="125"/>
      <c r="L267" s="125"/>
      <c r="M267" s="125"/>
      <c r="N267" s="125"/>
      <c r="O267" s="125"/>
      <c r="P267" s="125"/>
      <c r="Q267" s="125"/>
      <c r="R267" s="125"/>
      <c r="S267" s="125"/>
      <c r="T267" s="125"/>
      <c r="U267" s="125"/>
      <c r="V267" s="125"/>
      <c r="W267" s="125"/>
      <c r="X267" s="125"/>
      <c r="Y267" s="125"/>
      <c r="Z267" s="125"/>
      <c r="AA267" s="125"/>
    </row>
    <row r="268" spans="1:27" ht="13.5" customHeight="1" x14ac:dyDescent="0.25">
      <c r="A268" s="125"/>
      <c r="B268" s="125"/>
      <c r="C268" s="125"/>
      <c r="D268" s="125"/>
      <c r="E268" s="125"/>
      <c r="F268" s="125"/>
      <c r="G268" s="125"/>
      <c r="H268" s="125"/>
      <c r="I268" s="125"/>
      <c r="J268" s="125"/>
      <c r="K268" s="125"/>
      <c r="L268" s="125"/>
      <c r="M268" s="125"/>
      <c r="N268" s="125"/>
      <c r="O268" s="125"/>
      <c r="P268" s="125"/>
      <c r="Q268" s="125"/>
      <c r="R268" s="125"/>
      <c r="S268" s="125"/>
      <c r="T268" s="125"/>
      <c r="U268" s="125"/>
      <c r="V268" s="125"/>
      <c r="W268" s="125"/>
      <c r="X268" s="125"/>
      <c r="Y268" s="125"/>
      <c r="Z268" s="125"/>
      <c r="AA268" s="125"/>
    </row>
    <row r="269" spans="1:27" ht="13.5" customHeight="1" x14ac:dyDescent="0.25">
      <c r="A269" s="125"/>
      <c r="B269" s="125"/>
      <c r="C269" s="125"/>
      <c r="D269" s="125"/>
      <c r="E269" s="125"/>
      <c r="F269" s="125"/>
      <c r="G269" s="125"/>
      <c r="H269" s="125"/>
      <c r="I269" s="125"/>
      <c r="J269" s="125"/>
      <c r="K269" s="125"/>
      <c r="L269" s="125"/>
      <c r="M269" s="125"/>
      <c r="N269" s="125"/>
      <c r="O269" s="125"/>
      <c r="P269" s="125"/>
      <c r="Q269" s="125"/>
      <c r="R269" s="125"/>
      <c r="S269" s="125"/>
      <c r="T269" s="125"/>
      <c r="U269" s="125"/>
      <c r="V269" s="125"/>
      <c r="W269" s="125"/>
      <c r="X269" s="125"/>
      <c r="Y269" s="125"/>
      <c r="Z269" s="125"/>
      <c r="AA269" s="125"/>
    </row>
    <row r="270" spans="1:27" ht="13.5" customHeight="1" x14ac:dyDescent="0.25">
      <c r="A270" s="125"/>
      <c r="B270" s="125"/>
      <c r="C270" s="125"/>
      <c r="D270" s="125"/>
      <c r="E270" s="125"/>
      <c r="F270" s="125"/>
      <c r="G270" s="125"/>
      <c r="H270" s="125"/>
      <c r="I270" s="125"/>
      <c r="J270" s="125"/>
      <c r="K270" s="125"/>
      <c r="L270" s="125"/>
      <c r="M270" s="125"/>
      <c r="N270" s="125"/>
      <c r="O270" s="125"/>
      <c r="P270" s="125"/>
      <c r="Q270" s="125"/>
      <c r="R270" s="125"/>
      <c r="S270" s="125"/>
      <c r="T270" s="125"/>
      <c r="U270" s="125"/>
      <c r="V270" s="125"/>
      <c r="W270" s="125"/>
      <c r="X270" s="125"/>
      <c r="Y270" s="125"/>
      <c r="Z270" s="125"/>
      <c r="AA270" s="125"/>
    </row>
    <row r="271" spans="1:27" ht="13.5" customHeight="1" x14ac:dyDescent="0.25">
      <c r="A271" s="125"/>
      <c r="B271" s="125"/>
      <c r="C271" s="125"/>
      <c r="D271" s="125"/>
      <c r="E271" s="125"/>
      <c r="F271" s="125"/>
      <c r="G271" s="125"/>
      <c r="H271" s="125"/>
      <c r="I271" s="125"/>
      <c r="J271" s="125"/>
      <c r="K271" s="125"/>
      <c r="L271" s="125"/>
      <c r="M271" s="125"/>
      <c r="N271" s="125"/>
      <c r="O271" s="125"/>
      <c r="P271" s="125"/>
      <c r="Q271" s="125"/>
      <c r="R271" s="125"/>
      <c r="S271" s="125"/>
      <c r="T271" s="125"/>
      <c r="U271" s="125"/>
      <c r="V271" s="125"/>
      <c r="W271" s="125"/>
      <c r="X271" s="125"/>
      <c r="Y271" s="125"/>
      <c r="Z271" s="125"/>
      <c r="AA271" s="125"/>
    </row>
    <row r="272" spans="1:27" ht="13.5" customHeight="1" x14ac:dyDescent="0.25">
      <c r="A272" s="125"/>
      <c r="B272" s="125"/>
      <c r="C272" s="125"/>
      <c r="D272" s="125"/>
      <c r="E272" s="125"/>
      <c r="F272" s="125"/>
      <c r="G272" s="125"/>
      <c r="H272" s="125"/>
      <c r="I272" s="125"/>
      <c r="J272" s="125"/>
      <c r="K272" s="125"/>
      <c r="L272" s="125"/>
      <c r="M272" s="125"/>
      <c r="N272" s="125"/>
      <c r="O272" s="125"/>
      <c r="P272" s="125"/>
      <c r="Q272" s="125"/>
      <c r="R272" s="125"/>
      <c r="S272" s="125"/>
      <c r="T272" s="125"/>
      <c r="U272" s="125"/>
      <c r="V272" s="125"/>
      <c r="W272" s="125"/>
      <c r="X272" s="125"/>
      <c r="Y272" s="125"/>
      <c r="Z272" s="125"/>
      <c r="AA272" s="125"/>
    </row>
    <row r="273" spans="1:27" ht="13.5" customHeight="1" x14ac:dyDescent="0.25">
      <c r="A273" s="125"/>
      <c r="B273" s="125"/>
      <c r="C273" s="125"/>
      <c r="D273" s="125"/>
      <c r="E273" s="125"/>
      <c r="F273" s="125"/>
      <c r="G273" s="125"/>
      <c r="H273" s="125"/>
      <c r="I273" s="125"/>
      <c r="J273" s="125"/>
      <c r="K273" s="125"/>
      <c r="L273" s="125"/>
      <c r="M273" s="125"/>
      <c r="N273" s="125"/>
      <c r="O273" s="125"/>
      <c r="P273" s="125"/>
      <c r="Q273" s="125"/>
      <c r="R273" s="125"/>
      <c r="S273" s="125"/>
      <c r="T273" s="125"/>
      <c r="U273" s="125"/>
      <c r="V273" s="125"/>
      <c r="W273" s="125"/>
      <c r="X273" s="125"/>
      <c r="Y273" s="125"/>
      <c r="Z273" s="125"/>
      <c r="AA273" s="125"/>
    </row>
    <row r="274" spans="1:27" ht="13.5" customHeight="1" x14ac:dyDescent="0.25">
      <c r="A274" s="125"/>
      <c r="B274" s="125"/>
      <c r="C274" s="125"/>
      <c r="D274" s="125"/>
      <c r="E274" s="125"/>
      <c r="F274" s="125"/>
      <c r="G274" s="125"/>
      <c r="H274" s="125"/>
      <c r="I274" s="125"/>
      <c r="J274" s="125"/>
      <c r="K274" s="125"/>
      <c r="L274" s="125"/>
      <c r="M274" s="125"/>
      <c r="N274" s="125"/>
      <c r="O274" s="125"/>
      <c r="P274" s="125"/>
      <c r="Q274" s="125"/>
      <c r="R274" s="125"/>
      <c r="S274" s="125"/>
      <c r="T274" s="125"/>
      <c r="U274" s="125"/>
      <c r="V274" s="125"/>
      <c r="W274" s="125"/>
      <c r="X274" s="125"/>
      <c r="Y274" s="125"/>
      <c r="Z274" s="125"/>
      <c r="AA274" s="125"/>
    </row>
    <row r="275" spans="1:27" ht="13.5" customHeight="1" x14ac:dyDescent="0.25">
      <c r="A275" s="125"/>
      <c r="B275" s="125"/>
      <c r="C275" s="125"/>
      <c r="D275" s="125"/>
      <c r="E275" s="125"/>
      <c r="F275" s="125"/>
      <c r="G275" s="125"/>
      <c r="H275" s="125"/>
      <c r="I275" s="125"/>
      <c r="J275" s="125"/>
      <c r="K275" s="125"/>
      <c r="L275" s="125"/>
      <c r="M275" s="125"/>
      <c r="N275" s="125"/>
      <c r="O275" s="125"/>
      <c r="P275" s="125"/>
      <c r="Q275" s="125"/>
      <c r="R275" s="125"/>
      <c r="S275" s="125"/>
      <c r="T275" s="125"/>
      <c r="U275" s="125"/>
      <c r="V275" s="125"/>
      <c r="W275" s="125"/>
      <c r="X275" s="125"/>
      <c r="Y275" s="125"/>
      <c r="Z275" s="125"/>
      <c r="AA275" s="125"/>
    </row>
    <row r="276" spans="1:27" ht="13.5" customHeight="1" x14ac:dyDescent="0.25">
      <c r="A276" s="125"/>
      <c r="B276" s="125"/>
      <c r="C276" s="125"/>
      <c r="D276" s="125"/>
      <c r="E276" s="125"/>
      <c r="F276" s="125"/>
      <c r="G276" s="125"/>
      <c r="H276" s="125"/>
      <c r="I276" s="125"/>
      <c r="J276" s="125"/>
      <c r="K276" s="125"/>
      <c r="L276" s="125"/>
      <c r="M276" s="125"/>
      <c r="N276" s="125"/>
      <c r="O276" s="125"/>
      <c r="P276" s="125"/>
      <c r="Q276" s="125"/>
      <c r="R276" s="125"/>
      <c r="S276" s="125"/>
      <c r="T276" s="125"/>
      <c r="U276" s="125"/>
      <c r="V276" s="125"/>
      <c r="W276" s="125"/>
      <c r="X276" s="125"/>
      <c r="Y276" s="125"/>
      <c r="Z276" s="125"/>
      <c r="AA276" s="125"/>
    </row>
    <row r="277" spans="1:27" ht="13.5" customHeight="1" x14ac:dyDescent="0.25">
      <c r="A277" s="125"/>
      <c r="B277" s="125"/>
      <c r="C277" s="125"/>
      <c r="D277" s="125"/>
      <c r="E277" s="125"/>
      <c r="F277" s="125"/>
      <c r="G277" s="125"/>
      <c r="H277" s="125"/>
      <c r="I277" s="125"/>
      <c r="J277" s="125"/>
      <c r="K277" s="125"/>
      <c r="L277" s="125"/>
      <c r="M277" s="125"/>
      <c r="N277" s="125"/>
      <c r="O277" s="125"/>
      <c r="P277" s="125"/>
      <c r="Q277" s="125"/>
      <c r="R277" s="125"/>
      <c r="S277" s="125"/>
      <c r="T277" s="125"/>
      <c r="U277" s="125"/>
      <c r="V277" s="125"/>
      <c r="W277" s="125"/>
      <c r="X277" s="125"/>
      <c r="Y277" s="125"/>
      <c r="Z277" s="125"/>
      <c r="AA277" s="125"/>
    </row>
    <row r="278" spans="1:27" ht="13.5" customHeight="1" x14ac:dyDescent="0.25">
      <c r="A278" s="125"/>
      <c r="B278" s="125"/>
      <c r="C278" s="125"/>
      <c r="D278" s="125"/>
      <c r="E278" s="125"/>
      <c r="F278" s="125"/>
      <c r="G278" s="125"/>
      <c r="H278" s="125"/>
      <c r="I278" s="125"/>
      <c r="J278" s="125"/>
      <c r="K278" s="125"/>
      <c r="L278" s="125"/>
      <c r="M278" s="125"/>
      <c r="N278" s="125"/>
      <c r="O278" s="125"/>
      <c r="P278" s="125"/>
      <c r="Q278" s="125"/>
      <c r="R278" s="125"/>
      <c r="S278" s="125"/>
      <c r="T278" s="125"/>
      <c r="U278" s="125"/>
      <c r="V278" s="125"/>
      <c r="W278" s="125"/>
      <c r="X278" s="125"/>
      <c r="Y278" s="125"/>
      <c r="Z278" s="125"/>
      <c r="AA278" s="125"/>
    </row>
    <row r="279" spans="1:27" ht="13.5" customHeight="1" x14ac:dyDescent="0.25">
      <c r="A279" s="125"/>
      <c r="B279" s="125"/>
      <c r="C279" s="125"/>
      <c r="D279" s="125"/>
      <c r="E279" s="125"/>
      <c r="F279" s="125"/>
      <c r="G279" s="125"/>
      <c r="H279" s="125"/>
      <c r="I279" s="125"/>
      <c r="J279" s="125"/>
      <c r="K279" s="125"/>
      <c r="L279" s="125"/>
      <c r="M279" s="125"/>
      <c r="N279" s="125"/>
      <c r="O279" s="125"/>
      <c r="P279" s="125"/>
      <c r="Q279" s="125"/>
      <c r="R279" s="125"/>
      <c r="S279" s="125"/>
      <c r="T279" s="125"/>
      <c r="U279" s="125"/>
      <c r="V279" s="125"/>
      <c r="W279" s="125"/>
      <c r="X279" s="125"/>
      <c r="Y279" s="125"/>
      <c r="Z279" s="125"/>
      <c r="AA279" s="125"/>
    </row>
    <row r="280" spans="1:27" ht="13.5" customHeight="1" x14ac:dyDescent="0.25">
      <c r="A280" s="125"/>
      <c r="B280" s="125"/>
      <c r="C280" s="125"/>
      <c r="D280" s="125"/>
      <c r="E280" s="125"/>
      <c r="F280" s="125"/>
      <c r="G280" s="125"/>
      <c r="H280" s="125"/>
      <c r="I280" s="125"/>
      <c r="J280" s="125"/>
      <c r="K280" s="125"/>
      <c r="L280" s="125"/>
      <c r="M280" s="125"/>
      <c r="N280" s="125"/>
      <c r="O280" s="125"/>
      <c r="P280" s="125"/>
      <c r="Q280" s="125"/>
      <c r="R280" s="125"/>
      <c r="S280" s="125"/>
      <c r="T280" s="125"/>
      <c r="U280" s="125"/>
      <c r="V280" s="125"/>
      <c r="W280" s="125"/>
      <c r="X280" s="125"/>
      <c r="Y280" s="125"/>
      <c r="Z280" s="125"/>
      <c r="AA280" s="125"/>
    </row>
    <row r="281" spans="1:27" ht="13.5" customHeight="1" x14ac:dyDescent="0.25">
      <c r="A281" s="125"/>
      <c r="B281" s="125"/>
      <c r="C281" s="125"/>
      <c r="D281" s="125"/>
      <c r="E281" s="125"/>
      <c r="F281" s="125"/>
      <c r="G281" s="125"/>
      <c r="H281" s="125"/>
      <c r="I281" s="125"/>
      <c r="J281" s="125"/>
      <c r="K281" s="125"/>
      <c r="L281" s="125"/>
      <c r="M281" s="125"/>
      <c r="N281" s="125"/>
      <c r="O281" s="125"/>
      <c r="P281" s="125"/>
      <c r="Q281" s="125"/>
      <c r="R281" s="125"/>
      <c r="S281" s="125"/>
      <c r="T281" s="125"/>
      <c r="U281" s="125"/>
      <c r="V281" s="125"/>
      <c r="W281" s="125"/>
      <c r="X281" s="125"/>
      <c r="Y281" s="125"/>
      <c r="Z281" s="125"/>
      <c r="AA281" s="125"/>
    </row>
    <row r="282" spans="1:27" ht="13.5" customHeight="1" x14ac:dyDescent="0.25">
      <c r="A282" s="125"/>
      <c r="B282" s="125"/>
      <c r="C282" s="125"/>
      <c r="D282" s="125"/>
      <c r="E282" s="125"/>
      <c r="F282" s="125"/>
      <c r="G282" s="125"/>
      <c r="H282" s="125"/>
      <c r="I282" s="125"/>
      <c r="J282" s="125"/>
      <c r="K282" s="125"/>
      <c r="L282" s="125"/>
      <c r="M282" s="125"/>
      <c r="N282" s="125"/>
      <c r="O282" s="125"/>
      <c r="P282" s="125"/>
      <c r="Q282" s="125"/>
      <c r="R282" s="125"/>
      <c r="S282" s="125"/>
      <c r="T282" s="125"/>
      <c r="U282" s="125"/>
      <c r="V282" s="125"/>
      <c r="W282" s="125"/>
      <c r="X282" s="125"/>
      <c r="Y282" s="125"/>
      <c r="Z282" s="125"/>
      <c r="AA282" s="125"/>
    </row>
    <row r="283" spans="1:27" ht="13.5" customHeight="1" x14ac:dyDescent="0.25">
      <c r="A283" s="125"/>
      <c r="B283" s="125"/>
      <c r="C283" s="125"/>
      <c r="D283" s="125"/>
      <c r="E283" s="125"/>
      <c r="F283" s="125"/>
      <c r="G283" s="125"/>
      <c r="H283" s="125"/>
      <c r="I283" s="125"/>
      <c r="J283" s="125"/>
      <c r="K283" s="125"/>
      <c r="L283" s="125"/>
      <c r="M283" s="125"/>
      <c r="N283" s="125"/>
      <c r="O283" s="125"/>
      <c r="P283" s="125"/>
      <c r="Q283" s="125"/>
      <c r="R283" s="125"/>
      <c r="S283" s="125"/>
      <c r="T283" s="125"/>
      <c r="U283" s="125"/>
      <c r="V283" s="125"/>
      <c r="W283" s="125"/>
      <c r="X283" s="125"/>
      <c r="Y283" s="125"/>
      <c r="Z283" s="125"/>
      <c r="AA283" s="125"/>
    </row>
    <row r="284" spans="1:27" ht="13.5" customHeight="1" x14ac:dyDescent="0.25">
      <c r="A284" s="125"/>
      <c r="B284" s="125"/>
      <c r="C284" s="125"/>
      <c r="D284" s="125"/>
      <c r="E284" s="125"/>
      <c r="F284" s="125"/>
      <c r="G284" s="125"/>
      <c r="H284" s="125"/>
      <c r="I284" s="125"/>
      <c r="J284" s="125"/>
      <c r="K284" s="125"/>
      <c r="L284" s="125"/>
      <c r="M284" s="125"/>
      <c r="N284" s="125"/>
      <c r="O284" s="125"/>
      <c r="P284" s="125"/>
      <c r="Q284" s="125"/>
      <c r="R284" s="125"/>
      <c r="S284" s="125"/>
      <c r="T284" s="125"/>
      <c r="U284" s="125"/>
      <c r="V284" s="125"/>
      <c r="W284" s="125"/>
      <c r="X284" s="125"/>
      <c r="Y284" s="125"/>
      <c r="Z284" s="125"/>
      <c r="AA284" s="125"/>
    </row>
    <row r="285" spans="1:27" ht="13.5" customHeight="1" x14ac:dyDescent="0.25">
      <c r="A285" s="125"/>
      <c r="B285" s="125"/>
      <c r="C285" s="125"/>
      <c r="D285" s="125"/>
      <c r="E285" s="125"/>
      <c r="F285" s="125"/>
      <c r="G285" s="125"/>
      <c r="H285" s="125"/>
      <c r="I285" s="125"/>
      <c r="J285" s="125"/>
      <c r="K285" s="125"/>
      <c r="L285" s="125"/>
      <c r="M285" s="125"/>
      <c r="N285" s="125"/>
      <c r="O285" s="125"/>
      <c r="P285" s="125"/>
      <c r="Q285" s="125"/>
      <c r="R285" s="125"/>
      <c r="S285" s="125"/>
      <c r="T285" s="125"/>
      <c r="U285" s="125"/>
      <c r="V285" s="125"/>
      <c r="W285" s="125"/>
      <c r="X285" s="125"/>
      <c r="Y285" s="125"/>
      <c r="Z285" s="125"/>
      <c r="AA285" s="125"/>
    </row>
    <row r="286" spans="1:27" ht="13.5" customHeight="1" x14ac:dyDescent="0.25">
      <c r="A286" s="125"/>
      <c r="B286" s="125"/>
      <c r="C286" s="125"/>
      <c r="D286" s="125"/>
      <c r="E286" s="125"/>
      <c r="F286" s="125"/>
      <c r="G286" s="125"/>
      <c r="H286" s="125"/>
      <c r="I286" s="125"/>
      <c r="J286" s="125"/>
      <c r="K286" s="125"/>
      <c r="L286" s="125"/>
      <c r="M286" s="125"/>
      <c r="N286" s="125"/>
      <c r="O286" s="125"/>
      <c r="P286" s="125"/>
      <c r="Q286" s="125"/>
      <c r="R286" s="125"/>
      <c r="S286" s="125"/>
      <c r="T286" s="125"/>
      <c r="U286" s="125"/>
      <c r="V286" s="125"/>
      <c r="W286" s="125"/>
      <c r="X286" s="125"/>
      <c r="Y286" s="125"/>
      <c r="Z286" s="125"/>
      <c r="AA286" s="125"/>
    </row>
    <row r="287" spans="1:27" ht="13.5" customHeight="1" x14ac:dyDescent="0.25">
      <c r="A287" s="125"/>
      <c r="B287" s="125"/>
      <c r="C287" s="125"/>
      <c r="D287" s="125"/>
      <c r="E287" s="125"/>
      <c r="F287" s="125"/>
      <c r="G287" s="125"/>
      <c r="H287" s="125"/>
      <c r="I287" s="125"/>
      <c r="J287" s="125"/>
      <c r="K287" s="125"/>
      <c r="L287" s="125"/>
      <c r="M287" s="125"/>
      <c r="N287" s="125"/>
      <c r="O287" s="125"/>
      <c r="P287" s="125"/>
      <c r="Q287" s="125"/>
      <c r="R287" s="125"/>
      <c r="S287" s="125"/>
      <c r="T287" s="125"/>
      <c r="U287" s="125"/>
      <c r="V287" s="125"/>
      <c r="W287" s="125"/>
      <c r="X287" s="125"/>
      <c r="Y287" s="125"/>
      <c r="Z287" s="125"/>
      <c r="AA287" s="125"/>
    </row>
    <row r="288" spans="1:27" ht="13.5" customHeight="1" x14ac:dyDescent="0.25">
      <c r="A288" s="125"/>
      <c r="B288" s="125"/>
      <c r="C288" s="125"/>
      <c r="D288" s="125"/>
      <c r="E288" s="125"/>
      <c r="F288" s="125"/>
      <c r="G288" s="125"/>
      <c r="H288" s="125"/>
      <c r="I288" s="125"/>
      <c r="J288" s="125"/>
      <c r="K288" s="125"/>
      <c r="L288" s="125"/>
      <c r="M288" s="125"/>
      <c r="N288" s="125"/>
      <c r="O288" s="125"/>
      <c r="P288" s="125"/>
      <c r="Q288" s="125"/>
      <c r="R288" s="125"/>
      <c r="S288" s="125"/>
      <c r="T288" s="125"/>
      <c r="U288" s="125"/>
      <c r="V288" s="125"/>
      <c r="W288" s="125"/>
      <c r="X288" s="125"/>
      <c r="Y288" s="125"/>
      <c r="Z288" s="125"/>
      <c r="AA288" s="125"/>
    </row>
    <row r="289" spans="1:27" ht="13.5" customHeight="1" x14ac:dyDescent="0.25">
      <c r="A289" s="125"/>
      <c r="B289" s="125"/>
      <c r="C289" s="125"/>
      <c r="D289" s="125"/>
      <c r="E289" s="125"/>
      <c r="F289" s="125"/>
      <c r="G289" s="125"/>
      <c r="H289" s="125"/>
      <c r="I289" s="125"/>
      <c r="J289" s="125"/>
      <c r="K289" s="125"/>
      <c r="L289" s="125"/>
      <c r="M289" s="125"/>
      <c r="N289" s="125"/>
      <c r="O289" s="125"/>
      <c r="P289" s="125"/>
      <c r="Q289" s="125"/>
      <c r="R289" s="125"/>
      <c r="S289" s="125"/>
      <c r="T289" s="125"/>
      <c r="U289" s="125"/>
      <c r="V289" s="125"/>
      <c r="W289" s="125"/>
      <c r="X289" s="125"/>
      <c r="Y289" s="125"/>
      <c r="Z289" s="125"/>
      <c r="AA289" s="125"/>
    </row>
    <row r="290" spans="1:27" ht="13.5" customHeight="1" x14ac:dyDescent="0.25">
      <c r="A290" s="125"/>
      <c r="B290" s="125"/>
      <c r="C290" s="125"/>
      <c r="D290" s="125"/>
      <c r="E290" s="125"/>
      <c r="F290" s="125"/>
      <c r="G290" s="125"/>
      <c r="H290" s="125"/>
      <c r="I290" s="125"/>
      <c r="J290" s="125"/>
      <c r="K290" s="125"/>
      <c r="L290" s="125"/>
      <c r="M290" s="125"/>
      <c r="N290" s="125"/>
      <c r="O290" s="125"/>
      <c r="P290" s="125"/>
      <c r="Q290" s="125"/>
      <c r="R290" s="125"/>
      <c r="S290" s="125"/>
      <c r="T290" s="125"/>
      <c r="U290" s="125"/>
      <c r="V290" s="125"/>
      <c r="W290" s="125"/>
      <c r="X290" s="125"/>
      <c r="Y290" s="125"/>
      <c r="Z290" s="125"/>
      <c r="AA290" s="125"/>
    </row>
    <row r="291" spans="1:27" ht="13.5" customHeight="1" x14ac:dyDescent="0.25">
      <c r="A291" s="125"/>
      <c r="B291" s="125"/>
      <c r="C291" s="125"/>
      <c r="D291" s="125"/>
      <c r="E291" s="125"/>
      <c r="F291" s="125"/>
      <c r="G291" s="125"/>
      <c r="H291" s="125"/>
      <c r="I291" s="125"/>
      <c r="J291" s="125"/>
      <c r="K291" s="125"/>
      <c r="L291" s="125"/>
      <c r="M291" s="125"/>
      <c r="N291" s="125"/>
      <c r="O291" s="125"/>
      <c r="P291" s="125"/>
      <c r="Q291" s="125"/>
      <c r="R291" s="125"/>
      <c r="S291" s="125"/>
      <c r="T291" s="125"/>
      <c r="U291" s="125"/>
      <c r="V291" s="125"/>
      <c r="W291" s="125"/>
      <c r="X291" s="125"/>
      <c r="Y291" s="125"/>
      <c r="Z291" s="125"/>
      <c r="AA291" s="125"/>
    </row>
    <row r="292" spans="1:27" ht="13.5" customHeight="1" x14ac:dyDescent="0.25">
      <c r="A292" s="125"/>
      <c r="B292" s="125"/>
      <c r="C292" s="125"/>
      <c r="D292" s="125"/>
      <c r="E292" s="125"/>
      <c r="F292" s="125"/>
      <c r="G292" s="125"/>
      <c r="H292" s="125"/>
      <c r="I292" s="125"/>
      <c r="J292" s="125"/>
      <c r="K292" s="125"/>
      <c r="L292" s="125"/>
      <c r="M292" s="125"/>
      <c r="N292" s="125"/>
      <c r="O292" s="125"/>
      <c r="P292" s="125"/>
      <c r="Q292" s="125"/>
      <c r="R292" s="125"/>
      <c r="S292" s="125"/>
      <c r="T292" s="125"/>
      <c r="U292" s="125"/>
      <c r="V292" s="125"/>
      <c r="W292" s="125"/>
      <c r="X292" s="125"/>
      <c r="Y292" s="125"/>
      <c r="Z292" s="125"/>
      <c r="AA292" s="125"/>
    </row>
    <row r="293" spans="1:27" ht="13.5" customHeight="1" x14ac:dyDescent="0.25">
      <c r="A293" s="125"/>
      <c r="B293" s="125"/>
      <c r="C293" s="125"/>
      <c r="D293" s="125"/>
      <c r="E293" s="125"/>
      <c r="F293" s="125"/>
      <c r="G293" s="125"/>
      <c r="H293" s="125"/>
      <c r="I293" s="125"/>
      <c r="J293" s="125"/>
      <c r="K293" s="125"/>
      <c r="L293" s="125"/>
      <c r="M293" s="125"/>
      <c r="N293" s="125"/>
      <c r="O293" s="125"/>
      <c r="P293" s="125"/>
      <c r="Q293" s="125"/>
      <c r="R293" s="125"/>
      <c r="S293" s="125"/>
      <c r="T293" s="125"/>
      <c r="U293" s="125"/>
      <c r="V293" s="125"/>
      <c r="W293" s="125"/>
      <c r="X293" s="125"/>
      <c r="Y293" s="125"/>
      <c r="Z293" s="125"/>
      <c r="AA293" s="125"/>
    </row>
    <row r="294" spans="1:27" ht="13.5" customHeight="1" x14ac:dyDescent="0.25">
      <c r="A294" s="125"/>
      <c r="B294" s="125"/>
      <c r="C294" s="125"/>
      <c r="D294" s="125"/>
      <c r="E294" s="125"/>
      <c r="F294" s="125"/>
      <c r="G294" s="125"/>
      <c r="H294" s="125"/>
      <c r="I294" s="125"/>
      <c r="J294" s="125"/>
      <c r="K294" s="125"/>
      <c r="L294" s="125"/>
      <c r="M294" s="125"/>
      <c r="N294" s="125"/>
      <c r="O294" s="125"/>
      <c r="P294" s="125"/>
      <c r="Q294" s="125"/>
      <c r="R294" s="125"/>
      <c r="S294" s="125"/>
      <c r="T294" s="125"/>
      <c r="U294" s="125"/>
      <c r="V294" s="125"/>
      <c r="W294" s="125"/>
      <c r="X294" s="125"/>
      <c r="Y294" s="125"/>
      <c r="Z294" s="125"/>
      <c r="AA294" s="125"/>
    </row>
    <row r="295" spans="1:27" ht="13.5" customHeight="1" x14ac:dyDescent="0.25">
      <c r="A295" s="125"/>
      <c r="B295" s="125"/>
      <c r="C295" s="125"/>
      <c r="D295" s="125"/>
      <c r="E295" s="125"/>
      <c r="F295" s="125"/>
      <c r="G295" s="125"/>
      <c r="H295" s="125"/>
      <c r="I295" s="125"/>
      <c r="J295" s="125"/>
      <c r="K295" s="125"/>
      <c r="L295" s="125"/>
      <c r="M295" s="125"/>
      <c r="N295" s="125"/>
      <c r="O295" s="125"/>
      <c r="P295" s="125"/>
      <c r="Q295" s="125"/>
      <c r="R295" s="125"/>
      <c r="S295" s="125"/>
      <c r="T295" s="125"/>
      <c r="U295" s="125"/>
      <c r="V295" s="125"/>
      <c r="W295" s="125"/>
      <c r="X295" s="125"/>
      <c r="Y295" s="125"/>
      <c r="Z295" s="125"/>
      <c r="AA295" s="125"/>
    </row>
    <row r="296" spans="1:27" ht="13.5" customHeight="1" x14ac:dyDescent="0.25">
      <c r="A296" s="125"/>
      <c r="B296" s="125"/>
      <c r="C296" s="125"/>
      <c r="D296" s="125"/>
      <c r="E296" s="125"/>
      <c r="F296" s="125"/>
      <c r="G296" s="125"/>
      <c r="H296" s="125"/>
      <c r="I296" s="125"/>
      <c r="J296" s="125"/>
      <c r="K296" s="125"/>
      <c r="L296" s="125"/>
      <c r="M296" s="125"/>
      <c r="N296" s="125"/>
      <c r="O296" s="125"/>
      <c r="P296" s="125"/>
      <c r="Q296" s="125"/>
      <c r="R296" s="125"/>
      <c r="S296" s="125"/>
      <c r="T296" s="125"/>
      <c r="U296" s="125"/>
      <c r="V296" s="125"/>
      <c r="W296" s="125"/>
      <c r="X296" s="125"/>
      <c r="Y296" s="125"/>
      <c r="Z296" s="125"/>
      <c r="AA296" s="125"/>
    </row>
    <row r="297" spans="1:27" ht="13.5" customHeight="1" x14ac:dyDescent="0.25">
      <c r="A297" s="125"/>
      <c r="B297" s="125"/>
      <c r="C297" s="125"/>
      <c r="D297" s="125"/>
      <c r="E297" s="125"/>
      <c r="F297" s="125"/>
      <c r="G297" s="125"/>
      <c r="H297" s="125"/>
      <c r="I297" s="125"/>
      <c r="J297" s="125"/>
      <c r="K297" s="125"/>
      <c r="L297" s="125"/>
      <c r="M297" s="125"/>
      <c r="N297" s="125"/>
      <c r="O297" s="125"/>
      <c r="P297" s="125"/>
      <c r="Q297" s="125"/>
      <c r="R297" s="125"/>
      <c r="S297" s="125"/>
      <c r="T297" s="125"/>
      <c r="U297" s="125"/>
      <c r="V297" s="125"/>
      <c r="W297" s="125"/>
      <c r="X297" s="125"/>
      <c r="Y297" s="125"/>
      <c r="Z297" s="125"/>
      <c r="AA297" s="125"/>
    </row>
    <row r="298" spans="1:27" ht="13.5" customHeight="1" x14ac:dyDescent="0.25">
      <c r="A298" s="125"/>
      <c r="B298" s="125"/>
      <c r="C298" s="125"/>
      <c r="D298" s="125"/>
      <c r="E298" s="125"/>
      <c r="F298" s="125"/>
      <c r="G298" s="125"/>
      <c r="H298" s="125"/>
      <c r="I298" s="125"/>
      <c r="J298" s="125"/>
      <c r="K298" s="125"/>
      <c r="L298" s="125"/>
      <c r="M298" s="125"/>
      <c r="N298" s="125"/>
      <c r="O298" s="125"/>
      <c r="P298" s="125"/>
      <c r="Q298" s="125"/>
      <c r="R298" s="125"/>
      <c r="S298" s="125"/>
      <c r="T298" s="125"/>
      <c r="U298" s="125"/>
      <c r="V298" s="125"/>
      <c r="W298" s="125"/>
      <c r="X298" s="125"/>
      <c r="Y298" s="125"/>
      <c r="Z298" s="125"/>
      <c r="AA298" s="125"/>
    </row>
    <row r="299" spans="1:27" ht="13.5" customHeight="1" x14ac:dyDescent="0.25">
      <c r="A299" s="125"/>
      <c r="B299" s="125"/>
      <c r="C299" s="125"/>
      <c r="D299" s="125"/>
      <c r="E299" s="125"/>
      <c r="F299" s="125"/>
      <c r="G299" s="125"/>
      <c r="H299" s="125"/>
      <c r="I299" s="125"/>
      <c r="J299" s="125"/>
      <c r="K299" s="125"/>
      <c r="L299" s="125"/>
      <c r="M299" s="125"/>
      <c r="N299" s="125"/>
      <c r="O299" s="125"/>
      <c r="P299" s="125"/>
      <c r="Q299" s="125"/>
      <c r="R299" s="125"/>
      <c r="S299" s="125"/>
      <c r="T299" s="125"/>
      <c r="U299" s="125"/>
      <c r="V299" s="125"/>
      <c r="W299" s="125"/>
      <c r="X299" s="125"/>
      <c r="Y299" s="125"/>
      <c r="Z299" s="125"/>
      <c r="AA299" s="125"/>
    </row>
    <row r="300" spans="1:27" ht="13.5" customHeight="1" x14ac:dyDescent="0.25">
      <c r="A300" s="125"/>
      <c r="B300" s="125"/>
      <c r="C300" s="125"/>
      <c r="D300" s="125"/>
      <c r="E300" s="125"/>
      <c r="F300" s="125"/>
      <c r="G300" s="125"/>
      <c r="H300" s="125"/>
      <c r="I300" s="125"/>
      <c r="J300" s="125"/>
      <c r="K300" s="125"/>
      <c r="L300" s="125"/>
      <c r="M300" s="125"/>
      <c r="N300" s="125"/>
      <c r="O300" s="125"/>
      <c r="P300" s="125"/>
      <c r="Q300" s="125"/>
      <c r="R300" s="125"/>
      <c r="S300" s="125"/>
      <c r="T300" s="125"/>
      <c r="U300" s="125"/>
      <c r="V300" s="125"/>
      <c r="W300" s="125"/>
      <c r="X300" s="125"/>
      <c r="Y300" s="125"/>
      <c r="Z300" s="125"/>
      <c r="AA300" s="125"/>
    </row>
    <row r="301" spans="1:27" ht="13.5" customHeight="1" x14ac:dyDescent="0.25">
      <c r="A301" s="125"/>
      <c r="B301" s="125"/>
      <c r="C301" s="125"/>
      <c r="D301" s="125"/>
      <c r="E301" s="125"/>
      <c r="F301" s="125"/>
      <c r="G301" s="125"/>
      <c r="H301" s="125"/>
      <c r="I301" s="125"/>
      <c r="J301" s="125"/>
      <c r="K301" s="125"/>
      <c r="L301" s="125"/>
      <c r="M301" s="125"/>
      <c r="N301" s="125"/>
      <c r="O301" s="125"/>
      <c r="P301" s="125"/>
      <c r="Q301" s="125"/>
      <c r="R301" s="125"/>
      <c r="S301" s="125"/>
      <c r="T301" s="125"/>
      <c r="U301" s="125"/>
      <c r="V301" s="125"/>
      <c r="W301" s="125"/>
      <c r="X301" s="125"/>
      <c r="Y301" s="125"/>
      <c r="Z301" s="125"/>
      <c r="AA301" s="125"/>
    </row>
    <row r="302" spans="1:27" ht="13.5" customHeight="1" x14ac:dyDescent="0.25">
      <c r="A302" s="125"/>
      <c r="B302" s="125"/>
      <c r="C302" s="125"/>
      <c r="D302" s="125"/>
      <c r="E302" s="125"/>
      <c r="F302" s="125"/>
      <c r="G302" s="125"/>
      <c r="H302" s="125"/>
      <c r="I302" s="125"/>
      <c r="J302" s="125"/>
      <c r="K302" s="125"/>
      <c r="L302" s="125"/>
      <c r="M302" s="125"/>
      <c r="N302" s="125"/>
      <c r="O302" s="125"/>
      <c r="P302" s="125"/>
      <c r="Q302" s="125"/>
      <c r="R302" s="125"/>
      <c r="S302" s="125"/>
      <c r="T302" s="125"/>
      <c r="U302" s="125"/>
      <c r="V302" s="125"/>
      <c r="W302" s="125"/>
      <c r="X302" s="125"/>
      <c r="Y302" s="125"/>
      <c r="Z302" s="125"/>
      <c r="AA302" s="125"/>
    </row>
    <row r="303" spans="1:27" ht="13.5" customHeight="1" x14ac:dyDescent="0.25">
      <c r="A303" s="125"/>
      <c r="B303" s="125"/>
      <c r="C303" s="125"/>
      <c r="D303" s="125"/>
      <c r="E303" s="125"/>
      <c r="F303" s="125"/>
      <c r="G303" s="125"/>
      <c r="H303" s="125"/>
      <c r="I303" s="125"/>
      <c r="J303" s="125"/>
      <c r="K303" s="125"/>
      <c r="L303" s="125"/>
      <c r="M303" s="125"/>
      <c r="N303" s="125"/>
      <c r="O303" s="125"/>
      <c r="P303" s="125"/>
      <c r="Q303" s="125"/>
      <c r="R303" s="125"/>
      <c r="S303" s="125"/>
      <c r="T303" s="125"/>
      <c r="U303" s="125"/>
      <c r="V303" s="125"/>
      <c r="W303" s="125"/>
      <c r="X303" s="125"/>
      <c r="Y303" s="125"/>
      <c r="Z303" s="125"/>
      <c r="AA303" s="125"/>
    </row>
    <row r="304" spans="1:27" ht="13.5" customHeight="1" x14ac:dyDescent="0.25">
      <c r="A304" s="125"/>
      <c r="B304" s="125"/>
      <c r="C304" s="125"/>
      <c r="D304" s="125"/>
      <c r="E304" s="125"/>
      <c r="F304" s="125"/>
      <c r="G304" s="125"/>
      <c r="H304" s="125"/>
      <c r="I304" s="125"/>
      <c r="J304" s="125"/>
      <c r="K304" s="125"/>
      <c r="L304" s="125"/>
      <c r="M304" s="125"/>
      <c r="N304" s="125"/>
      <c r="O304" s="125"/>
      <c r="P304" s="125"/>
      <c r="Q304" s="125"/>
      <c r="R304" s="125"/>
      <c r="S304" s="125"/>
      <c r="T304" s="125"/>
      <c r="U304" s="125"/>
      <c r="V304" s="125"/>
      <c r="W304" s="125"/>
      <c r="X304" s="125"/>
      <c r="Y304" s="125"/>
      <c r="Z304" s="125"/>
      <c r="AA304" s="125"/>
    </row>
    <row r="305" spans="1:27" ht="13.5" customHeight="1" x14ac:dyDescent="0.25">
      <c r="A305" s="125"/>
      <c r="B305" s="125"/>
      <c r="C305" s="125"/>
      <c r="D305" s="125"/>
      <c r="E305" s="125"/>
      <c r="F305" s="125"/>
      <c r="G305" s="125"/>
      <c r="H305" s="125"/>
      <c r="I305" s="125"/>
      <c r="J305" s="125"/>
      <c r="K305" s="125"/>
      <c r="L305" s="125"/>
      <c r="M305" s="125"/>
      <c r="N305" s="125"/>
      <c r="O305" s="125"/>
      <c r="P305" s="125"/>
      <c r="Q305" s="125"/>
      <c r="R305" s="125"/>
      <c r="S305" s="125"/>
      <c r="T305" s="125"/>
      <c r="U305" s="125"/>
      <c r="V305" s="125"/>
      <c r="W305" s="125"/>
      <c r="X305" s="125"/>
      <c r="Y305" s="125"/>
      <c r="Z305" s="125"/>
      <c r="AA305" s="125"/>
    </row>
    <row r="306" spans="1:27" ht="13.5" customHeight="1" x14ac:dyDescent="0.25">
      <c r="A306" s="125"/>
      <c r="B306" s="125"/>
      <c r="C306" s="125"/>
      <c r="D306" s="125"/>
      <c r="E306" s="125"/>
      <c r="F306" s="125"/>
      <c r="G306" s="125"/>
      <c r="H306" s="125"/>
      <c r="I306" s="125"/>
      <c r="J306" s="125"/>
      <c r="K306" s="125"/>
      <c r="L306" s="125"/>
      <c r="M306" s="125"/>
      <c r="N306" s="125"/>
      <c r="O306" s="125"/>
      <c r="P306" s="125"/>
      <c r="Q306" s="125"/>
      <c r="R306" s="125"/>
      <c r="S306" s="125"/>
      <c r="T306" s="125"/>
      <c r="U306" s="125"/>
      <c r="V306" s="125"/>
      <c r="W306" s="125"/>
      <c r="X306" s="125"/>
      <c r="Y306" s="125"/>
      <c r="Z306" s="125"/>
      <c r="AA306" s="125"/>
    </row>
    <row r="307" spans="1:27" ht="13.5" customHeight="1" x14ac:dyDescent="0.25">
      <c r="A307" s="125"/>
      <c r="B307" s="125"/>
      <c r="C307" s="125"/>
      <c r="D307" s="125"/>
      <c r="E307" s="125"/>
      <c r="F307" s="125"/>
      <c r="G307" s="125"/>
      <c r="H307" s="125"/>
      <c r="I307" s="125"/>
      <c r="J307" s="125"/>
      <c r="K307" s="125"/>
      <c r="L307" s="125"/>
      <c r="M307" s="125"/>
      <c r="N307" s="125"/>
      <c r="O307" s="125"/>
      <c r="P307" s="125"/>
      <c r="Q307" s="125"/>
      <c r="R307" s="125"/>
      <c r="S307" s="125"/>
      <c r="T307" s="125"/>
      <c r="U307" s="125"/>
      <c r="V307" s="125"/>
      <c r="W307" s="125"/>
      <c r="X307" s="125"/>
      <c r="Y307" s="125"/>
      <c r="Z307" s="125"/>
      <c r="AA307" s="125"/>
    </row>
    <row r="308" spans="1:27" ht="13.5" customHeight="1" x14ac:dyDescent="0.25">
      <c r="A308" s="125"/>
      <c r="B308" s="125"/>
      <c r="C308" s="125"/>
      <c r="D308" s="125"/>
      <c r="E308" s="125"/>
      <c r="F308" s="125"/>
      <c r="G308" s="125"/>
      <c r="H308" s="125"/>
      <c r="I308" s="125"/>
      <c r="J308" s="125"/>
      <c r="K308" s="125"/>
      <c r="L308" s="125"/>
      <c r="M308" s="125"/>
      <c r="N308" s="125"/>
      <c r="O308" s="125"/>
      <c r="P308" s="125"/>
      <c r="Q308" s="125"/>
      <c r="R308" s="125"/>
      <c r="S308" s="125"/>
      <c r="T308" s="125"/>
      <c r="U308" s="125"/>
      <c r="V308" s="125"/>
      <c r="W308" s="125"/>
      <c r="X308" s="125"/>
      <c r="Y308" s="125"/>
      <c r="Z308" s="125"/>
      <c r="AA308" s="125"/>
    </row>
    <row r="309" spans="1:27" ht="13.5" customHeight="1" x14ac:dyDescent="0.25">
      <c r="A309" s="125"/>
      <c r="B309" s="125"/>
      <c r="C309" s="125"/>
      <c r="D309" s="125"/>
      <c r="E309" s="125"/>
      <c r="F309" s="125"/>
      <c r="G309" s="125"/>
      <c r="H309" s="125"/>
      <c r="I309" s="125"/>
      <c r="J309" s="125"/>
      <c r="K309" s="125"/>
      <c r="L309" s="125"/>
      <c r="M309" s="125"/>
      <c r="N309" s="125"/>
      <c r="O309" s="125"/>
      <c r="P309" s="125"/>
      <c r="Q309" s="125"/>
      <c r="R309" s="125"/>
      <c r="S309" s="125"/>
      <c r="T309" s="125"/>
      <c r="U309" s="125"/>
      <c r="V309" s="125"/>
      <c r="W309" s="125"/>
      <c r="X309" s="125"/>
      <c r="Y309" s="125"/>
      <c r="Z309" s="125"/>
      <c r="AA309" s="125"/>
    </row>
    <row r="310" spans="1:27" ht="13.5" customHeight="1" x14ac:dyDescent="0.25">
      <c r="A310" s="125"/>
      <c r="B310" s="125"/>
      <c r="C310" s="125"/>
      <c r="D310" s="125"/>
      <c r="E310" s="125"/>
      <c r="F310" s="125"/>
      <c r="G310" s="125"/>
      <c r="H310" s="125"/>
      <c r="I310" s="125"/>
      <c r="J310" s="125"/>
      <c r="K310" s="125"/>
      <c r="L310" s="125"/>
      <c r="M310" s="125"/>
      <c r="N310" s="125"/>
      <c r="O310" s="125"/>
      <c r="P310" s="125"/>
      <c r="Q310" s="125"/>
      <c r="R310" s="125"/>
      <c r="S310" s="125"/>
      <c r="T310" s="125"/>
      <c r="U310" s="125"/>
      <c r="V310" s="125"/>
      <c r="W310" s="125"/>
      <c r="X310" s="125"/>
      <c r="Y310" s="125"/>
      <c r="Z310" s="125"/>
      <c r="AA310" s="125"/>
    </row>
    <row r="311" spans="1:27" ht="13.5" customHeight="1" x14ac:dyDescent="0.25">
      <c r="A311" s="125"/>
      <c r="B311" s="125"/>
      <c r="C311" s="125"/>
      <c r="D311" s="125"/>
      <c r="E311" s="125"/>
      <c r="F311" s="125"/>
      <c r="G311" s="125"/>
      <c r="H311" s="125"/>
      <c r="I311" s="125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  <c r="AA311" s="125"/>
    </row>
    <row r="312" spans="1:27" ht="13.5" customHeight="1" x14ac:dyDescent="0.25">
      <c r="A312" s="125"/>
      <c r="B312" s="125"/>
      <c r="C312" s="125"/>
      <c r="D312" s="125"/>
      <c r="E312" s="125"/>
      <c r="F312" s="125"/>
      <c r="G312" s="125"/>
      <c r="H312" s="125"/>
      <c r="I312" s="125"/>
      <c r="J312" s="125"/>
      <c r="K312" s="125"/>
      <c r="L312" s="125"/>
      <c r="M312" s="125"/>
      <c r="N312" s="125"/>
      <c r="O312" s="125"/>
      <c r="P312" s="125"/>
      <c r="Q312" s="125"/>
      <c r="R312" s="125"/>
      <c r="S312" s="125"/>
      <c r="T312" s="125"/>
      <c r="U312" s="125"/>
      <c r="V312" s="125"/>
      <c r="W312" s="125"/>
      <c r="X312" s="125"/>
      <c r="Y312" s="125"/>
      <c r="Z312" s="125"/>
      <c r="AA312" s="125"/>
    </row>
    <row r="313" spans="1:27" ht="13.5" customHeight="1" x14ac:dyDescent="0.25">
      <c r="A313" s="125"/>
      <c r="B313" s="125"/>
      <c r="C313" s="125"/>
      <c r="D313" s="125"/>
      <c r="E313" s="125"/>
      <c r="F313" s="125"/>
      <c r="G313" s="125"/>
      <c r="H313" s="125"/>
      <c r="I313" s="125"/>
      <c r="J313" s="125"/>
      <c r="K313" s="125"/>
      <c r="L313" s="125"/>
      <c r="M313" s="125"/>
      <c r="N313" s="125"/>
      <c r="O313" s="125"/>
      <c r="P313" s="125"/>
      <c r="Q313" s="125"/>
      <c r="R313" s="125"/>
      <c r="S313" s="125"/>
      <c r="T313" s="125"/>
      <c r="U313" s="125"/>
      <c r="V313" s="125"/>
      <c r="W313" s="125"/>
      <c r="X313" s="125"/>
      <c r="Y313" s="125"/>
      <c r="Z313" s="125"/>
      <c r="AA313" s="125"/>
    </row>
    <row r="314" spans="1:27" ht="13.5" customHeight="1" x14ac:dyDescent="0.25">
      <c r="A314" s="125"/>
      <c r="B314" s="125"/>
      <c r="C314" s="125"/>
      <c r="D314" s="125"/>
      <c r="E314" s="125"/>
      <c r="F314" s="125"/>
      <c r="G314" s="125"/>
      <c r="H314" s="125"/>
      <c r="I314" s="125"/>
      <c r="J314" s="125"/>
      <c r="K314" s="125"/>
      <c r="L314" s="125"/>
      <c r="M314" s="125"/>
      <c r="N314" s="125"/>
      <c r="O314" s="125"/>
      <c r="P314" s="125"/>
      <c r="Q314" s="125"/>
      <c r="R314" s="125"/>
      <c r="S314" s="125"/>
      <c r="T314" s="125"/>
      <c r="U314" s="125"/>
      <c r="V314" s="125"/>
      <c r="W314" s="125"/>
      <c r="X314" s="125"/>
      <c r="Y314" s="125"/>
      <c r="Z314" s="125"/>
      <c r="AA314" s="125"/>
    </row>
    <row r="315" spans="1:27" ht="13.5" customHeight="1" x14ac:dyDescent="0.25">
      <c r="A315" s="125"/>
      <c r="B315" s="125"/>
      <c r="C315" s="125"/>
      <c r="D315" s="125"/>
      <c r="E315" s="125"/>
      <c r="F315" s="125"/>
      <c r="G315" s="125"/>
      <c r="H315" s="125"/>
      <c r="I315" s="125"/>
      <c r="J315" s="125"/>
      <c r="K315" s="125"/>
      <c r="L315" s="125"/>
      <c r="M315" s="125"/>
      <c r="N315" s="125"/>
      <c r="O315" s="125"/>
      <c r="P315" s="125"/>
      <c r="Q315" s="125"/>
      <c r="R315" s="125"/>
      <c r="S315" s="125"/>
      <c r="T315" s="125"/>
      <c r="U315" s="125"/>
      <c r="V315" s="125"/>
      <c r="W315" s="125"/>
      <c r="X315" s="125"/>
      <c r="Y315" s="125"/>
      <c r="Z315" s="125"/>
      <c r="AA315" s="125"/>
    </row>
    <row r="316" spans="1:27" ht="13.5" customHeight="1" x14ac:dyDescent="0.25">
      <c r="A316" s="125"/>
      <c r="B316" s="125"/>
      <c r="C316" s="125"/>
      <c r="D316" s="125"/>
      <c r="E316" s="125"/>
      <c r="F316" s="125"/>
      <c r="G316" s="125"/>
      <c r="H316" s="125"/>
      <c r="I316" s="125"/>
      <c r="J316" s="125"/>
      <c r="K316" s="125"/>
      <c r="L316" s="125"/>
      <c r="M316" s="125"/>
      <c r="N316" s="125"/>
      <c r="O316" s="125"/>
      <c r="P316" s="125"/>
      <c r="Q316" s="125"/>
      <c r="R316" s="125"/>
      <c r="S316" s="125"/>
      <c r="T316" s="125"/>
      <c r="U316" s="125"/>
      <c r="V316" s="125"/>
      <c r="W316" s="125"/>
      <c r="X316" s="125"/>
      <c r="Y316" s="125"/>
      <c r="Z316" s="125"/>
      <c r="AA316" s="125"/>
    </row>
    <row r="317" spans="1:27" ht="13.5" customHeight="1" x14ac:dyDescent="0.25">
      <c r="A317" s="125"/>
      <c r="B317" s="125"/>
      <c r="C317" s="125"/>
      <c r="D317" s="125"/>
      <c r="E317" s="125"/>
      <c r="F317" s="125"/>
      <c r="G317" s="125"/>
      <c r="H317" s="125"/>
      <c r="I317" s="125"/>
      <c r="J317" s="125"/>
      <c r="K317" s="125"/>
      <c r="L317" s="125"/>
      <c r="M317" s="125"/>
      <c r="N317" s="125"/>
      <c r="O317" s="125"/>
      <c r="P317" s="125"/>
      <c r="Q317" s="125"/>
      <c r="R317" s="125"/>
      <c r="S317" s="125"/>
      <c r="T317" s="125"/>
      <c r="U317" s="125"/>
      <c r="V317" s="125"/>
      <c r="W317" s="125"/>
      <c r="X317" s="125"/>
      <c r="Y317" s="125"/>
      <c r="Z317" s="125"/>
      <c r="AA317" s="125"/>
    </row>
    <row r="318" spans="1:27" ht="13.5" customHeight="1" x14ac:dyDescent="0.25">
      <c r="A318" s="125"/>
      <c r="B318" s="125"/>
      <c r="C318" s="125"/>
      <c r="D318" s="125"/>
      <c r="E318" s="125"/>
      <c r="F318" s="125"/>
      <c r="G318" s="125"/>
      <c r="H318" s="125"/>
      <c r="I318" s="125"/>
      <c r="J318" s="125"/>
      <c r="K318" s="125"/>
      <c r="L318" s="125"/>
      <c r="M318" s="125"/>
      <c r="N318" s="125"/>
      <c r="O318" s="125"/>
      <c r="P318" s="125"/>
      <c r="Q318" s="125"/>
      <c r="R318" s="125"/>
      <c r="S318" s="125"/>
      <c r="T318" s="125"/>
      <c r="U318" s="125"/>
      <c r="V318" s="125"/>
      <c r="W318" s="125"/>
      <c r="X318" s="125"/>
      <c r="Y318" s="125"/>
      <c r="Z318" s="125"/>
      <c r="AA318" s="125"/>
    </row>
    <row r="319" spans="1:27" ht="13.5" customHeight="1" x14ac:dyDescent="0.25">
      <c r="A319" s="125"/>
      <c r="B319" s="125"/>
      <c r="C319" s="125"/>
      <c r="D319" s="125"/>
      <c r="E319" s="125"/>
      <c r="F319" s="125"/>
      <c r="G319" s="125"/>
      <c r="H319" s="125"/>
      <c r="I319" s="125"/>
      <c r="J319" s="125"/>
      <c r="K319" s="125"/>
      <c r="L319" s="125"/>
      <c r="M319" s="125"/>
      <c r="N319" s="125"/>
      <c r="O319" s="125"/>
      <c r="P319" s="125"/>
      <c r="Q319" s="125"/>
      <c r="R319" s="125"/>
      <c r="S319" s="125"/>
      <c r="T319" s="125"/>
      <c r="U319" s="125"/>
      <c r="V319" s="125"/>
      <c r="W319" s="125"/>
      <c r="X319" s="125"/>
      <c r="Y319" s="125"/>
      <c r="Z319" s="125"/>
      <c r="AA319" s="125"/>
    </row>
    <row r="320" spans="1:27" ht="13.5" customHeight="1" x14ac:dyDescent="0.25">
      <c r="A320" s="125"/>
      <c r="B320" s="125"/>
      <c r="C320" s="125"/>
      <c r="D320" s="125"/>
      <c r="E320" s="125"/>
      <c r="F320" s="125"/>
      <c r="G320" s="125"/>
      <c r="H320" s="125"/>
      <c r="I320" s="125"/>
      <c r="J320" s="125"/>
      <c r="K320" s="125"/>
      <c r="L320" s="125"/>
      <c r="M320" s="125"/>
      <c r="N320" s="125"/>
      <c r="O320" s="125"/>
      <c r="P320" s="125"/>
      <c r="Q320" s="125"/>
      <c r="R320" s="125"/>
      <c r="S320" s="125"/>
      <c r="T320" s="125"/>
      <c r="U320" s="125"/>
      <c r="V320" s="125"/>
      <c r="W320" s="125"/>
      <c r="X320" s="125"/>
      <c r="Y320" s="125"/>
      <c r="Z320" s="125"/>
      <c r="AA320" s="125"/>
    </row>
    <row r="321" spans="1:27" ht="13.5" customHeight="1" x14ac:dyDescent="0.25">
      <c r="A321" s="125"/>
      <c r="B321" s="125"/>
      <c r="C321" s="125"/>
      <c r="D321" s="125"/>
      <c r="E321" s="125"/>
      <c r="F321" s="125"/>
      <c r="G321" s="125"/>
      <c r="H321" s="125"/>
      <c r="I321" s="125"/>
      <c r="J321" s="125"/>
      <c r="K321" s="125"/>
      <c r="L321" s="125"/>
      <c r="M321" s="125"/>
      <c r="N321" s="125"/>
      <c r="O321" s="125"/>
      <c r="P321" s="125"/>
      <c r="Q321" s="125"/>
      <c r="R321" s="125"/>
      <c r="S321" s="125"/>
      <c r="T321" s="125"/>
      <c r="U321" s="125"/>
      <c r="V321" s="125"/>
      <c r="W321" s="125"/>
      <c r="X321" s="125"/>
      <c r="Y321" s="125"/>
      <c r="Z321" s="125"/>
      <c r="AA321" s="125"/>
    </row>
    <row r="322" spans="1:27" ht="13.5" customHeight="1" x14ac:dyDescent="0.25">
      <c r="A322" s="125"/>
      <c r="B322" s="125"/>
      <c r="C322" s="125"/>
      <c r="D322" s="125"/>
      <c r="E322" s="125"/>
      <c r="F322" s="125"/>
      <c r="G322" s="125"/>
      <c r="H322" s="125"/>
      <c r="I322" s="125"/>
      <c r="J322" s="125"/>
      <c r="K322" s="125"/>
      <c r="L322" s="125"/>
      <c r="M322" s="125"/>
      <c r="N322" s="125"/>
      <c r="O322" s="125"/>
      <c r="P322" s="125"/>
      <c r="Q322" s="125"/>
      <c r="R322" s="125"/>
      <c r="S322" s="125"/>
      <c r="T322" s="125"/>
      <c r="U322" s="125"/>
      <c r="V322" s="125"/>
      <c r="W322" s="125"/>
      <c r="X322" s="125"/>
      <c r="Y322" s="125"/>
      <c r="Z322" s="125"/>
      <c r="AA322" s="125"/>
    </row>
    <row r="323" spans="1:27" ht="13.5" customHeight="1" x14ac:dyDescent="0.25">
      <c r="A323" s="125"/>
      <c r="B323" s="125"/>
      <c r="C323" s="125"/>
      <c r="D323" s="125"/>
      <c r="E323" s="125"/>
      <c r="F323" s="125"/>
      <c r="G323" s="125"/>
      <c r="H323" s="125"/>
      <c r="I323" s="125"/>
      <c r="J323" s="125"/>
      <c r="K323" s="125"/>
      <c r="L323" s="125"/>
      <c r="M323" s="125"/>
      <c r="N323" s="125"/>
      <c r="O323" s="125"/>
      <c r="P323" s="125"/>
      <c r="Q323" s="125"/>
      <c r="R323" s="125"/>
      <c r="S323" s="125"/>
      <c r="T323" s="125"/>
      <c r="U323" s="125"/>
      <c r="V323" s="125"/>
      <c r="W323" s="125"/>
      <c r="X323" s="125"/>
      <c r="Y323" s="125"/>
      <c r="Z323" s="125"/>
      <c r="AA323" s="125"/>
    </row>
    <row r="324" spans="1:27" ht="13.5" customHeight="1" x14ac:dyDescent="0.25">
      <c r="A324" s="125"/>
      <c r="B324" s="125"/>
      <c r="C324" s="125"/>
      <c r="D324" s="125"/>
      <c r="E324" s="125"/>
      <c r="F324" s="125"/>
      <c r="G324" s="125"/>
      <c r="H324" s="125"/>
      <c r="I324" s="125"/>
      <c r="J324" s="125"/>
      <c r="K324" s="125"/>
      <c r="L324" s="125"/>
      <c r="M324" s="125"/>
      <c r="N324" s="125"/>
      <c r="O324" s="125"/>
      <c r="P324" s="125"/>
      <c r="Q324" s="125"/>
      <c r="R324" s="125"/>
      <c r="S324" s="125"/>
      <c r="T324" s="125"/>
      <c r="U324" s="125"/>
      <c r="V324" s="125"/>
      <c r="W324" s="125"/>
      <c r="X324" s="125"/>
      <c r="Y324" s="125"/>
      <c r="Z324" s="125"/>
      <c r="AA324" s="125"/>
    </row>
    <row r="325" spans="1:27" ht="13.5" customHeight="1" x14ac:dyDescent="0.25">
      <c r="A325" s="125"/>
      <c r="B325" s="125"/>
      <c r="C325" s="125"/>
      <c r="D325" s="125"/>
      <c r="E325" s="125"/>
      <c r="F325" s="125"/>
      <c r="G325" s="125"/>
      <c r="H325" s="125"/>
      <c r="I325" s="125"/>
      <c r="J325" s="125"/>
      <c r="K325" s="125"/>
      <c r="L325" s="125"/>
      <c r="M325" s="125"/>
      <c r="N325" s="125"/>
      <c r="O325" s="125"/>
      <c r="P325" s="125"/>
      <c r="Q325" s="125"/>
      <c r="R325" s="125"/>
      <c r="S325" s="125"/>
      <c r="T325" s="125"/>
      <c r="U325" s="125"/>
      <c r="V325" s="125"/>
      <c r="W325" s="125"/>
      <c r="X325" s="125"/>
      <c r="Y325" s="125"/>
      <c r="Z325" s="125"/>
      <c r="AA325" s="125"/>
    </row>
    <row r="326" spans="1:27" ht="13.5" customHeight="1" x14ac:dyDescent="0.25">
      <c r="A326" s="125"/>
      <c r="B326" s="125"/>
      <c r="C326" s="125"/>
      <c r="D326" s="125"/>
      <c r="E326" s="125"/>
      <c r="F326" s="125"/>
      <c r="G326" s="125"/>
      <c r="H326" s="125"/>
      <c r="I326" s="125"/>
      <c r="J326" s="125"/>
      <c r="K326" s="125"/>
      <c r="L326" s="125"/>
      <c r="M326" s="125"/>
      <c r="N326" s="125"/>
      <c r="O326" s="125"/>
      <c r="P326" s="125"/>
      <c r="Q326" s="125"/>
      <c r="R326" s="125"/>
      <c r="S326" s="125"/>
      <c r="T326" s="125"/>
      <c r="U326" s="125"/>
      <c r="V326" s="125"/>
      <c r="W326" s="125"/>
      <c r="X326" s="125"/>
      <c r="Y326" s="125"/>
      <c r="Z326" s="125"/>
      <c r="AA326" s="125"/>
    </row>
    <row r="327" spans="1:27" ht="13.5" customHeight="1" x14ac:dyDescent="0.25">
      <c r="A327" s="125"/>
      <c r="B327" s="125"/>
      <c r="C327" s="125"/>
      <c r="D327" s="125"/>
      <c r="E327" s="125"/>
      <c r="F327" s="125"/>
      <c r="G327" s="125"/>
      <c r="H327" s="125"/>
      <c r="I327" s="125"/>
      <c r="J327" s="125"/>
      <c r="K327" s="125"/>
      <c r="L327" s="125"/>
      <c r="M327" s="125"/>
      <c r="N327" s="125"/>
      <c r="O327" s="125"/>
      <c r="P327" s="125"/>
      <c r="Q327" s="125"/>
      <c r="R327" s="125"/>
      <c r="S327" s="125"/>
      <c r="T327" s="125"/>
      <c r="U327" s="125"/>
      <c r="V327" s="125"/>
      <c r="W327" s="125"/>
      <c r="X327" s="125"/>
      <c r="Y327" s="125"/>
      <c r="Z327" s="125"/>
      <c r="AA327" s="125"/>
    </row>
    <row r="328" spans="1:27" ht="13.5" customHeight="1" x14ac:dyDescent="0.25">
      <c r="A328" s="125"/>
      <c r="B328" s="125"/>
      <c r="C328" s="125"/>
      <c r="D328" s="125"/>
      <c r="E328" s="125"/>
      <c r="F328" s="125"/>
      <c r="G328" s="125"/>
      <c r="H328" s="125"/>
      <c r="I328" s="125"/>
      <c r="J328" s="125"/>
      <c r="K328" s="125"/>
      <c r="L328" s="125"/>
      <c r="M328" s="125"/>
      <c r="N328" s="125"/>
      <c r="O328" s="125"/>
      <c r="P328" s="125"/>
      <c r="Q328" s="125"/>
      <c r="R328" s="125"/>
      <c r="S328" s="125"/>
      <c r="T328" s="125"/>
      <c r="U328" s="125"/>
      <c r="V328" s="125"/>
      <c r="W328" s="125"/>
      <c r="X328" s="125"/>
      <c r="Y328" s="125"/>
      <c r="Z328" s="125"/>
      <c r="AA328" s="125"/>
    </row>
    <row r="329" spans="1:27" ht="13.5" customHeight="1" x14ac:dyDescent="0.25">
      <c r="A329" s="125"/>
      <c r="B329" s="125"/>
      <c r="C329" s="125"/>
      <c r="D329" s="125"/>
      <c r="E329" s="125"/>
      <c r="F329" s="125"/>
      <c r="G329" s="125"/>
      <c r="H329" s="125"/>
      <c r="I329" s="125"/>
      <c r="J329" s="125"/>
      <c r="K329" s="125"/>
      <c r="L329" s="125"/>
      <c r="M329" s="125"/>
      <c r="N329" s="125"/>
      <c r="O329" s="125"/>
      <c r="P329" s="125"/>
      <c r="Q329" s="125"/>
      <c r="R329" s="125"/>
      <c r="S329" s="125"/>
      <c r="T329" s="125"/>
      <c r="U329" s="125"/>
      <c r="V329" s="125"/>
      <c r="W329" s="125"/>
      <c r="X329" s="125"/>
      <c r="Y329" s="125"/>
      <c r="Z329" s="125"/>
      <c r="AA329" s="125"/>
    </row>
    <row r="330" spans="1:27" ht="13.5" customHeight="1" x14ac:dyDescent="0.25">
      <c r="A330" s="125"/>
      <c r="B330" s="125"/>
      <c r="C330" s="125"/>
      <c r="D330" s="125"/>
      <c r="E330" s="125"/>
      <c r="F330" s="125"/>
      <c r="G330" s="125"/>
      <c r="H330" s="125"/>
      <c r="I330" s="125"/>
      <c r="J330" s="125"/>
      <c r="K330" s="125"/>
      <c r="L330" s="125"/>
      <c r="M330" s="125"/>
      <c r="N330" s="125"/>
      <c r="O330" s="125"/>
      <c r="P330" s="125"/>
      <c r="Q330" s="125"/>
      <c r="R330" s="125"/>
      <c r="S330" s="125"/>
      <c r="T330" s="125"/>
      <c r="U330" s="125"/>
      <c r="V330" s="125"/>
      <c r="W330" s="125"/>
      <c r="X330" s="125"/>
      <c r="Y330" s="125"/>
      <c r="Z330" s="125"/>
      <c r="AA330" s="125"/>
    </row>
    <row r="331" spans="1:27" ht="13.5" customHeight="1" x14ac:dyDescent="0.25">
      <c r="A331" s="125"/>
      <c r="B331" s="125"/>
      <c r="C331" s="125"/>
      <c r="D331" s="125"/>
      <c r="E331" s="125"/>
      <c r="F331" s="125"/>
      <c r="G331" s="125"/>
      <c r="H331" s="125"/>
      <c r="I331" s="125"/>
      <c r="J331" s="125"/>
      <c r="K331" s="125"/>
      <c r="L331" s="125"/>
      <c r="M331" s="125"/>
      <c r="N331" s="125"/>
      <c r="O331" s="125"/>
      <c r="P331" s="125"/>
      <c r="Q331" s="125"/>
      <c r="R331" s="125"/>
      <c r="S331" s="125"/>
      <c r="T331" s="125"/>
      <c r="U331" s="125"/>
      <c r="V331" s="125"/>
      <c r="W331" s="125"/>
      <c r="X331" s="125"/>
      <c r="Y331" s="125"/>
      <c r="Z331" s="125"/>
      <c r="AA331" s="125"/>
    </row>
    <row r="332" spans="1:27" ht="13.5" customHeight="1" x14ac:dyDescent="0.25">
      <c r="A332" s="125"/>
      <c r="B332" s="125"/>
      <c r="C332" s="125"/>
      <c r="D332" s="125"/>
      <c r="E332" s="125"/>
      <c r="F332" s="125"/>
      <c r="G332" s="125"/>
      <c r="H332" s="125"/>
      <c r="I332" s="125"/>
      <c r="J332" s="125"/>
      <c r="K332" s="125"/>
      <c r="L332" s="125"/>
      <c r="M332" s="125"/>
      <c r="N332" s="125"/>
      <c r="O332" s="125"/>
      <c r="P332" s="125"/>
      <c r="Q332" s="125"/>
      <c r="R332" s="125"/>
      <c r="S332" s="125"/>
      <c r="T332" s="125"/>
      <c r="U332" s="125"/>
      <c r="V332" s="125"/>
      <c r="W332" s="125"/>
      <c r="X332" s="125"/>
      <c r="Y332" s="125"/>
      <c r="Z332" s="125"/>
      <c r="AA332" s="125"/>
    </row>
    <row r="333" spans="1:27" ht="13.5" customHeight="1" x14ac:dyDescent="0.25">
      <c r="A333" s="125"/>
      <c r="B333" s="125"/>
      <c r="C333" s="125"/>
      <c r="D333" s="125"/>
      <c r="E333" s="125"/>
      <c r="F333" s="125"/>
      <c r="G333" s="125"/>
      <c r="H333" s="125"/>
      <c r="I333" s="125"/>
      <c r="J333" s="125"/>
      <c r="K333" s="125"/>
      <c r="L333" s="125"/>
      <c r="M333" s="125"/>
      <c r="N333" s="125"/>
      <c r="O333" s="125"/>
      <c r="P333" s="125"/>
      <c r="Q333" s="125"/>
      <c r="R333" s="125"/>
      <c r="S333" s="125"/>
      <c r="T333" s="125"/>
      <c r="U333" s="125"/>
      <c r="V333" s="125"/>
      <c r="W333" s="125"/>
      <c r="X333" s="125"/>
      <c r="Y333" s="125"/>
      <c r="Z333" s="125"/>
      <c r="AA333" s="125"/>
    </row>
    <row r="334" spans="1:27" ht="13.5" customHeight="1" x14ac:dyDescent="0.25">
      <c r="A334" s="125"/>
      <c r="B334" s="125"/>
      <c r="C334" s="125"/>
      <c r="D334" s="125"/>
      <c r="E334" s="125"/>
      <c r="F334" s="125"/>
      <c r="G334" s="125"/>
      <c r="H334" s="125"/>
      <c r="I334" s="125"/>
      <c r="J334" s="125"/>
      <c r="K334" s="125"/>
      <c r="L334" s="125"/>
      <c r="M334" s="125"/>
      <c r="N334" s="125"/>
      <c r="O334" s="125"/>
      <c r="P334" s="125"/>
      <c r="Q334" s="125"/>
      <c r="R334" s="125"/>
      <c r="S334" s="125"/>
      <c r="T334" s="125"/>
      <c r="U334" s="125"/>
      <c r="V334" s="125"/>
      <c r="W334" s="125"/>
      <c r="X334" s="125"/>
      <c r="Y334" s="125"/>
      <c r="Z334" s="125"/>
      <c r="AA334" s="125"/>
    </row>
    <row r="335" spans="1:27" ht="13.5" customHeight="1" x14ac:dyDescent="0.25">
      <c r="A335" s="125"/>
      <c r="B335" s="125"/>
      <c r="C335" s="125"/>
      <c r="D335" s="125"/>
      <c r="E335" s="125"/>
      <c r="F335" s="125"/>
      <c r="G335" s="125"/>
      <c r="H335" s="125"/>
      <c r="I335" s="125"/>
      <c r="J335" s="125"/>
      <c r="K335" s="125"/>
      <c r="L335" s="125"/>
      <c r="M335" s="125"/>
      <c r="N335" s="125"/>
      <c r="O335" s="125"/>
      <c r="P335" s="125"/>
      <c r="Q335" s="125"/>
      <c r="R335" s="125"/>
      <c r="S335" s="125"/>
      <c r="T335" s="125"/>
      <c r="U335" s="125"/>
      <c r="V335" s="125"/>
      <c r="W335" s="125"/>
      <c r="X335" s="125"/>
      <c r="Y335" s="125"/>
      <c r="Z335" s="125"/>
      <c r="AA335" s="125"/>
    </row>
    <row r="336" spans="1:27" ht="13.5" customHeight="1" x14ac:dyDescent="0.25">
      <c r="A336" s="125"/>
      <c r="B336" s="125"/>
      <c r="C336" s="125"/>
      <c r="D336" s="125"/>
      <c r="E336" s="125"/>
      <c r="F336" s="125"/>
      <c r="G336" s="125"/>
      <c r="H336" s="125"/>
      <c r="I336" s="125"/>
      <c r="J336" s="125"/>
      <c r="K336" s="125"/>
      <c r="L336" s="125"/>
      <c r="M336" s="125"/>
      <c r="N336" s="125"/>
      <c r="O336" s="125"/>
      <c r="P336" s="125"/>
      <c r="Q336" s="125"/>
      <c r="R336" s="125"/>
      <c r="S336" s="125"/>
      <c r="T336" s="125"/>
      <c r="U336" s="125"/>
      <c r="V336" s="125"/>
      <c r="W336" s="125"/>
      <c r="X336" s="125"/>
      <c r="Y336" s="125"/>
      <c r="Z336" s="125"/>
      <c r="AA336" s="125"/>
    </row>
    <row r="337" spans="1:27" ht="13.5" customHeight="1" x14ac:dyDescent="0.25">
      <c r="A337" s="125"/>
      <c r="B337" s="125"/>
      <c r="C337" s="125"/>
      <c r="D337" s="125"/>
      <c r="E337" s="125"/>
      <c r="F337" s="125"/>
      <c r="G337" s="125"/>
      <c r="H337" s="125"/>
      <c r="I337" s="125"/>
      <c r="J337" s="125"/>
      <c r="K337" s="125"/>
      <c r="L337" s="125"/>
      <c r="M337" s="125"/>
      <c r="N337" s="125"/>
      <c r="O337" s="125"/>
      <c r="P337" s="125"/>
      <c r="Q337" s="125"/>
      <c r="R337" s="125"/>
      <c r="S337" s="125"/>
      <c r="T337" s="125"/>
      <c r="U337" s="125"/>
      <c r="V337" s="125"/>
      <c r="W337" s="125"/>
      <c r="X337" s="125"/>
      <c r="Y337" s="125"/>
      <c r="Z337" s="125"/>
      <c r="AA337" s="125"/>
    </row>
    <row r="338" spans="1:27" ht="13.5" customHeight="1" x14ac:dyDescent="0.25">
      <c r="A338" s="125"/>
      <c r="B338" s="125"/>
      <c r="C338" s="125"/>
      <c r="D338" s="125"/>
      <c r="E338" s="125"/>
      <c r="F338" s="125"/>
      <c r="G338" s="125"/>
      <c r="H338" s="125"/>
      <c r="I338" s="125"/>
      <c r="J338" s="125"/>
      <c r="K338" s="125"/>
      <c r="L338" s="125"/>
      <c r="M338" s="125"/>
      <c r="N338" s="125"/>
      <c r="O338" s="125"/>
      <c r="P338" s="125"/>
      <c r="Q338" s="125"/>
      <c r="R338" s="125"/>
      <c r="S338" s="125"/>
      <c r="T338" s="125"/>
      <c r="U338" s="125"/>
      <c r="V338" s="125"/>
      <c r="W338" s="125"/>
      <c r="X338" s="125"/>
      <c r="Y338" s="125"/>
      <c r="Z338" s="125"/>
      <c r="AA338" s="125"/>
    </row>
    <row r="339" spans="1:27" ht="13.5" customHeight="1" x14ac:dyDescent="0.25">
      <c r="A339" s="125"/>
      <c r="B339" s="125"/>
      <c r="C339" s="125"/>
      <c r="D339" s="125"/>
      <c r="E339" s="125"/>
      <c r="F339" s="125"/>
      <c r="G339" s="125"/>
      <c r="H339" s="125"/>
      <c r="I339" s="125"/>
      <c r="J339" s="125"/>
      <c r="K339" s="125"/>
      <c r="L339" s="125"/>
      <c r="M339" s="125"/>
      <c r="N339" s="125"/>
      <c r="O339" s="125"/>
      <c r="P339" s="125"/>
      <c r="Q339" s="125"/>
      <c r="R339" s="125"/>
      <c r="S339" s="125"/>
      <c r="T339" s="125"/>
      <c r="U339" s="125"/>
      <c r="V339" s="125"/>
      <c r="W339" s="125"/>
      <c r="X339" s="125"/>
      <c r="Y339" s="125"/>
      <c r="Z339" s="125"/>
      <c r="AA339" s="125"/>
    </row>
    <row r="340" spans="1:27" ht="13.5" customHeight="1" x14ac:dyDescent="0.25">
      <c r="A340" s="125"/>
      <c r="B340" s="125"/>
      <c r="C340" s="125"/>
      <c r="D340" s="125"/>
      <c r="E340" s="125"/>
      <c r="F340" s="125"/>
      <c r="G340" s="125"/>
      <c r="H340" s="125"/>
      <c r="I340" s="125"/>
      <c r="J340" s="125"/>
      <c r="K340" s="125"/>
      <c r="L340" s="125"/>
      <c r="M340" s="125"/>
      <c r="N340" s="125"/>
      <c r="O340" s="125"/>
      <c r="P340" s="125"/>
      <c r="Q340" s="125"/>
      <c r="R340" s="125"/>
      <c r="S340" s="125"/>
      <c r="T340" s="125"/>
      <c r="U340" s="125"/>
      <c r="V340" s="125"/>
      <c r="W340" s="125"/>
      <c r="X340" s="125"/>
      <c r="Y340" s="125"/>
      <c r="Z340" s="125"/>
      <c r="AA340" s="125"/>
    </row>
    <row r="341" spans="1:27" ht="13.5" customHeight="1" x14ac:dyDescent="0.25">
      <c r="A341" s="125"/>
      <c r="B341" s="125"/>
      <c r="C341" s="125"/>
      <c r="D341" s="125"/>
      <c r="E341" s="125"/>
      <c r="F341" s="125"/>
      <c r="G341" s="125"/>
      <c r="H341" s="125"/>
      <c r="I341" s="125"/>
      <c r="J341" s="125"/>
      <c r="K341" s="125"/>
      <c r="L341" s="125"/>
      <c r="M341" s="125"/>
      <c r="N341" s="125"/>
      <c r="O341" s="125"/>
      <c r="P341" s="125"/>
      <c r="Q341" s="125"/>
      <c r="R341" s="125"/>
      <c r="S341" s="125"/>
      <c r="T341" s="125"/>
      <c r="U341" s="125"/>
      <c r="V341" s="125"/>
      <c r="W341" s="125"/>
      <c r="X341" s="125"/>
      <c r="Y341" s="125"/>
      <c r="Z341" s="125"/>
      <c r="AA341" s="125"/>
    </row>
    <row r="342" spans="1:27" ht="13.5" customHeight="1" x14ac:dyDescent="0.25">
      <c r="A342" s="125"/>
      <c r="B342" s="125"/>
      <c r="C342" s="125"/>
      <c r="D342" s="125"/>
      <c r="E342" s="125"/>
      <c r="F342" s="125"/>
      <c r="G342" s="125"/>
      <c r="H342" s="125"/>
      <c r="I342" s="125"/>
      <c r="J342" s="125"/>
      <c r="K342" s="125"/>
      <c r="L342" s="125"/>
      <c r="M342" s="125"/>
      <c r="N342" s="125"/>
      <c r="O342" s="125"/>
      <c r="P342" s="125"/>
      <c r="Q342" s="125"/>
      <c r="R342" s="125"/>
      <c r="S342" s="125"/>
      <c r="T342" s="125"/>
      <c r="U342" s="125"/>
      <c r="V342" s="125"/>
      <c r="W342" s="125"/>
      <c r="X342" s="125"/>
      <c r="Y342" s="125"/>
      <c r="Z342" s="125"/>
      <c r="AA342" s="125"/>
    </row>
    <row r="343" spans="1:27" ht="13.5" customHeight="1" x14ac:dyDescent="0.25">
      <c r="A343" s="125"/>
      <c r="B343" s="125"/>
      <c r="C343" s="125"/>
      <c r="D343" s="125"/>
      <c r="E343" s="125"/>
      <c r="F343" s="125"/>
      <c r="G343" s="125"/>
      <c r="H343" s="125"/>
      <c r="I343" s="125"/>
      <c r="J343" s="125"/>
      <c r="K343" s="125"/>
      <c r="L343" s="125"/>
      <c r="M343" s="125"/>
      <c r="N343" s="125"/>
      <c r="O343" s="125"/>
      <c r="P343" s="125"/>
      <c r="Q343" s="125"/>
      <c r="R343" s="125"/>
      <c r="S343" s="125"/>
      <c r="T343" s="125"/>
      <c r="U343" s="125"/>
      <c r="V343" s="125"/>
      <c r="W343" s="125"/>
      <c r="X343" s="125"/>
      <c r="Y343" s="125"/>
      <c r="Z343" s="125"/>
      <c r="AA343" s="125"/>
    </row>
    <row r="344" spans="1:27" ht="13.5" customHeight="1" x14ac:dyDescent="0.25">
      <c r="A344" s="125"/>
      <c r="B344" s="125"/>
      <c r="C344" s="125"/>
      <c r="D344" s="125"/>
      <c r="E344" s="125"/>
      <c r="F344" s="125"/>
      <c r="G344" s="125"/>
      <c r="H344" s="125"/>
      <c r="I344" s="125"/>
      <c r="J344" s="125"/>
      <c r="K344" s="125"/>
      <c r="L344" s="125"/>
      <c r="M344" s="125"/>
      <c r="N344" s="125"/>
      <c r="O344" s="125"/>
      <c r="P344" s="125"/>
      <c r="Q344" s="125"/>
      <c r="R344" s="125"/>
      <c r="S344" s="125"/>
      <c r="T344" s="125"/>
      <c r="U344" s="125"/>
      <c r="V344" s="125"/>
      <c r="W344" s="125"/>
      <c r="X344" s="125"/>
      <c r="Y344" s="125"/>
      <c r="Z344" s="125"/>
      <c r="AA344" s="125"/>
    </row>
    <row r="345" spans="1:27" ht="13.5" customHeight="1" x14ac:dyDescent="0.25">
      <c r="A345" s="125"/>
      <c r="B345" s="125"/>
      <c r="C345" s="125"/>
      <c r="D345" s="125"/>
      <c r="E345" s="125"/>
      <c r="F345" s="125"/>
      <c r="G345" s="125"/>
      <c r="H345" s="125"/>
      <c r="I345" s="125"/>
      <c r="J345" s="125"/>
      <c r="K345" s="125"/>
      <c r="L345" s="125"/>
      <c r="M345" s="125"/>
      <c r="N345" s="125"/>
      <c r="O345" s="125"/>
      <c r="P345" s="125"/>
      <c r="Q345" s="125"/>
      <c r="R345" s="125"/>
      <c r="S345" s="125"/>
      <c r="T345" s="125"/>
      <c r="U345" s="125"/>
      <c r="V345" s="125"/>
      <c r="W345" s="125"/>
      <c r="X345" s="125"/>
      <c r="Y345" s="125"/>
      <c r="Z345" s="125"/>
      <c r="AA345" s="125"/>
    </row>
    <row r="346" spans="1:27" ht="13.5" customHeight="1" x14ac:dyDescent="0.25">
      <c r="A346" s="125"/>
      <c r="B346" s="125"/>
      <c r="C346" s="125"/>
      <c r="D346" s="125"/>
      <c r="E346" s="125"/>
      <c r="F346" s="125"/>
      <c r="G346" s="125"/>
      <c r="H346" s="125"/>
      <c r="I346" s="125"/>
      <c r="J346" s="125"/>
      <c r="K346" s="125"/>
      <c r="L346" s="125"/>
      <c r="M346" s="125"/>
      <c r="N346" s="125"/>
      <c r="O346" s="125"/>
      <c r="P346" s="125"/>
      <c r="Q346" s="125"/>
      <c r="R346" s="125"/>
      <c r="S346" s="125"/>
      <c r="T346" s="125"/>
      <c r="U346" s="125"/>
      <c r="V346" s="125"/>
      <c r="W346" s="125"/>
      <c r="X346" s="125"/>
      <c r="Y346" s="125"/>
      <c r="Z346" s="125"/>
      <c r="AA346" s="125"/>
    </row>
    <row r="347" spans="1:27" ht="13.5" customHeight="1" x14ac:dyDescent="0.25">
      <c r="A347" s="125"/>
      <c r="B347" s="125"/>
      <c r="C347" s="125"/>
      <c r="D347" s="125"/>
      <c r="E347" s="125"/>
      <c r="F347" s="125"/>
      <c r="G347" s="125"/>
      <c r="H347" s="125"/>
      <c r="I347" s="125"/>
      <c r="J347" s="125"/>
      <c r="K347" s="125"/>
      <c r="L347" s="125"/>
      <c r="M347" s="125"/>
      <c r="N347" s="125"/>
      <c r="O347" s="125"/>
      <c r="P347" s="125"/>
      <c r="Q347" s="125"/>
      <c r="R347" s="125"/>
      <c r="S347" s="125"/>
      <c r="T347" s="125"/>
      <c r="U347" s="125"/>
      <c r="V347" s="125"/>
      <c r="W347" s="125"/>
      <c r="X347" s="125"/>
      <c r="Y347" s="125"/>
      <c r="Z347" s="125"/>
      <c r="AA347" s="125"/>
    </row>
    <row r="348" spans="1:27" ht="13.5" customHeight="1" x14ac:dyDescent="0.25">
      <c r="A348" s="125"/>
      <c r="B348" s="125"/>
      <c r="C348" s="125"/>
      <c r="D348" s="125"/>
      <c r="E348" s="125"/>
      <c r="F348" s="125"/>
      <c r="G348" s="125"/>
      <c r="H348" s="125"/>
      <c r="I348" s="125"/>
      <c r="J348" s="125"/>
      <c r="K348" s="125"/>
      <c r="L348" s="125"/>
      <c r="M348" s="125"/>
      <c r="N348" s="125"/>
      <c r="O348" s="125"/>
      <c r="P348" s="125"/>
      <c r="Q348" s="125"/>
      <c r="R348" s="125"/>
      <c r="S348" s="125"/>
      <c r="T348" s="125"/>
      <c r="U348" s="125"/>
      <c r="V348" s="125"/>
      <c r="W348" s="125"/>
      <c r="X348" s="125"/>
      <c r="Y348" s="125"/>
      <c r="Z348" s="125"/>
      <c r="AA348" s="125"/>
    </row>
    <row r="349" spans="1:27" ht="13.5" customHeight="1" x14ac:dyDescent="0.25">
      <c r="A349" s="125"/>
      <c r="B349" s="125"/>
      <c r="C349" s="125"/>
      <c r="D349" s="125"/>
      <c r="E349" s="125"/>
      <c r="F349" s="125"/>
      <c r="G349" s="125"/>
      <c r="H349" s="125"/>
      <c r="I349" s="125"/>
      <c r="J349" s="125"/>
      <c r="K349" s="125"/>
      <c r="L349" s="125"/>
      <c r="M349" s="125"/>
      <c r="N349" s="125"/>
      <c r="O349" s="125"/>
      <c r="P349" s="125"/>
      <c r="Q349" s="125"/>
      <c r="R349" s="125"/>
      <c r="S349" s="125"/>
      <c r="T349" s="125"/>
      <c r="U349" s="125"/>
      <c r="V349" s="125"/>
      <c r="W349" s="125"/>
      <c r="X349" s="125"/>
      <c r="Y349" s="125"/>
      <c r="Z349" s="125"/>
      <c r="AA349" s="125"/>
    </row>
    <row r="350" spans="1:27" ht="13.5" customHeight="1" x14ac:dyDescent="0.25">
      <c r="A350" s="125"/>
      <c r="B350" s="125"/>
      <c r="C350" s="125"/>
      <c r="D350" s="125"/>
      <c r="E350" s="125"/>
      <c r="F350" s="125"/>
      <c r="G350" s="125"/>
      <c r="H350" s="125"/>
      <c r="I350" s="125"/>
      <c r="J350" s="125"/>
      <c r="K350" s="125"/>
      <c r="L350" s="125"/>
      <c r="M350" s="125"/>
      <c r="N350" s="125"/>
      <c r="O350" s="125"/>
      <c r="P350" s="125"/>
      <c r="Q350" s="125"/>
      <c r="R350" s="125"/>
      <c r="S350" s="125"/>
      <c r="T350" s="125"/>
      <c r="U350" s="125"/>
      <c r="V350" s="125"/>
      <c r="W350" s="125"/>
      <c r="X350" s="125"/>
      <c r="Y350" s="125"/>
      <c r="Z350" s="125"/>
      <c r="AA350" s="125"/>
    </row>
    <row r="351" spans="1:27" ht="13.5" customHeight="1" x14ac:dyDescent="0.25">
      <c r="A351" s="125"/>
      <c r="B351" s="125"/>
      <c r="C351" s="125"/>
      <c r="D351" s="125"/>
      <c r="E351" s="125"/>
      <c r="F351" s="125"/>
      <c r="G351" s="125"/>
      <c r="H351" s="125"/>
      <c r="I351" s="125"/>
      <c r="J351" s="125"/>
      <c r="K351" s="125"/>
      <c r="L351" s="125"/>
      <c r="M351" s="125"/>
      <c r="N351" s="125"/>
      <c r="O351" s="125"/>
      <c r="P351" s="125"/>
      <c r="Q351" s="125"/>
      <c r="R351" s="125"/>
      <c r="S351" s="125"/>
      <c r="T351" s="125"/>
      <c r="U351" s="125"/>
      <c r="V351" s="125"/>
      <c r="W351" s="125"/>
      <c r="X351" s="125"/>
      <c r="Y351" s="125"/>
      <c r="Z351" s="125"/>
      <c r="AA351" s="125"/>
    </row>
    <row r="352" spans="1:27" ht="13.5" customHeight="1" x14ac:dyDescent="0.25">
      <c r="A352" s="125"/>
      <c r="B352" s="125"/>
      <c r="C352" s="125"/>
      <c r="D352" s="125"/>
      <c r="E352" s="125"/>
      <c r="F352" s="125"/>
      <c r="G352" s="125"/>
      <c r="H352" s="125"/>
      <c r="I352" s="125"/>
      <c r="J352" s="125"/>
      <c r="K352" s="125"/>
      <c r="L352" s="125"/>
      <c r="M352" s="125"/>
      <c r="N352" s="125"/>
      <c r="O352" s="125"/>
      <c r="P352" s="125"/>
      <c r="Q352" s="125"/>
      <c r="R352" s="125"/>
      <c r="S352" s="125"/>
      <c r="T352" s="125"/>
      <c r="U352" s="125"/>
      <c r="V352" s="125"/>
      <c r="W352" s="125"/>
      <c r="X352" s="125"/>
      <c r="Y352" s="125"/>
      <c r="Z352" s="125"/>
      <c r="AA352" s="125"/>
    </row>
    <row r="353" spans="1:27" ht="13.5" customHeight="1" x14ac:dyDescent="0.25">
      <c r="A353" s="125"/>
      <c r="B353" s="125"/>
      <c r="C353" s="125"/>
      <c r="D353" s="125"/>
      <c r="E353" s="125"/>
      <c r="F353" s="125"/>
      <c r="G353" s="125"/>
      <c r="H353" s="125"/>
      <c r="I353" s="125"/>
      <c r="J353" s="125"/>
      <c r="K353" s="125"/>
      <c r="L353" s="125"/>
      <c r="M353" s="125"/>
      <c r="N353" s="125"/>
      <c r="O353" s="125"/>
      <c r="P353" s="125"/>
      <c r="Q353" s="125"/>
      <c r="R353" s="125"/>
      <c r="S353" s="125"/>
      <c r="T353" s="125"/>
      <c r="U353" s="125"/>
      <c r="V353" s="125"/>
      <c r="W353" s="125"/>
      <c r="X353" s="125"/>
      <c r="Y353" s="125"/>
      <c r="Z353" s="125"/>
      <c r="AA353" s="125"/>
    </row>
    <row r="354" spans="1:27" ht="13.5" customHeight="1" x14ac:dyDescent="0.25">
      <c r="A354" s="125"/>
      <c r="B354" s="125"/>
      <c r="C354" s="125"/>
      <c r="D354" s="125"/>
      <c r="E354" s="125"/>
      <c r="F354" s="125"/>
      <c r="G354" s="125"/>
      <c r="H354" s="125"/>
      <c r="I354" s="125"/>
      <c r="J354" s="125"/>
      <c r="K354" s="125"/>
      <c r="L354" s="125"/>
      <c r="M354" s="125"/>
      <c r="N354" s="125"/>
      <c r="O354" s="125"/>
      <c r="P354" s="125"/>
      <c r="Q354" s="125"/>
      <c r="R354" s="125"/>
      <c r="S354" s="125"/>
      <c r="T354" s="125"/>
      <c r="U354" s="125"/>
      <c r="V354" s="125"/>
      <c r="W354" s="125"/>
      <c r="X354" s="125"/>
      <c r="Y354" s="125"/>
      <c r="Z354" s="125"/>
      <c r="AA354" s="125"/>
    </row>
    <row r="355" spans="1:27" ht="13.5" customHeight="1" x14ac:dyDescent="0.25">
      <c r="A355" s="125"/>
      <c r="B355" s="125"/>
      <c r="C355" s="125"/>
      <c r="D355" s="125"/>
      <c r="E355" s="125"/>
      <c r="F355" s="125"/>
      <c r="G355" s="125"/>
      <c r="H355" s="125"/>
      <c r="I355" s="125"/>
      <c r="J355" s="125"/>
      <c r="K355" s="125"/>
      <c r="L355" s="125"/>
      <c r="M355" s="125"/>
      <c r="N355" s="125"/>
      <c r="O355" s="125"/>
      <c r="P355" s="125"/>
      <c r="Q355" s="125"/>
      <c r="R355" s="125"/>
      <c r="S355" s="125"/>
      <c r="T355" s="125"/>
      <c r="U355" s="125"/>
      <c r="V355" s="125"/>
      <c r="W355" s="125"/>
      <c r="X355" s="125"/>
      <c r="Y355" s="125"/>
      <c r="Z355" s="125"/>
      <c r="AA355" s="125"/>
    </row>
    <row r="356" spans="1:27" ht="13.5" customHeight="1" x14ac:dyDescent="0.25">
      <c r="A356" s="125"/>
      <c r="B356" s="125"/>
      <c r="C356" s="125"/>
      <c r="D356" s="125"/>
      <c r="E356" s="125"/>
      <c r="F356" s="125"/>
      <c r="G356" s="125"/>
      <c r="H356" s="125"/>
      <c r="I356" s="125"/>
      <c r="J356" s="125"/>
      <c r="K356" s="125"/>
      <c r="L356" s="125"/>
      <c r="M356" s="125"/>
      <c r="N356" s="125"/>
      <c r="O356" s="125"/>
      <c r="P356" s="125"/>
      <c r="Q356" s="125"/>
      <c r="R356" s="125"/>
      <c r="S356" s="125"/>
      <c r="T356" s="125"/>
      <c r="U356" s="125"/>
      <c r="V356" s="125"/>
      <c r="W356" s="125"/>
      <c r="X356" s="125"/>
      <c r="Y356" s="125"/>
      <c r="Z356" s="125"/>
      <c r="AA356" s="125"/>
    </row>
    <row r="357" spans="1:27" ht="13.5" customHeight="1" x14ac:dyDescent="0.25">
      <c r="A357" s="125"/>
      <c r="B357" s="125"/>
      <c r="C357" s="125"/>
      <c r="D357" s="125"/>
      <c r="E357" s="125"/>
      <c r="F357" s="125"/>
      <c r="G357" s="125"/>
      <c r="H357" s="125"/>
      <c r="I357" s="125"/>
      <c r="J357" s="125"/>
      <c r="K357" s="125"/>
      <c r="L357" s="125"/>
      <c r="M357" s="125"/>
      <c r="N357" s="125"/>
      <c r="O357" s="125"/>
      <c r="P357" s="125"/>
      <c r="Q357" s="125"/>
      <c r="R357" s="125"/>
      <c r="S357" s="125"/>
      <c r="T357" s="125"/>
      <c r="U357" s="125"/>
      <c r="V357" s="125"/>
      <c r="W357" s="125"/>
      <c r="X357" s="125"/>
      <c r="Y357" s="125"/>
      <c r="Z357" s="125"/>
      <c r="AA357" s="125"/>
    </row>
    <row r="358" spans="1:27" ht="13.5" customHeight="1" x14ac:dyDescent="0.25">
      <c r="A358" s="125"/>
      <c r="B358" s="125"/>
      <c r="C358" s="125"/>
      <c r="D358" s="125"/>
      <c r="E358" s="125"/>
      <c r="F358" s="125"/>
      <c r="G358" s="125"/>
      <c r="H358" s="125"/>
      <c r="I358" s="125"/>
      <c r="J358" s="125"/>
      <c r="K358" s="125"/>
      <c r="L358" s="125"/>
      <c r="M358" s="125"/>
      <c r="N358" s="125"/>
      <c r="O358" s="125"/>
      <c r="P358" s="125"/>
      <c r="Q358" s="125"/>
      <c r="R358" s="125"/>
      <c r="S358" s="125"/>
      <c r="T358" s="125"/>
      <c r="U358" s="125"/>
      <c r="V358" s="125"/>
      <c r="W358" s="125"/>
      <c r="X358" s="125"/>
      <c r="Y358" s="125"/>
      <c r="Z358" s="125"/>
      <c r="AA358" s="125"/>
    </row>
    <row r="359" spans="1:27" ht="13.5" customHeight="1" x14ac:dyDescent="0.25">
      <c r="A359" s="125"/>
      <c r="B359" s="125"/>
      <c r="C359" s="125"/>
      <c r="D359" s="125"/>
      <c r="E359" s="125"/>
      <c r="F359" s="125"/>
      <c r="G359" s="125"/>
      <c r="H359" s="125"/>
      <c r="I359" s="125"/>
      <c r="J359" s="125"/>
      <c r="K359" s="125"/>
      <c r="L359" s="125"/>
      <c r="M359" s="125"/>
      <c r="N359" s="125"/>
      <c r="O359" s="125"/>
      <c r="P359" s="125"/>
      <c r="Q359" s="125"/>
      <c r="R359" s="125"/>
      <c r="S359" s="125"/>
      <c r="T359" s="125"/>
      <c r="U359" s="125"/>
      <c r="V359" s="125"/>
      <c r="W359" s="125"/>
      <c r="X359" s="125"/>
      <c r="Y359" s="125"/>
      <c r="Z359" s="125"/>
      <c r="AA359" s="125"/>
    </row>
    <row r="360" spans="1:27" ht="13.5" customHeight="1" x14ac:dyDescent="0.25">
      <c r="A360" s="125"/>
      <c r="B360" s="125"/>
      <c r="C360" s="125"/>
      <c r="D360" s="125"/>
      <c r="E360" s="125"/>
      <c r="F360" s="125"/>
      <c r="G360" s="125"/>
      <c r="H360" s="125"/>
      <c r="I360" s="125"/>
      <c r="J360" s="125"/>
      <c r="K360" s="125"/>
      <c r="L360" s="125"/>
      <c r="M360" s="125"/>
      <c r="N360" s="125"/>
      <c r="O360" s="125"/>
      <c r="P360" s="125"/>
      <c r="Q360" s="125"/>
      <c r="R360" s="125"/>
      <c r="S360" s="125"/>
      <c r="T360" s="125"/>
      <c r="U360" s="125"/>
      <c r="V360" s="125"/>
      <c r="W360" s="125"/>
      <c r="X360" s="125"/>
      <c r="Y360" s="125"/>
      <c r="Z360" s="125"/>
      <c r="AA360" s="125"/>
    </row>
    <row r="361" spans="1:27" ht="13.5" customHeight="1" x14ac:dyDescent="0.25">
      <c r="A361" s="125"/>
      <c r="B361" s="125"/>
      <c r="C361" s="125"/>
      <c r="D361" s="125"/>
      <c r="E361" s="125"/>
      <c r="F361" s="125"/>
      <c r="G361" s="125"/>
      <c r="H361" s="125"/>
      <c r="I361" s="125"/>
      <c r="J361" s="125"/>
      <c r="K361" s="125"/>
      <c r="L361" s="125"/>
      <c r="M361" s="125"/>
      <c r="N361" s="125"/>
      <c r="O361" s="125"/>
      <c r="P361" s="125"/>
      <c r="Q361" s="125"/>
      <c r="R361" s="125"/>
      <c r="S361" s="125"/>
      <c r="T361" s="125"/>
      <c r="U361" s="125"/>
      <c r="V361" s="125"/>
      <c r="W361" s="125"/>
      <c r="X361" s="125"/>
      <c r="Y361" s="125"/>
      <c r="Z361" s="125"/>
      <c r="AA361" s="125"/>
    </row>
    <row r="362" spans="1:27" ht="13.5" customHeight="1" x14ac:dyDescent="0.25">
      <c r="A362" s="125"/>
      <c r="B362" s="125"/>
      <c r="C362" s="125"/>
      <c r="D362" s="125"/>
      <c r="E362" s="125"/>
      <c r="F362" s="125"/>
      <c r="G362" s="125"/>
      <c r="H362" s="125"/>
      <c r="I362" s="125"/>
      <c r="J362" s="125"/>
      <c r="K362" s="125"/>
      <c r="L362" s="125"/>
      <c r="M362" s="125"/>
      <c r="N362" s="125"/>
      <c r="O362" s="125"/>
      <c r="P362" s="125"/>
      <c r="Q362" s="125"/>
      <c r="R362" s="125"/>
      <c r="S362" s="125"/>
      <c r="T362" s="125"/>
      <c r="U362" s="125"/>
      <c r="V362" s="125"/>
      <c r="W362" s="125"/>
      <c r="X362" s="125"/>
      <c r="Y362" s="125"/>
      <c r="Z362" s="125"/>
      <c r="AA362" s="125"/>
    </row>
    <row r="363" spans="1:27" ht="13.5" customHeight="1" x14ac:dyDescent="0.25">
      <c r="A363" s="125"/>
      <c r="B363" s="125"/>
      <c r="C363" s="125"/>
      <c r="D363" s="125"/>
      <c r="E363" s="125"/>
      <c r="F363" s="125"/>
      <c r="G363" s="125"/>
      <c r="H363" s="125"/>
      <c r="I363" s="125"/>
      <c r="J363" s="125"/>
      <c r="K363" s="125"/>
      <c r="L363" s="125"/>
      <c r="M363" s="125"/>
      <c r="N363" s="125"/>
      <c r="O363" s="125"/>
      <c r="P363" s="125"/>
      <c r="Q363" s="125"/>
      <c r="R363" s="125"/>
      <c r="S363" s="125"/>
      <c r="T363" s="125"/>
      <c r="U363" s="125"/>
      <c r="V363" s="125"/>
      <c r="W363" s="125"/>
      <c r="X363" s="125"/>
      <c r="Y363" s="125"/>
      <c r="Z363" s="125"/>
      <c r="AA363" s="125"/>
    </row>
    <row r="364" spans="1:27" ht="13.5" customHeight="1" x14ac:dyDescent="0.25">
      <c r="A364" s="125"/>
      <c r="B364" s="125"/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  <c r="AA364" s="125"/>
    </row>
    <row r="365" spans="1:27" ht="13.5" customHeight="1" x14ac:dyDescent="0.25">
      <c r="A365" s="125"/>
      <c r="B365" s="125"/>
      <c r="C365" s="125"/>
      <c r="D365" s="125"/>
      <c r="E365" s="125"/>
      <c r="F365" s="125"/>
      <c r="G365" s="125"/>
      <c r="H365" s="125"/>
      <c r="I365" s="125"/>
      <c r="J365" s="125"/>
      <c r="K365" s="125"/>
      <c r="L365" s="125"/>
      <c r="M365" s="125"/>
      <c r="N365" s="125"/>
      <c r="O365" s="125"/>
      <c r="P365" s="125"/>
      <c r="Q365" s="125"/>
      <c r="R365" s="125"/>
      <c r="S365" s="125"/>
      <c r="T365" s="125"/>
      <c r="U365" s="125"/>
      <c r="V365" s="125"/>
      <c r="W365" s="125"/>
      <c r="X365" s="125"/>
      <c r="Y365" s="125"/>
      <c r="Z365" s="125"/>
      <c r="AA365" s="125"/>
    </row>
    <row r="366" spans="1:27" ht="13.5" customHeight="1" x14ac:dyDescent="0.25">
      <c r="A366" s="125"/>
      <c r="B366" s="125"/>
      <c r="C366" s="125"/>
      <c r="D366" s="125"/>
      <c r="E366" s="125"/>
      <c r="F366" s="125"/>
      <c r="G366" s="125"/>
      <c r="H366" s="125"/>
      <c r="I366" s="125"/>
      <c r="J366" s="125"/>
      <c r="K366" s="125"/>
      <c r="L366" s="125"/>
      <c r="M366" s="125"/>
      <c r="N366" s="125"/>
      <c r="O366" s="125"/>
      <c r="P366" s="125"/>
      <c r="Q366" s="125"/>
      <c r="R366" s="125"/>
      <c r="S366" s="125"/>
      <c r="T366" s="125"/>
      <c r="U366" s="125"/>
      <c r="V366" s="125"/>
      <c r="W366" s="125"/>
      <c r="X366" s="125"/>
      <c r="Y366" s="125"/>
      <c r="Z366" s="125"/>
      <c r="AA366" s="125"/>
    </row>
    <row r="367" spans="1:27" ht="13.5" customHeight="1" x14ac:dyDescent="0.25">
      <c r="A367" s="125"/>
      <c r="B367" s="125"/>
      <c r="C367" s="125"/>
      <c r="D367" s="125"/>
      <c r="E367" s="125"/>
      <c r="F367" s="125"/>
      <c r="G367" s="125"/>
      <c r="H367" s="125"/>
      <c r="I367" s="125"/>
      <c r="J367" s="125"/>
      <c r="K367" s="125"/>
      <c r="L367" s="125"/>
      <c r="M367" s="125"/>
      <c r="N367" s="125"/>
      <c r="O367" s="125"/>
      <c r="P367" s="125"/>
      <c r="Q367" s="125"/>
      <c r="R367" s="125"/>
      <c r="S367" s="125"/>
      <c r="T367" s="125"/>
      <c r="U367" s="125"/>
      <c r="V367" s="125"/>
      <c r="W367" s="125"/>
      <c r="X367" s="125"/>
      <c r="Y367" s="125"/>
      <c r="Z367" s="125"/>
      <c r="AA367" s="125"/>
    </row>
    <row r="368" spans="1:27" ht="13.5" customHeight="1" x14ac:dyDescent="0.25">
      <c r="A368" s="125"/>
      <c r="B368" s="125"/>
      <c r="C368" s="125"/>
      <c r="D368" s="125"/>
      <c r="E368" s="125"/>
      <c r="F368" s="125"/>
      <c r="G368" s="125"/>
      <c r="H368" s="125"/>
      <c r="I368" s="125"/>
      <c r="J368" s="125"/>
      <c r="K368" s="125"/>
      <c r="L368" s="125"/>
      <c r="M368" s="125"/>
      <c r="N368" s="125"/>
      <c r="O368" s="125"/>
      <c r="P368" s="125"/>
      <c r="Q368" s="125"/>
      <c r="R368" s="125"/>
      <c r="S368" s="125"/>
      <c r="T368" s="125"/>
      <c r="U368" s="125"/>
      <c r="V368" s="125"/>
      <c r="W368" s="125"/>
      <c r="X368" s="125"/>
      <c r="Y368" s="125"/>
      <c r="Z368" s="125"/>
      <c r="AA368" s="125"/>
    </row>
    <row r="369" spans="1:27" ht="13.5" customHeight="1" x14ac:dyDescent="0.25">
      <c r="A369" s="125"/>
      <c r="B369" s="125"/>
      <c r="C369" s="125"/>
      <c r="D369" s="125"/>
      <c r="E369" s="125"/>
      <c r="F369" s="125"/>
      <c r="G369" s="125"/>
      <c r="H369" s="125"/>
      <c r="I369" s="125"/>
      <c r="J369" s="125"/>
      <c r="K369" s="125"/>
      <c r="L369" s="125"/>
      <c r="M369" s="125"/>
      <c r="N369" s="125"/>
      <c r="O369" s="125"/>
      <c r="P369" s="125"/>
      <c r="Q369" s="125"/>
      <c r="R369" s="125"/>
      <c r="S369" s="125"/>
      <c r="T369" s="125"/>
      <c r="U369" s="125"/>
      <c r="V369" s="125"/>
      <c r="W369" s="125"/>
      <c r="X369" s="125"/>
      <c r="Y369" s="125"/>
      <c r="Z369" s="125"/>
      <c r="AA369" s="125"/>
    </row>
    <row r="370" spans="1:27" ht="13.5" customHeight="1" x14ac:dyDescent="0.25">
      <c r="A370" s="125"/>
      <c r="B370" s="125"/>
      <c r="C370" s="125"/>
      <c r="D370" s="125"/>
      <c r="E370" s="125"/>
      <c r="F370" s="125"/>
      <c r="G370" s="125"/>
      <c r="H370" s="125"/>
      <c r="I370" s="125"/>
      <c r="J370" s="125"/>
      <c r="K370" s="125"/>
      <c r="L370" s="125"/>
      <c r="M370" s="125"/>
      <c r="N370" s="125"/>
      <c r="O370" s="125"/>
      <c r="P370" s="125"/>
      <c r="Q370" s="125"/>
      <c r="R370" s="125"/>
      <c r="S370" s="125"/>
      <c r="T370" s="125"/>
      <c r="U370" s="125"/>
      <c r="V370" s="125"/>
      <c r="W370" s="125"/>
      <c r="X370" s="125"/>
      <c r="Y370" s="125"/>
      <c r="Z370" s="125"/>
      <c r="AA370" s="125"/>
    </row>
    <row r="371" spans="1:27" ht="13.5" customHeight="1" x14ac:dyDescent="0.25">
      <c r="A371" s="125"/>
      <c r="B371" s="125"/>
      <c r="C371" s="125"/>
      <c r="D371" s="125"/>
      <c r="E371" s="125"/>
      <c r="F371" s="125"/>
      <c r="G371" s="125"/>
      <c r="H371" s="125"/>
      <c r="I371" s="125"/>
      <c r="J371" s="125"/>
      <c r="K371" s="125"/>
      <c r="L371" s="125"/>
      <c r="M371" s="125"/>
      <c r="N371" s="125"/>
      <c r="O371" s="125"/>
      <c r="P371" s="125"/>
      <c r="Q371" s="125"/>
      <c r="R371" s="125"/>
      <c r="S371" s="125"/>
      <c r="T371" s="125"/>
      <c r="U371" s="125"/>
      <c r="V371" s="125"/>
      <c r="W371" s="125"/>
      <c r="X371" s="125"/>
      <c r="Y371" s="125"/>
      <c r="Z371" s="125"/>
      <c r="AA371" s="125"/>
    </row>
    <row r="372" spans="1:27" ht="13.5" customHeight="1" x14ac:dyDescent="0.25">
      <c r="A372" s="125"/>
      <c r="B372" s="125"/>
      <c r="C372" s="125"/>
      <c r="D372" s="125"/>
      <c r="E372" s="125"/>
      <c r="F372" s="125"/>
      <c r="G372" s="125"/>
      <c r="H372" s="125"/>
      <c r="I372" s="125"/>
      <c r="J372" s="125"/>
      <c r="K372" s="125"/>
      <c r="L372" s="125"/>
      <c r="M372" s="125"/>
      <c r="N372" s="125"/>
      <c r="O372" s="125"/>
      <c r="P372" s="125"/>
      <c r="Q372" s="125"/>
      <c r="R372" s="125"/>
      <c r="S372" s="125"/>
      <c r="T372" s="125"/>
      <c r="U372" s="125"/>
      <c r="V372" s="125"/>
      <c r="W372" s="125"/>
      <c r="X372" s="125"/>
      <c r="Y372" s="125"/>
      <c r="Z372" s="125"/>
      <c r="AA372" s="125"/>
    </row>
    <row r="373" spans="1:27" ht="13.5" customHeight="1" x14ac:dyDescent="0.25">
      <c r="A373" s="125"/>
      <c r="B373" s="125"/>
      <c r="C373" s="125"/>
      <c r="D373" s="125"/>
      <c r="E373" s="125"/>
      <c r="F373" s="125"/>
      <c r="G373" s="125"/>
      <c r="H373" s="125"/>
      <c r="I373" s="125"/>
      <c r="J373" s="125"/>
      <c r="K373" s="125"/>
      <c r="L373" s="125"/>
      <c r="M373" s="125"/>
      <c r="N373" s="125"/>
      <c r="O373" s="125"/>
      <c r="P373" s="125"/>
      <c r="Q373" s="125"/>
      <c r="R373" s="125"/>
      <c r="S373" s="125"/>
      <c r="T373" s="125"/>
      <c r="U373" s="125"/>
      <c r="V373" s="125"/>
      <c r="W373" s="125"/>
      <c r="X373" s="125"/>
      <c r="Y373" s="125"/>
      <c r="Z373" s="125"/>
      <c r="AA373" s="125"/>
    </row>
    <row r="374" spans="1:27" ht="13.5" customHeight="1" x14ac:dyDescent="0.25">
      <c r="A374" s="125"/>
      <c r="B374" s="125"/>
      <c r="C374" s="125"/>
      <c r="D374" s="125"/>
      <c r="E374" s="125"/>
      <c r="F374" s="125"/>
      <c r="G374" s="125"/>
      <c r="H374" s="125"/>
      <c r="I374" s="125"/>
      <c r="J374" s="125"/>
      <c r="K374" s="125"/>
      <c r="L374" s="125"/>
      <c r="M374" s="125"/>
      <c r="N374" s="125"/>
      <c r="O374" s="125"/>
      <c r="P374" s="125"/>
      <c r="Q374" s="125"/>
      <c r="R374" s="125"/>
      <c r="S374" s="125"/>
      <c r="T374" s="125"/>
      <c r="U374" s="125"/>
      <c r="V374" s="125"/>
      <c r="W374" s="125"/>
      <c r="X374" s="125"/>
      <c r="Y374" s="125"/>
      <c r="Z374" s="125"/>
      <c r="AA374" s="125"/>
    </row>
    <row r="375" spans="1:27" ht="13.5" customHeight="1" x14ac:dyDescent="0.25">
      <c r="A375" s="125"/>
      <c r="B375" s="125"/>
      <c r="C375" s="125"/>
      <c r="D375" s="125"/>
      <c r="E375" s="125"/>
      <c r="F375" s="125"/>
      <c r="G375" s="125"/>
      <c r="H375" s="125"/>
      <c r="I375" s="125"/>
      <c r="J375" s="125"/>
      <c r="K375" s="125"/>
      <c r="L375" s="125"/>
      <c r="M375" s="125"/>
      <c r="N375" s="125"/>
      <c r="O375" s="125"/>
      <c r="P375" s="125"/>
      <c r="Q375" s="125"/>
      <c r="R375" s="125"/>
      <c r="S375" s="125"/>
      <c r="T375" s="125"/>
      <c r="U375" s="125"/>
      <c r="V375" s="125"/>
      <c r="W375" s="125"/>
      <c r="X375" s="125"/>
      <c r="Y375" s="125"/>
      <c r="Z375" s="125"/>
      <c r="AA375" s="125"/>
    </row>
    <row r="376" spans="1:27" ht="13.5" customHeight="1" x14ac:dyDescent="0.25">
      <c r="A376" s="125"/>
      <c r="B376" s="125"/>
      <c r="C376" s="125"/>
      <c r="D376" s="125"/>
      <c r="E376" s="125"/>
      <c r="F376" s="125"/>
      <c r="G376" s="125"/>
      <c r="H376" s="125"/>
      <c r="I376" s="125"/>
      <c r="J376" s="125"/>
      <c r="K376" s="125"/>
      <c r="L376" s="125"/>
      <c r="M376" s="125"/>
      <c r="N376" s="125"/>
      <c r="O376" s="125"/>
      <c r="P376" s="125"/>
      <c r="Q376" s="125"/>
      <c r="R376" s="125"/>
      <c r="S376" s="125"/>
      <c r="T376" s="125"/>
      <c r="U376" s="125"/>
      <c r="V376" s="125"/>
      <c r="W376" s="125"/>
      <c r="X376" s="125"/>
      <c r="Y376" s="125"/>
      <c r="Z376" s="125"/>
      <c r="AA376" s="125"/>
    </row>
    <row r="377" spans="1:27" ht="13.5" customHeight="1" x14ac:dyDescent="0.25">
      <c r="A377" s="125"/>
      <c r="B377" s="125"/>
      <c r="C377" s="125"/>
      <c r="D377" s="125"/>
      <c r="E377" s="125"/>
      <c r="F377" s="125"/>
      <c r="G377" s="125"/>
      <c r="H377" s="125"/>
      <c r="I377" s="125"/>
      <c r="J377" s="125"/>
      <c r="K377" s="125"/>
      <c r="L377" s="125"/>
      <c r="M377" s="125"/>
      <c r="N377" s="125"/>
      <c r="O377" s="125"/>
      <c r="P377" s="125"/>
      <c r="Q377" s="125"/>
      <c r="R377" s="125"/>
      <c r="S377" s="125"/>
      <c r="T377" s="125"/>
      <c r="U377" s="125"/>
      <c r="V377" s="125"/>
      <c r="W377" s="125"/>
      <c r="X377" s="125"/>
      <c r="Y377" s="125"/>
      <c r="Z377" s="125"/>
      <c r="AA377" s="125"/>
    </row>
    <row r="378" spans="1:27" ht="13.5" customHeight="1" x14ac:dyDescent="0.25">
      <c r="A378" s="125"/>
      <c r="B378" s="125"/>
      <c r="C378" s="125"/>
      <c r="D378" s="125"/>
      <c r="E378" s="125"/>
      <c r="F378" s="125"/>
      <c r="G378" s="125"/>
      <c r="H378" s="125"/>
      <c r="I378" s="125"/>
      <c r="J378" s="125"/>
      <c r="K378" s="125"/>
      <c r="L378" s="125"/>
      <c r="M378" s="125"/>
      <c r="N378" s="125"/>
      <c r="O378" s="125"/>
      <c r="P378" s="125"/>
      <c r="Q378" s="125"/>
      <c r="R378" s="125"/>
      <c r="S378" s="125"/>
      <c r="T378" s="125"/>
      <c r="U378" s="125"/>
      <c r="V378" s="125"/>
      <c r="W378" s="125"/>
      <c r="X378" s="125"/>
      <c r="Y378" s="125"/>
      <c r="Z378" s="125"/>
      <c r="AA378" s="125"/>
    </row>
    <row r="379" spans="1:27" ht="13.5" customHeight="1" x14ac:dyDescent="0.25">
      <c r="A379" s="125"/>
      <c r="B379" s="125"/>
      <c r="C379" s="125"/>
      <c r="D379" s="125"/>
      <c r="E379" s="125"/>
      <c r="F379" s="125"/>
      <c r="G379" s="125"/>
      <c r="H379" s="125"/>
      <c r="I379" s="125"/>
      <c r="J379" s="125"/>
      <c r="K379" s="125"/>
      <c r="L379" s="125"/>
      <c r="M379" s="125"/>
      <c r="N379" s="125"/>
      <c r="O379" s="125"/>
      <c r="P379" s="125"/>
      <c r="Q379" s="125"/>
      <c r="R379" s="125"/>
      <c r="S379" s="125"/>
      <c r="T379" s="125"/>
      <c r="U379" s="125"/>
      <c r="V379" s="125"/>
      <c r="W379" s="125"/>
      <c r="X379" s="125"/>
      <c r="Y379" s="125"/>
      <c r="Z379" s="125"/>
      <c r="AA379" s="125"/>
    </row>
    <row r="380" spans="1:27" ht="13.5" customHeight="1" x14ac:dyDescent="0.25">
      <c r="A380" s="125"/>
      <c r="B380" s="125"/>
      <c r="C380" s="125"/>
      <c r="D380" s="125"/>
      <c r="E380" s="125"/>
      <c r="F380" s="125"/>
      <c r="G380" s="125"/>
      <c r="H380" s="125"/>
      <c r="I380" s="125"/>
      <c r="J380" s="125"/>
      <c r="K380" s="125"/>
      <c r="L380" s="125"/>
      <c r="M380" s="125"/>
      <c r="N380" s="125"/>
      <c r="O380" s="125"/>
      <c r="P380" s="125"/>
      <c r="Q380" s="125"/>
      <c r="R380" s="125"/>
      <c r="S380" s="125"/>
      <c r="T380" s="125"/>
      <c r="U380" s="125"/>
      <c r="V380" s="125"/>
      <c r="W380" s="125"/>
      <c r="X380" s="125"/>
      <c r="Y380" s="125"/>
      <c r="Z380" s="125"/>
      <c r="AA380" s="125"/>
    </row>
    <row r="381" spans="1:27" ht="13.5" customHeight="1" x14ac:dyDescent="0.25">
      <c r="A381" s="125"/>
      <c r="B381" s="125"/>
      <c r="C381" s="125"/>
      <c r="D381" s="125"/>
      <c r="E381" s="125"/>
      <c r="F381" s="125"/>
      <c r="G381" s="125"/>
      <c r="H381" s="125"/>
      <c r="I381" s="125"/>
      <c r="J381" s="125"/>
      <c r="K381" s="125"/>
      <c r="L381" s="125"/>
      <c r="M381" s="125"/>
      <c r="N381" s="125"/>
      <c r="O381" s="125"/>
      <c r="P381" s="125"/>
      <c r="Q381" s="125"/>
      <c r="R381" s="125"/>
      <c r="S381" s="125"/>
      <c r="T381" s="125"/>
      <c r="U381" s="125"/>
      <c r="V381" s="125"/>
      <c r="W381" s="125"/>
      <c r="X381" s="125"/>
      <c r="Y381" s="125"/>
      <c r="Z381" s="125"/>
      <c r="AA381" s="125"/>
    </row>
    <row r="382" spans="1:27" ht="13.5" customHeight="1" x14ac:dyDescent="0.25">
      <c r="A382" s="125"/>
      <c r="B382" s="125"/>
      <c r="C382" s="125"/>
      <c r="D382" s="125"/>
      <c r="E382" s="125"/>
      <c r="F382" s="125"/>
      <c r="G382" s="125"/>
      <c r="H382" s="125"/>
      <c r="I382" s="125"/>
      <c r="J382" s="125"/>
      <c r="K382" s="125"/>
      <c r="L382" s="125"/>
      <c r="M382" s="125"/>
      <c r="N382" s="125"/>
      <c r="O382" s="125"/>
      <c r="P382" s="125"/>
      <c r="Q382" s="125"/>
      <c r="R382" s="125"/>
      <c r="S382" s="125"/>
      <c r="T382" s="125"/>
      <c r="U382" s="125"/>
      <c r="V382" s="125"/>
      <c r="W382" s="125"/>
      <c r="X382" s="125"/>
      <c r="Y382" s="125"/>
      <c r="Z382" s="125"/>
      <c r="AA382" s="125"/>
    </row>
    <row r="383" spans="1:27" ht="13.5" customHeight="1" x14ac:dyDescent="0.25">
      <c r="A383" s="125"/>
      <c r="B383" s="125"/>
      <c r="C383" s="125"/>
      <c r="D383" s="125"/>
      <c r="E383" s="125"/>
      <c r="F383" s="125"/>
      <c r="G383" s="125"/>
      <c r="H383" s="125"/>
      <c r="I383" s="125"/>
      <c r="J383" s="125"/>
      <c r="K383" s="125"/>
      <c r="L383" s="125"/>
      <c r="M383" s="125"/>
      <c r="N383" s="125"/>
      <c r="O383" s="125"/>
      <c r="P383" s="125"/>
      <c r="Q383" s="125"/>
      <c r="R383" s="125"/>
      <c r="S383" s="125"/>
      <c r="T383" s="125"/>
      <c r="U383" s="125"/>
      <c r="V383" s="125"/>
      <c r="W383" s="125"/>
      <c r="X383" s="125"/>
      <c r="Y383" s="125"/>
      <c r="Z383" s="125"/>
      <c r="AA383" s="125"/>
    </row>
    <row r="384" spans="1:27" ht="13.5" customHeight="1" x14ac:dyDescent="0.25">
      <c r="A384" s="125"/>
      <c r="B384" s="125"/>
      <c r="C384" s="125"/>
      <c r="D384" s="125"/>
      <c r="E384" s="125"/>
      <c r="F384" s="125"/>
      <c r="G384" s="125"/>
      <c r="H384" s="125"/>
      <c r="I384" s="125"/>
      <c r="J384" s="125"/>
      <c r="K384" s="125"/>
      <c r="L384" s="125"/>
      <c r="M384" s="125"/>
      <c r="N384" s="125"/>
      <c r="O384" s="125"/>
      <c r="P384" s="125"/>
      <c r="Q384" s="125"/>
      <c r="R384" s="125"/>
      <c r="S384" s="125"/>
      <c r="T384" s="125"/>
      <c r="U384" s="125"/>
      <c r="V384" s="125"/>
      <c r="W384" s="125"/>
      <c r="X384" s="125"/>
      <c r="Y384" s="125"/>
      <c r="Z384" s="125"/>
      <c r="AA384" s="125"/>
    </row>
    <row r="385" spans="1:27" ht="13.5" customHeight="1" x14ac:dyDescent="0.25">
      <c r="A385" s="125"/>
      <c r="B385" s="125"/>
      <c r="C385" s="125"/>
      <c r="D385" s="125"/>
      <c r="E385" s="125"/>
      <c r="F385" s="125"/>
      <c r="G385" s="125"/>
      <c r="H385" s="125"/>
      <c r="I385" s="125"/>
      <c r="J385" s="125"/>
      <c r="K385" s="125"/>
      <c r="L385" s="125"/>
      <c r="M385" s="125"/>
      <c r="N385" s="125"/>
      <c r="O385" s="125"/>
      <c r="P385" s="125"/>
      <c r="Q385" s="125"/>
      <c r="R385" s="125"/>
      <c r="S385" s="125"/>
      <c r="T385" s="125"/>
      <c r="U385" s="125"/>
      <c r="V385" s="125"/>
      <c r="W385" s="125"/>
      <c r="X385" s="125"/>
      <c r="Y385" s="125"/>
      <c r="Z385" s="125"/>
      <c r="AA385" s="125"/>
    </row>
    <row r="386" spans="1:27" ht="13.5" customHeight="1" x14ac:dyDescent="0.25">
      <c r="A386" s="125"/>
      <c r="B386" s="125"/>
      <c r="C386" s="125"/>
      <c r="D386" s="125"/>
      <c r="E386" s="125"/>
      <c r="F386" s="125"/>
      <c r="G386" s="125"/>
      <c r="H386" s="125"/>
      <c r="I386" s="125"/>
      <c r="J386" s="125"/>
      <c r="K386" s="125"/>
      <c r="L386" s="125"/>
      <c r="M386" s="125"/>
      <c r="N386" s="125"/>
      <c r="O386" s="125"/>
      <c r="P386" s="125"/>
      <c r="Q386" s="125"/>
      <c r="R386" s="125"/>
      <c r="S386" s="125"/>
      <c r="T386" s="125"/>
      <c r="U386" s="125"/>
      <c r="V386" s="125"/>
      <c r="W386" s="125"/>
      <c r="X386" s="125"/>
      <c r="Y386" s="125"/>
      <c r="Z386" s="125"/>
      <c r="AA386" s="125"/>
    </row>
    <row r="387" spans="1:27" ht="13.5" customHeight="1" x14ac:dyDescent="0.25">
      <c r="A387" s="125"/>
      <c r="B387" s="125"/>
      <c r="C387" s="125"/>
      <c r="D387" s="125"/>
      <c r="E387" s="125"/>
      <c r="F387" s="125"/>
      <c r="G387" s="125"/>
      <c r="H387" s="125"/>
      <c r="I387" s="125"/>
      <c r="J387" s="125"/>
      <c r="K387" s="125"/>
      <c r="L387" s="125"/>
      <c r="M387" s="125"/>
      <c r="N387" s="125"/>
      <c r="O387" s="125"/>
      <c r="P387" s="125"/>
      <c r="Q387" s="125"/>
      <c r="R387" s="125"/>
      <c r="S387" s="125"/>
      <c r="T387" s="125"/>
      <c r="U387" s="125"/>
      <c r="V387" s="125"/>
      <c r="W387" s="125"/>
      <c r="X387" s="125"/>
      <c r="Y387" s="125"/>
      <c r="Z387" s="125"/>
      <c r="AA387" s="125"/>
    </row>
    <row r="388" spans="1:27" ht="13.5" customHeight="1" x14ac:dyDescent="0.25">
      <c r="A388" s="125"/>
      <c r="B388" s="125"/>
      <c r="C388" s="125"/>
      <c r="D388" s="125"/>
      <c r="E388" s="125"/>
      <c r="F388" s="125"/>
      <c r="G388" s="125"/>
      <c r="H388" s="125"/>
      <c r="I388" s="125"/>
      <c r="J388" s="125"/>
      <c r="K388" s="125"/>
      <c r="L388" s="125"/>
      <c r="M388" s="125"/>
      <c r="N388" s="125"/>
      <c r="O388" s="125"/>
      <c r="P388" s="125"/>
      <c r="Q388" s="125"/>
      <c r="R388" s="125"/>
      <c r="S388" s="125"/>
      <c r="T388" s="125"/>
      <c r="U388" s="125"/>
      <c r="V388" s="125"/>
      <c r="W388" s="125"/>
      <c r="X388" s="125"/>
      <c r="Y388" s="125"/>
      <c r="Z388" s="125"/>
      <c r="AA388" s="125"/>
    </row>
    <row r="389" spans="1:27" ht="13.5" customHeight="1" x14ac:dyDescent="0.25">
      <c r="A389" s="125"/>
      <c r="B389" s="125"/>
      <c r="C389" s="125"/>
      <c r="D389" s="125"/>
      <c r="E389" s="125"/>
      <c r="F389" s="125"/>
      <c r="G389" s="125"/>
      <c r="H389" s="125"/>
      <c r="I389" s="125"/>
      <c r="J389" s="125"/>
      <c r="K389" s="125"/>
      <c r="L389" s="125"/>
      <c r="M389" s="125"/>
      <c r="N389" s="125"/>
      <c r="O389" s="125"/>
      <c r="P389" s="125"/>
      <c r="Q389" s="125"/>
      <c r="R389" s="125"/>
      <c r="S389" s="125"/>
      <c r="T389" s="125"/>
      <c r="U389" s="125"/>
      <c r="V389" s="125"/>
      <c r="W389" s="125"/>
      <c r="X389" s="125"/>
      <c r="Y389" s="125"/>
      <c r="Z389" s="125"/>
      <c r="AA389" s="125"/>
    </row>
    <row r="390" spans="1:27" ht="13.5" customHeight="1" x14ac:dyDescent="0.25">
      <c r="A390" s="125"/>
      <c r="B390" s="125"/>
      <c r="C390" s="125"/>
      <c r="D390" s="125"/>
      <c r="E390" s="125"/>
      <c r="F390" s="125"/>
      <c r="G390" s="125"/>
      <c r="H390" s="125"/>
      <c r="I390" s="125"/>
      <c r="J390" s="125"/>
      <c r="K390" s="125"/>
      <c r="L390" s="125"/>
      <c r="M390" s="125"/>
      <c r="N390" s="125"/>
      <c r="O390" s="125"/>
      <c r="P390" s="125"/>
      <c r="Q390" s="125"/>
      <c r="R390" s="125"/>
      <c r="S390" s="125"/>
      <c r="T390" s="125"/>
      <c r="U390" s="125"/>
      <c r="V390" s="125"/>
      <c r="W390" s="125"/>
      <c r="X390" s="125"/>
      <c r="Y390" s="125"/>
      <c r="Z390" s="125"/>
      <c r="AA390" s="125"/>
    </row>
    <row r="391" spans="1:27" ht="13.5" customHeight="1" x14ac:dyDescent="0.25">
      <c r="A391" s="125"/>
      <c r="B391" s="125"/>
      <c r="C391" s="125"/>
      <c r="D391" s="125"/>
      <c r="E391" s="125"/>
      <c r="F391" s="125"/>
      <c r="G391" s="125"/>
      <c r="H391" s="125"/>
      <c r="I391" s="125"/>
      <c r="J391" s="125"/>
      <c r="K391" s="125"/>
      <c r="L391" s="125"/>
      <c r="M391" s="125"/>
      <c r="N391" s="125"/>
      <c r="O391" s="125"/>
      <c r="P391" s="125"/>
      <c r="Q391" s="125"/>
      <c r="R391" s="125"/>
      <c r="S391" s="125"/>
      <c r="T391" s="125"/>
      <c r="U391" s="125"/>
      <c r="V391" s="125"/>
      <c r="W391" s="125"/>
      <c r="X391" s="125"/>
      <c r="Y391" s="125"/>
      <c r="Z391" s="125"/>
      <c r="AA391" s="125"/>
    </row>
    <row r="392" spans="1:27" ht="13.5" customHeight="1" x14ac:dyDescent="0.25">
      <c r="A392" s="125"/>
      <c r="B392" s="125"/>
      <c r="C392" s="125"/>
      <c r="D392" s="125"/>
      <c r="E392" s="125"/>
      <c r="F392" s="125"/>
      <c r="G392" s="125"/>
      <c r="H392" s="125"/>
      <c r="I392" s="125"/>
      <c r="J392" s="125"/>
      <c r="K392" s="125"/>
      <c r="L392" s="125"/>
      <c r="M392" s="125"/>
      <c r="N392" s="125"/>
      <c r="O392" s="125"/>
      <c r="P392" s="125"/>
      <c r="Q392" s="125"/>
      <c r="R392" s="125"/>
      <c r="S392" s="125"/>
      <c r="T392" s="125"/>
      <c r="U392" s="125"/>
      <c r="V392" s="125"/>
      <c r="W392" s="125"/>
      <c r="X392" s="125"/>
      <c r="Y392" s="125"/>
      <c r="Z392" s="125"/>
      <c r="AA392" s="125"/>
    </row>
    <row r="393" spans="1:27" ht="13.5" customHeight="1" x14ac:dyDescent="0.25">
      <c r="A393" s="125"/>
      <c r="B393" s="125"/>
      <c r="C393" s="125"/>
      <c r="D393" s="125"/>
      <c r="E393" s="125"/>
      <c r="F393" s="125"/>
      <c r="G393" s="125"/>
      <c r="H393" s="125"/>
      <c r="I393" s="125"/>
      <c r="J393" s="125"/>
      <c r="K393" s="125"/>
      <c r="L393" s="125"/>
      <c r="M393" s="125"/>
      <c r="N393" s="125"/>
      <c r="O393" s="125"/>
      <c r="P393" s="125"/>
      <c r="Q393" s="125"/>
      <c r="R393" s="125"/>
      <c r="S393" s="125"/>
      <c r="T393" s="125"/>
      <c r="U393" s="125"/>
      <c r="V393" s="125"/>
      <c r="W393" s="125"/>
      <c r="X393" s="125"/>
      <c r="Y393" s="125"/>
      <c r="Z393" s="125"/>
      <c r="AA393" s="125"/>
    </row>
    <row r="394" spans="1:27" ht="13.5" customHeight="1" x14ac:dyDescent="0.25">
      <c r="A394" s="125"/>
      <c r="B394" s="125"/>
      <c r="C394" s="125"/>
      <c r="D394" s="125"/>
      <c r="E394" s="125"/>
      <c r="F394" s="125"/>
      <c r="G394" s="125"/>
      <c r="H394" s="125"/>
      <c r="I394" s="125"/>
      <c r="J394" s="125"/>
      <c r="K394" s="125"/>
      <c r="L394" s="125"/>
      <c r="M394" s="125"/>
      <c r="N394" s="125"/>
      <c r="O394" s="125"/>
      <c r="P394" s="125"/>
      <c r="Q394" s="125"/>
      <c r="R394" s="125"/>
      <c r="S394" s="125"/>
      <c r="T394" s="125"/>
      <c r="U394" s="125"/>
      <c r="V394" s="125"/>
      <c r="W394" s="125"/>
      <c r="X394" s="125"/>
      <c r="Y394" s="125"/>
      <c r="Z394" s="125"/>
      <c r="AA394" s="125"/>
    </row>
    <row r="395" spans="1:27" ht="13.5" customHeight="1" x14ac:dyDescent="0.25">
      <c r="A395" s="125"/>
      <c r="B395" s="125"/>
      <c r="C395" s="125"/>
      <c r="D395" s="125"/>
      <c r="E395" s="125"/>
      <c r="F395" s="125"/>
      <c r="G395" s="125"/>
      <c r="H395" s="125"/>
      <c r="I395" s="125"/>
      <c r="J395" s="125"/>
      <c r="K395" s="125"/>
      <c r="L395" s="125"/>
      <c r="M395" s="125"/>
      <c r="N395" s="125"/>
      <c r="O395" s="125"/>
      <c r="P395" s="125"/>
      <c r="Q395" s="125"/>
      <c r="R395" s="125"/>
      <c r="S395" s="125"/>
      <c r="T395" s="125"/>
      <c r="U395" s="125"/>
      <c r="V395" s="125"/>
      <c r="W395" s="125"/>
      <c r="X395" s="125"/>
      <c r="Y395" s="125"/>
      <c r="Z395" s="125"/>
      <c r="AA395" s="125"/>
    </row>
    <row r="396" spans="1:27" ht="13.5" customHeight="1" x14ac:dyDescent="0.25">
      <c r="A396" s="125"/>
      <c r="B396" s="125"/>
      <c r="C396" s="125"/>
      <c r="D396" s="125"/>
      <c r="E396" s="125"/>
      <c r="F396" s="125"/>
      <c r="G396" s="125"/>
      <c r="H396" s="125"/>
      <c r="I396" s="125"/>
      <c r="J396" s="125"/>
      <c r="K396" s="125"/>
      <c r="L396" s="125"/>
      <c r="M396" s="125"/>
      <c r="N396" s="125"/>
      <c r="O396" s="125"/>
      <c r="P396" s="125"/>
      <c r="Q396" s="125"/>
      <c r="R396" s="125"/>
      <c r="S396" s="125"/>
      <c r="T396" s="125"/>
      <c r="U396" s="125"/>
      <c r="V396" s="125"/>
      <c r="W396" s="125"/>
      <c r="X396" s="125"/>
      <c r="Y396" s="125"/>
      <c r="Z396" s="125"/>
      <c r="AA396" s="125"/>
    </row>
    <row r="397" spans="1:27" ht="13.5" customHeight="1" x14ac:dyDescent="0.25">
      <c r="A397" s="125"/>
      <c r="B397" s="125"/>
      <c r="C397" s="125"/>
      <c r="D397" s="125"/>
      <c r="E397" s="125"/>
      <c r="F397" s="125"/>
      <c r="G397" s="125"/>
      <c r="H397" s="125"/>
      <c r="I397" s="125"/>
      <c r="J397" s="125"/>
      <c r="K397" s="125"/>
      <c r="L397" s="125"/>
      <c r="M397" s="125"/>
      <c r="N397" s="125"/>
      <c r="O397" s="125"/>
      <c r="P397" s="125"/>
      <c r="Q397" s="125"/>
      <c r="R397" s="125"/>
      <c r="S397" s="125"/>
      <c r="T397" s="125"/>
      <c r="U397" s="125"/>
      <c r="V397" s="125"/>
      <c r="W397" s="125"/>
      <c r="X397" s="125"/>
      <c r="Y397" s="125"/>
      <c r="Z397" s="125"/>
      <c r="AA397" s="125"/>
    </row>
    <row r="398" spans="1:27" ht="13.5" customHeight="1" x14ac:dyDescent="0.25">
      <c r="A398" s="125"/>
      <c r="B398" s="125"/>
      <c r="C398" s="125"/>
      <c r="D398" s="125"/>
      <c r="E398" s="125"/>
      <c r="F398" s="125"/>
      <c r="G398" s="125"/>
      <c r="H398" s="125"/>
      <c r="I398" s="125"/>
      <c r="J398" s="125"/>
      <c r="K398" s="125"/>
      <c r="L398" s="125"/>
      <c r="M398" s="125"/>
      <c r="N398" s="125"/>
      <c r="O398" s="125"/>
      <c r="P398" s="125"/>
      <c r="Q398" s="125"/>
      <c r="R398" s="125"/>
      <c r="S398" s="125"/>
      <c r="T398" s="125"/>
      <c r="U398" s="125"/>
      <c r="V398" s="125"/>
      <c r="W398" s="125"/>
      <c r="X398" s="125"/>
      <c r="Y398" s="125"/>
      <c r="Z398" s="125"/>
      <c r="AA398" s="125"/>
    </row>
    <row r="399" spans="1:27" ht="13.5" customHeight="1" x14ac:dyDescent="0.25">
      <c r="A399" s="125"/>
      <c r="B399" s="125"/>
      <c r="C399" s="125"/>
      <c r="D399" s="125"/>
      <c r="E399" s="125"/>
      <c r="F399" s="125"/>
      <c r="G399" s="125"/>
      <c r="H399" s="125"/>
      <c r="I399" s="125"/>
      <c r="J399" s="125"/>
      <c r="K399" s="125"/>
      <c r="L399" s="125"/>
      <c r="M399" s="125"/>
      <c r="N399" s="125"/>
      <c r="O399" s="125"/>
      <c r="P399" s="125"/>
      <c r="Q399" s="125"/>
      <c r="R399" s="125"/>
      <c r="S399" s="125"/>
      <c r="T399" s="125"/>
      <c r="U399" s="125"/>
      <c r="V399" s="125"/>
      <c r="W399" s="125"/>
      <c r="X399" s="125"/>
      <c r="Y399" s="125"/>
      <c r="Z399" s="125"/>
      <c r="AA399" s="125"/>
    </row>
    <row r="400" spans="1:27" ht="13.5" customHeight="1" x14ac:dyDescent="0.25">
      <c r="A400" s="125"/>
      <c r="B400" s="125"/>
      <c r="C400" s="125"/>
      <c r="D400" s="125"/>
      <c r="E400" s="125"/>
      <c r="F400" s="125"/>
      <c r="G400" s="125"/>
      <c r="H400" s="125"/>
      <c r="I400" s="125"/>
      <c r="J400" s="125"/>
      <c r="K400" s="125"/>
      <c r="L400" s="125"/>
      <c r="M400" s="125"/>
      <c r="N400" s="125"/>
      <c r="O400" s="125"/>
      <c r="P400" s="125"/>
      <c r="Q400" s="125"/>
      <c r="R400" s="125"/>
      <c r="S400" s="125"/>
      <c r="T400" s="125"/>
      <c r="U400" s="125"/>
      <c r="V400" s="125"/>
      <c r="W400" s="125"/>
      <c r="X400" s="125"/>
      <c r="Y400" s="125"/>
      <c r="Z400" s="125"/>
      <c r="AA400" s="125"/>
    </row>
    <row r="401" spans="1:27" ht="13.5" customHeight="1" x14ac:dyDescent="0.25">
      <c r="A401" s="125"/>
      <c r="B401" s="125"/>
      <c r="C401" s="125"/>
      <c r="D401" s="125"/>
      <c r="E401" s="125"/>
      <c r="F401" s="125"/>
      <c r="G401" s="125"/>
      <c r="H401" s="125"/>
      <c r="I401" s="125"/>
      <c r="J401" s="125"/>
      <c r="K401" s="125"/>
      <c r="L401" s="125"/>
      <c r="M401" s="125"/>
      <c r="N401" s="125"/>
      <c r="O401" s="125"/>
      <c r="P401" s="125"/>
      <c r="Q401" s="125"/>
      <c r="R401" s="125"/>
      <c r="S401" s="125"/>
      <c r="T401" s="125"/>
      <c r="U401" s="125"/>
      <c r="V401" s="125"/>
      <c r="W401" s="125"/>
      <c r="X401" s="125"/>
      <c r="Y401" s="125"/>
      <c r="Z401" s="125"/>
      <c r="AA401" s="125"/>
    </row>
    <row r="402" spans="1:27" ht="13.5" customHeight="1" x14ac:dyDescent="0.25">
      <c r="A402" s="125"/>
      <c r="B402" s="125"/>
      <c r="C402" s="125"/>
      <c r="D402" s="125"/>
      <c r="E402" s="125"/>
      <c r="F402" s="125"/>
      <c r="G402" s="125"/>
      <c r="H402" s="125"/>
      <c r="I402" s="125"/>
      <c r="J402" s="125"/>
      <c r="K402" s="125"/>
      <c r="L402" s="125"/>
      <c r="M402" s="125"/>
      <c r="N402" s="125"/>
      <c r="O402" s="125"/>
      <c r="P402" s="125"/>
      <c r="Q402" s="125"/>
      <c r="R402" s="125"/>
      <c r="S402" s="125"/>
      <c r="T402" s="125"/>
      <c r="U402" s="125"/>
      <c r="V402" s="125"/>
      <c r="W402" s="125"/>
      <c r="X402" s="125"/>
      <c r="Y402" s="125"/>
      <c r="Z402" s="125"/>
      <c r="AA402" s="125"/>
    </row>
    <row r="403" spans="1:27" ht="13.5" customHeight="1" x14ac:dyDescent="0.25">
      <c r="A403" s="125"/>
      <c r="B403" s="125"/>
      <c r="C403" s="125"/>
      <c r="D403" s="125"/>
      <c r="E403" s="125"/>
      <c r="F403" s="125"/>
      <c r="G403" s="125"/>
      <c r="H403" s="125"/>
      <c r="I403" s="125"/>
      <c r="J403" s="125"/>
      <c r="K403" s="125"/>
      <c r="L403" s="125"/>
      <c r="M403" s="125"/>
      <c r="N403" s="125"/>
      <c r="O403" s="125"/>
      <c r="P403" s="125"/>
      <c r="Q403" s="125"/>
      <c r="R403" s="125"/>
      <c r="S403" s="125"/>
      <c r="T403" s="125"/>
      <c r="U403" s="125"/>
      <c r="V403" s="125"/>
      <c r="W403" s="125"/>
      <c r="X403" s="125"/>
      <c r="Y403" s="125"/>
      <c r="Z403" s="125"/>
      <c r="AA403" s="125"/>
    </row>
    <row r="404" spans="1:27" ht="13.5" customHeight="1" x14ac:dyDescent="0.25">
      <c r="A404" s="125"/>
      <c r="B404" s="125"/>
      <c r="C404" s="125"/>
      <c r="D404" s="125"/>
      <c r="E404" s="125"/>
      <c r="F404" s="125"/>
      <c r="G404" s="125"/>
      <c r="H404" s="125"/>
      <c r="I404" s="125"/>
      <c r="J404" s="125"/>
      <c r="K404" s="125"/>
      <c r="L404" s="125"/>
      <c r="M404" s="125"/>
      <c r="N404" s="125"/>
      <c r="O404" s="125"/>
      <c r="P404" s="125"/>
      <c r="Q404" s="125"/>
      <c r="R404" s="125"/>
      <c r="S404" s="125"/>
      <c r="T404" s="125"/>
      <c r="U404" s="125"/>
      <c r="V404" s="125"/>
      <c r="W404" s="125"/>
      <c r="X404" s="125"/>
      <c r="Y404" s="125"/>
      <c r="Z404" s="125"/>
      <c r="AA404" s="125"/>
    </row>
    <row r="405" spans="1:27" ht="13.5" customHeight="1" x14ac:dyDescent="0.25">
      <c r="A405" s="125"/>
      <c r="B405" s="125"/>
      <c r="C405" s="125"/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125"/>
      <c r="Q405" s="125"/>
      <c r="R405" s="125"/>
      <c r="S405" s="125"/>
      <c r="T405" s="125"/>
      <c r="U405" s="125"/>
      <c r="V405" s="125"/>
      <c r="W405" s="125"/>
      <c r="X405" s="125"/>
      <c r="Y405" s="125"/>
      <c r="Z405" s="125"/>
      <c r="AA405" s="125"/>
    </row>
    <row r="406" spans="1:27" ht="13.5" customHeight="1" x14ac:dyDescent="0.25">
      <c r="A406" s="125"/>
      <c r="B406" s="125"/>
      <c r="C406" s="125"/>
      <c r="D406" s="125"/>
      <c r="E406" s="125"/>
      <c r="F406" s="125"/>
      <c r="G406" s="125"/>
      <c r="H406" s="125"/>
      <c r="I406" s="125"/>
      <c r="J406" s="125"/>
      <c r="K406" s="125"/>
      <c r="L406" s="125"/>
      <c r="M406" s="125"/>
      <c r="N406" s="125"/>
      <c r="O406" s="125"/>
      <c r="P406" s="125"/>
      <c r="Q406" s="125"/>
      <c r="R406" s="125"/>
      <c r="S406" s="125"/>
      <c r="T406" s="125"/>
      <c r="U406" s="125"/>
      <c r="V406" s="125"/>
      <c r="W406" s="125"/>
      <c r="X406" s="125"/>
      <c r="Y406" s="125"/>
      <c r="Z406" s="125"/>
      <c r="AA406" s="125"/>
    </row>
    <row r="407" spans="1:27" ht="13.5" customHeight="1" x14ac:dyDescent="0.25">
      <c r="A407" s="125"/>
      <c r="B407" s="125"/>
      <c r="C407" s="125"/>
      <c r="D407" s="125"/>
      <c r="E407" s="125"/>
      <c r="F407" s="125"/>
      <c r="G407" s="125"/>
      <c r="H407" s="125"/>
      <c r="I407" s="125"/>
      <c r="J407" s="125"/>
      <c r="K407" s="125"/>
      <c r="L407" s="125"/>
      <c r="M407" s="125"/>
      <c r="N407" s="125"/>
      <c r="O407" s="125"/>
      <c r="P407" s="125"/>
      <c r="Q407" s="125"/>
      <c r="R407" s="125"/>
      <c r="S407" s="125"/>
      <c r="T407" s="125"/>
      <c r="U407" s="125"/>
      <c r="V407" s="125"/>
      <c r="W407" s="125"/>
      <c r="X407" s="125"/>
      <c r="Y407" s="125"/>
      <c r="Z407" s="125"/>
      <c r="AA407" s="125"/>
    </row>
    <row r="408" spans="1:27" ht="13.5" customHeight="1" x14ac:dyDescent="0.25">
      <c r="A408" s="125"/>
      <c r="B408" s="125"/>
      <c r="C408" s="125"/>
      <c r="D408" s="125"/>
      <c r="E408" s="125"/>
      <c r="F408" s="125"/>
      <c r="G408" s="125"/>
      <c r="H408" s="125"/>
      <c r="I408" s="125"/>
      <c r="J408" s="125"/>
      <c r="K408" s="125"/>
      <c r="L408" s="125"/>
      <c r="M408" s="125"/>
      <c r="N408" s="125"/>
      <c r="O408" s="125"/>
      <c r="P408" s="125"/>
      <c r="Q408" s="125"/>
      <c r="R408" s="125"/>
      <c r="S408" s="125"/>
      <c r="T408" s="125"/>
      <c r="U408" s="125"/>
      <c r="V408" s="125"/>
      <c r="W408" s="125"/>
      <c r="X408" s="125"/>
      <c r="Y408" s="125"/>
      <c r="Z408" s="125"/>
      <c r="AA408" s="125"/>
    </row>
    <row r="409" spans="1:27" ht="13.5" customHeight="1" x14ac:dyDescent="0.25">
      <c r="A409" s="125"/>
      <c r="B409" s="125"/>
      <c r="C409" s="125"/>
      <c r="D409" s="125"/>
      <c r="E409" s="125"/>
      <c r="F409" s="125"/>
      <c r="G409" s="125"/>
      <c r="H409" s="125"/>
      <c r="I409" s="125"/>
      <c r="J409" s="125"/>
      <c r="K409" s="125"/>
      <c r="L409" s="125"/>
      <c r="M409" s="125"/>
      <c r="N409" s="125"/>
      <c r="O409" s="125"/>
      <c r="P409" s="125"/>
      <c r="Q409" s="125"/>
      <c r="R409" s="125"/>
      <c r="S409" s="125"/>
      <c r="T409" s="125"/>
      <c r="U409" s="125"/>
      <c r="V409" s="125"/>
      <c r="W409" s="125"/>
      <c r="X409" s="125"/>
      <c r="Y409" s="125"/>
      <c r="Z409" s="125"/>
      <c r="AA409" s="125"/>
    </row>
    <row r="410" spans="1:27" ht="13.5" customHeight="1" x14ac:dyDescent="0.25">
      <c r="A410" s="125"/>
      <c r="B410" s="125"/>
      <c r="C410" s="125"/>
      <c r="D410" s="125"/>
      <c r="E410" s="125"/>
      <c r="F410" s="125"/>
      <c r="G410" s="125"/>
      <c r="H410" s="125"/>
      <c r="I410" s="125"/>
      <c r="J410" s="125"/>
      <c r="K410" s="125"/>
      <c r="L410" s="125"/>
      <c r="M410" s="125"/>
      <c r="N410" s="125"/>
      <c r="O410" s="125"/>
      <c r="P410" s="125"/>
      <c r="Q410" s="125"/>
      <c r="R410" s="125"/>
      <c r="S410" s="125"/>
      <c r="T410" s="125"/>
      <c r="U410" s="125"/>
      <c r="V410" s="125"/>
      <c r="W410" s="125"/>
      <c r="X410" s="125"/>
      <c r="Y410" s="125"/>
      <c r="Z410" s="125"/>
      <c r="AA410" s="125"/>
    </row>
    <row r="411" spans="1:27" ht="13.5" customHeight="1" x14ac:dyDescent="0.25">
      <c r="A411" s="125"/>
      <c r="B411" s="125"/>
      <c r="C411" s="125"/>
      <c r="D411" s="125"/>
      <c r="E411" s="125"/>
      <c r="F411" s="125"/>
      <c r="G411" s="125"/>
      <c r="H411" s="125"/>
      <c r="I411" s="125"/>
      <c r="J411" s="125"/>
      <c r="K411" s="125"/>
      <c r="L411" s="125"/>
      <c r="M411" s="125"/>
      <c r="N411" s="125"/>
      <c r="O411" s="125"/>
      <c r="P411" s="125"/>
      <c r="Q411" s="125"/>
      <c r="R411" s="125"/>
      <c r="S411" s="125"/>
      <c r="T411" s="125"/>
      <c r="U411" s="125"/>
      <c r="V411" s="125"/>
      <c r="W411" s="125"/>
      <c r="X411" s="125"/>
      <c r="Y411" s="125"/>
      <c r="Z411" s="125"/>
      <c r="AA411" s="125"/>
    </row>
    <row r="412" spans="1:27" ht="13.5" customHeight="1" x14ac:dyDescent="0.25">
      <c r="A412" s="125"/>
      <c r="B412" s="125"/>
      <c r="C412" s="125"/>
      <c r="D412" s="125"/>
      <c r="E412" s="125"/>
      <c r="F412" s="125"/>
      <c r="G412" s="125"/>
      <c r="H412" s="125"/>
      <c r="I412" s="125"/>
      <c r="J412" s="125"/>
      <c r="K412" s="125"/>
      <c r="L412" s="125"/>
      <c r="M412" s="125"/>
      <c r="N412" s="125"/>
      <c r="O412" s="125"/>
      <c r="P412" s="125"/>
      <c r="Q412" s="125"/>
      <c r="R412" s="125"/>
      <c r="S412" s="125"/>
      <c r="T412" s="125"/>
      <c r="U412" s="125"/>
      <c r="V412" s="125"/>
      <c r="W412" s="125"/>
      <c r="X412" s="125"/>
      <c r="Y412" s="125"/>
      <c r="Z412" s="125"/>
      <c r="AA412" s="125"/>
    </row>
    <row r="413" spans="1:27" ht="13.5" customHeight="1" x14ac:dyDescent="0.25">
      <c r="A413" s="125"/>
      <c r="B413" s="125"/>
      <c r="C413" s="125"/>
      <c r="D413" s="125"/>
      <c r="E413" s="125"/>
      <c r="F413" s="125"/>
      <c r="G413" s="125"/>
      <c r="H413" s="125"/>
      <c r="I413" s="125"/>
      <c r="J413" s="125"/>
      <c r="K413" s="125"/>
      <c r="L413" s="125"/>
      <c r="M413" s="125"/>
      <c r="N413" s="125"/>
      <c r="O413" s="125"/>
      <c r="P413" s="125"/>
      <c r="Q413" s="125"/>
      <c r="R413" s="125"/>
      <c r="S413" s="125"/>
      <c r="T413" s="125"/>
      <c r="U413" s="125"/>
      <c r="V413" s="125"/>
      <c r="W413" s="125"/>
      <c r="X413" s="125"/>
      <c r="Y413" s="125"/>
      <c r="Z413" s="125"/>
      <c r="AA413" s="125"/>
    </row>
    <row r="414" spans="1:27" ht="13.5" customHeight="1" x14ac:dyDescent="0.25">
      <c r="A414" s="125"/>
      <c r="B414" s="125"/>
      <c r="C414" s="125"/>
      <c r="D414" s="125"/>
      <c r="E414" s="125"/>
      <c r="F414" s="125"/>
      <c r="G414" s="125"/>
      <c r="H414" s="125"/>
      <c r="I414" s="125"/>
      <c r="J414" s="125"/>
      <c r="K414" s="125"/>
      <c r="L414" s="125"/>
      <c r="M414" s="125"/>
      <c r="N414" s="125"/>
      <c r="O414" s="125"/>
      <c r="P414" s="125"/>
      <c r="Q414" s="125"/>
      <c r="R414" s="125"/>
      <c r="S414" s="125"/>
      <c r="T414" s="125"/>
      <c r="U414" s="125"/>
      <c r="V414" s="125"/>
      <c r="W414" s="125"/>
      <c r="X414" s="125"/>
      <c r="Y414" s="125"/>
      <c r="Z414" s="125"/>
      <c r="AA414" s="125"/>
    </row>
    <row r="415" spans="1:27" ht="13.5" customHeight="1" x14ac:dyDescent="0.25">
      <c r="A415" s="125"/>
      <c r="B415" s="125"/>
      <c r="C415" s="125"/>
      <c r="D415" s="125"/>
      <c r="E415" s="125"/>
      <c r="F415" s="125"/>
      <c r="G415" s="125"/>
      <c r="H415" s="125"/>
      <c r="I415" s="125"/>
      <c r="J415" s="125"/>
      <c r="K415" s="125"/>
      <c r="L415" s="125"/>
      <c r="M415" s="125"/>
      <c r="N415" s="125"/>
      <c r="O415" s="125"/>
      <c r="P415" s="125"/>
      <c r="Q415" s="125"/>
      <c r="R415" s="125"/>
      <c r="S415" s="125"/>
      <c r="T415" s="125"/>
      <c r="U415" s="125"/>
      <c r="V415" s="125"/>
      <c r="W415" s="125"/>
      <c r="X415" s="125"/>
      <c r="Y415" s="125"/>
      <c r="Z415" s="125"/>
      <c r="AA415" s="125"/>
    </row>
    <row r="416" spans="1:27" ht="13.5" customHeight="1" x14ac:dyDescent="0.25">
      <c r="A416" s="125"/>
      <c r="B416" s="125"/>
      <c r="C416" s="125"/>
      <c r="D416" s="125"/>
      <c r="E416" s="125"/>
      <c r="F416" s="125"/>
      <c r="G416" s="125"/>
      <c r="H416" s="125"/>
      <c r="I416" s="125"/>
      <c r="J416" s="125"/>
      <c r="K416" s="125"/>
      <c r="L416" s="125"/>
      <c r="M416" s="125"/>
      <c r="N416" s="125"/>
      <c r="O416" s="125"/>
      <c r="P416" s="125"/>
      <c r="Q416" s="125"/>
      <c r="R416" s="125"/>
      <c r="S416" s="125"/>
      <c r="T416" s="125"/>
      <c r="U416" s="125"/>
      <c r="V416" s="125"/>
      <c r="W416" s="125"/>
      <c r="X416" s="125"/>
      <c r="Y416" s="125"/>
      <c r="Z416" s="125"/>
      <c r="AA416" s="125"/>
    </row>
    <row r="417" spans="1:27" ht="13.5" customHeight="1" x14ac:dyDescent="0.25">
      <c r="A417" s="125"/>
      <c r="B417" s="125"/>
      <c r="C417" s="125"/>
      <c r="D417" s="125"/>
      <c r="E417" s="125"/>
      <c r="F417" s="125"/>
      <c r="G417" s="125"/>
      <c r="H417" s="125"/>
      <c r="I417" s="125"/>
      <c r="J417" s="125"/>
      <c r="K417" s="125"/>
      <c r="L417" s="125"/>
      <c r="M417" s="125"/>
      <c r="N417" s="125"/>
      <c r="O417" s="125"/>
      <c r="P417" s="125"/>
      <c r="Q417" s="125"/>
      <c r="R417" s="125"/>
      <c r="S417" s="125"/>
      <c r="T417" s="125"/>
      <c r="U417" s="125"/>
      <c r="V417" s="125"/>
      <c r="W417" s="125"/>
      <c r="X417" s="125"/>
      <c r="Y417" s="125"/>
      <c r="Z417" s="125"/>
      <c r="AA417" s="125"/>
    </row>
    <row r="418" spans="1:27" ht="13.5" customHeight="1" x14ac:dyDescent="0.25">
      <c r="A418" s="125"/>
      <c r="B418" s="125"/>
      <c r="C418" s="125"/>
      <c r="D418" s="125"/>
      <c r="E418" s="125"/>
      <c r="F418" s="125"/>
      <c r="G418" s="125"/>
      <c r="H418" s="125"/>
      <c r="I418" s="125"/>
      <c r="J418" s="125"/>
      <c r="K418" s="125"/>
      <c r="L418" s="125"/>
      <c r="M418" s="125"/>
      <c r="N418" s="125"/>
      <c r="O418" s="125"/>
      <c r="P418" s="125"/>
      <c r="Q418" s="125"/>
      <c r="R418" s="125"/>
      <c r="S418" s="125"/>
      <c r="T418" s="125"/>
      <c r="U418" s="125"/>
      <c r="V418" s="125"/>
      <c r="W418" s="125"/>
      <c r="X418" s="125"/>
      <c r="Y418" s="125"/>
      <c r="Z418" s="125"/>
      <c r="AA418" s="125"/>
    </row>
    <row r="419" spans="1:27" ht="13.5" customHeight="1" x14ac:dyDescent="0.25">
      <c r="A419" s="125"/>
      <c r="B419" s="125"/>
      <c r="C419" s="125"/>
      <c r="D419" s="125"/>
      <c r="E419" s="125"/>
      <c r="F419" s="125"/>
      <c r="G419" s="125"/>
      <c r="H419" s="125"/>
      <c r="I419" s="125"/>
      <c r="J419" s="125"/>
      <c r="K419" s="125"/>
      <c r="L419" s="125"/>
      <c r="M419" s="125"/>
      <c r="N419" s="125"/>
      <c r="O419" s="125"/>
      <c r="P419" s="125"/>
      <c r="Q419" s="125"/>
      <c r="R419" s="125"/>
      <c r="S419" s="125"/>
      <c r="T419" s="125"/>
      <c r="U419" s="125"/>
      <c r="V419" s="125"/>
      <c r="W419" s="125"/>
      <c r="X419" s="125"/>
      <c r="Y419" s="125"/>
      <c r="Z419" s="125"/>
      <c r="AA419" s="125"/>
    </row>
    <row r="420" spans="1:27" ht="13.5" customHeight="1" x14ac:dyDescent="0.25">
      <c r="A420" s="125"/>
      <c r="B420" s="125"/>
      <c r="C420" s="125"/>
      <c r="D420" s="125"/>
      <c r="E420" s="125"/>
      <c r="F420" s="125"/>
      <c r="G420" s="125"/>
      <c r="H420" s="125"/>
      <c r="I420" s="125"/>
      <c r="J420" s="125"/>
      <c r="K420" s="125"/>
      <c r="L420" s="125"/>
      <c r="M420" s="125"/>
      <c r="N420" s="125"/>
      <c r="O420" s="125"/>
      <c r="P420" s="125"/>
      <c r="Q420" s="125"/>
      <c r="R420" s="125"/>
      <c r="S420" s="125"/>
      <c r="T420" s="125"/>
      <c r="U420" s="125"/>
      <c r="V420" s="125"/>
      <c r="W420" s="125"/>
      <c r="X420" s="125"/>
      <c r="Y420" s="125"/>
      <c r="Z420" s="125"/>
      <c r="AA420" s="125"/>
    </row>
    <row r="421" spans="1:27" ht="13.5" customHeight="1" x14ac:dyDescent="0.25">
      <c r="A421" s="125"/>
      <c r="B421" s="125"/>
      <c r="C421" s="125"/>
      <c r="D421" s="125"/>
      <c r="E421" s="125"/>
      <c r="F421" s="125"/>
      <c r="G421" s="125"/>
      <c r="H421" s="125"/>
      <c r="I421" s="125"/>
      <c r="J421" s="125"/>
      <c r="K421" s="125"/>
      <c r="L421" s="125"/>
      <c r="M421" s="125"/>
      <c r="N421" s="125"/>
      <c r="O421" s="125"/>
      <c r="P421" s="125"/>
      <c r="Q421" s="125"/>
      <c r="R421" s="125"/>
      <c r="S421" s="125"/>
      <c r="T421" s="125"/>
      <c r="U421" s="125"/>
      <c r="V421" s="125"/>
      <c r="W421" s="125"/>
      <c r="X421" s="125"/>
      <c r="Y421" s="125"/>
      <c r="Z421" s="125"/>
      <c r="AA421" s="125"/>
    </row>
    <row r="422" spans="1:27" ht="13.5" customHeight="1" x14ac:dyDescent="0.25">
      <c r="A422" s="125"/>
      <c r="B422" s="125"/>
      <c r="C422" s="125"/>
      <c r="D422" s="125"/>
      <c r="E422" s="125"/>
      <c r="F422" s="125"/>
      <c r="G422" s="125"/>
      <c r="H422" s="125"/>
      <c r="I422" s="125"/>
      <c r="J422" s="125"/>
      <c r="K422" s="125"/>
      <c r="L422" s="125"/>
      <c r="M422" s="125"/>
      <c r="N422" s="125"/>
      <c r="O422" s="125"/>
      <c r="P422" s="125"/>
      <c r="Q422" s="125"/>
      <c r="R422" s="125"/>
      <c r="S422" s="125"/>
      <c r="T422" s="125"/>
      <c r="U422" s="125"/>
      <c r="V422" s="125"/>
      <c r="W422" s="125"/>
      <c r="X422" s="125"/>
      <c r="Y422" s="125"/>
      <c r="Z422" s="125"/>
      <c r="AA422" s="125"/>
    </row>
    <row r="423" spans="1:27" ht="13.5" customHeight="1" x14ac:dyDescent="0.25">
      <c r="A423" s="125"/>
      <c r="B423" s="125"/>
      <c r="C423" s="125"/>
      <c r="D423" s="125"/>
      <c r="E423" s="125"/>
      <c r="F423" s="125"/>
      <c r="G423" s="125"/>
      <c r="H423" s="125"/>
      <c r="I423" s="125"/>
      <c r="J423" s="125"/>
      <c r="K423" s="125"/>
      <c r="L423" s="125"/>
      <c r="M423" s="125"/>
      <c r="N423" s="125"/>
      <c r="O423" s="125"/>
      <c r="P423" s="125"/>
      <c r="Q423" s="125"/>
      <c r="R423" s="125"/>
      <c r="S423" s="125"/>
      <c r="T423" s="125"/>
      <c r="U423" s="125"/>
      <c r="V423" s="125"/>
      <c r="W423" s="125"/>
      <c r="X423" s="125"/>
      <c r="Y423" s="125"/>
      <c r="Z423" s="125"/>
      <c r="AA423" s="125"/>
    </row>
    <row r="424" spans="1:27" ht="13.5" customHeight="1" x14ac:dyDescent="0.25">
      <c r="A424" s="125"/>
      <c r="B424" s="125"/>
      <c r="C424" s="125"/>
      <c r="D424" s="125"/>
      <c r="E424" s="125"/>
      <c r="F424" s="125"/>
      <c r="G424" s="125"/>
      <c r="H424" s="125"/>
      <c r="I424" s="125"/>
      <c r="J424" s="125"/>
      <c r="K424" s="125"/>
      <c r="L424" s="125"/>
      <c r="M424" s="125"/>
      <c r="N424" s="125"/>
      <c r="O424" s="125"/>
      <c r="P424" s="125"/>
      <c r="Q424" s="125"/>
      <c r="R424" s="125"/>
      <c r="S424" s="125"/>
      <c r="T424" s="125"/>
      <c r="U424" s="125"/>
      <c r="V424" s="125"/>
      <c r="W424" s="125"/>
      <c r="X424" s="125"/>
      <c r="Y424" s="125"/>
      <c r="Z424" s="125"/>
      <c r="AA424" s="125"/>
    </row>
    <row r="425" spans="1:27" ht="13.5" customHeight="1" x14ac:dyDescent="0.25">
      <c r="A425" s="125"/>
      <c r="B425" s="125"/>
      <c r="C425" s="125"/>
      <c r="D425" s="125"/>
      <c r="E425" s="125"/>
      <c r="F425" s="125"/>
      <c r="G425" s="125"/>
      <c r="H425" s="125"/>
      <c r="I425" s="125"/>
      <c r="J425" s="125"/>
      <c r="K425" s="125"/>
      <c r="L425" s="125"/>
      <c r="M425" s="125"/>
      <c r="N425" s="125"/>
      <c r="O425" s="125"/>
      <c r="P425" s="125"/>
      <c r="Q425" s="125"/>
      <c r="R425" s="125"/>
      <c r="S425" s="125"/>
      <c r="T425" s="125"/>
      <c r="U425" s="125"/>
      <c r="V425" s="125"/>
      <c r="W425" s="125"/>
      <c r="X425" s="125"/>
      <c r="Y425" s="125"/>
      <c r="Z425" s="125"/>
      <c r="AA425" s="125"/>
    </row>
    <row r="426" spans="1:27" ht="13.5" customHeight="1" x14ac:dyDescent="0.25">
      <c r="A426" s="125"/>
      <c r="B426" s="125"/>
      <c r="C426" s="125"/>
      <c r="D426" s="125"/>
      <c r="E426" s="125"/>
      <c r="F426" s="125"/>
      <c r="G426" s="125"/>
      <c r="H426" s="125"/>
      <c r="I426" s="125"/>
      <c r="J426" s="125"/>
      <c r="K426" s="125"/>
      <c r="L426" s="125"/>
      <c r="M426" s="125"/>
      <c r="N426" s="125"/>
      <c r="O426" s="125"/>
      <c r="P426" s="125"/>
      <c r="Q426" s="125"/>
      <c r="R426" s="125"/>
      <c r="S426" s="125"/>
      <c r="T426" s="125"/>
      <c r="U426" s="125"/>
      <c r="V426" s="125"/>
      <c r="W426" s="125"/>
      <c r="X426" s="125"/>
      <c r="Y426" s="125"/>
      <c r="Z426" s="125"/>
      <c r="AA426" s="125"/>
    </row>
    <row r="427" spans="1:27" ht="13.5" customHeight="1" x14ac:dyDescent="0.25">
      <c r="A427" s="125"/>
      <c r="B427" s="125"/>
      <c r="C427" s="125"/>
      <c r="D427" s="125"/>
      <c r="E427" s="125"/>
      <c r="F427" s="125"/>
      <c r="G427" s="125"/>
      <c r="H427" s="125"/>
      <c r="I427" s="125"/>
      <c r="J427" s="125"/>
      <c r="K427" s="125"/>
      <c r="L427" s="125"/>
      <c r="M427" s="125"/>
      <c r="N427" s="125"/>
      <c r="O427" s="125"/>
      <c r="P427" s="125"/>
      <c r="Q427" s="125"/>
      <c r="R427" s="125"/>
      <c r="S427" s="125"/>
      <c r="T427" s="125"/>
      <c r="U427" s="125"/>
      <c r="V427" s="125"/>
      <c r="W427" s="125"/>
      <c r="X427" s="125"/>
      <c r="Y427" s="125"/>
      <c r="Z427" s="125"/>
      <c r="AA427" s="125"/>
    </row>
    <row r="428" spans="1:27" ht="13.5" customHeight="1" x14ac:dyDescent="0.25">
      <c r="A428" s="125"/>
      <c r="B428" s="125"/>
      <c r="C428" s="125"/>
      <c r="D428" s="125"/>
      <c r="E428" s="125"/>
      <c r="F428" s="125"/>
      <c r="G428" s="125"/>
      <c r="H428" s="125"/>
      <c r="I428" s="125"/>
      <c r="J428" s="125"/>
      <c r="K428" s="125"/>
      <c r="L428" s="125"/>
      <c r="M428" s="125"/>
      <c r="N428" s="125"/>
      <c r="O428" s="125"/>
      <c r="P428" s="125"/>
      <c r="Q428" s="125"/>
      <c r="R428" s="125"/>
      <c r="S428" s="125"/>
      <c r="T428" s="125"/>
      <c r="U428" s="125"/>
      <c r="V428" s="125"/>
      <c r="W428" s="125"/>
      <c r="X428" s="125"/>
      <c r="Y428" s="125"/>
      <c r="Z428" s="125"/>
      <c r="AA428" s="125"/>
    </row>
    <row r="429" spans="1:27" ht="13.5" customHeight="1" x14ac:dyDescent="0.25">
      <c r="A429" s="125"/>
      <c r="B429" s="125"/>
      <c r="C429" s="125"/>
      <c r="D429" s="125"/>
      <c r="E429" s="125"/>
      <c r="F429" s="125"/>
      <c r="G429" s="125"/>
      <c r="H429" s="125"/>
      <c r="I429" s="125"/>
      <c r="J429" s="125"/>
      <c r="K429" s="125"/>
      <c r="L429" s="125"/>
      <c r="M429" s="125"/>
      <c r="N429" s="125"/>
      <c r="O429" s="125"/>
      <c r="P429" s="125"/>
      <c r="Q429" s="125"/>
      <c r="R429" s="125"/>
      <c r="S429" s="125"/>
      <c r="T429" s="125"/>
      <c r="U429" s="125"/>
      <c r="V429" s="125"/>
      <c r="W429" s="125"/>
      <c r="X429" s="125"/>
      <c r="Y429" s="125"/>
      <c r="Z429" s="125"/>
      <c r="AA429" s="125"/>
    </row>
    <row r="430" spans="1:27" ht="13.5" customHeight="1" x14ac:dyDescent="0.25">
      <c r="A430" s="125"/>
      <c r="B430" s="125"/>
      <c r="C430" s="125"/>
      <c r="D430" s="125"/>
      <c r="E430" s="125"/>
      <c r="F430" s="125"/>
      <c r="G430" s="125"/>
      <c r="H430" s="125"/>
      <c r="I430" s="125"/>
      <c r="J430" s="125"/>
      <c r="K430" s="125"/>
      <c r="L430" s="125"/>
      <c r="M430" s="125"/>
      <c r="N430" s="125"/>
      <c r="O430" s="125"/>
      <c r="P430" s="125"/>
      <c r="Q430" s="125"/>
      <c r="R430" s="125"/>
      <c r="S430" s="125"/>
      <c r="T430" s="125"/>
      <c r="U430" s="125"/>
      <c r="V430" s="125"/>
      <c r="W430" s="125"/>
      <c r="X430" s="125"/>
      <c r="Y430" s="125"/>
      <c r="Z430" s="125"/>
      <c r="AA430" s="125"/>
    </row>
    <row r="431" spans="1:27" ht="13.5" customHeight="1" x14ac:dyDescent="0.25">
      <c r="A431" s="125"/>
      <c r="B431" s="125"/>
      <c r="C431" s="125"/>
      <c r="D431" s="125"/>
      <c r="E431" s="125"/>
      <c r="F431" s="125"/>
      <c r="G431" s="125"/>
      <c r="H431" s="125"/>
      <c r="I431" s="125"/>
      <c r="J431" s="125"/>
      <c r="K431" s="125"/>
      <c r="L431" s="125"/>
      <c r="M431" s="125"/>
      <c r="N431" s="125"/>
      <c r="O431" s="125"/>
      <c r="P431" s="125"/>
      <c r="Q431" s="125"/>
      <c r="R431" s="125"/>
      <c r="S431" s="125"/>
      <c r="T431" s="125"/>
      <c r="U431" s="125"/>
      <c r="V431" s="125"/>
      <c r="W431" s="125"/>
      <c r="X431" s="125"/>
      <c r="Y431" s="125"/>
      <c r="Z431" s="125"/>
      <c r="AA431" s="125"/>
    </row>
    <row r="432" spans="1:27" ht="13.5" customHeight="1" x14ac:dyDescent="0.25">
      <c r="A432" s="125"/>
      <c r="B432" s="125"/>
      <c r="C432" s="125"/>
      <c r="D432" s="125"/>
      <c r="E432" s="125"/>
      <c r="F432" s="125"/>
      <c r="G432" s="125"/>
      <c r="H432" s="125"/>
      <c r="I432" s="125"/>
      <c r="J432" s="125"/>
      <c r="K432" s="125"/>
      <c r="L432" s="125"/>
      <c r="M432" s="125"/>
      <c r="N432" s="125"/>
      <c r="O432" s="125"/>
      <c r="P432" s="125"/>
      <c r="Q432" s="125"/>
      <c r="R432" s="125"/>
      <c r="S432" s="125"/>
      <c r="T432" s="125"/>
      <c r="U432" s="125"/>
      <c r="V432" s="125"/>
      <c r="W432" s="125"/>
      <c r="X432" s="125"/>
      <c r="Y432" s="125"/>
      <c r="Z432" s="125"/>
      <c r="AA432" s="125"/>
    </row>
    <row r="433" spans="1:27" ht="13.5" customHeight="1" x14ac:dyDescent="0.25">
      <c r="A433" s="125"/>
      <c r="B433" s="125"/>
      <c r="C433" s="125"/>
      <c r="D433" s="125"/>
      <c r="E433" s="125"/>
      <c r="F433" s="125"/>
      <c r="G433" s="125"/>
      <c r="H433" s="125"/>
      <c r="I433" s="125"/>
      <c r="J433" s="125"/>
      <c r="K433" s="125"/>
      <c r="L433" s="125"/>
      <c r="M433" s="125"/>
      <c r="N433" s="125"/>
      <c r="O433" s="125"/>
      <c r="P433" s="125"/>
      <c r="Q433" s="125"/>
      <c r="R433" s="125"/>
      <c r="S433" s="125"/>
      <c r="T433" s="125"/>
      <c r="U433" s="125"/>
      <c r="V433" s="125"/>
      <c r="W433" s="125"/>
      <c r="X433" s="125"/>
      <c r="Y433" s="125"/>
      <c r="Z433" s="125"/>
      <c r="AA433" s="125"/>
    </row>
    <row r="434" spans="1:27" ht="13.5" customHeight="1" x14ac:dyDescent="0.25">
      <c r="A434" s="125"/>
      <c r="B434" s="125"/>
      <c r="C434" s="125"/>
      <c r="D434" s="125"/>
      <c r="E434" s="125"/>
      <c r="F434" s="125"/>
      <c r="G434" s="125"/>
      <c r="H434" s="125"/>
      <c r="I434" s="125"/>
      <c r="J434" s="125"/>
      <c r="K434" s="125"/>
      <c r="L434" s="125"/>
      <c r="M434" s="125"/>
      <c r="N434" s="125"/>
      <c r="O434" s="125"/>
      <c r="P434" s="125"/>
      <c r="Q434" s="125"/>
      <c r="R434" s="125"/>
      <c r="S434" s="125"/>
      <c r="T434" s="125"/>
      <c r="U434" s="125"/>
      <c r="V434" s="125"/>
      <c r="W434" s="125"/>
      <c r="X434" s="125"/>
      <c r="Y434" s="125"/>
      <c r="Z434" s="125"/>
      <c r="AA434" s="125"/>
    </row>
    <row r="435" spans="1:27" ht="13.5" customHeight="1" x14ac:dyDescent="0.25">
      <c r="A435" s="125"/>
      <c r="B435" s="125"/>
      <c r="C435" s="125"/>
      <c r="D435" s="125"/>
      <c r="E435" s="125"/>
      <c r="F435" s="125"/>
      <c r="G435" s="125"/>
      <c r="H435" s="125"/>
      <c r="I435" s="125"/>
      <c r="J435" s="125"/>
      <c r="K435" s="125"/>
      <c r="L435" s="125"/>
      <c r="M435" s="125"/>
      <c r="N435" s="125"/>
      <c r="O435" s="125"/>
      <c r="P435" s="125"/>
      <c r="Q435" s="125"/>
      <c r="R435" s="125"/>
      <c r="S435" s="125"/>
      <c r="T435" s="125"/>
      <c r="U435" s="125"/>
      <c r="V435" s="125"/>
      <c r="W435" s="125"/>
      <c r="X435" s="125"/>
      <c r="Y435" s="125"/>
      <c r="Z435" s="125"/>
      <c r="AA435" s="125"/>
    </row>
    <row r="436" spans="1:27" ht="13.5" customHeight="1" x14ac:dyDescent="0.25">
      <c r="A436" s="125"/>
      <c r="B436" s="125"/>
      <c r="C436" s="125"/>
      <c r="D436" s="125"/>
      <c r="E436" s="125"/>
      <c r="F436" s="125"/>
      <c r="G436" s="125"/>
      <c r="H436" s="125"/>
      <c r="I436" s="125"/>
      <c r="J436" s="125"/>
      <c r="K436" s="125"/>
      <c r="L436" s="125"/>
      <c r="M436" s="125"/>
      <c r="N436" s="125"/>
      <c r="O436" s="125"/>
      <c r="P436" s="125"/>
      <c r="Q436" s="125"/>
      <c r="R436" s="125"/>
      <c r="S436" s="125"/>
      <c r="T436" s="125"/>
      <c r="U436" s="125"/>
      <c r="V436" s="125"/>
      <c r="W436" s="125"/>
      <c r="X436" s="125"/>
      <c r="Y436" s="125"/>
      <c r="Z436" s="125"/>
      <c r="AA436" s="125"/>
    </row>
    <row r="437" spans="1:27" ht="13.5" customHeight="1" x14ac:dyDescent="0.25">
      <c r="A437" s="125"/>
      <c r="B437" s="125"/>
      <c r="C437" s="125"/>
      <c r="D437" s="125"/>
      <c r="E437" s="125"/>
      <c r="F437" s="125"/>
      <c r="G437" s="125"/>
      <c r="H437" s="125"/>
      <c r="I437" s="125"/>
      <c r="J437" s="125"/>
      <c r="K437" s="125"/>
      <c r="L437" s="125"/>
      <c r="M437" s="125"/>
      <c r="N437" s="125"/>
      <c r="O437" s="125"/>
      <c r="P437" s="125"/>
      <c r="Q437" s="125"/>
      <c r="R437" s="125"/>
      <c r="S437" s="125"/>
      <c r="T437" s="125"/>
      <c r="U437" s="125"/>
      <c r="V437" s="125"/>
      <c r="W437" s="125"/>
      <c r="X437" s="125"/>
      <c r="Y437" s="125"/>
      <c r="Z437" s="125"/>
      <c r="AA437" s="125"/>
    </row>
    <row r="438" spans="1:27" ht="13.5" customHeight="1" x14ac:dyDescent="0.25">
      <c r="A438" s="125"/>
      <c r="B438" s="125"/>
      <c r="C438" s="125"/>
      <c r="D438" s="125"/>
      <c r="E438" s="125"/>
      <c r="F438" s="125"/>
      <c r="G438" s="125"/>
      <c r="H438" s="125"/>
      <c r="I438" s="125"/>
      <c r="J438" s="125"/>
      <c r="K438" s="125"/>
      <c r="L438" s="125"/>
      <c r="M438" s="125"/>
      <c r="N438" s="125"/>
      <c r="O438" s="125"/>
      <c r="P438" s="125"/>
      <c r="Q438" s="125"/>
      <c r="R438" s="125"/>
      <c r="S438" s="125"/>
      <c r="T438" s="125"/>
      <c r="U438" s="125"/>
      <c r="V438" s="125"/>
      <c r="W438" s="125"/>
      <c r="X438" s="125"/>
      <c r="Y438" s="125"/>
      <c r="Z438" s="125"/>
      <c r="AA438" s="125"/>
    </row>
    <row r="439" spans="1:27" ht="13.5" customHeight="1" x14ac:dyDescent="0.25">
      <c r="A439" s="125"/>
      <c r="B439" s="125"/>
      <c r="C439" s="125"/>
      <c r="D439" s="125"/>
      <c r="E439" s="125"/>
      <c r="F439" s="125"/>
      <c r="G439" s="125"/>
      <c r="H439" s="125"/>
      <c r="I439" s="125"/>
      <c r="J439" s="125"/>
      <c r="K439" s="125"/>
      <c r="L439" s="125"/>
      <c r="M439" s="125"/>
      <c r="N439" s="125"/>
      <c r="O439" s="125"/>
      <c r="P439" s="125"/>
      <c r="Q439" s="125"/>
      <c r="R439" s="125"/>
      <c r="S439" s="125"/>
      <c r="T439" s="125"/>
      <c r="U439" s="125"/>
      <c r="V439" s="125"/>
      <c r="W439" s="125"/>
      <c r="X439" s="125"/>
      <c r="Y439" s="125"/>
      <c r="Z439" s="125"/>
      <c r="AA439" s="125"/>
    </row>
    <row r="440" spans="1:27" ht="13.5" customHeight="1" x14ac:dyDescent="0.25">
      <c r="A440" s="125"/>
      <c r="B440" s="125"/>
      <c r="C440" s="125"/>
      <c r="D440" s="125"/>
      <c r="E440" s="125"/>
      <c r="F440" s="125"/>
      <c r="G440" s="125"/>
      <c r="H440" s="125"/>
      <c r="I440" s="125"/>
      <c r="J440" s="125"/>
      <c r="K440" s="125"/>
      <c r="L440" s="125"/>
      <c r="M440" s="125"/>
      <c r="N440" s="125"/>
      <c r="O440" s="125"/>
      <c r="P440" s="125"/>
      <c r="Q440" s="125"/>
      <c r="R440" s="125"/>
      <c r="S440" s="125"/>
      <c r="T440" s="125"/>
      <c r="U440" s="125"/>
      <c r="V440" s="125"/>
      <c r="W440" s="125"/>
      <c r="X440" s="125"/>
      <c r="Y440" s="125"/>
      <c r="Z440" s="125"/>
      <c r="AA440" s="125"/>
    </row>
    <row r="441" spans="1:27" ht="13.5" customHeight="1" x14ac:dyDescent="0.25">
      <c r="A441" s="125"/>
      <c r="B441" s="125"/>
      <c r="C441" s="125"/>
      <c r="D441" s="125"/>
      <c r="E441" s="125"/>
      <c r="F441" s="125"/>
      <c r="G441" s="125"/>
      <c r="H441" s="125"/>
      <c r="I441" s="125"/>
      <c r="J441" s="125"/>
      <c r="K441" s="125"/>
      <c r="L441" s="125"/>
      <c r="M441" s="125"/>
      <c r="N441" s="125"/>
      <c r="O441" s="125"/>
      <c r="P441" s="125"/>
      <c r="Q441" s="125"/>
      <c r="R441" s="125"/>
      <c r="S441" s="125"/>
      <c r="T441" s="125"/>
      <c r="U441" s="125"/>
      <c r="V441" s="125"/>
      <c r="W441" s="125"/>
      <c r="X441" s="125"/>
      <c r="Y441" s="125"/>
      <c r="Z441" s="125"/>
      <c r="AA441" s="125"/>
    </row>
    <row r="442" spans="1:27" ht="13.5" customHeight="1" x14ac:dyDescent="0.25">
      <c r="A442" s="125"/>
      <c r="B442" s="125"/>
      <c r="C442" s="125"/>
      <c r="D442" s="125"/>
      <c r="E442" s="125"/>
      <c r="F442" s="125"/>
      <c r="G442" s="125"/>
      <c r="H442" s="125"/>
      <c r="I442" s="125"/>
      <c r="J442" s="125"/>
      <c r="K442" s="125"/>
      <c r="L442" s="125"/>
      <c r="M442" s="125"/>
      <c r="N442" s="125"/>
      <c r="O442" s="125"/>
      <c r="P442" s="125"/>
      <c r="Q442" s="125"/>
      <c r="R442" s="125"/>
      <c r="S442" s="125"/>
      <c r="T442" s="125"/>
      <c r="U442" s="125"/>
      <c r="V442" s="125"/>
      <c r="W442" s="125"/>
      <c r="X442" s="125"/>
      <c r="Y442" s="125"/>
      <c r="Z442" s="125"/>
      <c r="AA442" s="125"/>
    </row>
    <row r="443" spans="1:27" ht="13.5" customHeight="1" x14ac:dyDescent="0.25">
      <c r="A443" s="125"/>
      <c r="B443" s="125"/>
      <c r="C443" s="125"/>
      <c r="D443" s="125"/>
      <c r="E443" s="125"/>
      <c r="F443" s="125"/>
      <c r="G443" s="125"/>
      <c r="H443" s="125"/>
      <c r="I443" s="125"/>
      <c r="J443" s="125"/>
      <c r="K443" s="125"/>
      <c r="L443" s="125"/>
      <c r="M443" s="125"/>
      <c r="N443" s="125"/>
      <c r="O443" s="125"/>
      <c r="P443" s="125"/>
      <c r="Q443" s="125"/>
      <c r="R443" s="125"/>
      <c r="S443" s="125"/>
      <c r="T443" s="125"/>
      <c r="U443" s="125"/>
      <c r="V443" s="125"/>
      <c r="W443" s="125"/>
      <c r="X443" s="125"/>
      <c r="Y443" s="125"/>
      <c r="Z443" s="125"/>
      <c r="AA443" s="125"/>
    </row>
    <row r="444" spans="1:27" ht="13.5" customHeight="1" x14ac:dyDescent="0.25">
      <c r="A444" s="125"/>
      <c r="B444" s="125"/>
      <c r="C444" s="125"/>
      <c r="D444" s="125"/>
      <c r="E444" s="125"/>
      <c r="F444" s="125"/>
      <c r="G444" s="125"/>
      <c r="H444" s="125"/>
      <c r="I444" s="125"/>
      <c r="J444" s="125"/>
      <c r="K444" s="125"/>
      <c r="L444" s="125"/>
      <c r="M444" s="125"/>
      <c r="N444" s="125"/>
      <c r="O444" s="125"/>
      <c r="P444" s="125"/>
      <c r="Q444" s="125"/>
      <c r="R444" s="125"/>
      <c r="S444" s="125"/>
      <c r="T444" s="125"/>
      <c r="U444" s="125"/>
      <c r="V444" s="125"/>
      <c r="W444" s="125"/>
      <c r="X444" s="125"/>
      <c r="Y444" s="125"/>
      <c r="Z444" s="125"/>
      <c r="AA444" s="125"/>
    </row>
    <row r="445" spans="1:27" ht="13.5" customHeight="1" x14ac:dyDescent="0.25">
      <c r="A445" s="125"/>
      <c r="B445" s="125"/>
      <c r="C445" s="125"/>
      <c r="D445" s="125"/>
      <c r="E445" s="125"/>
      <c r="F445" s="125"/>
      <c r="G445" s="125"/>
      <c r="H445" s="125"/>
      <c r="I445" s="125"/>
      <c r="J445" s="125"/>
      <c r="K445" s="125"/>
      <c r="L445" s="125"/>
      <c r="M445" s="125"/>
      <c r="N445" s="125"/>
      <c r="O445" s="125"/>
      <c r="P445" s="125"/>
      <c r="Q445" s="125"/>
      <c r="R445" s="125"/>
      <c r="S445" s="125"/>
      <c r="T445" s="125"/>
      <c r="U445" s="125"/>
      <c r="V445" s="125"/>
      <c r="W445" s="125"/>
      <c r="X445" s="125"/>
      <c r="Y445" s="125"/>
      <c r="Z445" s="125"/>
      <c r="AA445" s="125"/>
    </row>
    <row r="446" spans="1:27" ht="13.5" customHeight="1" x14ac:dyDescent="0.25">
      <c r="A446" s="125"/>
      <c r="B446" s="125"/>
      <c r="C446" s="125"/>
      <c r="D446" s="125"/>
      <c r="E446" s="125"/>
      <c r="F446" s="125"/>
      <c r="G446" s="125"/>
      <c r="H446" s="125"/>
      <c r="I446" s="125"/>
      <c r="J446" s="125"/>
      <c r="K446" s="125"/>
      <c r="L446" s="125"/>
      <c r="M446" s="125"/>
      <c r="N446" s="125"/>
      <c r="O446" s="125"/>
      <c r="P446" s="125"/>
      <c r="Q446" s="125"/>
      <c r="R446" s="125"/>
      <c r="S446" s="125"/>
      <c r="T446" s="125"/>
      <c r="U446" s="125"/>
      <c r="V446" s="125"/>
      <c r="W446" s="125"/>
      <c r="X446" s="125"/>
      <c r="Y446" s="125"/>
      <c r="Z446" s="125"/>
      <c r="AA446" s="125"/>
    </row>
    <row r="447" spans="1:27" ht="13.5" customHeight="1" x14ac:dyDescent="0.25">
      <c r="A447" s="125"/>
      <c r="B447" s="125"/>
      <c r="C447" s="125"/>
      <c r="D447" s="125"/>
      <c r="E447" s="125"/>
      <c r="F447" s="125"/>
      <c r="G447" s="125"/>
      <c r="H447" s="125"/>
      <c r="I447" s="125"/>
      <c r="J447" s="125"/>
      <c r="K447" s="125"/>
      <c r="L447" s="125"/>
      <c r="M447" s="125"/>
      <c r="N447" s="125"/>
      <c r="O447" s="125"/>
      <c r="P447" s="125"/>
      <c r="Q447" s="125"/>
      <c r="R447" s="125"/>
      <c r="S447" s="125"/>
      <c r="T447" s="125"/>
      <c r="U447" s="125"/>
      <c r="V447" s="125"/>
      <c r="W447" s="125"/>
      <c r="X447" s="125"/>
      <c r="Y447" s="125"/>
      <c r="Z447" s="125"/>
      <c r="AA447" s="125"/>
    </row>
    <row r="448" spans="1:27" ht="13.5" customHeight="1" x14ac:dyDescent="0.25">
      <c r="A448" s="125"/>
      <c r="B448" s="125"/>
      <c r="C448" s="125"/>
      <c r="D448" s="125"/>
      <c r="E448" s="125"/>
      <c r="F448" s="125"/>
      <c r="G448" s="125"/>
      <c r="H448" s="125"/>
      <c r="I448" s="125"/>
      <c r="J448" s="125"/>
      <c r="K448" s="125"/>
      <c r="L448" s="125"/>
      <c r="M448" s="125"/>
      <c r="N448" s="125"/>
      <c r="O448" s="125"/>
      <c r="P448" s="125"/>
      <c r="Q448" s="125"/>
      <c r="R448" s="125"/>
      <c r="S448" s="125"/>
      <c r="T448" s="125"/>
      <c r="U448" s="125"/>
      <c r="V448" s="125"/>
      <c r="W448" s="125"/>
      <c r="X448" s="125"/>
      <c r="Y448" s="125"/>
      <c r="Z448" s="125"/>
      <c r="AA448" s="125"/>
    </row>
    <row r="449" spans="1:27" ht="13.5" customHeight="1" x14ac:dyDescent="0.25">
      <c r="A449" s="125"/>
      <c r="B449" s="125"/>
      <c r="C449" s="125"/>
      <c r="D449" s="125"/>
      <c r="E449" s="125"/>
      <c r="F449" s="125"/>
      <c r="G449" s="125"/>
      <c r="H449" s="125"/>
      <c r="I449" s="125"/>
      <c r="J449" s="125"/>
      <c r="K449" s="125"/>
      <c r="L449" s="125"/>
      <c r="M449" s="125"/>
      <c r="N449" s="125"/>
      <c r="O449" s="125"/>
      <c r="P449" s="125"/>
      <c r="Q449" s="125"/>
      <c r="R449" s="125"/>
      <c r="S449" s="125"/>
      <c r="T449" s="125"/>
      <c r="U449" s="125"/>
      <c r="V449" s="125"/>
      <c r="W449" s="125"/>
      <c r="X449" s="125"/>
      <c r="Y449" s="125"/>
      <c r="Z449" s="125"/>
      <c r="AA449" s="125"/>
    </row>
    <row r="450" spans="1:27" ht="13.5" customHeight="1" x14ac:dyDescent="0.25">
      <c r="A450" s="125"/>
      <c r="B450" s="125"/>
      <c r="C450" s="125"/>
      <c r="D450" s="125"/>
      <c r="E450" s="125"/>
      <c r="F450" s="125"/>
      <c r="G450" s="125"/>
      <c r="H450" s="125"/>
      <c r="I450" s="125"/>
      <c r="J450" s="125"/>
      <c r="K450" s="125"/>
      <c r="L450" s="125"/>
      <c r="M450" s="125"/>
      <c r="N450" s="125"/>
      <c r="O450" s="125"/>
      <c r="P450" s="125"/>
      <c r="Q450" s="125"/>
      <c r="R450" s="125"/>
      <c r="S450" s="125"/>
      <c r="T450" s="125"/>
      <c r="U450" s="125"/>
      <c r="V450" s="125"/>
      <c r="W450" s="125"/>
      <c r="X450" s="125"/>
      <c r="Y450" s="125"/>
      <c r="Z450" s="125"/>
      <c r="AA450" s="125"/>
    </row>
    <row r="451" spans="1:27" ht="13.5" customHeight="1" x14ac:dyDescent="0.25">
      <c r="A451" s="125"/>
      <c r="B451" s="125"/>
      <c r="C451" s="125"/>
      <c r="D451" s="125"/>
      <c r="E451" s="125"/>
      <c r="F451" s="125"/>
      <c r="G451" s="125"/>
      <c r="H451" s="125"/>
      <c r="I451" s="125"/>
      <c r="J451" s="125"/>
      <c r="K451" s="125"/>
      <c r="L451" s="125"/>
      <c r="M451" s="125"/>
      <c r="N451" s="125"/>
      <c r="O451" s="125"/>
      <c r="P451" s="125"/>
      <c r="Q451" s="125"/>
      <c r="R451" s="125"/>
      <c r="S451" s="125"/>
      <c r="T451" s="125"/>
      <c r="U451" s="125"/>
      <c r="V451" s="125"/>
      <c r="W451" s="125"/>
      <c r="X451" s="125"/>
      <c r="Y451" s="125"/>
      <c r="Z451" s="125"/>
      <c r="AA451" s="125"/>
    </row>
    <row r="452" spans="1:27" ht="13.5" customHeight="1" x14ac:dyDescent="0.25">
      <c r="A452" s="125"/>
      <c r="B452" s="125"/>
      <c r="C452" s="125"/>
      <c r="D452" s="125"/>
      <c r="E452" s="125"/>
      <c r="F452" s="125"/>
      <c r="G452" s="125"/>
      <c r="H452" s="125"/>
      <c r="I452" s="125"/>
      <c r="J452" s="125"/>
      <c r="K452" s="125"/>
      <c r="L452" s="125"/>
      <c r="M452" s="125"/>
      <c r="N452" s="125"/>
      <c r="O452" s="125"/>
      <c r="P452" s="125"/>
      <c r="Q452" s="125"/>
      <c r="R452" s="125"/>
      <c r="S452" s="125"/>
      <c r="T452" s="125"/>
      <c r="U452" s="125"/>
      <c r="V452" s="125"/>
      <c r="W452" s="125"/>
      <c r="X452" s="125"/>
      <c r="Y452" s="125"/>
      <c r="Z452" s="125"/>
      <c r="AA452" s="125"/>
    </row>
    <row r="453" spans="1:27" ht="13.5" customHeight="1" x14ac:dyDescent="0.25">
      <c r="A453" s="125"/>
      <c r="B453" s="125"/>
      <c r="C453" s="125"/>
      <c r="D453" s="125"/>
      <c r="E453" s="125"/>
      <c r="F453" s="125"/>
      <c r="G453" s="125"/>
      <c r="H453" s="125"/>
      <c r="I453" s="125"/>
      <c r="J453" s="125"/>
      <c r="K453" s="125"/>
      <c r="L453" s="125"/>
      <c r="M453" s="125"/>
      <c r="N453" s="125"/>
      <c r="O453" s="125"/>
      <c r="P453" s="125"/>
      <c r="Q453" s="125"/>
      <c r="R453" s="125"/>
      <c r="S453" s="125"/>
      <c r="T453" s="125"/>
      <c r="U453" s="125"/>
      <c r="V453" s="125"/>
      <c r="W453" s="125"/>
      <c r="X453" s="125"/>
      <c r="Y453" s="125"/>
      <c r="Z453" s="125"/>
      <c r="AA453" s="125"/>
    </row>
    <row r="454" spans="1:27" ht="13.5" customHeight="1" x14ac:dyDescent="0.25">
      <c r="A454" s="125"/>
      <c r="B454" s="125"/>
      <c r="C454" s="125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125"/>
      <c r="Q454" s="125"/>
      <c r="R454" s="125"/>
      <c r="S454" s="125"/>
      <c r="T454" s="125"/>
      <c r="U454" s="125"/>
      <c r="V454" s="125"/>
      <c r="W454" s="125"/>
      <c r="X454" s="125"/>
      <c r="Y454" s="125"/>
      <c r="Z454" s="125"/>
      <c r="AA454" s="125"/>
    </row>
    <row r="455" spans="1:27" ht="13.5" customHeight="1" x14ac:dyDescent="0.25">
      <c r="A455" s="125"/>
      <c r="B455" s="125"/>
      <c r="C455" s="125"/>
      <c r="D455" s="125"/>
      <c r="E455" s="125"/>
      <c r="F455" s="125"/>
      <c r="G455" s="125"/>
      <c r="H455" s="125"/>
      <c r="I455" s="125"/>
      <c r="J455" s="125"/>
      <c r="K455" s="125"/>
      <c r="L455" s="125"/>
      <c r="M455" s="125"/>
      <c r="N455" s="125"/>
      <c r="O455" s="125"/>
      <c r="P455" s="125"/>
      <c r="Q455" s="125"/>
      <c r="R455" s="125"/>
      <c r="S455" s="125"/>
      <c r="T455" s="125"/>
      <c r="U455" s="125"/>
      <c r="V455" s="125"/>
      <c r="W455" s="125"/>
      <c r="X455" s="125"/>
      <c r="Y455" s="125"/>
      <c r="Z455" s="125"/>
      <c r="AA455" s="125"/>
    </row>
    <row r="456" spans="1:27" ht="13.5" customHeight="1" x14ac:dyDescent="0.25">
      <c r="A456" s="125"/>
      <c r="B456" s="125"/>
      <c r="C456" s="125"/>
      <c r="D456" s="125"/>
      <c r="E456" s="125"/>
      <c r="F456" s="125"/>
      <c r="G456" s="125"/>
      <c r="H456" s="125"/>
      <c r="I456" s="125"/>
      <c r="J456" s="125"/>
      <c r="K456" s="125"/>
      <c r="L456" s="125"/>
      <c r="M456" s="125"/>
      <c r="N456" s="125"/>
      <c r="O456" s="125"/>
      <c r="P456" s="125"/>
      <c r="Q456" s="125"/>
      <c r="R456" s="125"/>
      <c r="S456" s="125"/>
      <c r="T456" s="125"/>
      <c r="U456" s="125"/>
      <c r="V456" s="125"/>
      <c r="W456" s="125"/>
      <c r="X456" s="125"/>
      <c r="Y456" s="125"/>
      <c r="Z456" s="125"/>
      <c r="AA456" s="125"/>
    </row>
    <row r="457" spans="1:27" ht="13.5" customHeight="1" x14ac:dyDescent="0.25">
      <c r="A457" s="125"/>
      <c r="B457" s="125"/>
      <c r="C457" s="125"/>
      <c r="D457" s="125"/>
      <c r="E457" s="125"/>
      <c r="F457" s="125"/>
      <c r="G457" s="125"/>
      <c r="H457" s="125"/>
      <c r="I457" s="125"/>
      <c r="J457" s="125"/>
      <c r="K457" s="125"/>
      <c r="L457" s="125"/>
      <c r="M457" s="125"/>
      <c r="N457" s="125"/>
      <c r="O457" s="125"/>
      <c r="P457" s="125"/>
      <c r="Q457" s="125"/>
      <c r="R457" s="125"/>
      <c r="S457" s="125"/>
      <c r="T457" s="125"/>
      <c r="U457" s="125"/>
      <c r="V457" s="125"/>
      <c r="W457" s="125"/>
      <c r="X457" s="125"/>
      <c r="Y457" s="125"/>
      <c r="Z457" s="125"/>
      <c r="AA457" s="125"/>
    </row>
    <row r="458" spans="1:27" ht="13.5" customHeight="1" x14ac:dyDescent="0.25">
      <c r="A458" s="125"/>
      <c r="B458" s="125"/>
      <c r="C458" s="125"/>
      <c r="D458" s="125"/>
      <c r="E458" s="125"/>
      <c r="F458" s="125"/>
      <c r="G458" s="125"/>
      <c r="H458" s="125"/>
      <c r="I458" s="125"/>
      <c r="J458" s="125"/>
      <c r="K458" s="125"/>
      <c r="L458" s="125"/>
      <c r="M458" s="125"/>
      <c r="N458" s="125"/>
      <c r="O458" s="125"/>
      <c r="P458" s="125"/>
      <c r="Q458" s="125"/>
      <c r="R458" s="125"/>
      <c r="S458" s="125"/>
      <c r="T458" s="125"/>
      <c r="U458" s="125"/>
      <c r="V458" s="125"/>
      <c r="W458" s="125"/>
      <c r="X458" s="125"/>
      <c r="Y458" s="125"/>
      <c r="Z458" s="125"/>
      <c r="AA458" s="125"/>
    </row>
    <row r="459" spans="1:27" ht="13.5" customHeight="1" x14ac:dyDescent="0.25">
      <c r="A459" s="125"/>
      <c r="B459" s="125"/>
      <c r="C459" s="125"/>
      <c r="D459" s="125"/>
      <c r="E459" s="125"/>
      <c r="F459" s="125"/>
      <c r="G459" s="125"/>
      <c r="H459" s="125"/>
      <c r="I459" s="125"/>
      <c r="J459" s="125"/>
      <c r="K459" s="125"/>
      <c r="L459" s="125"/>
      <c r="M459" s="125"/>
      <c r="N459" s="125"/>
      <c r="O459" s="125"/>
      <c r="P459" s="125"/>
      <c r="Q459" s="125"/>
      <c r="R459" s="125"/>
      <c r="S459" s="125"/>
      <c r="T459" s="125"/>
      <c r="U459" s="125"/>
      <c r="V459" s="125"/>
      <c r="W459" s="125"/>
      <c r="X459" s="125"/>
      <c r="Y459" s="125"/>
      <c r="Z459" s="125"/>
      <c r="AA459" s="125"/>
    </row>
    <row r="460" spans="1:27" ht="13.5" customHeight="1" x14ac:dyDescent="0.25">
      <c r="A460" s="125"/>
      <c r="B460" s="125"/>
      <c r="C460" s="125"/>
      <c r="D460" s="125"/>
      <c r="E460" s="125"/>
      <c r="F460" s="125"/>
      <c r="G460" s="125"/>
      <c r="H460" s="125"/>
      <c r="I460" s="125"/>
      <c r="J460" s="125"/>
      <c r="K460" s="125"/>
      <c r="L460" s="125"/>
      <c r="M460" s="125"/>
      <c r="N460" s="125"/>
      <c r="O460" s="125"/>
      <c r="P460" s="125"/>
      <c r="Q460" s="125"/>
      <c r="R460" s="125"/>
      <c r="S460" s="125"/>
      <c r="T460" s="125"/>
      <c r="U460" s="125"/>
      <c r="V460" s="125"/>
      <c r="W460" s="125"/>
      <c r="X460" s="125"/>
      <c r="Y460" s="125"/>
      <c r="Z460" s="125"/>
      <c r="AA460" s="125"/>
    </row>
    <row r="461" spans="1:27" ht="13.5" customHeight="1" x14ac:dyDescent="0.25">
      <c r="A461" s="125"/>
      <c r="B461" s="125"/>
      <c r="C461" s="125"/>
      <c r="D461" s="125"/>
      <c r="E461" s="125"/>
      <c r="F461" s="125"/>
      <c r="G461" s="125"/>
      <c r="H461" s="125"/>
      <c r="I461" s="125"/>
      <c r="J461" s="125"/>
      <c r="K461" s="125"/>
      <c r="L461" s="125"/>
      <c r="M461" s="125"/>
      <c r="N461" s="125"/>
      <c r="O461" s="125"/>
      <c r="P461" s="125"/>
      <c r="Q461" s="125"/>
      <c r="R461" s="125"/>
      <c r="S461" s="125"/>
      <c r="T461" s="125"/>
      <c r="U461" s="125"/>
      <c r="V461" s="125"/>
      <c r="W461" s="125"/>
      <c r="X461" s="125"/>
      <c r="Y461" s="125"/>
      <c r="Z461" s="125"/>
      <c r="AA461" s="125"/>
    </row>
    <row r="462" spans="1:27" ht="13.5" customHeight="1" x14ac:dyDescent="0.25">
      <c r="A462" s="125"/>
      <c r="B462" s="125"/>
      <c r="C462" s="125"/>
      <c r="D462" s="125"/>
      <c r="E462" s="125"/>
      <c r="F462" s="125"/>
      <c r="G462" s="125"/>
      <c r="H462" s="125"/>
      <c r="I462" s="125"/>
      <c r="J462" s="125"/>
      <c r="K462" s="125"/>
      <c r="L462" s="125"/>
      <c r="M462" s="125"/>
      <c r="N462" s="125"/>
      <c r="O462" s="125"/>
      <c r="P462" s="125"/>
      <c r="Q462" s="125"/>
      <c r="R462" s="125"/>
      <c r="S462" s="125"/>
      <c r="T462" s="125"/>
      <c r="U462" s="125"/>
      <c r="V462" s="125"/>
      <c r="W462" s="125"/>
      <c r="X462" s="125"/>
      <c r="Y462" s="125"/>
      <c r="Z462" s="125"/>
      <c r="AA462" s="125"/>
    </row>
    <row r="463" spans="1:27" ht="13.5" customHeight="1" x14ac:dyDescent="0.25">
      <c r="A463" s="125"/>
      <c r="B463" s="125"/>
      <c r="C463" s="125"/>
      <c r="D463" s="125"/>
      <c r="E463" s="125"/>
      <c r="F463" s="125"/>
      <c r="G463" s="125"/>
      <c r="H463" s="125"/>
      <c r="I463" s="125"/>
      <c r="J463" s="125"/>
      <c r="K463" s="125"/>
      <c r="L463" s="125"/>
      <c r="M463" s="125"/>
      <c r="N463" s="125"/>
      <c r="O463" s="125"/>
      <c r="P463" s="125"/>
      <c r="Q463" s="125"/>
      <c r="R463" s="125"/>
      <c r="S463" s="125"/>
      <c r="T463" s="125"/>
      <c r="U463" s="125"/>
      <c r="V463" s="125"/>
      <c r="W463" s="125"/>
      <c r="X463" s="125"/>
      <c r="Y463" s="125"/>
      <c r="Z463" s="125"/>
      <c r="AA463" s="125"/>
    </row>
    <row r="464" spans="1:27" ht="13.5" customHeight="1" x14ac:dyDescent="0.25">
      <c r="A464" s="125"/>
      <c r="B464" s="125"/>
      <c r="C464" s="125"/>
      <c r="D464" s="125"/>
      <c r="E464" s="125"/>
      <c r="F464" s="125"/>
      <c r="G464" s="125"/>
      <c r="H464" s="125"/>
      <c r="I464" s="125"/>
      <c r="J464" s="125"/>
      <c r="K464" s="125"/>
      <c r="L464" s="125"/>
      <c r="M464" s="125"/>
      <c r="N464" s="125"/>
      <c r="O464" s="125"/>
      <c r="P464" s="125"/>
      <c r="Q464" s="125"/>
      <c r="R464" s="125"/>
      <c r="S464" s="125"/>
      <c r="T464" s="125"/>
      <c r="U464" s="125"/>
      <c r="V464" s="125"/>
      <c r="W464" s="125"/>
      <c r="X464" s="125"/>
      <c r="Y464" s="125"/>
      <c r="Z464" s="125"/>
      <c r="AA464" s="125"/>
    </row>
    <row r="465" spans="1:27" ht="13.5" customHeight="1" x14ac:dyDescent="0.25">
      <c r="A465" s="125"/>
      <c r="B465" s="125"/>
      <c r="C465" s="125"/>
      <c r="D465" s="125"/>
      <c r="E465" s="125"/>
      <c r="F465" s="125"/>
      <c r="G465" s="125"/>
      <c r="H465" s="125"/>
      <c r="I465" s="125"/>
      <c r="J465" s="125"/>
      <c r="K465" s="125"/>
      <c r="L465" s="125"/>
      <c r="M465" s="125"/>
      <c r="N465" s="125"/>
      <c r="O465" s="125"/>
      <c r="P465" s="125"/>
      <c r="Q465" s="125"/>
      <c r="R465" s="125"/>
      <c r="S465" s="125"/>
      <c r="T465" s="125"/>
      <c r="U465" s="125"/>
      <c r="V465" s="125"/>
      <c r="W465" s="125"/>
      <c r="X465" s="125"/>
      <c r="Y465" s="125"/>
      <c r="Z465" s="125"/>
      <c r="AA465" s="125"/>
    </row>
    <row r="466" spans="1:27" ht="13.5" customHeight="1" x14ac:dyDescent="0.25">
      <c r="A466" s="125"/>
      <c r="B466" s="125"/>
      <c r="C466" s="125"/>
      <c r="D466" s="125"/>
      <c r="E466" s="125"/>
      <c r="F466" s="125"/>
      <c r="G466" s="125"/>
      <c r="H466" s="125"/>
      <c r="I466" s="125"/>
      <c r="J466" s="125"/>
      <c r="K466" s="125"/>
      <c r="L466" s="125"/>
      <c r="M466" s="125"/>
      <c r="N466" s="125"/>
      <c r="O466" s="125"/>
      <c r="P466" s="125"/>
      <c r="Q466" s="125"/>
      <c r="R466" s="125"/>
      <c r="S466" s="125"/>
      <c r="T466" s="125"/>
      <c r="U466" s="125"/>
      <c r="V466" s="125"/>
      <c r="W466" s="125"/>
      <c r="X466" s="125"/>
      <c r="Y466" s="125"/>
      <c r="Z466" s="125"/>
      <c r="AA466" s="125"/>
    </row>
    <row r="467" spans="1:27" ht="13.5" customHeight="1" x14ac:dyDescent="0.25">
      <c r="A467" s="125"/>
      <c r="B467" s="125"/>
      <c r="C467" s="125"/>
      <c r="D467" s="125"/>
      <c r="E467" s="125"/>
      <c r="F467" s="125"/>
      <c r="G467" s="125"/>
      <c r="H467" s="125"/>
      <c r="I467" s="125"/>
      <c r="J467" s="125"/>
      <c r="K467" s="125"/>
      <c r="L467" s="125"/>
      <c r="M467" s="125"/>
      <c r="N467" s="125"/>
      <c r="O467" s="125"/>
      <c r="P467" s="125"/>
      <c r="Q467" s="125"/>
      <c r="R467" s="125"/>
      <c r="S467" s="125"/>
      <c r="T467" s="125"/>
      <c r="U467" s="125"/>
      <c r="V467" s="125"/>
      <c r="W467" s="125"/>
      <c r="X467" s="125"/>
      <c r="Y467" s="125"/>
      <c r="Z467" s="125"/>
      <c r="AA467" s="125"/>
    </row>
    <row r="468" spans="1:27" ht="13.5" customHeight="1" x14ac:dyDescent="0.25">
      <c r="A468" s="125"/>
      <c r="B468" s="125"/>
      <c r="C468" s="125"/>
      <c r="D468" s="125"/>
      <c r="E468" s="125"/>
      <c r="F468" s="125"/>
      <c r="G468" s="125"/>
      <c r="H468" s="125"/>
      <c r="I468" s="125"/>
      <c r="J468" s="125"/>
      <c r="K468" s="125"/>
      <c r="L468" s="125"/>
      <c r="M468" s="125"/>
      <c r="N468" s="125"/>
      <c r="O468" s="125"/>
      <c r="P468" s="125"/>
      <c r="Q468" s="125"/>
      <c r="R468" s="125"/>
      <c r="S468" s="125"/>
      <c r="T468" s="125"/>
      <c r="U468" s="125"/>
      <c r="V468" s="125"/>
      <c r="W468" s="125"/>
      <c r="X468" s="125"/>
      <c r="Y468" s="125"/>
      <c r="Z468" s="125"/>
      <c r="AA468" s="125"/>
    </row>
    <row r="469" spans="1:27" ht="13.5" customHeight="1" x14ac:dyDescent="0.25">
      <c r="A469" s="125"/>
      <c r="B469" s="125"/>
      <c r="C469" s="125"/>
      <c r="D469" s="125"/>
      <c r="E469" s="125"/>
      <c r="F469" s="125"/>
      <c r="G469" s="125"/>
      <c r="H469" s="125"/>
      <c r="I469" s="125"/>
      <c r="J469" s="125"/>
      <c r="K469" s="125"/>
      <c r="L469" s="125"/>
      <c r="M469" s="125"/>
      <c r="N469" s="125"/>
      <c r="O469" s="125"/>
      <c r="P469" s="125"/>
      <c r="Q469" s="125"/>
      <c r="R469" s="125"/>
      <c r="S469" s="125"/>
      <c r="T469" s="125"/>
      <c r="U469" s="125"/>
      <c r="V469" s="125"/>
      <c r="W469" s="125"/>
      <c r="X469" s="125"/>
      <c r="Y469" s="125"/>
      <c r="Z469" s="125"/>
      <c r="AA469" s="125"/>
    </row>
    <row r="470" spans="1:27" ht="13.5" customHeight="1" x14ac:dyDescent="0.25">
      <c r="A470" s="125"/>
      <c r="B470" s="125"/>
      <c r="C470" s="125"/>
      <c r="D470" s="125"/>
      <c r="E470" s="125"/>
      <c r="F470" s="125"/>
      <c r="G470" s="125"/>
      <c r="H470" s="125"/>
      <c r="I470" s="125"/>
      <c r="J470" s="125"/>
      <c r="K470" s="125"/>
      <c r="L470" s="125"/>
      <c r="M470" s="125"/>
      <c r="N470" s="125"/>
      <c r="O470" s="125"/>
      <c r="P470" s="125"/>
      <c r="Q470" s="125"/>
      <c r="R470" s="125"/>
      <c r="S470" s="125"/>
      <c r="T470" s="125"/>
      <c r="U470" s="125"/>
      <c r="V470" s="125"/>
      <c r="W470" s="125"/>
      <c r="X470" s="125"/>
      <c r="Y470" s="125"/>
      <c r="Z470" s="125"/>
      <c r="AA470" s="125"/>
    </row>
    <row r="471" spans="1:27" ht="13.5" customHeight="1" x14ac:dyDescent="0.25">
      <c r="A471" s="125"/>
      <c r="B471" s="125"/>
      <c r="C471" s="125"/>
      <c r="D471" s="125"/>
      <c r="E471" s="125"/>
      <c r="F471" s="125"/>
      <c r="G471" s="125"/>
      <c r="H471" s="125"/>
      <c r="I471" s="125"/>
      <c r="J471" s="125"/>
      <c r="K471" s="125"/>
      <c r="L471" s="125"/>
      <c r="M471" s="125"/>
      <c r="N471" s="125"/>
      <c r="O471" s="125"/>
      <c r="P471" s="125"/>
      <c r="Q471" s="125"/>
      <c r="R471" s="125"/>
      <c r="S471" s="125"/>
      <c r="T471" s="125"/>
      <c r="U471" s="125"/>
      <c r="V471" s="125"/>
      <c r="W471" s="125"/>
      <c r="X471" s="125"/>
      <c r="Y471" s="125"/>
      <c r="Z471" s="125"/>
      <c r="AA471" s="125"/>
    </row>
    <row r="472" spans="1:27" ht="13.5" customHeight="1" x14ac:dyDescent="0.25">
      <c r="A472" s="125"/>
      <c r="B472" s="125"/>
      <c r="C472" s="125"/>
      <c r="D472" s="125"/>
      <c r="E472" s="125"/>
      <c r="F472" s="125"/>
      <c r="G472" s="125"/>
      <c r="H472" s="125"/>
      <c r="I472" s="125"/>
      <c r="J472" s="125"/>
      <c r="K472" s="125"/>
      <c r="L472" s="125"/>
      <c r="M472" s="125"/>
      <c r="N472" s="125"/>
      <c r="O472" s="125"/>
      <c r="P472" s="125"/>
      <c r="Q472" s="125"/>
      <c r="R472" s="125"/>
      <c r="S472" s="125"/>
      <c r="T472" s="125"/>
      <c r="U472" s="125"/>
      <c r="V472" s="125"/>
      <c r="W472" s="125"/>
      <c r="X472" s="125"/>
      <c r="Y472" s="125"/>
      <c r="Z472" s="125"/>
      <c r="AA472" s="125"/>
    </row>
    <row r="473" spans="1:27" ht="13.5" customHeight="1" x14ac:dyDescent="0.25">
      <c r="A473" s="125"/>
      <c r="B473" s="125"/>
      <c r="C473" s="125"/>
      <c r="D473" s="125"/>
      <c r="E473" s="125"/>
      <c r="F473" s="125"/>
      <c r="G473" s="125"/>
      <c r="H473" s="125"/>
      <c r="I473" s="125"/>
      <c r="J473" s="125"/>
      <c r="K473" s="125"/>
      <c r="L473" s="125"/>
      <c r="M473" s="125"/>
      <c r="N473" s="125"/>
      <c r="O473" s="125"/>
      <c r="P473" s="125"/>
      <c r="Q473" s="125"/>
      <c r="R473" s="125"/>
      <c r="S473" s="125"/>
      <c r="T473" s="125"/>
      <c r="U473" s="125"/>
      <c r="V473" s="125"/>
      <c r="W473" s="125"/>
      <c r="X473" s="125"/>
      <c r="Y473" s="125"/>
      <c r="Z473" s="125"/>
      <c r="AA473" s="125"/>
    </row>
    <row r="474" spans="1:27" ht="13.5" customHeight="1" x14ac:dyDescent="0.25">
      <c r="A474" s="125"/>
      <c r="B474" s="125"/>
      <c r="C474" s="125"/>
      <c r="D474" s="125"/>
      <c r="E474" s="125"/>
      <c r="F474" s="125"/>
      <c r="G474" s="125"/>
      <c r="H474" s="125"/>
      <c r="I474" s="125"/>
      <c r="J474" s="125"/>
      <c r="K474" s="125"/>
      <c r="L474" s="125"/>
      <c r="M474" s="125"/>
      <c r="N474" s="125"/>
      <c r="O474" s="125"/>
      <c r="P474" s="125"/>
      <c r="Q474" s="125"/>
      <c r="R474" s="125"/>
      <c r="S474" s="125"/>
      <c r="T474" s="125"/>
      <c r="U474" s="125"/>
      <c r="V474" s="125"/>
      <c r="W474" s="125"/>
      <c r="X474" s="125"/>
      <c r="Y474" s="125"/>
      <c r="Z474" s="125"/>
      <c r="AA474" s="125"/>
    </row>
    <row r="475" spans="1:27" ht="13.5" customHeight="1" x14ac:dyDescent="0.25">
      <c r="A475" s="125"/>
      <c r="B475" s="125"/>
      <c r="C475" s="125"/>
      <c r="D475" s="125"/>
      <c r="E475" s="125"/>
      <c r="F475" s="125"/>
      <c r="G475" s="125"/>
      <c r="H475" s="125"/>
      <c r="I475" s="125"/>
      <c r="J475" s="125"/>
      <c r="K475" s="125"/>
      <c r="L475" s="125"/>
      <c r="M475" s="125"/>
      <c r="N475" s="125"/>
      <c r="O475" s="125"/>
      <c r="P475" s="125"/>
      <c r="Q475" s="125"/>
      <c r="R475" s="125"/>
      <c r="S475" s="125"/>
      <c r="T475" s="125"/>
      <c r="U475" s="125"/>
      <c r="V475" s="125"/>
      <c r="W475" s="125"/>
      <c r="X475" s="125"/>
      <c r="Y475" s="125"/>
      <c r="Z475" s="125"/>
      <c r="AA475" s="125"/>
    </row>
    <row r="476" spans="1:27" ht="13.5" customHeight="1" x14ac:dyDescent="0.25">
      <c r="A476" s="125"/>
      <c r="B476" s="125"/>
      <c r="C476" s="125"/>
      <c r="D476" s="125"/>
      <c r="E476" s="125"/>
      <c r="F476" s="125"/>
      <c r="G476" s="125"/>
      <c r="H476" s="125"/>
      <c r="I476" s="125"/>
      <c r="J476" s="125"/>
      <c r="K476" s="125"/>
      <c r="L476" s="125"/>
      <c r="M476" s="125"/>
      <c r="N476" s="125"/>
      <c r="O476" s="125"/>
      <c r="P476" s="125"/>
      <c r="Q476" s="125"/>
      <c r="R476" s="125"/>
      <c r="S476" s="125"/>
      <c r="T476" s="125"/>
      <c r="U476" s="125"/>
      <c r="V476" s="125"/>
      <c r="W476" s="125"/>
      <c r="X476" s="125"/>
      <c r="Y476" s="125"/>
      <c r="Z476" s="125"/>
      <c r="AA476" s="125"/>
    </row>
    <row r="477" spans="1:27" ht="13.5" customHeight="1" x14ac:dyDescent="0.25">
      <c r="A477" s="125"/>
      <c r="B477" s="125"/>
      <c r="C477" s="125"/>
      <c r="D477" s="125"/>
      <c r="E477" s="125"/>
      <c r="F477" s="125"/>
      <c r="G477" s="125"/>
      <c r="H477" s="125"/>
      <c r="I477" s="125"/>
      <c r="J477" s="125"/>
      <c r="K477" s="125"/>
      <c r="L477" s="125"/>
      <c r="M477" s="125"/>
      <c r="N477" s="125"/>
      <c r="O477" s="125"/>
      <c r="P477" s="125"/>
      <c r="Q477" s="125"/>
      <c r="R477" s="125"/>
      <c r="S477" s="125"/>
      <c r="T477" s="125"/>
      <c r="U477" s="125"/>
      <c r="V477" s="125"/>
      <c r="W477" s="125"/>
      <c r="X477" s="125"/>
      <c r="Y477" s="125"/>
      <c r="Z477" s="125"/>
      <c r="AA477" s="125"/>
    </row>
    <row r="478" spans="1:27" ht="13.5" customHeight="1" x14ac:dyDescent="0.25">
      <c r="A478" s="125"/>
      <c r="B478" s="125"/>
      <c r="C478" s="125"/>
      <c r="D478" s="125"/>
      <c r="E478" s="125"/>
      <c r="F478" s="125"/>
      <c r="G478" s="125"/>
      <c r="H478" s="125"/>
      <c r="I478" s="125"/>
      <c r="J478" s="125"/>
      <c r="K478" s="125"/>
      <c r="L478" s="125"/>
      <c r="M478" s="125"/>
      <c r="N478" s="125"/>
      <c r="O478" s="125"/>
      <c r="P478" s="125"/>
      <c r="Q478" s="125"/>
      <c r="R478" s="125"/>
      <c r="S478" s="125"/>
      <c r="T478" s="125"/>
      <c r="U478" s="125"/>
      <c r="V478" s="125"/>
      <c r="W478" s="125"/>
      <c r="X478" s="125"/>
      <c r="Y478" s="125"/>
      <c r="Z478" s="125"/>
      <c r="AA478" s="125"/>
    </row>
    <row r="479" spans="1:27" ht="13.5" customHeight="1" x14ac:dyDescent="0.25">
      <c r="A479" s="125"/>
      <c r="B479" s="125"/>
      <c r="C479" s="125"/>
      <c r="D479" s="125"/>
      <c r="E479" s="125"/>
      <c r="F479" s="125"/>
      <c r="G479" s="125"/>
      <c r="H479" s="125"/>
      <c r="I479" s="125"/>
      <c r="J479" s="125"/>
      <c r="K479" s="125"/>
      <c r="L479" s="125"/>
      <c r="M479" s="125"/>
      <c r="N479" s="125"/>
      <c r="O479" s="125"/>
      <c r="P479" s="125"/>
      <c r="Q479" s="125"/>
      <c r="R479" s="125"/>
      <c r="S479" s="125"/>
      <c r="T479" s="125"/>
      <c r="U479" s="125"/>
      <c r="V479" s="125"/>
      <c r="W479" s="125"/>
      <c r="X479" s="125"/>
      <c r="Y479" s="125"/>
      <c r="Z479" s="125"/>
      <c r="AA479" s="125"/>
    </row>
    <row r="480" spans="1:27" ht="13.5" customHeight="1" x14ac:dyDescent="0.25">
      <c r="A480" s="125"/>
      <c r="B480" s="125"/>
      <c r="C480" s="125"/>
      <c r="D480" s="125"/>
      <c r="E480" s="125"/>
      <c r="F480" s="125"/>
      <c r="G480" s="125"/>
      <c r="H480" s="125"/>
      <c r="I480" s="125"/>
      <c r="J480" s="125"/>
      <c r="K480" s="125"/>
      <c r="L480" s="125"/>
      <c r="M480" s="125"/>
      <c r="N480" s="125"/>
      <c r="O480" s="125"/>
      <c r="P480" s="125"/>
      <c r="Q480" s="125"/>
      <c r="R480" s="125"/>
      <c r="S480" s="125"/>
      <c r="T480" s="125"/>
      <c r="U480" s="125"/>
      <c r="V480" s="125"/>
      <c r="W480" s="125"/>
      <c r="X480" s="125"/>
      <c r="Y480" s="125"/>
      <c r="Z480" s="125"/>
      <c r="AA480" s="125"/>
    </row>
    <row r="481" spans="1:27" ht="13.5" customHeight="1" x14ac:dyDescent="0.25">
      <c r="A481" s="125"/>
      <c r="B481" s="125"/>
      <c r="C481" s="125"/>
      <c r="D481" s="125"/>
      <c r="E481" s="125"/>
      <c r="F481" s="125"/>
      <c r="G481" s="125"/>
      <c r="H481" s="125"/>
      <c r="I481" s="125"/>
      <c r="J481" s="125"/>
      <c r="K481" s="125"/>
      <c r="L481" s="125"/>
      <c r="M481" s="125"/>
      <c r="N481" s="125"/>
      <c r="O481" s="125"/>
      <c r="P481" s="125"/>
      <c r="Q481" s="125"/>
      <c r="R481" s="125"/>
      <c r="S481" s="125"/>
      <c r="T481" s="125"/>
      <c r="U481" s="125"/>
      <c r="V481" s="125"/>
      <c r="W481" s="125"/>
      <c r="X481" s="125"/>
      <c r="Y481" s="125"/>
      <c r="Z481" s="125"/>
      <c r="AA481" s="125"/>
    </row>
    <row r="482" spans="1:27" ht="13.5" customHeight="1" x14ac:dyDescent="0.25">
      <c r="A482" s="125"/>
      <c r="B482" s="125"/>
      <c r="C482" s="125"/>
      <c r="D482" s="125"/>
      <c r="E482" s="125"/>
      <c r="F482" s="125"/>
      <c r="G482" s="125"/>
      <c r="H482" s="125"/>
      <c r="I482" s="125"/>
      <c r="J482" s="125"/>
      <c r="K482" s="125"/>
      <c r="L482" s="125"/>
      <c r="M482" s="125"/>
      <c r="N482" s="125"/>
      <c r="O482" s="125"/>
      <c r="P482" s="125"/>
      <c r="Q482" s="125"/>
      <c r="R482" s="125"/>
      <c r="S482" s="125"/>
      <c r="T482" s="125"/>
      <c r="U482" s="125"/>
      <c r="V482" s="125"/>
      <c r="W482" s="125"/>
      <c r="X482" s="125"/>
      <c r="Y482" s="125"/>
      <c r="Z482" s="125"/>
      <c r="AA482" s="125"/>
    </row>
    <row r="483" spans="1:27" ht="13.5" customHeight="1" x14ac:dyDescent="0.25">
      <c r="A483" s="125"/>
      <c r="B483" s="125"/>
      <c r="C483" s="125"/>
      <c r="D483" s="125"/>
      <c r="E483" s="125"/>
      <c r="F483" s="125"/>
      <c r="G483" s="125"/>
      <c r="H483" s="125"/>
      <c r="I483" s="125"/>
      <c r="J483" s="125"/>
      <c r="K483" s="125"/>
      <c r="L483" s="125"/>
      <c r="M483" s="125"/>
      <c r="N483" s="125"/>
      <c r="O483" s="125"/>
      <c r="P483" s="125"/>
      <c r="Q483" s="125"/>
      <c r="R483" s="125"/>
      <c r="S483" s="125"/>
      <c r="T483" s="125"/>
      <c r="U483" s="125"/>
      <c r="V483" s="125"/>
      <c r="W483" s="125"/>
      <c r="X483" s="125"/>
      <c r="Y483" s="125"/>
      <c r="Z483" s="125"/>
      <c r="AA483" s="125"/>
    </row>
    <row r="484" spans="1:27" ht="13.5" customHeight="1" x14ac:dyDescent="0.25">
      <c r="A484" s="125"/>
      <c r="B484" s="125"/>
      <c r="C484" s="125"/>
      <c r="D484" s="125"/>
      <c r="E484" s="125"/>
      <c r="F484" s="125"/>
      <c r="G484" s="125"/>
      <c r="H484" s="125"/>
      <c r="I484" s="125"/>
      <c r="J484" s="125"/>
      <c r="K484" s="125"/>
      <c r="L484" s="125"/>
      <c r="M484" s="125"/>
      <c r="N484" s="125"/>
      <c r="O484" s="125"/>
      <c r="P484" s="125"/>
      <c r="Q484" s="125"/>
      <c r="R484" s="125"/>
      <c r="S484" s="125"/>
      <c r="T484" s="125"/>
      <c r="U484" s="125"/>
      <c r="V484" s="125"/>
      <c r="W484" s="125"/>
      <c r="X484" s="125"/>
      <c r="Y484" s="125"/>
      <c r="Z484" s="125"/>
      <c r="AA484" s="125"/>
    </row>
    <row r="485" spans="1:27" ht="13.5" customHeight="1" x14ac:dyDescent="0.25">
      <c r="A485" s="125"/>
      <c r="B485" s="125"/>
      <c r="C485" s="125"/>
      <c r="D485" s="125"/>
      <c r="E485" s="125"/>
      <c r="F485" s="125"/>
      <c r="G485" s="125"/>
      <c r="H485" s="125"/>
      <c r="I485" s="125"/>
      <c r="J485" s="125"/>
      <c r="K485" s="125"/>
      <c r="L485" s="125"/>
      <c r="M485" s="125"/>
      <c r="N485" s="125"/>
      <c r="O485" s="125"/>
      <c r="P485" s="125"/>
      <c r="Q485" s="125"/>
      <c r="R485" s="125"/>
      <c r="S485" s="125"/>
      <c r="T485" s="125"/>
      <c r="U485" s="125"/>
      <c r="V485" s="125"/>
      <c r="W485" s="125"/>
      <c r="X485" s="125"/>
      <c r="Y485" s="125"/>
      <c r="Z485" s="125"/>
      <c r="AA485" s="125"/>
    </row>
    <row r="486" spans="1:27" ht="13.5" customHeight="1" x14ac:dyDescent="0.25">
      <c r="A486" s="125"/>
      <c r="B486" s="125"/>
      <c r="C486" s="125"/>
      <c r="D486" s="125"/>
      <c r="E486" s="125"/>
      <c r="F486" s="125"/>
      <c r="G486" s="125"/>
      <c r="H486" s="125"/>
      <c r="I486" s="125"/>
      <c r="J486" s="125"/>
      <c r="K486" s="125"/>
      <c r="L486" s="125"/>
      <c r="M486" s="125"/>
      <c r="N486" s="125"/>
      <c r="O486" s="125"/>
      <c r="P486" s="125"/>
      <c r="Q486" s="125"/>
      <c r="R486" s="125"/>
      <c r="S486" s="125"/>
      <c r="T486" s="125"/>
      <c r="U486" s="125"/>
      <c r="V486" s="125"/>
      <c r="W486" s="125"/>
      <c r="X486" s="125"/>
      <c r="Y486" s="125"/>
      <c r="Z486" s="125"/>
      <c r="AA486" s="125"/>
    </row>
    <row r="487" spans="1:27" ht="13.5" customHeight="1" x14ac:dyDescent="0.25">
      <c r="A487" s="125"/>
      <c r="B487" s="125"/>
      <c r="C487" s="125"/>
      <c r="D487" s="125"/>
      <c r="E487" s="125"/>
      <c r="F487" s="125"/>
      <c r="G487" s="125"/>
      <c r="H487" s="125"/>
      <c r="I487" s="125"/>
      <c r="J487" s="125"/>
      <c r="K487" s="125"/>
      <c r="L487" s="125"/>
      <c r="M487" s="125"/>
      <c r="N487" s="125"/>
      <c r="O487" s="125"/>
      <c r="P487" s="125"/>
      <c r="Q487" s="125"/>
      <c r="R487" s="125"/>
      <c r="S487" s="125"/>
      <c r="T487" s="125"/>
      <c r="U487" s="125"/>
      <c r="V487" s="125"/>
      <c r="W487" s="125"/>
      <c r="X487" s="125"/>
      <c r="Y487" s="125"/>
      <c r="Z487" s="125"/>
      <c r="AA487" s="125"/>
    </row>
    <row r="488" spans="1:27" ht="13.5" customHeight="1" x14ac:dyDescent="0.25">
      <c r="A488" s="125"/>
      <c r="B488" s="125"/>
      <c r="C488" s="125"/>
      <c r="D488" s="125"/>
      <c r="E488" s="125"/>
      <c r="F488" s="125"/>
      <c r="G488" s="125"/>
      <c r="H488" s="125"/>
      <c r="I488" s="125"/>
      <c r="J488" s="125"/>
      <c r="K488" s="125"/>
      <c r="L488" s="125"/>
      <c r="M488" s="125"/>
      <c r="N488" s="125"/>
      <c r="O488" s="125"/>
      <c r="P488" s="125"/>
      <c r="Q488" s="125"/>
      <c r="R488" s="125"/>
      <c r="S488" s="125"/>
      <c r="T488" s="125"/>
      <c r="U488" s="125"/>
      <c r="V488" s="125"/>
      <c r="W488" s="125"/>
      <c r="X488" s="125"/>
      <c r="Y488" s="125"/>
      <c r="Z488" s="125"/>
      <c r="AA488" s="125"/>
    </row>
    <row r="489" spans="1:27" ht="13.5" customHeight="1" x14ac:dyDescent="0.25">
      <c r="A489" s="125"/>
      <c r="B489" s="125"/>
      <c r="C489" s="125"/>
      <c r="D489" s="125"/>
      <c r="E489" s="125"/>
      <c r="F489" s="125"/>
      <c r="G489" s="125"/>
      <c r="H489" s="125"/>
      <c r="I489" s="125"/>
      <c r="J489" s="125"/>
      <c r="K489" s="125"/>
      <c r="L489" s="125"/>
      <c r="M489" s="125"/>
      <c r="N489" s="125"/>
      <c r="O489" s="125"/>
      <c r="P489" s="125"/>
      <c r="Q489" s="125"/>
      <c r="R489" s="125"/>
      <c r="S489" s="125"/>
      <c r="T489" s="125"/>
      <c r="U489" s="125"/>
      <c r="V489" s="125"/>
      <c r="W489" s="125"/>
      <c r="X489" s="125"/>
      <c r="Y489" s="125"/>
      <c r="Z489" s="125"/>
      <c r="AA489" s="125"/>
    </row>
    <row r="490" spans="1:27" ht="13.5" customHeight="1" x14ac:dyDescent="0.25">
      <c r="A490" s="125"/>
      <c r="B490" s="125"/>
      <c r="C490" s="125"/>
      <c r="D490" s="125"/>
      <c r="E490" s="125"/>
      <c r="F490" s="125"/>
      <c r="G490" s="125"/>
      <c r="H490" s="125"/>
      <c r="I490" s="125"/>
      <c r="J490" s="125"/>
      <c r="K490" s="125"/>
      <c r="L490" s="125"/>
      <c r="M490" s="125"/>
      <c r="N490" s="125"/>
      <c r="O490" s="125"/>
      <c r="P490" s="125"/>
      <c r="Q490" s="125"/>
      <c r="R490" s="125"/>
      <c r="S490" s="125"/>
      <c r="T490" s="125"/>
      <c r="U490" s="125"/>
      <c r="V490" s="125"/>
      <c r="W490" s="125"/>
      <c r="X490" s="125"/>
      <c r="Y490" s="125"/>
      <c r="Z490" s="125"/>
      <c r="AA490" s="125"/>
    </row>
    <row r="491" spans="1:27" ht="13.5" customHeight="1" x14ac:dyDescent="0.25">
      <c r="A491" s="125"/>
      <c r="B491" s="125"/>
      <c r="C491" s="125"/>
      <c r="D491" s="125"/>
      <c r="E491" s="125"/>
      <c r="F491" s="125"/>
      <c r="G491" s="125"/>
      <c r="H491" s="125"/>
      <c r="I491" s="125"/>
      <c r="J491" s="125"/>
      <c r="K491" s="125"/>
      <c r="L491" s="125"/>
      <c r="M491" s="125"/>
      <c r="N491" s="125"/>
      <c r="O491" s="125"/>
      <c r="P491" s="125"/>
      <c r="Q491" s="125"/>
      <c r="R491" s="125"/>
      <c r="S491" s="125"/>
      <c r="T491" s="125"/>
      <c r="U491" s="125"/>
      <c r="V491" s="125"/>
      <c r="W491" s="125"/>
      <c r="X491" s="125"/>
      <c r="Y491" s="125"/>
      <c r="Z491" s="125"/>
      <c r="AA491" s="125"/>
    </row>
    <row r="492" spans="1:27" ht="13.5" customHeight="1" x14ac:dyDescent="0.25">
      <c r="A492" s="125"/>
      <c r="B492" s="125"/>
      <c r="C492" s="125"/>
      <c r="D492" s="125"/>
      <c r="E492" s="125"/>
      <c r="F492" s="125"/>
      <c r="G492" s="125"/>
      <c r="H492" s="125"/>
      <c r="I492" s="125"/>
      <c r="J492" s="125"/>
      <c r="K492" s="125"/>
      <c r="L492" s="125"/>
      <c r="M492" s="125"/>
      <c r="N492" s="125"/>
      <c r="O492" s="125"/>
      <c r="P492" s="125"/>
      <c r="Q492" s="125"/>
      <c r="R492" s="125"/>
      <c r="S492" s="125"/>
      <c r="T492" s="125"/>
      <c r="U492" s="125"/>
      <c r="V492" s="125"/>
      <c r="W492" s="125"/>
      <c r="X492" s="125"/>
      <c r="Y492" s="125"/>
      <c r="Z492" s="125"/>
      <c r="AA492" s="125"/>
    </row>
    <row r="493" spans="1:27" ht="13.5" customHeight="1" x14ac:dyDescent="0.25">
      <c r="A493" s="125"/>
      <c r="B493" s="125"/>
      <c r="C493" s="125"/>
      <c r="D493" s="125"/>
      <c r="E493" s="125"/>
      <c r="F493" s="125"/>
      <c r="G493" s="125"/>
      <c r="H493" s="125"/>
      <c r="I493" s="125"/>
      <c r="J493" s="125"/>
      <c r="K493" s="125"/>
      <c r="L493" s="125"/>
      <c r="M493" s="125"/>
      <c r="N493" s="125"/>
      <c r="O493" s="125"/>
      <c r="P493" s="125"/>
      <c r="Q493" s="125"/>
      <c r="R493" s="125"/>
      <c r="S493" s="125"/>
      <c r="T493" s="125"/>
      <c r="U493" s="125"/>
      <c r="V493" s="125"/>
      <c r="W493" s="125"/>
      <c r="X493" s="125"/>
      <c r="Y493" s="125"/>
      <c r="Z493" s="125"/>
      <c r="AA493" s="125"/>
    </row>
    <row r="494" spans="1:27" ht="13.5" customHeight="1" x14ac:dyDescent="0.25">
      <c r="A494" s="125"/>
      <c r="B494" s="125"/>
      <c r="C494" s="125"/>
      <c r="D494" s="125"/>
      <c r="E494" s="125"/>
      <c r="F494" s="125"/>
      <c r="G494" s="125"/>
      <c r="H494" s="125"/>
      <c r="I494" s="125"/>
      <c r="J494" s="125"/>
      <c r="K494" s="125"/>
      <c r="L494" s="125"/>
      <c r="M494" s="125"/>
      <c r="N494" s="125"/>
      <c r="O494" s="125"/>
      <c r="P494" s="125"/>
      <c r="Q494" s="125"/>
      <c r="R494" s="125"/>
      <c r="S494" s="125"/>
      <c r="T494" s="125"/>
      <c r="U494" s="125"/>
      <c r="V494" s="125"/>
      <c r="W494" s="125"/>
      <c r="X494" s="125"/>
      <c r="Y494" s="125"/>
      <c r="Z494" s="125"/>
      <c r="AA494" s="125"/>
    </row>
    <row r="495" spans="1:27" ht="13.5" customHeight="1" x14ac:dyDescent="0.25">
      <c r="A495" s="125"/>
      <c r="B495" s="125"/>
      <c r="C495" s="125"/>
      <c r="D495" s="125"/>
      <c r="E495" s="125"/>
      <c r="F495" s="125"/>
      <c r="G495" s="125"/>
      <c r="H495" s="125"/>
      <c r="I495" s="125"/>
      <c r="J495" s="125"/>
      <c r="K495" s="125"/>
      <c r="L495" s="125"/>
      <c r="M495" s="125"/>
      <c r="N495" s="125"/>
      <c r="O495" s="125"/>
      <c r="P495" s="125"/>
      <c r="Q495" s="125"/>
      <c r="R495" s="125"/>
      <c r="S495" s="125"/>
      <c r="T495" s="125"/>
      <c r="U495" s="125"/>
      <c r="V495" s="125"/>
      <c r="W495" s="125"/>
      <c r="X495" s="125"/>
      <c r="Y495" s="125"/>
      <c r="Z495" s="125"/>
      <c r="AA495" s="125"/>
    </row>
    <row r="496" spans="1:27" ht="13.5" customHeight="1" x14ac:dyDescent="0.25">
      <c r="A496" s="125"/>
      <c r="B496" s="125"/>
      <c r="C496" s="125"/>
      <c r="D496" s="125"/>
      <c r="E496" s="125"/>
      <c r="F496" s="125"/>
      <c r="G496" s="125"/>
      <c r="H496" s="125"/>
      <c r="I496" s="125"/>
      <c r="J496" s="125"/>
      <c r="K496" s="125"/>
      <c r="L496" s="125"/>
      <c r="M496" s="125"/>
      <c r="N496" s="125"/>
      <c r="O496" s="125"/>
      <c r="P496" s="125"/>
      <c r="Q496" s="125"/>
      <c r="R496" s="125"/>
      <c r="S496" s="125"/>
      <c r="T496" s="125"/>
      <c r="U496" s="125"/>
      <c r="V496" s="125"/>
      <c r="W496" s="125"/>
      <c r="X496" s="125"/>
      <c r="Y496" s="125"/>
      <c r="Z496" s="125"/>
      <c r="AA496" s="125"/>
    </row>
    <row r="497" spans="1:27" ht="13.5" customHeight="1" x14ac:dyDescent="0.25">
      <c r="A497" s="125"/>
      <c r="B497" s="125"/>
      <c r="C497" s="125"/>
      <c r="D497" s="125"/>
      <c r="E497" s="125"/>
      <c r="F497" s="125"/>
      <c r="G497" s="125"/>
      <c r="H497" s="125"/>
      <c r="I497" s="125"/>
      <c r="J497" s="125"/>
      <c r="K497" s="125"/>
      <c r="L497" s="125"/>
      <c r="M497" s="125"/>
      <c r="N497" s="125"/>
      <c r="O497" s="125"/>
      <c r="P497" s="125"/>
      <c r="Q497" s="125"/>
      <c r="R497" s="125"/>
      <c r="S497" s="125"/>
      <c r="T497" s="125"/>
      <c r="U497" s="125"/>
      <c r="V497" s="125"/>
      <c r="W497" s="125"/>
      <c r="X497" s="125"/>
      <c r="Y497" s="125"/>
      <c r="Z497" s="125"/>
      <c r="AA497" s="125"/>
    </row>
    <row r="498" spans="1:27" ht="13.5" customHeight="1" x14ac:dyDescent="0.25">
      <c r="A498" s="125"/>
      <c r="B498" s="125"/>
      <c r="C498" s="125"/>
      <c r="D498" s="125"/>
      <c r="E498" s="125"/>
      <c r="F498" s="125"/>
      <c r="G498" s="125"/>
      <c r="H498" s="125"/>
      <c r="I498" s="125"/>
      <c r="J498" s="125"/>
      <c r="K498" s="125"/>
      <c r="L498" s="125"/>
      <c r="M498" s="125"/>
      <c r="N498" s="125"/>
      <c r="O498" s="125"/>
      <c r="P498" s="125"/>
      <c r="Q498" s="125"/>
      <c r="R498" s="125"/>
      <c r="S498" s="125"/>
      <c r="T498" s="125"/>
      <c r="U498" s="125"/>
      <c r="V498" s="125"/>
      <c r="W498" s="125"/>
      <c r="X498" s="125"/>
      <c r="Y498" s="125"/>
      <c r="Z498" s="125"/>
      <c r="AA498" s="125"/>
    </row>
    <row r="499" spans="1:27" ht="13.5" customHeight="1" x14ac:dyDescent="0.25">
      <c r="A499" s="125"/>
      <c r="B499" s="125"/>
      <c r="C499" s="125"/>
      <c r="D499" s="125"/>
      <c r="E499" s="125"/>
      <c r="F499" s="125"/>
      <c r="G499" s="125"/>
      <c r="H499" s="125"/>
      <c r="I499" s="125"/>
      <c r="J499" s="125"/>
      <c r="K499" s="125"/>
      <c r="L499" s="125"/>
      <c r="M499" s="125"/>
      <c r="N499" s="125"/>
      <c r="O499" s="125"/>
      <c r="P499" s="125"/>
      <c r="Q499" s="125"/>
      <c r="R499" s="125"/>
      <c r="S499" s="125"/>
      <c r="T499" s="125"/>
      <c r="U499" s="125"/>
      <c r="V499" s="125"/>
      <c r="W499" s="125"/>
      <c r="X499" s="125"/>
      <c r="Y499" s="125"/>
      <c r="Z499" s="125"/>
      <c r="AA499" s="125"/>
    </row>
    <row r="500" spans="1:27" ht="13.5" customHeight="1" x14ac:dyDescent="0.25">
      <c r="A500" s="125"/>
      <c r="B500" s="125"/>
      <c r="C500" s="125"/>
      <c r="D500" s="125"/>
      <c r="E500" s="125"/>
      <c r="F500" s="125"/>
      <c r="G500" s="125"/>
      <c r="H500" s="125"/>
      <c r="I500" s="125"/>
      <c r="J500" s="125"/>
      <c r="K500" s="125"/>
      <c r="L500" s="125"/>
      <c r="M500" s="125"/>
      <c r="N500" s="125"/>
      <c r="O500" s="125"/>
      <c r="P500" s="125"/>
      <c r="Q500" s="125"/>
      <c r="R500" s="125"/>
      <c r="S500" s="125"/>
      <c r="T500" s="125"/>
      <c r="U500" s="125"/>
      <c r="V500" s="125"/>
      <c r="W500" s="125"/>
      <c r="X500" s="125"/>
      <c r="Y500" s="125"/>
      <c r="Z500" s="125"/>
      <c r="AA500" s="125"/>
    </row>
    <row r="501" spans="1:27" ht="13.5" customHeight="1" x14ac:dyDescent="0.25">
      <c r="A501" s="125"/>
      <c r="B501" s="125"/>
      <c r="C501" s="125"/>
      <c r="D501" s="125"/>
      <c r="E501" s="125"/>
      <c r="F501" s="125"/>
      <c r="G501" s="125"/>
      <c r="H501" s="125"/>
      <c r="I501" s="125"/>
      <c r="J501" s="125"/>
      <c r="K501" s="125"/>
      <c r="L501" s="125"/>
      <c r="M501" s="125"/>
      <c r="N501" s="125"/>
      <c r="O501" s="125"/>
      <c r="P501" s="125"/>
      <c r="Q501" s="125"/>
      <c r="R501" s="125"/>
      <c r="S501" s="125"/>
      <c r="T501" s="125"/>
      <c r="U501" s="125"/>
      <c r="V501" s="125"/>
      <c r="W501" s="125"/>
      <c r="X501" s="125"/>
      <c r="Y501" s="125"/>
      <c r="Z501" s="125"/>
      <c r="AA501" s="125"/>
    </row>
    <row r="502" spans="1:27" ht="13.5" customHeight="1" x14ac:dyDescent="0.25">
      <c r="A502" s="125"/>
      <c r="B502" s="125"/>
      <c r="C502" s="125"/>
      <c r="D502" s="125"/>
      <c r="E502" s="125"/>
      <c r="F502" s="125"/>
      <c r="G502" s="125"/>
      <c r="H502" s="125"/>
      <c r="I502" s="125"/>
      <c r="J502" s="125"/>
      <c r="K502" s="125"/>
      <c r="L502" s="125"/>
      <c r="M502" s="125"/>
      <c r="N502" s="125"/>
      <c r="O502" s="125"/>
      <c r="P502" s="125"/>
      <c r="Q502" s="125"/>
      <c r="R502" s="125"/>
      <c r="S502" s="125"/>
      <c r="T502" s="125"/>
      <c r="U502" s="125"/>
      <c r="V502" s="125"/>
      <c r="W502" s="125"/>
      <c r="X502" s="125"/>
      <c r="Y502" s="125"/>
      <c r="Z502" s="125"/>
      <c r="AA502" s="125"/>
    </row>
    <row r="503" spans="1:27" ht="13.5" customHeight="1" x14ac:dyDescent="0.25">
      <c r="A503" s="125"/>
      <c r="B503" s="125"/>
      <c r="C503" s="125"/>
      <c r="D503" s="125"/>
      <c r="E503" s="125"/>
      <c r="F503" s="125"/>
      <c r="G503" s="125"/>
      <c r="H503" s="125"/>
      <c r="I503" s="125"/>
      <c r="J503" s="125"/>
      <c r="K503" s="125"/>
      <c r="L503" s="125"/>
      <c r="M503" s="125"/>
      <c r="N503" s="125"/>
      <c r="O503" s="125"/>
      <c r="P503" s="125"/>
      <c r="Q503" s="125"/>
      <c r="R503" s="125"/>
      <c r="S503" s="125"/>
      <c r="T503" s="125"/>
      <c r="U503" s="125"/>
      <c r="V503" s="125"/>
      <c r="W503" s="125"/>
      <c r="X503" s="125"/>
      <c r="Y503" s="125"/>
      <c r="Z503" s="125"/>
      <c r="AA503" s="125"/>
    </row>
    <row r="504" spans="1:27" ht="13.5" customHeight="1" x14ac:dyDescent="0.25">
      <c r="A504" s="125"/>
      <c r="B504" s="125"/>
      <c r="C504" s="125"/>
      <c r="D504" s="125"/>
      <c r="E504" s="125"/>
      <c r="F504" s="125"/>
      <c r="G504" s="125"/>
      <c r="H504" s="125"/>
      <c r="I504" s="125"/>
      <c r="J504" s="125"/>
      <c r="K504" s="125"/>
      <c r="L504" s="125"/>
      <c r="M504" s="125"/>
      <c r="N504" s="125"/>
      <c r="O504" s="125"/>
      <c r="P504" s="125"/>
      <c r="Q504" s="125"/>
      <c r="R504" s="125"/>
      <c r="S504" s="125"/>
      <c r="T504" s="125"/>
      <c r="U504" s="125"/>
      <c r="V504" s="125"/>
      <c r="W504" s="125"/>
      <c r="X504" s="125"/>
      <c r="Y504" s="125"/>
      <c r="Z504" s="125"/>
      <c r="AA504" s="125"/>
    </row>
    <row r="505" spans="1:27" ht="13.5" customHeight="1" x14ac:dyDescent="0.25">
      <c r="A505" s="125"/>
      <c r="B505" s="125"/>
      <c r="C505" s="125"/>
      <c r="D505" s="125"/>
      <c r="E505" s="125"/>
      <c r="F505" s="125"/>
      <c r="G505" s="125"/>
      <c r="H505" s="125"/>
      <c r="I505" s="125"/>
      <c r="J505" s="125"/>
      <c r="K505" s="125"/>
      <c r="L505" s="125"/>
      <c r="M505" s="125"/>
      <c r="N505" s="125"/>
      <c r="O505" s="125"/>
      <c r="P505" s="125"/>
      <c r="Q505" s="125"/>
      <c r="R505" s="125"/>
      <c r="S505" s="125"/>
      <c r="T505" s="125"/>
      <c r="U505" s="125"/>
      <c r="V505" s="125"/>
      <c r="W505" s="125"/>
      <c r="X505" s="125"/>
      <c r="Y505" s="125"/>
      <c r="Z505" s="125"/>
      <c r="AA505" s="125"/>
    </row>
    <row r="506" spans="1:27" ht="13.5" customHeight="1" x14ac:dyDescent="0.25">
      <c r="A506" s="125"/>
      <c r="B506" s="125"/>
      <c r="C506" s="125"/>
      <c r="D506" s="125"/>
      <c r="E506" s="125"/>
      <c r="F506" s="125"/>
      <c r="G506" s="125"/>
      <c r="H506" s="125"/>
      <c r="I506" s="125"/>
      <c r="J506" s="125"/>
      <c r="K506" s="125"/>
      <c r="L506" s="125"/>
      <c r="M506" s="125"/>
      <c r="N506" s="125"/>
      <c r="O506" s="125"/>
      <c r="P506" s="125"/>
      <c r="Q506" s="125"/>
      <c r="R506" s="125"/>
      <c r="S506" s="125"/>
      <c r="T506" s="125"/>
      <c r="U506" s="125"/>
      <c r="V506" s="125"/>
      <c r="W506" s="125"/>
      <c r="X506" s="125"/>
      <c r="Y506" s="125"/>
      <c r="Z506" s="125"/>
      <c r="AA506" s="125"/>
    </row>
    <row r="507" spans="1:27" ht="13.5" customHeight="1" x14ac:dyDescent="0.25">
      <c r="A507" s="125"/>
      <c r="B507" s="125"/>
      <c r="C507" s="125"/>
      <c r="D507" s="125"/>
      <c r="E507" s="125"/>
      <c r="F507" s="125"/>
      <c r="G507" s="125"/>
      <c r="H507" s="125"/>
      <c r="I507" s="125"/>
      <c r="J507" s="125"/>
      <c r="K507" s="125"/>
      <c r="L507" s="125"/>
      <c r="M507" s="125"/>
      <c r="N507" s="125"/>
      <c r="O507" s="125"/>
      <c r="P507" s="125"/>
      <c r="Q507" s="125"/>
      <c r="R507" s="125"/>
      <c r="S507" s="125"/>
      <c r="T507" s="125"/>
      <c r="U507" s="125"/>
      <c r="V507" s="125"/>
      <c r="W507" s="125"/>
      <c r="X507" s="125"/>
      <c r="Y507" s="125"/>
      <c r="Z507" s="125"/>
      <c r="AA507" s="125"/>
    </row>
    <row r="508" spans="1:27" ht="13.5" customHeight="1" x14ac:dyDescent="0.25">
      <c r="A508" s="125"/>
      <c r="B508" s="125"/>
      <c r="C508" s="125"/>
      <c r="D508" s="125"/>
      <c r="E508" s="125"/>
      <c r="F508" s="125"/>
      <c r="G508" s="125"/>
      <c r="H508" s="125"/>
      <c r="I508" s="125"/>
      <c r="J508" s="125"/>
      <c r="K508" s="125"/>
      <c r="L508" s="125"/>
      <c r="M508" s="125"/>
      <c r="N508" s="125"/>
      <c r="O508" s="125"/>
      <c r="P508" s="125"/>
      <c r="Q508" s="125"/>
      <c r="R508" s="125"/>
      <c r="S508" s="125"/>
      <c r="T508" s="125"/>
      <c r="U508" s="125"/>
      <c r="V508" s="125"/>
      <c r="W508" s="125"/>
      <c r="X508" s="125"/>
      <c r="Y508" s="125"/>
      <c r="Z508" s="125"/>
      <c r="AA508" s="125"/>
    </row>
    <row r="509" spans="1:27" ht="13.5" customHeight="1" x14ac:dyDescent="0.25">
      <c r="A509" s="125"/>
      <c r="B509" s="125"/>
      <c r="C509" s="125"/>
      <c r="D509" s="125"/>
      <c r="E509" s="125"/>
      <c r="F509" s="125"/>
      <c r="G509" s="125"/>
      <c r="H509" s="125"/>
      <c r="I509" s="125"/>
      <c r="J509" s="125"/>
      <c r="K509" s="125"/>
      <c r="L509" s="125"/>
      <c r="M509" s="125"/>
      <c r="N509" s="125"/>
      <c r="O509" s="125"/>
      <c r="P509" s="125"/>
      <c r="Q509" s="125"/>
      <c r="R509" s="125"/>
      <c r="S509" s="125"/>
      <c r="T509" s="125"/>
      <c r="U509" s="125"/>
      <c r="V509" s="125"/>
      <c r="W509" s="125"/>
      <c r="X509" s="125"/>
      <c r="Y509" s="125"/>
      <c r="Z509" s="125"/>
      <c r="AA509" s="125"/>
    </row>
    <row r="510" spans="1:27" ht="13.5" customHeight="1" x14ac:dyDescent="0.25">
      <c r="A510" s="125"/>
      <c r="B510" s="125"/>
      <c r="C510" s="125"/>
      <c r="D510" s="125"/>
      <c r="E510" s="125"/>
      <c r="F510" s="125"/>
      <c r="G510" s="125"/>
      <c r="H510" s="125"/>
      <c r="I510" s="125"/>
      <c r="J510" s="125"/>
      <c r="K510" s="125"/>
      <c r="L510" s="125"/>
      <c r="M510" s="125"/>
      <c r="N510" s="125"/>
      <c r="O510" s="125"/>
      <c r="P510" s="125"/>
      <c r="Q510" s="125"/>
      <c r="R510" s="125"/>
      <c r="S510" s="125"/>
      <c r="T510" s="125"/>
      <c r="U510" s="125"/>
      <c r="V510" s="125"/>
      <c r="W510" s="125"/>
      <c r="X510" s="125"/>
      <c r="Y510" s="125"/>
      <c r="Z510" s="125"/>
      <c r="AA510" s="125"/>
    </row>
    <row r="511" spans="1:27" ht="13.5" customHeight="1" x14ac:dyDescent="0.25">
      <c r="A511" s="125"/>
      <c r="B511" s="125"/>
      <c r="C511" s="125"/>
      <c r="D511" s="125"/>
      <c r="E511" s="125"/>
      <c r="F511" s="125"/>
      <c r="G511" s="125"/>
      <c r="H511" s="125"/>
      <c r="I511" s="125"/>
      <c r="J511" s="125"/>
      <c r="K511" s="125"/>
      <c r="L511" s="125"/>
      <c r="M511" s="125"/>
      <c r="N511" s="125"/>
      <c r="O511" s="125"/>
      <c r="P511" s="125"/>
      <c r="Q511" s="125"/>
      <c r="R511" s="125"/>
      <c r="S511" s="125"/>
      <c r="T511" s="125"/>
      <c r="U511" s="125"/>
      <c r="V511" s="125"/>
      <c r="W511" s="125"/>
      <c r="X511" s="125"/>
      <c r="Y511" s="125"/>
      <c r="Z511" s="125"/>
      <c r="AA511" s="125"/>
    </row>
    <row r="512" spans="1:27" ht="13.5" customHeight="1" x14ac:dyDescent="0.25">
      <c r="A512" s="125"/>
      <c r="B512" s="125"/>
      <c r="C512" s="125"/>
      <c r="D512" s="125"/>
      <c r="E512" s="125"/>
      <c r="F512" s="125"/>
      <c r="G512" s="125"/>
      <c r="H512" s="125"/>
      <c r="I512" s="125"/>
      <c r="J512" s="125"/>
      <c r="K512" s="125"/>
      <c r="L512" s="125"/>
      <c r="M512" s="125"/>
      <c r="N512" s="125"/>
      <c r="O512" s="125"/>
      <c r="P512" s="125"/>
      <c r="Q512" s="125"/>
      <c r="R512" s="125"/>
      <c r="S512" s="125"/>
      <c r="T512" s="125"/>
      <c r="U512" s="125"/>
      <c r="V512" s="125"/>
      <c r="W512" s="125"/>
      <c r="X512" s="125"/>
      <c r="Y512" s="125"/>
      <c r="Z512" s="125"/>
      <c r="AA512" s="125"/>
    </row>
    <row r="513" spans="1:27" ht="13.5" customHeight="1" x14ac:dyDescent="0.25">
      <c r="A513" s="125"/>
      <c r="B513" s="125"/>
      <c r="C513" s="125"/>
      <c r="D513" s="125"/>
      <c r="E513" s="125"/>
      <c r="F513" s="125"/>
      <c r="G513" s="125"/>
      <c r="H513" s="125"/>
      <c r="I513" s="125"/>
      <c r="J513" s="125"/>
      <c r="K513" s="125"/>
      <c r="L513" s="125"/>
      <c r="M513" s="125"/>
      <c r="N513" s="125"/>
      <c r="O513" s="125"/>
      <c r="P513" s="125"/>
      <c r="Q513" s="125"/>
      <c r="R513" s="125"/>
      <c r="S513" s="125"/>
      <c r="T513" s="125"/>
      <c r="U513" s="125"/>
      <c r="V513" s="125"/>
      <c r="W513" s="125"/>
      <c r="X513" s="125"/>
      <c r="Y513" s="125"/>
      <c r="Z513" s="125"/>
      <c r="AA513" s="125"/>
    </row>
    <row r="514" spans="1:27" ht="13.5" customHeight="1" x14ac:dyDescent="0.25">
      <c r="A514" s="125"/>
      <c r="B514" s="125"/>
      <c r="C514" s="125"/>
      <c r="D514" s="125"/>
      <c r="E514" s="125"/>
      <c r="F514" s="125"/>
      <c r="G514" s="125"/>
      <c r="H514" s="125"/>
      <c r="I514" s="125"/>
      <c r="J514" s="125"/>
      <c r="K514" s="125"/>
      <c r="L514" s="125"/>
      <c r="M514" s="125"/>
      <c r="N514" s="125"/>
      <c r="O514" s="125"/>
      <c r="P514" s="125"/>
      <c r="Q514" s="125"/>
      <c r="R514" s="125"/>
      <c r="S514" s="125"/>
      <c r="T514" s="125"/>
      <c r="U514" s="125"/>
      <c r="V514" s="125"/>
      <c r="W514" s="125"/>
      <c r="X514" s="125"/>
      <c r="Y514" s="125"/>
      <c r="Z514" s="125"/>
      <c r="AA514" s="125"/>
    </row>
    <row r="515" spans="1:27" ht="13.5" customHeight="1" x14ac:dyDescent="0.25">
      <c r="A515" s="125"/>
      <c r="B515" s="125"/>
      <c r="C515" s="125"/>
      <c r="D515" s="125"/>
      <c r="E515" s="125"/>
      <c r="F515" s="125"/>
      <c r="G515" s="125"/>
      <c r="H515" s="125"/>
      <c r="I515" s="125"/>
      <c r="J515" s="125"/>
      <c r="K515" s="125"/>
      <c r="L515" s="125"/>
      <c r="M515" s="125"/>
      <c r="N515" s="125"/>
      <c r="O515" s="125"/>
      <c r="P515" s="125"/>
      <c r="Q515" s="125"/>
      <c r="R515" s="125"/>
      <c r="S515" s="125"/>
      <c r="T515" s="125"/>
      <c r="U515" s="125"/>
      <c r="V515" s="125"/>
      <c r="W515" s="125"/>
      <c r="X515" s="125"/>
      <c r="Y515" s="125"/>
      <c r="Z515" s="125"/>
      <c r="AA515" s="125"/>
    </row>
    <row r="516" spans="1:27" ht="13.5" customHeight="1" x14ac:dyDescent="0.25">
      <c r="A516" s="125"/>
      <c r="B516" s="125"/>
      <c r="C516" s="125"/>
      <c r="D516" s="125"/>
      <c r="E516" s="125"/>
      <c r="F516" s="125"/>
      <c r="G516" s="125"/>
      <c r="H516" s="125"/>
      <c r="I516" s="125"/>
      <c r="J516" s="125"/>
      <c r="K516" s="125"/>
      <c r="L516" s="125"/>
      <c r="M516" s="125"/>
      <c r="N516" s="125"/>
      <c r="O516" s="125"/>
      <c r="P516" s="125"/>
      <c r="Q516" s="125"/>
      <c r="R516" s="125"/>
      <c r="S516" s="125"/>
      <c r="T516" s="125"/>
      <c r="U516" s="125"/>
      <c r="V516" s="125"/>
      <c r="W516" s="125"/>
      <c r="X516" s="125"/>
      <c r="Y516" s="125"/>
      <c r="Z516" s="125"/>
      <c r="AA516" s="125"/>
    </row>
    <row r="517" spans="1:27" ht="13.5" customHeight="1" x14ac:dyDescent="0.25">
      <c r="A517" s="125"/>
      <c r="B517" s="125"/>
      <c r="C517" s="125"/>
      <c r="D517" s="125"/>
      <c r="E517" s="125"/>
      <c r="F517" s="125"/>
      <c r="G517" s="125"/>
      <c r="H517" s="125"/>
      <c r="I517" s="125"/>
      <c r="J517" s="125"/>
      <c r="K517" s="125"/>
      <c r="L517" s="125"/>
      <c r="M517" s="125"/>
      <c r="N517" s="125"/>
      <c r="O517" s="125"/>
      <c r="P517" s="125"/>
      <c r="Q517" s="125"/>
      <c r="R517" s="125"/>
      <c r="S517" s="125"/>
      <c r="T517" s="125"/>
      <c r="U517" s="125"/>
      <c r="V517" s="125"/>
      <c r="W517" s="125"/>
      <c r="X517" s="125"/>
      <c r="Y517" s="125"/>
      <c r="Z517" s="125"/>
      <c r="AA517" s="125"/>
    </row>
    <row r="518" spans="1:27" ht="13.5" customHeight="1" x14ac:dyDescent="0.25">
      <c r="A518" s="125"/>
      <c r="B518" s="125"/>
      <c r="C518" s="125"/>
      <c r="D518" s="125"/>
      <c r="E518" s="125"/>
      <c r="F518" s="125"/>
      <c r="G518" s="125"/>
      <c r="H518" s="125"/>
      <c r="I518" s="125"/>
      <c r="J518" s="125"/>
      <c r="K518" s="125"/>
      <c r="L518" s="125"/>
      <c r="M518" s="125"/>
      <c r="N518" s="125"/>
      <c r="O518" s="125"/>
      <c r="P518" s="125"/>
      <c r="Q518" s="125"/>
      <c r="R518" s="125"/>
      <c r="S518" s="125"/>
      <c r="T518" s="125"/>
      <c r="U518" s="125"/>
      <c r="V518" s="125"/>
      <c r="W518" s="125"/>
      <c r="X518" s="125"/>
      <c r="Y518" s="125"/>
      <c r="Z518" s="125"/>
      <c r="AA518" s="125"/>
    </row>
    <row r="519" spans="1:27" ht="13.5" customHeight="1" x14ac:dyDescent="0.25">
      <c r="A519" s="125"/>
      <c r="B519" s="125"/>
      <c r="C519" s="125"/>
      <c r="D519" s="125"/>
      <c r="E519" s="125"/>
      <c r="F519" s="125"/>
      <c r="G519" s="125"/>
      <c r="H519" s="125"/>
      <c r="I519" s="125"/>
      <c r="J519" s="125"/>
      <c r="K519" s="125"/>
      <c r="L519" s="125"/>
      <c r="M519" s="125"/>
      <c r="N519" s="125"/>
      <c r="O519" s="125"/>
      <c r="P519" s="125"/>
      <c r="Q519" s="125"/>
      <c r="R519" s="125"/>
      <c r="S519" s="125"/>
      <c r="T519" s="125"/>
      <c r="U519" s="125"/>
      <c r="V519" s="125"/>
      <c r="W519" s="125"/>
      <c r="X519" s="125"/>
      <c r="Y519" s="125"/>
      <c r="Z519" s="125"/>
      <c r="AA519" s="125"/>
    </row>
    <row r="520" spans="1:27" ht="13.5" customHeight="1" x14ac:dyDescent="0.25">
      <c r="A520" s="125"/>
      <c r="B520" s="125"/>
      <c r="C520" s="125"/>
      <c r="D520" s="125"/>
      <c r="E520" s="125"/>
      <c r="F520" s="125"/>
      <c r="G520" s="125"/>
      <c r="H520" s="125"/>
      <c r="I520" s="125"/>
      <c r="J520" s="125"/>
      <c r="K520" s="125"/>
      <c r="L520" s="125"/>
      <c r="M520" s="125"/>
      <c r="N520" s="125"/>
      <c r="O520" s="125"/>
      <c r="P520" s="125"/>
      <c r="Q520" s="125"/>
      <c r="R520" s="125"/>
      <c r="S520" s="125"/>
      <c r="T520" s="125"/>
      <c r="U520" s="125"/>
      <c r="V520" s="125"/>
      <c r="W520" s="125"/>
      <c r="X520" s="125"/>
      <c r="Y520" s="125"/>
      <c r="Z520" s="125"/>
      <c r="AA520" s="125"/>
    </row>
    <row r="521" spans="1:27" ht="13.5" customHeight="1" x14ac:dyDescent="0.25">
      <c r="A521" s="125"/>
      <c r="B521" s="125"/>
      <c r="C521" s="125"/>
      <c r="D521" s="125"/>
      <c r="E521" s="125"/>
      <c r="F521" s="125"/>
      <c r="G521" s="125"/>
      <c r="H521" s="125"/>
      <c r="I521" s="125"/>
      <c r="J521" s="125"/>
      <c r="K521" s="125"/>
      <c r="L521" s="125"/>
      <c r="M521" s="125"/>
      <c r="N521" s="125"/>
      <c r="O521" s="125"/>
      <c r="P521" s="125"/>
      <c r="Q521" s="125"/>
      <c r="R521" s="125"/>
      <c r="S521" s="125"/>
      <c r="T521" s="125"/>
      <c r="U521" s="125"/>
      <c r="V521" s="125"/>
      <c r="W521" s="125"/>
      <c r="X521" s="125"/>
      <c r="Y521" s="125"/>
      <c r="Z521" s="125"/>
      <c r="AA521" s="125"/>
    </row>
    <row r="522" spans="1:27" ht="13.5" customHeight="1" x14ac:dyDescent="0.25">
      <c r="A522" s="125"/>
      <c r="B522" s="125"/>
      <c r="C522" s="125"/>
      <c r="D522" s="125"/>
      <c r="E522" s="125"/>
      <c r="F522" s="125"/>
      <c r="G522" s="125"/>
      <c r="H522" s="125"/>
      <c r="I522" s="125"/>
      <c r="J522" s="125"/>
      <c r="K522" s="125"/>
      <c r="L522" s="125"/>
      <c r="M522" s="125"/>
      <c r="N522" s="125"/>
      <c r="O522" s="125"/>
      <c r="P522" s="125"/>
      <c r="Q522" s="125"/>
      <c r="R522" s="125"/>
      <c r="S522" s="125"/>
      <c r="T522" s="125"/>
      <c r="U522" s="125"/>
      <c r="V522" s="125"/>
      <c r="W522" s="125"/>
      <c r="X522" s="125"/>
      <c r="Y522" s="125"/>
      <c r="Z522" s="125"/>
      <c r="AA522" s="125"/>
    </row>
    <row r="523" spans="1:27" ht="13.5" customHeight="1" x14ac:dyDescent="0.25">
      <c r="A523" s="125"/>
      <c r="B523" s="125"/>
      <c r="C523" s="125"/>
      <c r="D523" s="125"/>
      <c r="E523" s="125"/>
      <c r="F523" s="125"/>
      <c r="G523" s="125"/>
      <c r="H523" s="125"/>
      <c r="I523" s="125"/>
      <c r="J523" s="125"/>
      <c r="K523" s="125"/>
      <c r="L523" s="125"/>
      <c r="M523" s="125"/>
      <c r="N523" s="125"/>
      <c r="O523" s="125"/>
      <c r="P523" s="125"/>
      <c r="Q523" s="125"/>
      <c r="R523" s="125"/>
      <c r="S523" s="125"/>
      <c r="T523" s="125"/>
      <c r="U523" s="125"/>
      <c r="V523" s="125"/>
      <c r="W523" s="125"/>
      <c r="X523" s="125"/>
      <c r="Y523" s="125"/>
      <c r="Z523" s="125"/>
      <c r="AA523" s="125"/>
    </row>
    <row r="524" spans="1:27" ht="13.5" customHeight="1" x14ac:dyDescent="0.25">
      <c r="A524" s="125"/>
      <c r="B524" s="125"/>
      <c r="C524" s="125"/>
      <c r="D524" s="125"/>
      <c r="E524" s="125"/>
      <c r="F524" s="125"/>
      <c r="G524" s="125"/>
      <c r="H524" s="125"/>
      <c r="I524" s="125"/>
      <c r="J524" s="125"/>
      <c r="K524" s="125"/>
      <c r="L524" s="125"/>
      <c r="M524" s="125"/>
      <c r="N524" s="125"/>
      <c r="O524" s="125"/>
      <c r="P524" s="125"/>
      <c r="Q524" s="125"/>
      <c r="R524" s="125"/>
      <c r="S524" s="125"/>
      <c r="T524" s="125"/>
      <c r="U524" s="125"/>
      <c r="V524" s="125"/>
      <c r="W524" s="125"/>
      <c r="X524" s="125"/>
      <c r="Y524" s="125"/>
      <c r="Z524" s="125"/>
      <c r="AA524" s="125"/>
    </row>
    <row r="525" spans="1:27" ht="13.5" customHeight="1" x14ac:dyDescent="0.25">
      <c r="A525" s="125"/>
      <c r="B525" s="125"/>
      <c r="C525" s="125"/>
      <c r="D525" s="125"/>
      <c r="E525" s="125"/>
      <c r="F525" s="125"/>
      <c r="G525" s="125"/>
      <c r="H525" s="125"/>
      <c r="I525" s="125"/>
      <c r="J525" s="125"/>
      <c r="K525" s="125"/>
      <c r="L525" s="125"/>
      <c r="M525" s="125"/>
      <c r="N525" s="125"/>
      <c r="O525" s="125"/>
      <c r="P525" s="125"/>
      <c r="Q525" s="125"/>
      <c r="R525" s="125"/>
      <c r="S525" s="125"/>
      <c r="T525" s="125"/>
      <c r="U525" s="125"/>
      <c r="V525" s="125"/>
      <c r="W525" s="125"/>
      <c r="X525" s="125"/>
      <c r="Y525" s="125"/>
      <c r="Z525" s="125"/>
      <c r="AA525" s="125"/>
    </row>
    <row r="526" spans="1:27" ht="13.5" customHeight="1" x14ac:dyDescent="0.25">
      <c r="A526" s="125"/>
      <c r="B526" s="125"/>
      <c r="C526" s="125"/>
      <c r="D526" s="125"/>
      <c r="E526" s="125"/>
      <c r="F526" s="125"/>
      <c r="G526" s="125"/>
      <c r="H526" s="125"/>
      <c r="I526" s="125"/>
      <c r="J526" s="125"/>
      <c r="K526" s="125"/>
      <c r="L526" s="125"/>
      <c r="M526" s="125"/>
      <c r="N526" s="125"/>
      <c r="O526" s="125"/>
      <c r="P526" s="125"/>
      <c r="Q526" s="125"/>
      <c r="R526" s="125"/>
      <c r="S526" s="125"/>
      <c r="T526" s="125"/>
      <c r="U526" s="125"/>
      <c r="V526" s="125"/>
      <c r="W526" s="125"/>
      <c r="X526" s="125"/>
      <c r="Y526" s="125"/>
      <c r="Z526" s="125"/>
      <c r="AA526" s="125"/>
    </row>
    <row r="527" spans="1:27" ht="13.5" customHeight="1" x14ac:dyDescent="0.25">
      <c r="A527" s="125"/>
      <c r="B527" s="125"/>
      <c r="C527" s="125"/>
      <c r="D527" s="125"/>
      <c r="E527" s="125"/>
      <c r="F527" s="125"/>
      <c r="G527" s="125"/>
      <c r="H527" s="125"/>
      <c r="I527" s="125"/>
      <c r="J527" s="125"/>
      <c r="K527" s="125"/>
      <c r="L527" s="125"/>
      <c r="M527" s="125"/>
      <c r="N527" s="125"/>
      <c r="O527" s="125"/>
      <c r="P527" s="125"/>
      <c r="Q527" s="125"/>
      <c r="R527" s="125"/>
      <c r="S527" s="125"/>
      <c r="T527" s="125"/>
      <c r="U527" s="125"/>
      <c r="V527" s="125"/>
      <c r="W527" s="125"/>
      <c r="X527" s="125"/>
      <c r="Y527" s="125"/>
      <c r="Z527" s="125"/>
      <c r="AA527" s="125"/>
    </row>
    <row r="528" spans="1:27" ht="13.5" customHeight="1" x14ac:dyDescent="0.25">
      <c r="A528" s="125"/>
      <c r="B528" s="125"/>
      <c r="C528" s="125"/>
      <c r="D528" s="125"/>
      <c r="E528" s="125"/>
      <c r="F528" s="125"/>
      <c r="G528" s="125"/>
      <c r="H528" s="125"/>
      <c r="I528" s="125"/>
      <c r="J528" s="125"/>
      <c r="K528" s="125"/>
      <c r="L528" s="125"/>
      <c r="M528" s="125"/>
      <c r="N528" s="125"/>
      <c r="O528" s="125"/>
      <c r="P528" s="125"/>
      <c r="Q528" s="125"/>
      <c r="R528" s="125"/>
      <c r="S528" s="125"/>
      <c r="T528" s="125"/>
      <c r="U528" s="125"/>
      <c r="V528" s="125"/>
      <c r="W528" s="125"/>
      <c r="X528" s="125"/>
      <c r="Y528" s="125"/>
      <c r="Z528" s="125"/>
      <c r="AA528" s="125"/>
    </row>
    <row r="529" spans="1:27" ht="13.5" customHeight="1" x14ac:dyDescent="0.25">
      <c r="A529" s="125"/>
      <c r="B529" s="125"/>
      <c r="C529" s="125"/>
      <c r="D529" s="125"/>
      <c r="E529" s="125"/>
      <c r="F529" s="125"/>
      <c r="G529" s="125"/>
      <c r="H529" s="125"/>
      <c r="I529" s="125"/>
      <c r="J529" s="125"/>
      <c r="K529" s="125"/>
      <c r="L529" s="125"/>
      <c r="M529" s="125"/>
      <c r="N529" s="125"/>
      <c r="O529" s="125"/>
      <c r="P529" s="125"/>
      <c r="Q529" s="125"/>
      <c r="R529" s="125"/>
      <c r="S529" s="125"/>
      <c r="T529" s="125"/>
      <c r="U529" s="125"/>
      <c r="V529" s="125"/>
      <c r="W529" s="125"/>
      <c r="X529" s="125"/>
      <c r="Y529" s="125"/>
      <c r="Z529" s="125"/>
      <c r="AA529" s="125"/>
    </row>
    <row r="530" spans="1:27" ht="13.5" customHeight="1" x14ac:dyDescent="0.25">
      <c r="A530" s="125"/>
      <c r="B530" s="125"/>
      <c r="C530" s="125"/>
      <c r="D530" s="125"/>
      <c r="E530" s="125"/>
      <c r="F530" s="125"/>
      <c r="G530" s="125"/>
      <c r="H530" s="125"/>
      <c r="I530" s="125"/>
      <c r="J530" s="125"/>
      <c r="K530" s="125"/>
      <c r="L530" s="125"/>
      <c r="M530" s="125"/>
      <c r="N530" s="125"/>
      <c r="O530" s="125"/>
      <c r="P530" s="125"/>
      <c r="Q530" s="125"/>
      <c r="R530" s="125"/>
      <c r="S530" s="125"/>
      <c r="T530" s="125"/>
      <c r="U530" s="125"/>
      <c r="V530" s="125"/>
      <c r="W530" s="125"/>
      <c r="X530" s="125"/>
      <c r="Y530" s="125"/>
      <c r="Z530" s="125"/>
      <c r="AA530" s="125"/>
    </row>
    <row r="531" spans="1:27" ht="13.5" customHeight="1" x14ac:dyDescent="0.25">
      <c r="A531" s="125"/>
      <c r="B531" s="125"/>
      <c r="C531" s="125"/>
      <c r="D531" s="125"/>
      <c r="E531" s="125"/>
      <c r="F531" s="125"/>
      <c r="G531" s="125"/>
      <c r="H531" s="125"/>
      <c r="I531" s="125"/>
      <c r="J531" s="125"/>
      <c r="K531" s="125"/>
      <c r="L531" s="125"/>
      <c r="M531" s="125"/>
      <c r="N531" s="125"/>
      <c r="O531" s="125"/>
      <c r="P531" s="125"/>
      <c r="Q531" s="125"/>
      <c r="R531" s="125"/>
      <c r="S531" s="125"/>
      <c r="T531" s="125"/>
      <c r="U531" s="125"/>
      <c r="V531" s="125"/>
      <c r="W531" s="125"/>
      <c r="X531" s="125"/>
      <c r="Y531" s="125"/>
      <c r="Z531" s="125"/>
      <c r="AA531" s="125"/>
    </row>
    <row r="532" spans="1:27" ht="13.5" customHeight="1" x14ac:dyDescent="0.25">
      <c r="A532" s="125"/>
      <c r="B532" s="125"/>
      <c r="C532" s="125"/>
      <c r="D532" s="125"/>
      <c r="E532" s="125"/>
      <c r="F532" s="125"/>
      <c r="G532" s="125"/>
      <c r="H532" s="125"/>
      <c r="I532" s="125"/>
      <c r="J532" s="125"/>
      <c r="K532" s="125"/>
      <c r="L532" s="125"/>
      <c r="M532" s="125"/>
      <c r="N532" s="125"/>
      <c r="O532" s="125"/>
      <c r="P532" s="125"/>
      <c r="Q532" s="125"/>
      <c r="R532" s="125"/>
      <c r="S532" s="125"/>
      <c r="T532" s="125"/>
      <c r="U532" s="125"/>
      <c r="V532" s="125"/>
      <c r="W532" s="125"/>
      <c r="X532" s="125"/>
      <c r="Y532" s="125"/>
      <c r="Z532" s="125"/>
      <c r="AA532" s="125"/>
    </row>
    <row r="533" spans="1:27" ht="13.5" customHeight="1" x14ac:dyDescent="0.25">
      <c r="A533" s="125"/>
      <c r="B533" s="125"/>
      <c r="C533" s="125"/>
      <c r="D533" s="125"/>
      <c r="E533" s="125"/>
      <c r="F533" s="125"/>
      <c r="G533" s="125"/>
      <c r="H533" s="125"/>
      <c r="I533" s="125"/>
      <c r="J533" s="125"/>
      <c r="K533" s="125"/>
      <c r="L533" s="125"/>
      <c r="M533" s="125"/>
      <c r="N533" s="125"/>
      <c r="O533" s="125"/>
      <c r="P533" s="125"/>
      <c r="Q533" s="125"/>
      <c r="R533" s="125"/>
      <c r="S533" s="125"/>
      <c r="T533" s="125"/>
      <c r="U533" s="125"/>
      <c r="V533" s="125"/>
      <c r="W533" s="125"/>
      <c r="X533" s="125"/>
      <c r="Y533" s="125"/>
      <c r="Z533" s="125"/>
      <c r="AA533" s="125"/>
    </row>
    <row r="534" spans="1:27" ht="13.5" customHeight="1" x14ac:dyDescent="0.25">
      <c r="A534" s="125"/>
      <c r="B534" s="125"/>
      <c r="C534" s="125"/>
      <c r="D534" s="125"/>
      <c r="E534" s="125"/>
      <c r="F534" s="125"/>
      <c r="G534" s="125"/>
      <c r="H534" s="125"/>
      <c r="I534" s="125"/>
      <c r="J534" s="125"/>
      <c r="K534" s="125"/>
      <c r="L534" s="125"/>
      <c r="M534" s="125"/>
      <c r="N534" s="125"/>
      <c r="O534" s="125"/>
      <c r="P534" s="125"/>
      <c r="Q534" s="125"/>
      <c r="R534" s="125"/>
      <c r="S534" s="125"/>
      <c r="T534" s="125"/>
      <c r="U534" s="125"/>
      <c r="V534" s="125"/>
      <c r="W534" s="125"/>
      <c r="X534" s="125"/>
      <c r="Y534" s="125"/>
      <c r="Z534" s="125"/>
      <c r="AA534" s="125"/>
    </row>
    <row r="535" spans="1:27" ht="13.5" customHeight="1" x14ac:dyDescent="0.25">
      <c r="A535" s="125"/>
      <c r="B535" s="125"/>
      <c r="C535" s="125"/>
      <c r="D535" s="125"/>
      <c r="E535" s="125"/>
      <c r="F535" s="125"/>
      <c r="G535" s="125"/>
      <c r="H535" s="125"/>
      <c r="I535" s="125"/>
      <c r="J535" s="125"/>
      <c r="K535" s="125"/>
      <c r="L535" s="125"/>
      <c r="M535" s="125"/>
      <c r="N535" s="125"/>
      <c r="O535" s="125"/>
      <c r="P535" s="125"/>
      <c r="Q535" s="125"/>
      <c r="R535" s="125"/>
      <c r="S535" s="125"/>
      <c r="T535" s="125"/>
      <c r="U535" s="125"/>
      <c r="V535" s="125"/>
      <c r="W535" s="125"/>
      <c r="X535" s="125"/>
      <c r="Y535" s="125"/>
      <c r="Z535" s="125"/>
      <c r="AA535" s="125"/>
    </row>
    <row r="536" spans="1:27" ht="13.5" customHeight="1" x14ac:dyDescent="0.25">
      <c r="A536" s="125"/>
      <c r="B536" s="125"/>
      <c r="C536" s="125"/>
      <c r="D536" s="125"/>
      <c r="E536" s="125"/>
      <c r="F536" s="125"/>
      <c r="G536" s="125"/>
      <c r="H536" s="125"/>
      <c r="I536" s="125"/>
      <c r="J536" s="125"/>
      <c r="K536" s="125"/>
      <c r="L536" s="125"/>
      <c r="M536" s="125"/>
      <c r="N536" s="125"/>
      <c r="O536" s="125"/>
      <c r="P536" s="125"/>
      <c r="Q536" s="125"/>
      <c r="R536" s="125"/>
      <c r="S536" s="125"/>
      <c r="T536" s="125"/>
      <c r="U536" s="125"/>
      <c r="V536" s="125"/>
      <c r="W536" s="125"/>
      <c r="X536" s="125"/>
      <c r="Y536" s="125"/>
      <c r="Z536" s="125"/>
      <c r="AA536" s="125"/>
    </row>
    <row r="537" spans="1:27" ht="13.5" customHeight="1" x14ac:dyDescent="0.25">
      <c r="A537" s="125"/>
      <c r="B537" s="125"/>
      <c r="C537" s="125"/>
      <c r="D537" s="125"/>
      <c r="E537" s="125"/>
      <c r="F537" s="125"/>
      <c r="G537" s="125"/>
      <c r="H537" s="125"/>
      <c r="I537" s="125"/>
      <c r="J537" s="125"/>
      <c r="K537" s="125"/>
      <c r="L537" s="125"/>
      <c r="M537" s="125"/>
      <c r="N537" s="125"/>
      <c r="O537" s="125"/>
      <c r="P537" s="125"/>
      <c r="Q537" s="125"/>
      <c r="R537" s="125"/>
      <c r="S537" s="125"/>
      <c r="T537" s="125"/>
      <c r="U537" s="125"/>
      <c r="V537" s="125"/>
      <c r="W537" s="125"/>
      <c r="X537" s="125"/>
      <c r="Y537" s="125"/>
      <c r="Z537" s="125"/>
      <c r="AA537" s="125"/>
    </row>
    <row r="538" spans="1:27" ht="13.5" customHeight="1" x14ac:dyDescent="0.25">
      <c r="A538" s="125"/>
      <c r="B538" s="125"/>
      <c r="C538" s="125"/>
      <c r="D538" s="125"/>
      <c r="E538" s="125"/>
      <c r="F538" s="125"/>
      <c r="G538" s="125"/>
      <c r="H538" s="125"/>
      <c r="I538" s="125"/>
      <c r="J538" s="125"/>
      <c r="K538" s="125"/>
      <c r="L538" s="125"/>
      <c r="M538" s="125"/>
      <c r="N538" s="125"/>
      <c r="O538" s="125"/>
      <c r="P538" s="125"/>
      <c r="Q538" s="125"/>
      <c r="R538" s="125"/>
      <c r="S538" s="125"/>
      <c r="T538" s="125"/>
      <c r="U538" s="125"/>
      <c r="V538" s="125"/>
      <c r="W538" s="125"/>
      <c r="X538" s="125"/>
      <c r="Y538" s="125"/>
      <c r="Z538" s="125"/>
      <c r="AA538" s="125"/>
    </row>
    <row r="539" spans="1:27" ht="13.5" customHeight="1" x14ac:dyDescent="0.25">
      <c r="A539" s="125"/>
      <c r="B539" s="125"/>
      <c r="C539" s="125"/>
      <c r="D539" s="125"/>
      <c r="E539" s="125"/>
      <c r="F539" s="125"/>
      <c r="G539" s="125"/>
      <c r="H539" s="125"/>
      <c r="I539" s="125"/>
      <c r="J539" s="125"/>
      <c r="K539" s="125"/>
      <c r="L539" s="125"/>
      <c r="M539" s="125"/>
      <c r="N539" s="125"/>
      <c r="O539" s="125"/>
      <c r="P539" s="125"/>
      <c r="Q539" s="125"/>
      <c r="R539" s="125"/>
      <c r="S539" s="125"/>
      <c r="T539" s="125"/>
      <c r="U539" s="125"/>
      <c r="V539" s="125"/>
      <c r="W539" s="125"/>
      <c r="X539" s="125"/>
      <c r="Y539" s="125"/>
      <c r="Z539" s="125"/>
      <c r="AA539" s="125"/>
    </row>
    <row r="540" spans="1:27" ht="13.5" customHeight="1" x14ac:dyDescent="0.25">
      <c r="A540" s="125"/>
      <c r="B540" s="125"/>
      <c r="C540" s="125"/>
      <c r="D540" s="125"/>
      <c r="E540" s="125"/>
      <c r="F540" s="125"/>
      <c r="G540" s="125"/>
      <c r="H540" s="125"/>
      <c r="I540" s="125"/>
      <c r="J540" s="125"/>
      <c r="K540" s="125"/>
      <c r="L540" s="125"/>
      <c r="M540" s="125"/>
      <c r="N540" s="125"/>
      <c r="O540" s="125"/>
      <c r="P540" s="125"/>
      <c r="Q540" s="125"/>
      <c r="R540" s="125"/>
      <c r="S540" s="125"/>
      <c r="T540" s="125"/>
      <c r="U540" s="125"/>
      <c r="V540" s="125"/>
      <c r="W540" s="125"/>
      <c r="X540" s="125"/>
      <c r="Y540" s="125"/>
      <c r="Z540" s="125"/>
      <c r="AA540" s="125"/>
    </row>
    <row r="541" spans="1:27" ht="13.5" customHeight="1" x14ac:dyDescent="0.25">
      <c r="A541" s="125"/>
      <c r="B541" s="125"/>
      <c r="C541" s="125"/>
      <c r="D541" s="125"/>
      <c r="E541" s="125"/>
      <c r="F541" s="125"/>
      <c r="G541" s="125"/>
      <c r="H541" s="125"/>
      <c r="I541" s="125"/>
      <c r="J541" s="125"/>
      <c r="K541" s="125"/>
      <c r="L541" s="125"/>
      <c r="M541" s="125"/>
      <c r="N541" s="125"/>
      <c r="O541" s="125"/>
      <c r="P541" s="125"/>
      <c r="Q541" s="125"/>
      <c r="R541" s="125"/>
      <c r="S541" s="125"/>
      <c r="T541" s="125"/>
      <c r="U541" s="125"/>
      <c r="V541" s="125"/>
      <c r="W541" s="125"/>
      <c r="X541" s="125"/>
      <c r="Y541" s="125"/>
      <c r="Z541" s="125"/>
      <c r="AA541" s="125"/>
    </row>
    <row r="542" spans="1:27" ht="13.5" customHeight="1" x14ac:dyDescent="0.25">
      <c r="A542" s="125"/>
      <c r="B542" s="125"/>
      <c r="C542" s="125"/>
      <c r="D542" s="125"/>
      <c r="E542" s="125"/>
      <c r="F542" s="125"/>
      <c r="G542" s="125"/>
      <c r="H542" s="125"/>
      <c r="I542" s="125"/>
      <c r="J542" s="125"/>
      <c r="K542" s="125"/>
      <c r="L542" s="125"/>
      <c r="M542" s="125"/>
      <c r="N542" s="125"/>
      <c r="O542" s="125"/>
      <c r="P542" s="125"/>
      <c r="Q542" s="125"/>
      <c r="R542" s="125"/>
      <c r="S542" s="125"/>
      <c r="T542" s="125"/>
      <c r="U542" s="125"/>
      <c r="V542" s="125"/>
      <c r="W542" s="125"/>
      <c r="X542" s="125"/>
      <c r="Y542" s="125"/>
      <c r="Z542" s="125"/>
      <c r="AA542" s="125"/>
    </row>
    <row r="543" spans="1:27" ht="13.5" customHeight="1" x14ac:dyDescent="0.25">
      <c r="A543" s="125"/>
      <c r="B543" s="125"/>
      <c r="C543" s="125"/>
      <c r="D543" s="125"/>
      <c r="E543" s="125"/>
      <c r="F543" s="125"/>
      <c r="G543" s="125"/>
      <c r="H543" s="125"/>
      <c r="I543" s="125"/>
      <c r="J543" s="125"/>
      <c r="K543" s="125"/>
      <c r="L543" s="125"/>
      <c r="M543" s="125"/>
      <c r="N543" s="125"/>
      <c r="O543" s="125"/>
      <c r="P543" s="125"/>
      <c r="Q543" s="125"/>
      <c r="R543" s="125"/>
      <c r="S543" s="125"/>
      <c r="T543" s="125"/>
      <c r="U543" s="125"/>
      <c r="V543" s="125"/>
      <c r="W543" s="125"/>
      <c r="X543" s="125"/>
      <c r="Y543" s="125"/>
      <c r="Z543" s="125"/>
      <c r="AA543" s="125"/>
    </row>
    <row r="544" spans="1:27" ht="13.5" customHeight="1" x14ac:dyDescent="0.25">
      <c r="A544" s="125"/>
      <c r="B544" s="125"/>
      <c r="C544" s="125"/>
      <c r="D544" s="125"/>
      <c r="E544" s="125"/>
      <c r="F544" s="125"/>
      <c r="G544" s="125"/>
      <c r="H544" s="125"/>
      <c r="I544" s="125"/>
      <c r="J544" s="125"/>
      <c r="K544" s="125"/>
      <c r="L544" s="125"/>
      <c r="M544" s="125"/>
      <c r="N544" s="125"/>
      <c r="O544" s="125"/>
      <c r="P544" s="125"/>
      <c r="Q544" s="125"/>
      <c r="R544" s="125"/>
      <c r="S544" s="125"/>
      <c r="T544" s="125"/>
      <c r="U544" s="125"/>
      <c r="V544" s="125"/>
      <c r="W544" s="125"/>
      <c r="X544" s="125"/>
      <c r="Y544" s="125"/>
      <c r="Z544" s="125"/>
      <c r="AA544" s="125"/>
    </row>
    <row r="545" spans="1:27" ht="13.5" customHeight="1" x14ac:dyDescent="0.25">
      <c r="A545" s="125"/>
      <c r="B545" s="125"/>
      <c r="C545" s="125"/>
      <c r="D545" s="125"/>
      <c r="E545" s="125"/>
      <c r="F545" s="125"/>
      <c r="G545" s="125"/>
      <c r="H545" s="125"/>
      <c r="I545" s="125"/>
      <c r="J545" s="125"/>
      <c r="K545" s="125"/>
      <c r="L545" s="125"/>
      <c r="M545" s="125"/>
      <c r="N545" s="125"/>
      <c r="O545" s="125"/>
      <c r="P545" s="125"/>
      <c r="Q545" s="125"/>
      <c r="R545" s="125"/>
      <c r="S545" s="125"/>
      <c r="T545" s="125"/>
      <c r="U545" s="125"/>
      <c r="V545" s="125"/>
      <c r="W545" s="125"/>
      <c r="X545" s="125"/>
      <c r="Y545" s="125"/>
      <c r="Z545" s="125"/>
      <c r="AA545" s="125"/>
    </row>
    <row r="546" spans="1:27" ht="13.5" customHeight="1" x14ac:dyDescent="0.25">
      <c r="A546" s="125"/>
      <c r="B546" s="125"/>
      <c r="C546" s="125"/>
      <c r="D546" s="125"/>
      <c r="E546" s="125"/>
      <c r="F546" s="125"/>
      <c r="G546" s="125"/>
      <c r="H546" s="125"/>
      <c r="I546" s="125"/>
      <c r="J546" s="125"/>
      <c r="K546" s="125"/>
      <c r="L546" s="125"/>
      <c r="M546" s="125"/>
      <c r="N546" s="125"/>
      <c r="O546" s="125"/>
      <c r="P546" s="125"/>
      <c r="Q546" s="125"/>
      <c r="R546" s="125"/>
      <c r="S546" s="125"/>
      <c r="T546" s="125"/>
      <c r="U546" s="125"/>
      <c r="V546" s="125"/>
      <c r="W546" s="125"/>
      <c r="X546" s="125"/>
      <c r="Y546" s="125"/>
      <c r="Z546" s="125"/>
      <c r="AA546" s="125"/>
    </row>
    <row r="547" spans="1:27" ht="13.5" customHeight="1" x14ac:dyDescent="0.25">
      <c r="A547" s="125"/>
      <c r="B547" s="125"/>
      <c r="C547" s="125"/>
      <c r="D547" s="125"/>
      <c r="E547" s="125"/>
      <c r="F547" s="125"/>
      <c r="G547" s="125"/>
      <c r="H547" s="125"/>
      <c r="I547" s="125"/>
      <c r="J547" s="125"/>
      <c r="K547" s="125"/>
      <c r="L547" s="125"/>
      <c r="M547" s="125"/>
      <c r="N547" s="125"/>
      <c r="O547" s="125"/>
      <c r="P547" s="125"/>
      <c r="Q547" s="125"/>
      <c r="R547" s="125"/>
      <c r="S547" s="125"/>
      <c r="T547" s="125"/>
      <c r="U547" s="125"/>
      <c r="V547" s="125"/>
      <c r="W547" s="125"/>
      <c r="X547" s="125"/>
      <c r="Y547" s="125"/>
      <c r="Z547" s="125"/>
      <c r="AA547" s="125"/>
    </row>
    <row r="548" spans="1:27" ht="13.5" customHeight="1" x14ac:dyDescent="0.25">
      <c r="A548" s="125"/>
      <c r="B548" s="125"/>
      <c r="C548" s="125"/>
      <c r="D548" s="125"/>
      <c r="E548" s="125"/>
      <c r="F548" s="125"/>
      <c r="G548" s="125"/>
      <c r="H548" s="125"/>
      <c r="I548" s="125"/>
      <c r="J548" s="125"/>
      <c r="K548" s="125"/>
      <c r="L548" s="125"/>
      <c r="M548" s="125"/>
      <c r="N548" s="125"/>
      <c r="O548" s="125"/>
      <c r="P548" s="125"/>
      <c r="Q548" s="125"/>
      <c r="R548" s="125"/>
      <c r="S548" s="125"/>
      <c r="T548" s="125"/>
      <c r="U548" s="125"/>
      <c r="V548" s="125"/>
      <c r="W548" s="125"/>
      <c r="X548" s="125"/>
      <c r="Y548" s="125"/>
      <c r="Z548" s="125"/>
      <c r="AA548" s="125"/>
    </row>
    <row r="549" spans="1:27" ht="13.5" customHeight="1" x14ac:dyDescent="0.25">
      <c r="A549" s="125"/>
      <c r="B549" s="125"/>
      <c r="C549" s="125"/>
      <c r="D549" s="125"/>
      <c r="E549" s="125"/>
      <c r="F549" s="125"/>
      <c r="G549" s="125"/>
      <c r="H549" s="125"/>
      <c r="I549" s="125"/>
      <c r="J549" s="125"/>
      <c r="K549" s="125"/>
      <c r="L549" s="125"/>
      <c r="M549" s="125"/>
      <c r="N549" s="125"/>
      <c r="O549" s="125"/>
      <c r="P549" s="125"/>
      <c r="Q549" s="125"/>
      <c r="R549" s="125"/>
      <c r="S549" s="125"/>
      <c r="T549" s="125"/>
      <c r="U549" s="125"/>
      <c r="V549" s="125"/>
      <c r="W549" s="125"/>
      <c r="X549" s="125"/>
      <c r="Y549" s="125"/>
      <c r="Z549" s="125"/>
      <c r="AA549" s="125"/>
    </row>
    <row r="550" spans="1:27" ht="13.5" customHeight="1" x14ac:dyDescent="0.25">
      <c r="A550" s="125"/>
      <c r="B550" s="125"/>
      <c r="C550" s="125"/>
      <c r="D550" s="125"/>
      <c r="E550" s="125"/>
      <c r="F550" s="125"/>
      <c r="G550" s="125"/>
      <c r="H550" s="125"/>
      <c r="I550" s="125"/>
      <c r="J550" s="125"/>
      <c r="K550" s="125"/>
      <c r="L550" s="125"/>
      <c r="M550" s="125"/>
      <c r="N550" s="125"/>
      <c r="O550" s="125"/>
      <c r="P550" s="125"/>
      <c r="Q550" s="125"/>
      <c r="R550" s="125"/>
      <c r="S550" s="125"/>
      <c r="T550" s="125"/>
      <c r="U550" s="125"/>
      <c r="V550" s="125"/>
      <c r="W550" s="125"/>
      <c r="X550" s="125"/>
      <c r="Y550" s="125"/>
      <c r="Z550" s="125"/>
      <c r="AA550" s="125"/>
    </row>
    <row r="551" spans="1:27" ht="13.5" customHeight="1" x14ac:dyDescent="0.25">
      <c r="A551" s="125"/>
      <c r="B551" s="125"/>
      <c r="C551" s="125"/>
      <c r="D551" s="125"/>
      <c r="E551" s="125"/>
      <c r="F551" s="125"/>
      <c r="G551" s="125"/>
      <c r="H551" s="125"/>
      <c r="I551" s="125"/>
      <c r="J551" s="125"/>
      <c r="K551" s="125"/>
      <c r="L551" s="125"/>
      <c r="M551" s="125"/>
      <c r="N551" s="125"/>
      <c r="O551" s="125"/>
      <c r="P551" s="125"/>
      <c r="Q551" s="125"/>
      <c r="R551" s="125"/>
      <c r="S551" s="125"/>
      <c r="T551" s="125"/>
      <c r="U551" s="125"/>
      <c r="V551" s="125"/>
      <c r="W551" s="125"/>
      <c r="X551" s="125"/>
      <c r="Y551" s="125"/>
      <c r="Z551" s="125"/>
      <c r="AA551" s="125"/>
    </row>
    <row r="552" spans="1:27" ht="13.5" customHeight="1" x14ac:dyDescent="0.25">
      <c r="A552" s="125"/>
      <c r="B552" s="125"/>
      <c r="C552" s="125"/>
      <c r="D552" s="125"/>
      <c r="E552" s="125"/>
      <c r="F552" s="125"/>
      <c r="G552" s="125"/>
      <c r="H552" s="125"/>
      <c r="I552" s="125"/>
      <c r="J552" s="125"/>
      <c r="K552" s="125"/>
      <c r="L552" s="125"/>
      <c r="M552" s="125"/>
      <c r="N552" s="125"/>
      <c r="O552" s="125"/>
      <c r="P552" s="125"/>
      <c r="Q552" s="125"/>
      <c r="R552" s="125"/>
      <c r="S552" s="125"/>
      <c r="T552" s="125"/>
      <c r="U552" s="125"/>
      <c r="V552" s="125"/>
      <c r="W552" s="125"/>
      <c r="X552" s="125"/>
      <c r="Y552" s="125"/>
      <c r="Z552" s="125"/>
      <c r="AA552" s="125"/>
    </row>
    <row r="553" spans="1:27" ht="13.5" customHeight="1" x14ac:dyDescent="0.25">
      <c r="A553" s="125"/>
      <c r="B553" s="125"/>
      <c r="C553" s="125"/>
      <c r="D553" s="125"/>
      <c r="E553" s="125"/>
      <c r="F553" s="125"/>
      <c r="G553" s="125"/>
      <c r="H553" s="125"/>
      <c r="I553" s="125"/>
      <c r="J553" s="125"/>
      <c r="K553" s="125"/>
      <c r="L553" s="125"/>
      <c r="M553" s="125"/>
      <c r="N553" s="125"/>
      <c r="O553" s="125"/>
      <c r="P553" s="125"/>
      <c r="Q553" s="125"/>
      <c r="R553" s="125"/>
      <c r="S553" s="125"/>
      <c r="T553" s="125"/>
      <c r="U553" s="125"/>
      <c r="V553" s="125"/>
      <c r="W553" s="125"/>
      <c r="X553" s="125"/>
      <c r="Y553" s="125"/>
      <c r="Z553" s="125"/>
      <c r="AA553" s="125"/>
    </row>
    <row r="554" spans="1:27" ht="13.5" customHeight="1" x14ac:dyDescent="0.25">
      <c r="A554" s="125"/>
      <c r="B554" s="125"/>
      <c r="C554" s="125"/>
      <c r="D554" s="125"/>
      <c r="E554" s="125"/>
      <c r="F554" s="125"/>
      <c r="G554" s="125"/>
      <c r="H554" s="125"/>
      <c r="I554" s="125"/>
      <c r="J554" s="125"/>
      <c r="K554" s="125"/>
      <c r="L554" s="125"/>
      <c r="M554" s="125"/>
      <c r="N554" s="125"/>
      <c r="O554" s="125"/>
      <c r="P554" s="125"/>
      <c r="Q554" s="125"/>
      <c r="R554" s="125"/>
      <c r="S554" s="125"/>
      <c r="T554" s="125"/>
      <c r="U554" s="125"/>
      <c r="V554" s="125"/>
      <c r="W554" s="125"/>
      <c r="X554" s="125"/>
      <c r="Y554" s="125"/>
      <c r="Z554" s="125"/>
      <c r="AA554" s="125"/>
    </row>
    <row r="555" spans="1:27" ht="13.5" customHeight="1" x14ac:dyDescent="0.25">
      <c r="A555" s="125"/>
      <c r="B555" s="125"/>
      <c r="C555" s="125"/>
      <c r="D555" s="125"/>
      <c r="E555" s="125"/>
      <c r="F555" s="125"/>
      <c r="G555" s="125"/>
      <c r="H555" s="125"/>
      <c r="I555" s="125"/>
      <c r="J555" s="125"/>
      <c r="K555" s="125"/>
      <c r="L555" s="125"/>
      <c r="M555" s="125"/>
      <c r="N555" s="125"/>
      <c r="O555" s="125"/>
      <c r="P555" s="125"/>
      <c r="Q555" s="125"/>
      <c r="R555" s="125"/>
      <c r="S555" s="125"/>
      <c r="T555" s="125"/>
      <c r="U555" s="125"/>
      <c r="V555" s="125"/>
      <c r="W555" s="125"/>
      <c r="X555" s="125"/>
      <c r="Y555" s="125"/>
      <c r="Z555" s="125"/>
      <c r="AA555" s="125"/>
    </row>
    <row r="556" spans="1:27" ht="13.5" customHeight="1" x14ac:dyDescent="0.25">
      <c r="A556" s="125"/>
      <c r="B556" s="125"/>
      <c r="C556" s="125"/>
      <c r="D556" s="125"/>
      <c r="E556" s="125"/>
      <c r="F556" s="125"/>
      <c r="G556" s="125"/>
      <c r="H556" s="125"/>
      <c r="I556" s="125"/>
      <c r="J556" s="125"/>
      <c r="K556" s="125"/>
      <c r="L556" s="125"/>
      <c r="M556" s="125"/>
      <c r="N556" s="125"/>
      <c r="O556" s="125"/>
      <c r="P556" s="125"/>
      <c r="Q556" s="125"/>
      <c r="R556" s="125"/>
      <c r="S556" s="125"/>
      <c r="T556" s="125"/>
      <c r="U556" s="125"/>
      <c r="V556" s="125"/>
      <c r="W556" s="125"/>
      <c r="X556" s="125"/>
      <c r="Y556" s="125"/>
      <c r="Z556" s="125"/>
      <c r="AA556" s="125"/>
    </row>
    <row r="557" spans="1:27" ht="13.5" customHeight="1" x14ac:dyDescent="0.25">
      <c r="A557" s="125"/>
      <c r="B557" s="125"/>
      <c r="C557" s="125"/>
      <c r="D557" s="125"/>
      <c r="E557" s="125"/>
      <c r="F557" s="125"/>
      <c r="G557" s="125"/>
      <c r="H557" s="125"/>
      <c r="I557" s="125"/>
      <c r="J557" s="125"/>
      <c r="K557" s="125"/>
      <c r="L557" s="125"/>
      <c r="M557" s="125"/>
      <c r="N557" s="125"/>
      <c r="O557" s="125"/>
      <c r="P557" s="125"/>
      <c r="Q557" s="125"/>
      <c r="R557" s="125"/>
      <c r="S557" s="125"/>
      <c r="T557" s="125"/>
      <c r="U557" s="125"/>
      <c r="V557" s="125"/>
      <c r="W557" s="125"/>
      <c r="X557" s="125"/>
      <c r="Y557" s="125"/>
      <c r="Z557" s="125"/>
      <c r="AA557" s="125"/>
    </row>
    <row r="558" spans="1:27" ht="13.5" customHeight="1" x14ac:dyDescent="0.25">
      <c r="A558" s="125"/>
      <c r="B558" s="125"/>
      <c r="C558" s="125"/>
      <c r="D558" s="125"/>
      <c r="E558" s="125"/>
      <c r="F558" s="125"/>
      <c r="G558" s="125"/>
      <c r="H558" s="125"/>
      <c r="I558" s="125"/>
      <c r="J558" s="125"/>
      <c r="K558" s="125"/>
      <c r="L558" s="125"/>
      <c r="M558" s="125"/>
      <c r="N558" s="125"/>
      <c r="O558" s="125"/>
      <c r="P558" s="125"/>
      <c r="Q558" s="125"/>
      <c r="R558" s="125"/>
      <c r="S558" s="125"/>
      <c r="T558" s="125"/>
      <c r="U558" s="125"/>
      <c r="V558" s="125"/>
      <c r="W558" s="125"/>
      <c r="X558" s="125"/>
      <c r="Y558" s="125"/>
      <c r="Z558" s="125"/>
      <c r="AA558" s="125"/>
    </row>
    <row r="559" spans="1:27" ht="13.5" customHeight="1" x14ac:dyDescent="0.25">
      <c r="A559" s="125"/>
      <c r="B559" s="125"/>
      <c r="C559" s="125"/>
      <c r="D559" s="125"/>
      <c r="E559" s="125"/>
      <c r="F559" s="125"/>
      <c r="G559" s="125"/>
      <c r="H559" s="125"/>
      <c r="I559" s="125"/>
      <c r="J559" s="125"/>
      <c r="K559" s="125"/>
      <c r="L559" s="125"/>
      <c r="M559" s="125"/>
      <c r="N559" s="125"/>
      <c r="O559" s="125"/>
      <c r="P559" s="125"/>
      <c r="Q559" s="125"/>
      <c r="R559" s="125"/>
      <c r="S559" s="125"/>
      <c r="T559" s="125"/>
      <c r="U559" s="125"/>
      <c r="V559" s="125"/>
      <c r="W559" s="125"/>
      <c r="X559" s="125"/>
      <c r="Y559" s="125"/>
      <c r="Z559" s="125"/>
      <c r="AA559" s="125"/>
    </row>
    <row r="560" spans="1:27" ht="13.5" customHeight="1" x14ac:dyDescent="0.25">
      <c r="A560" s="125"/>
      <c r="B560" s="125"/>
      <c r="C560" s="125"/>
      <c r="D560" s="125"/>
      <c r="E560" s="125"/>
      <c r="F560" s="125"/>
      <c r="G560" s="125"/>
      <c r="H560" s="125"/>
      <c r="I560" s="125"/>
      <c r="J560" s="125"/>
      <c r="K560" s="125"/>
      <c r="L560" s="125"/>
      <c r="M560" s="125"/>
      <c r="N560" s="125"/>
      <c r="O560" s="125"/>
      <c r="P560" s="125"/>
      <c r="Q560" s="125"/>
      <c r="R560" s="125"/>
      <c r="S560" s="125"/>
      <c r="T560" s="125"/>
      <c r="U560" s="125"/>
      <c r="V560" s="125"/>
      <c r="W560" s="125"/>
      <c r="X560" s="125"/>
      <c r="Y560" s="125"/>
      <c r="Z560" s="125"/>
      <c r="AA560" s="125"/>
    </row>
    <row r="561" spans="1:27" ht="13.5" customHeight="1" x14ac:dyDescent="0.25">
      <c r="A561" s="125"/>
      <c r="B561" s="125"/>
      <c r="C561" s="125"/>
      <c r="D561" s="125"/>
      <c r="E561" s="125"/>
      <c r="F561" s="125"/>
      <c r="G561" s="125"/>
      <c r="H561" s="125"/>
      <c r="I561" s="125"/>
      <c r="J561" s="125"/>
      <c r="K561" s="125"/>
      <c r="L561" s="125"/>
      <c r="M561" s="125"/>
      <c r="N561" s="125"/>
      <c r="O561" s="125"/>
      <c r="P561" s="125"/>
      <c r="Q561" s="125"/>
      <c r="R561" s="125"/>
      <c r="S561" s="125"/>
      <c r="T561" s="125"/>
      <c r="U561" s="125"/>
      <c r="V561" s="125"/>
      <c r="W561" s="125"/>
      <c r="X561" s="125"/>
      <c r="Y561" s="125"/>
      <c r="Z561" s="125"/>
      <c r="AA561" s="125"/>
    </row>
    <row r="562" spans="1:27" ht="13.5" customHeight="1" x14ac:dyDescent="0.25">
      <c r="A562" s="125"/>
      <c r="B562" s="125"/>
      <c r="C562" s="125"/>
      <c r="D562" s="125"/>
      <c r="E562" s="125"/>
      <c r="F562" s="125"/>
      <c r="G562" s="125"/>
      <c r="H562" s="125"/>
      <c r="I562" s="125"/>
      <c r="J562" s="125"/>
      <c r="K562" s="125"/>
      <c r="L562" s="125"/>
      <c r="M562" s="125"/>
      <c r="N562" s="125"/>
      <c r="O562" s="125"/>
      <c r="P562" s="125"/>
      <c r="Q562" s="125"/>
      <c r="R562" s="125"/>
      <c r="S562" s="125"/>
      <c r="T562" s="125"/>
      <c r="U562" s="125"/>
      <c r="V562" s="125"/>
      <c r="W562" s="125"/>
      <c r="X562" s="125"/>
      <c r="Y562" s="125"/>
      <c r="Z562" s="125"/>
      <c r="AA562" s="125"/>
    </row>
    <row r="563" spans="1:27" ht="13.5" customHeight="1" x14ac:dyDescent="0.25">
      <c r="A563" s="125"/>
      <c r="B563" s="125"/>
      <c r="C563" s="125"/>
      <c r="D563" s="125"/>
      <c r="E563" s="125"/>
      <c r="F563" s="125"/>
      <c r="G563" s="125"/>
      <c r="H563" s="125"/>
      <c r="I563" s="125"/>
      <c r="J563" s="125"/>
      <c r="K563" s="125"/>
      <c r="L563" s="125"/>
      <c r="M563" s="125"/>
      <c r="N563" s="125"/>
      <c r="O563" s="125"/>
      <c r="P563" s="125"/>
      <c r="Q563" s="125"/>
      <c r="R563" s="125"/>
      <c r="S563" s="125"/>
      <c r="T563" s="125"/>
      <c r="U563" s="125"/>
      <c r="V563" s="125"/>
      <c r="W563" s="125"/>
      <c r="X563" s="125"/>
      <c r="Y563" s="125"/>
      <c r="Z563" s="125"/>
      <c r="AA563" s="125"/>
    </row>
    <row r="564" spans="1:27" ht="13.5" customHeight="1" x14ac:dyDescent="0.25">
      <c r="A564" s="125"/>
      <c r="B564" s="125"/>
      <c r="C564" s="125"/>
      <c r="D564" s="125"/>
      <c r="E564" s="125"/>
      <c r="F564" s="125"/>
      <c r="G564" s="125"/>
      <c r="H564" s="125"/>
      <c r="I564" s="125"/>
      <c r="J564" s="125"/>
      <c r="K564" s="125"/>
      <c r="L564" s="125"/>
      <c r="M564" s="125"/>
      <c r="N564" s="125"/>
      <c r="O564" s="125"/>
      <c r="P564" s="125"/>
      <c r="Q564" s="125"/>
      <c r="R564" s="125"/>
      <c r="S564" s="125"/>
      <c r="T564" s="125"/>
      <c r="U564" s="125"/>
      <c r="V564" s="125"/>
      <c r="W564" s="125"/>
      <c r="X564" s="125"/>
      <c r="Y564" s="125"/>
      <c r="Z564" s="125"/>
      <c r="AA564" s="125"/>
    </row>
    <row r="565" spans="1:27" ht="13.5" customHeight="1" x14ac:dyDescent="0.25">
      <c r="A565" s="125"/>
      <c r="B565" s="125"/>
      <c r="C565" s="125"/>
      <c r="D565" s="125"/>
      <c r="E565" s="125"/>
      <c r="F565" s="125"/>
      <c r="G565" s="125"/>
      <c r="H565" s="125"/>
      <c r="I565" s="125"/>
      <c r="J565" s="125"/>
      <c r="K565" s="125"/>
      <c r="L565" s="125"/>
      <c r="M565" s="125"/>
      <c r="N565" s="125"/>
      <c r="O565" s="125"/>
      <c r="P565" s="125"/>
      <c r="Q565" s="125"/>
      <c r="R565" s="125"/>
      <c r="S565" s="125"/>
      <c r="T565" s="125"/>
      <c r="U565" s="125"/>
      <c r="V565" s="125"/>
      <c r="W565" s="125"/>
      <c r="X565" s="125"/>
      <c r="Y565" s="125"/>
      <c r="Z565" s="125"/>
      <c r="AA565" s="125"/>
    </row>
    <row r="566" spans="1:27" ht="13.5" customHeight="1" x14ac:dyDescent="0.25">
      <c r="A566" s="125"/>
      <c r="B566" s="125"/>
      <c r="C566" s="125"/>
      <c r="D566" s="125"/>
      <c r="E566" s="125"/>
      <c r="F566" s="125"/>
      <c r="G566" s="125"/>
      <c r="H566" s="125"/>
      <c r="I566" s="125"/>
      <c r="J566" s="125"/>
      <c r="K566" s="125"/>
      <c r="L566" s="125"/>
      <c r="M566" s="125"/>
      <c r="N566" s="125"/>
      <c r="O566" s="125"/>
      <c r="P566" s="125"/>
      <c r="Q566" s="125"/>
      <c r="R566" s="125"/>
      <c r="S566" s="125"/>
      <c r="T566" s="125"/>
      <c r="U566" s="125"/>
      <c r="V566" s="125"/>
      <c r="W566" s="125"/>
      <c r="X566" s="125"/>
      <c r="Y566" s="125"/>
      <c r="Z566" s="125"/>
      <c r="AA566" s="125"/>
    </row>
    <row r="567" spans="1:27" ht="13.5" customHeight="1" x14ac:dyDescent="0.25">
      <c r="A567" s="125"/>
      <c r="B567" s="125"/>
      <c r="C567" s="125"/>
      <c r="D567" s="125"/>
      <c r="E567" s="125"/>
      <c r="F567" s="125"/>
      <c r="G567" s="125"/>
      <c r="H567" s="125"/>
      <c r="I567" s="125"/>
      <c r="J567" s="125"/>
      <c r="K567" s="125"/>
      <c r="L567" s="125"/>
      <c r="M567" s="125"/>
      <c r="N567" s="125"/>
      <c r="O567" s="125"/>
      <c r="P567" s="125"/>
      <c r="Q567" s="125"/>
      <c r="R567" s="125"/>
      <c r="S567" s="125"/>
      <c r="T567" s="125"/>
      <c r="U567" s="125"/>
      <c r="V567" s="125"/>
      <c r="W567" s="125"/>
      <c r="X567" s="125"/>
      <c r="Y567" s="125"/>
      <c r="Z567" s="125"/>
      <c r="AA567" s="125"/>
    </row>
    <row r="568" spans="1:27" ht="13.5" customHeight="1" x14ac:dyDescent="0.25">
      <c r="A568" s="125"/>
      <c r="B568" s="125"/>
      <c r="C568" s="125"/>
      <c r="D568" s="125"/>
      <c r="E568" s="125"/>
      <c r="F568" s="125"/>
      <c r="G568" s="125"/>
      <c r="H568" s="125"/>
      <c r="I568" s="125"/>
      <c r="J568" s="125"/>
      <c r="K568" s="125"/>
      <c r="L568" s="125"/>
      <c r="M568" s="125"/>
      <c r="N568" s="125"/>
      <c r="O568" s="125"/>
      <c r="P568" s="125"/>
      <c r="Q568" s="125"/>
      <c r="R568" s="125"/>
      <c r="S568" s="125"/>
      <c r="T568" s="125"/>
      <c r="U568" s="125"/>
      <c r="V568" s="125"/>
      <c r="W568" s="125"/>
      <c r="X568" s="125"/>
      <c r="Y568" s="125"/>
      <c r="Z568" s="125"/>
      <c r="AA568" s="125"/>
    </row>
    <row r="569" spans="1:27" ht="13.5" customHeight="1" x14ac:dyDescent="0.25">
      <c r="A569" s="125"/>
      <c r="B569" s="125"/>
      <c r="C569" s="125"/>
      <c r="D569" s="125"/>
      <c r="E569" s="125"/>
      <c r="F569" s="125"/>
      <c r="G569" s="125"/>
      <c r="H569" s="125"/>
      <c r="I569" s="125"/>
      <c r="J569" s="125"/>
      <c r="K569" s="125"/>
      <c r="L569" s="125"/>
      <c r="M569" s="125"/>
      <c r="N569" s="125"/>
      <c r="O569" s="125"/>
      <c r="P569" s="125"/>
      <c r="Q569" s="125"/>
      <c r="R569" s="125"/>
      <c r="S569" s="125"/>
      <c r="T569" s="125"/>
      <c r="U569" s="125"/>
      <c r="V569" s="125"/>
      <c r="W569" s="125"/>
      <c r="X569" s="125"/>
      <c r="Y569" s="125"/>
      <c r="Z569" s="125"/>
      <c r="AA569" s="125"/>
    </row>
    <row r="570" spans="1:27" ht="13.5" customHeight="1" x14ac:dyDescent="0.25">
      <c r="A570" s="125"/>
      <c r="B570" s="125"/>
      <c r="C570" s="125"/>
      <c r="D570" s="125"/>
      <c r="E570" s="125"/>
      <c r="F570" s="125"/>
      <c r="G570" s="125"/>
      <c r="H570" s="125"/>
      <c r="I570" s="125"/>
      <c r="J570" s="125"/>
      <c r="K570" s="125"/>
      <c r="L570" s="125"/>
      <c r="M570" s="125"/>
      <c r="N570" s="125"/>
      <c r="O570" s="125"/>
      <c r="P570" s="125"/>
      <c r="Q570" s="125"/>
      <c r="R570" s="125"/>
      <c r="S570" s="125"/>
      <c r="T570" s="125"/>
      <c r="U570" s="125"/>
      <c r="V570" s="125"/>
      <c r="W570" s="125"/>
      <c r="X570" s="125"/>
      <c r="Y570" s="125"/>
      <c r="Z570" s="125"/>
      <c r="AA570" s="125"/>
    </row>
    <row r="571" spans="1:27" ht="13.5" customHeight="1" x14ac:dyDescent="0.25">
      <c r="A571" s="125"/>
      <c r="B571" s="125"/>
      <c r="C571" s="125"/>
      <c r="D571" s="125"/>
      <c r="E571" s="125"/>
      <c r="F571" s="125"/>
      <c r="G571" s="125"/>
      <c r="H571" s="125"/>
      <c r="I571" s="125"/>
      <c r="J571" s="125"/>
      <c r="K571" s="125"/>
      <c r="L571" s="125"/>
      <c r="M571" s="125"/>
      <c r="N571" s="125"/>
      <c r="O571" s="125"/>
      <c r="P571" s="125"/>
      <c r="Q571" s="125"/>
      <c r="R571" s="125"/>
      <c r="S571" s="125"/>
      <c r="T571" s="125"/>
      <c r="U571" s="125"/>
      <c r="V571" s="125"/>
      <c r="W571" s="125"/>
      <c r="X571" s="125"/>
      <c r="Y571" s="125"/>
      <c r="Z571" s="125"/>
      <c r="AA571" s="125"/>
    </row>
    <row r="572" spans="1:27" ht="13.5" customHeight="1" x14ac:dyDescent="0.25">
      <c r="A572" s="125"/>
      <c r="B572" s="125"/>
      <c r="C572" s="125"/>
      <c r="D572" s="125"/>
      <c r="E572" s="125"/>
      <c r="F572" s="125"/>
      <c r="G572" s="125"/>
      <c r="H572" s="125"/>
      <c r="I572" s="125"/>
      <c r="J572" s="125"/>
      <c r="K572" s="125"/>
      <c r="L572" s="125"/>
      <c r="M572" s="125"/>
      <c r="N572" s="125"/>
      <c r="O572" s="125"/>
      <c r="P572" s="125"/>
      <c r="Q572" s="125"/>
      <c r="R572" s="125"/>
      <c r="S572" s="125"/>
      <c r="T572" s="125"/>
      <c r="U572" s="125"/>
      <c r="V572" s="125"/>
      <c r="W572" s="125"/>
      <c r="X572" s="125"/>
      <c r="Y572" s="125"/>
      <c r="Z572" s="125"/>
      <c r="AA572" s="125"/>
    </row>
    <row r="573" spans="1:27" ht="13.5" customHeight="1" x14ac:dyDescent="0.25">
      <c r="A573" s="125"/>
      <c r="B573" s="125"/>
      <c r="C573" s="125"/>
      <c r="D573" s="125"/>
      <c r="E573" s="125"/>
      <c r="F573" s="125"/>
      <c r="G573" s="125"/>
      <c r="H573" s="125"/>
      <c r="I573" s="125"/>
      <c r="J573" s="125"/>
      <c r="K573" s="125"/>
      <c r="L573" s="125"/>
      <c r="M573" s="125"/>
      <c r="N573" s="125"/>
      <c r="O573" s="125"/>
      <c r="P573" s="125"/>
      <c r="Q573" s="125"/>
      <c r="R573" s="125"/>
      <c r="S573" s="125"/>
      <c r="T573" s="125"/>
      <c r="U573" s="125"/>
      <c r="V573" s="125"/>
      <c r="W573" s="125"/>
      <c r="X573" s="125"/>
      <c r="Y573" s="125"/>
      <c r="Z573" s="125"/>
      <c r="AA573" s="125"/>
    </row>
    <row r="574" spans="1:27" ht="13.5" customHeight="1" x14ac:dyDescent="0.25">
      <c r="A574" s="125"/>
      <c r="B574" s="125"/>
      <c r="C574" s="125"/>
      <c r="D574" s="125"/>
      <c r="E574" s="125"/>
      <c r="F574" s="125"/>
      <c r="G574" s="125"/>
      <c r="H574" s="125"/>
      <c r="I574" s="125"/>
      <c r="J574" s="125"/>
      <c r="K574" s="125"/>
      <c r="L574" s="125"/>
      <c r="M574" s="125"/>
      <c r="N574" s="125"/>
      <c r="O574" s="125"/>
      <c r="P574" s="125"/>
      <c r="Q574" s="125"/>
      <c r="R574" s="125"/>
      <c r="S574" s="125"/>
      <c r="T574" s="125"/>
      <c r="U574" s="125"/>
      <c r="V574" s="125"/>
      <c r="W574" s="125"/>
      <c r="X574" s="125"/>
      <c r="Y574" s="125"/>
      <c r="Z574" s="125"/>
      <c r="AA574" s="125"/>
    </row>
    <row r="575" spans="1:27" ht="13.5" customHeight="1" x14ac:dyDescent="0.25">
      <c r="A575" s="125"/>
      <c r="B575" s="125"/>
      <c r="C575" s="125"/>
      <c r="D575" s="125"/>
      <c r="E575" s="125"/>
      <c r="F575" s="125"/>
      <c r="G575" s="125"/>
      <c r="H575" s="125"/>
      <c r="I575" s="125"/>
      <c r="J575" s="125"/>
      <c r="K575" s="125"/>
      <c r="L575" s="125"/>
      <c r="M575" s="125"/>
      <c r="N575" s="125"/>
      <c r="O575" s="125"/>
      <c r="P575" s="125"/>
      <c r="Q575" s="125"/>
      <c r="R575" s="125"/>
      <c r="S575" s="125"/>
      <c r="T575" s="125"/>
      <c r="U575" s="125"/>
      <c r="V575" s="125"/>
      <c r="W575" s="125"/>
      <c r="X575" s="125"/>
      <c r="Y575" s="125"/>
      <c r="Z575" s="125"/>
      <c r="AA575" s="125"/>
    </row>
    <row r="576" spans="1:27" ht="13.5" customHeight="1" x14ac:dyDescent="0.25">
      <c r="A576" s="125"/>
      <c r="B576" s="125"/>
      <c r="C576" s="125"/>
      <c r="D576" s="125"/>
      <c r="E576" s="125"/>
      <c r="F576" s="125"/>
      <c r="G576" s="125"/>
      <c r="H576" s="125"/>
      <c r="I576" s="125"/>
      <c r="J576" s="125"/>
      <c r="K576" s="125"/>
      <c r="L576" s="125"/>
      <c r="M576" s="125"/>
      <c r="N576" s="125"/>
      <c r="O576" s="125"/>
      <c r="P576" s="125"/>
      <c r="Q576" s="125"/>
      <c r="R576" s="125"/>
      <c r="S576" s="125"/>
      <c r="T576" s="125"/>
      <c r="U576" s="125"/>
      <c r="V576" s="125"/>
      <c r="W576" s="125"/>
      <c r="X576" s="125"/>
      <c r="Y576" s="125"/>
      <c r="Z576" s="125"/>
      <c r="AA576" s="125"/>
    </row>
    <row r="577" spans="1:27" ht="13.5" customHeight="1" x14ac:dyDescent="0.25">
      <c r="A577" s="125"/>
      <c r="B577" s="125"/>
      <c r="C577" s="125"/>
      <c r="D577" s="125"/>
      <c r="E577" s="125"/>
      <c r="F577" s="125"/>
      <c r="G577" s="125"/>
      <c r="H577" s="125"/>
      <c r="I577" s="125"/>
      <c r="J577" s="125"/>
      <c r="K577" s="125"/>
      <c r="L577" s="125"/>
      <c r="M577" s="125"/>
      <c r="N577" s="125"/>
      <c r="O577" s="125"/>
      <c r="P577" s="125"/>
      <c r="Q577" s="125"/>
      <c r="R577" s="125"/>
      <c r="S577" s="125"/>
      <c r="T577" s="125"/>
      <c r="U577" s="125"/>
      <c r="V577" s="125"/>
      <c r="W577" s="125"/>
      <c r="X577" s="125"/>
      <c r="Y577" s="125"/>
      <c r="Z577" s="125"/>
      <c r="AA577" s="125"/>
    </row>
    <row r="578" spans="1:27" ht="13.5" customHeight="1" x14ac:dyDescent="0.25">
      <c r="A578" s="125"/>
      <c r="B578" s="125"/>
      <c r="C578" s="125"/>
      <c r="D578" s="125"/>
      <c r="E578" s="125"/>
      <c r="F578" s="125"/>
      <c r="G578" s="125"/>
      <c r="H578" s="125"/>
      <c r="I578" s="125"/>
      <c r="J578" s="125"/>
      <c r="K578" s="125"/>
      <c r="L578" s="125"/>
      <c r="M578" s="125"/>
      <c r="N578" s="125"/>
      <c r="O578" s="125"/>
      <c r="P578" s="125"/>
      <c r="Q578" s="125"/>
      <c r="R578" s="125"/>
      <c r="S578" s="125"/>
      <c r="T578" s="125"/>
      <c r="U578" s="125"/>
      <c r="V578" s="125"/>
      <c r="W578" s="125"/>
      <c r="X578" s="125"/>
      <c r="Y578" s="125"/>
      <c r="Z578" s="125"/>
      <c r="AA578" s="125"/>
    </row>
    <row r="579" spans="1:27" ht="13.5" customHeight="1" x14ac:dyDescent="0.25">
      <c r="A579" s="125"/>
      <c r="B579" s="125"/>
      <c r="C579" s="125"/>
      <c r="D579" s="125"/>
      <c r="E579" s="125"/>
      <c r="F579" s="125"/>
      <c r="G579" s="125"/>
      <c r="H579" s="125"/>
      <c r="I579" s="125"/>
      <c r="J579" s="125"/>
      <c r="K579" s="125"/>
      <c r="L579" s="125"/>
      <c r="M579" s="125"/>
      <c r="N579" s="125"/>
      <c r="O579" s="125"/>
      <c r="P579" s="125"/>
      <c r="Q579" s="125"/>
      <c r="R579" s="125"/>
      <c r="S579" s="125"/>
      <c r="T579" s="125"/>
      <c r="U579" s="125"/>
      <c r="V579" s="125"/>
      <c r="W579" s="125"/>
      <c r="X579" s="125"/>
      <c r="Y579" s="125"/>
      <c r="Z579" s="125"/>
      <c r="AA579" s="125"/>
    </row>
    <row r="580" spans="1:27" ht="13.5" customHeight="1" x14ac:dyDescent="0.25">
      <c r="A580" s="125"/>
      <c r="B580" s="125"/>
      <c r="C580" s="125"/>
      <c r="D580" s="125"/>
      <c r="E580" s="125"/>
      <c r="F580" s="125"/>
      <c r="G580" s="125"/>
      <c r="H580" s="125"/>
      <c r="I580" s="125"/>
      <c r="J580" s="125"/>
      <c r="K580" s="125"/>
      <c r="L580" s="125"/>
      <c r="M580" s="125"/>
      <c r="N580" s="125"/>
      <c r="O580" s="125"/>
      <c r="P580" s="125"/>
      <c r="Q580" s="125"/>
      <c r="R580" s="125"/>
      <c r="S580" s="125"/>
      <c r="T580" s="125"/>
      <c r="U580" s="125"/>
      <c r="V580" s="125"/>
      <c r="W580" s="125"/>
      <c r="X580" s="125"/>
      <c r="Y580" s="125"/>
      <c r="Z580" s="125"/>
      <c r="AA580" s="125"/>
    </row>
    <row r="581" spans="1:27" ht="13.5" customHeight="1" x14ac:dyDescent="0.25">
      <c r="A581" s="125"/>
      <c r="B581" s="125"/>
      <c r="C581" s="125"/>
      <c r="D581" s="125"/>
      <c r="E581" s="125"/>
      <c r="F581" s="125"/>
      <c r="G581" s="125"/>
      <c r="H581" s="125"/>
      <c r="I581" s="125"/>
      <c r="J581" s="125"/>
      <c r="K581" s="125"/>
      <c r="L581" s="125"/>
      <c r="M581" s="125"/>
      <c r="N581" s="125"/>
      <c r="O581" s="125"/>
      <c r="P581" s="125"/>
      <c r="Q581" s="125"/>
      <c r="R581" s="125"/>
      <c r="S581" s="125"/>
      <c r="T581" s="125"/>
      <c r="U581" s="125"/>
      <c r="V581" s="125"/>
      <c r="W581" s="125"/>
      <c r="X581" s="125"/>
      <c r="Y581" s="125"/>
      <c r="Z581" s="125"/>
      <c r="AA581" s="125"/>
    </row>
    <row r="582" spans="1:27" ht="13.5" customHeight="1" x14ac:dyDescent="0.25">
      <c r="A582" s="125"/>
      <c r="B582" s="125"/>
      <c r="C582" s="125"/>
      <c r="D582" s="125"/>
      <c r="E582" s="125"/>
      <c r="F582" s="125"/>
      <c r="G582" s="125"/>
      <c r="H582" s="125"/>
      <c r="I582" s="125"/>
      <c r="J582" s="125"/>
      <c r="K582" s="125"/>
      <c r="L582" s="125"/>
      <c r="M582" s="125"/>
      <c r="N582" s="125"/>
      <c r="O582" s="125"/>
      <c r="P582" s="125"/>
      <c r="Q582" s="125"/>
      <c r="R582" s="125"/>
      <c r="S582" s="125"/>
      <c r="T582" s="125"/>
      <c r="U582" s="125"/>
      <c r="V582" s="125"/>
      <c r="W582" s="125"/>
      <c r="X582" s="125"/>
      <c r="Y582" s="125"/>
      <c r="Z582" s="125"/>
      <c r="AA582" s="125"/>
    </row>
    <row r="583" spans="1:27" ht="13.5" customHeight="1" x14ac:dyDescent="0.25">
      <c r="A583" s="125"/>
      <c r="B583" s="125"/>
      <c r="C583" s="125"/>
      <c r="D583" s="125"/>
      <c r="E583" s="125"/>
      <c r="F583" s="125"/>
      <c r="G583" s="125"/>
      <c r="H583" s="125"/>
      <c r="I583" s="125"/>
      <c r="J583" s="125"/>
      <c r="K583" s="125"/>
      <c r="L583" s="125"/>
      <c r="M583" s="125"/>
      <c r="N583" s="125"/>
      <c r="O583" s="125"/>
      <c r="P583" s="125"/>
      <c r="Q583" s="125"/>
      <c r="R583" s="125"/>
      <c r="S583" s="125"/>
      <c r="T583" s="125"/>
      <c r="U583" s="125"/>
      <c r="V583" s="125"/>
      <c r="W583" s="125"/>
      <c r="X583" s="125"/>
      <c r="Y583" s="125"/>
      <c r="Z583" s="125"/>
      <c r="AA583" s="125"/>
    </row>
    <row r="584" spans="1:27" ht="13.5" customHeight="1" x14ac:dyDescent="0.25">
      <c r="A584" s="125"/>
      <c r="B584" s="125"/>
      <c r="C584" s="125"/>
      <c r="D584" s="125"/>
      <c r="E584" s="125"/>
      <c r="F584" s="125"/>
      <c r="G584" s="125"/>
      <c r="H584" s="125"/>
      <c r="I584" s="125"/>
      <c r="J584" s="125"/>
      <c r="K584" s="125"/>
      <c r="L584" s="125"/>
      <c r="M584" s="125"/>
      <c r="N584" s="125"/>
      <c r="O584" s="125"/>
      <c r="P584" s="125"/>
      <c r="Q584" s="125"/>
      <c r="R584" s="125"/>
      <c r="S584" s="125"/>
      <c r="T584" s="125"/>
      <c r="U584" s="125"/>
      <c r="V584" s="125"/>
      <c r="W584" s="125"/>
      <c r="X584" s="125"/>
      <c r="Y584" s="125"/>
      <c r="Z584" s="125"/>
      <c r="AA584" s="125"/>
    </row>
    <row r="585" spans="1:27" ht="13.5" customHeight="1" x14ac:dyDescent="0.25">
      <c r="A585" s="125"/>
      <c r="B585" s="125"/>
      <c r="C585" s="125"/>
      <c r="D585" s="125"/>
      <c r="E585" s="125"/>
      <c r="F585" s="125"/>
      <c r="G585" s="125"/>
      <c r="H585" s="125"/>
      <c r="I585" s="125"/>
      <c r="J585" s="125"/>
      <c r="K585" s="125"/>
      <c r="L585" s="125"/>
      <c r="M585" s="125"/>
      <c r="N585" s="125"/>
      <c r="O585" s="125"/>
      <c r="P585" s="125"/>
      <c r="Q585" s="125"/>
      <c r="R585" s="125"/>
      <c r="S585" s="125"/>
      <c r="T585" s="125"/>
      <c r="U585" s="125"/>
      <c r="V585" s="125"/>
      <c r="W585" s="125"/>
      <c r="X585" s="125"/>
      <c r="Y585" s="125"/>
      <c r="Z585" s="125"/>
      <c r="AA585" s="125"/>
    </row>
    <row r="586" spans="1:27" ht="13.5" customHeight="1" x14ac:dyDescent="0.25">
      <c r="A586" s="125"/>
      <c r="B586" s="125"/>
      <c r="C586" s="125"/>
      <c r="D586" s="125"/>
      <c r="E586" s="125"/>
      <c r="F586" s="125"/>
      <c r="G586" s="125"/>
      <c r="H586" s="125"/>
      <c r="I586" s="125"/>
      <c r="J586" s="125"/>
      <c r="K586" s="125"/>
      <c r="L586" s="125"/>
      <c r="M586" s="125"/>
      <c r="N586" s="125"/>
      <c r="O586" s="125"/>
      <c r="P586" s="125"/>
      <c r="Q586" s="125"/>
      <c r="R586" s="125"/>
      <c r="S586" s="125"/>
      <c r="T586" s="125"/>
      <c r="U586" s="125"/>
      <c r="V586" s="125"/>
      <c r="W586" s="125"/>
      <c r="X586" s="125"/>
      <c r="Y586" s="125"/>
      <c r="Z586" s="125"/>
      <c r="AA586" s="125"/>
    </row>
    <row r="587" spans="1:27" ht="13.5" customHeight="1" x14ac:dyDescent="0.25">
      <c r="A587" s="125"/>
      <c r="B587" s="125"/>
      <c r="C587" s="125"/>
      <c r="D587" s="125"/>
      <c r="E587" s="125"/>
      <c r="F587" s="125"/>
      <c r="G587" s="125"/>
      <c r="H587" s="125"/>
      <c r="I587" s="125"/>
      <c r="J587" s="125"/>
      <c r="K587" s="125"/>
      <c r="L587" s="125"/>
      <c r="M587" s="125"/>
      <c r="N587" s="125"/>
      <c r="O587" s="125"/>
      <c r="P587" s="125"/>
      <c r="Q587" s="125"/>
      <c r="R587" s="125"/>
      <c r="S587" s="125"/>
      <c r="T587" s="125"/>
      <c r="U587" s="125"/>
      <c r="V587" s="125"/>
      <c r="W587" s="125"/>
      <c r="X587" s="125"/>
      <c r="Y587" s="125"/>
      <c r="Z587" s="125"/>
      <c r="AA587" s="125"/>
    </row>
    <row r="588" spans="1:27" ht="13.5" customHeight="1" x14ac:dyDescent="0.25">
      <c r="A588" s="125"/>
      <c r="B588" s="125"/>
      <c r="C588" s="125"/>
      <c r="D588" s="125"/>
      <c r="E588" s="125"/>
      <c r="F588" s="125"/>
      <c r="G588" s="125"/>
      <c r="H588" s="125"/>
      <c r="I588" s="125"/>
      <c r="J588" s="125"/>
      <c r="K588" s="125"/>
      <c r="L588" s="125"/>
      <c r="M588" s="125"/>
      <c r="N588" s="125"/>
      <c r="O588" s="125"/>
      <c r="P588" s="125"/>
      <c r="Q588" s="125"/>
      <c r="R588" s="125"/>
      <c r="S588" s="125"/>
      <c r="T588" s="125"/>
      <c r="U588" s="125"/>
      <c r="V588" s="125"/>
      <c r="W588" s="125"/>
      <c r="X588" s="125"/>
      <c r="Y588" s="125"/>
      <c r="Z588" s="125"/>
      <c r="AA588" s="125"/>
    </row>
    <row r="589" spans="1:27" ht="13.5" customHeight="1" x14ac:dyDescent="0.25">
      <c r="A589" s="125"/>
      <c r="B589" s="125"/>
      <c r="C589" s="125"/>
      <c r="D589" s="125"/>
      <c r="E589" s="125"/>
      <c r="F589" s="125"/>
      <c r="G589" s="125"/>
      <c r="H589" s="125"/>
      <c r="I589" s="125"/>
      <c r="J589" s="125"/>
      <c r="K589" s="125"/>
      <c r="L589" s="125"/>
      <c r="M589" s="125"/>
      <c r="N589" s="125"/>
      <c r="O589" s="125"/>
      <c r="P589" s="125"/>
      <c r="Q589" s="125"/>
      <c r="R589" s="125"/>
      <c r="S589" s="125"/>
      <c r="T589" s="125"/>
      <c r="U589" s="125"/>
      <c r="V589" s="125"/>
      <c r="W589" s="125"/>
      <c r="X589" s="125"/>
      <c r="Y589" s="125"/>
      <c r="Z589" s="125"/>
      <c r="AA589" s="125"/>
    </row>
    <row r="590" spans="1:27" ht="13.5" customHeight="1" x14ac:dyDescent="0.25">
      <c r="A590" s="125"/>
      <c r="B590" s="125"/>
      <c r="C590" s="125"/>
      <c r="D590" s="125"/>
      <c r="E590" s="125"/>
      <c r="F590" s="125"/>
      <c r="G590" s="125"/>
      <c r="H590" s="125"/>
      <c r="I590" s="125"/>
      <c r="J590" s="125"/>
      <c r="K590" s="125"/>
      <c r="L590" s="125"/>
      <c r="M590" s="125"/>
      <c r="N590" s="125"/>
      <c r="O590" s="125"/>
      <c r="P590" s="125"/>
      <c r="Q590" s="125"/>
      <c r="R590" s="125"/>
      <c r="S590" s="125"/>
      <c r="T590" s="125"/>
      <c r="U590" s="125"/>
      <c r="V590" s="125"/>
      <c r="W590" s="125"/>
      <c r="X590" s="125"/>
      <c r="Y590" s="125"/>
      <c r="Z590" s="125"/>
      <c r="AA590" s="125"/>
    </row>
    <row r="591" spans="1:27" ht="13.5" customHeight="1" x14ac:dyDescent="0.25">
      <c r="A591" s="125"/>
      <c r="B591" s="125"/>
      <c r="C591" s="125"/>
      <c r="D591" s="125"/>
      <c r="E591" s="125"/>
      <c r="F591" s="125"/>
      <c r="G591" s="125"/>
      <c r="H591" s="125"/>
      <c r="I591" s="125"/>
      <c r="J591" s="125"/>
      <c r="K591" s="125"/>
      <c r="L591" s="125"/>
      <c r="M591" s="125"/>
      <c r="N591" s="125"/>
      <c r="O591" s="125"/>
      <c r="P591" s="125"/>
      <c r="Q591" s="125"/>
      <c r="R591" s="125"/>
      <c r="S591" s="125"/>
      <c r="T591" s="125"/>
      <c r="U591" s="125"/>
      <c r="V591" s="125"/>
      <c r="W591" s="125"/>
      <c r="X591" s="125"/>
      <c r="Y591" s="125"/>
      <c r="Z591" s="125"/>
      <c r="AA591" s="125"/>
    </row>
    <row r="592" spans="1:27" ht="13.5" customHeight="1" x14ac:dyDescent="0.25">
      <c r="A592" s="125"/>
      <c r="B592" s="125"/>
      <c r="C592" s="125"/>
      <c r="D592" s="125"/>
      <c r="E592" s="125"/>
      <c r="F592" s="125"/>
      <c r="G592" s="125"/>
      <c r="H592" s="125"/>
      <c r="I592" s="125"/>
      <c r="J592" s="125"/>
      <c r="K592" s="125"/>
      <c r="L592" s="125"/>
      <c r="M592" s="125"/>
      <c r="N592" s="125"/>
      <c r="O592" s="125"/>
      <c r="P592" s="125"/>
      <c r="Q592" s="125"/>
      <c r="R592" s="125"/>
      <c r="S592" s="125"/>
      <c r="T592" s="125"/>
      <c r="U592" s="125"/>
      <c r="V592" s="125"/>
      <c r="W592" s="125"/>
      <c r="X592" s="125"/>
      <c r="Y592" s="125"/>
      <c r="Z592" s="125"/>
      <c r="AA592" s="125"/>
    </row>
    <row r="593" spans="1:27" ht="13.5" customHeight="1" x14ac:dyDescent="0.25">
      <c r="A593" s="125"/>
      <c r="B593" s="125"/>
      <c r="C593" s="125"/>
      <c r="D593" s="125"/>
      <c r="E593" s="125"/>
      <c r="F593" s="125"/>
      <c r="G593" s="125"/>
      <c r="H593" s="125"/>
      <c r="I593" s="125"/>
      <c r="J593" s="125"/>
      <c r="K593" s="125"/>
      <c r="L593" s="125"/>
      <c r="M593" s="125"/>
      <c r="N593" s="125"/>
      <c r="O593" s="125"/>
      <c r="P593" s="125"/>
      <c r="Q593" s="125"/>
      <c r="R593" s="125"/>
      <c r="S593" s="125"/>
      <c r="T593" s="125"/>
      <c r="U593" s="125"/>
      <c r="V593" s="125"/>
      <c r="W593" s="125"/>
      <c r="X593" s="125"/>
      <c r="Y593" s="125"/>
      <c r="Z593" s="125"/>
      <c r="AA593" s="125"/>
    </row>
    <row r="594" spans="1:27" ht="13.5" customHeight="1" x14ac:dyDescent="0.25">
      <c r="A594" s="125"/>
      <c r="B594" s="125"/>
      <c r="C594" s="125"/>
      <c r="D594" s="125"/>
      <c r="E594" s="125"/>
      <c r="F594" s="125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125"/>
      <c r="V594" s="125"/>
      <c r="W594" s="125"/>
      <c r="X594" s="125"/>
      <c r="Y594" s="125"/>
      <c r="Z594" s="125"/>
      <c r="AA594" s="125"/>
    </row>
    <row r="595" spans="1:27" ht="13.5" customHeight="1" x14ac:dyDescent="0.25">
      <c r="A595" s="125"/>
      <c r="B595" s="125"/>
      <c r="C595" s="125"/>
      <c r="D595" s="125"/>
      <c r="E595" s="125"/>
      <c r="F595" s="125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125"/>
      <c r="V595" s="125"/>
      <c r="W595" s="125"/>
      <c r="X595" s="125"/>
      <c r="Y595" s="125"/>
      <c r="Z595" s="125"/>
      <c r="AA595" s="125"/>
    </row>
    <row r="596" spans="1:27" ht="13.5" customHeight="1" x14ac:dyDescent="0.25">
      <c r="A596" s="125"/>
      <c r="B596" s="125"/>
      <c r="C596" s="125"/>
      <c r="D596" s="125"/>
      <c r="E596" s="125"/>
      <c r="F596" s="125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125"/>
      <c r="V596" s="125"/>
      <c r="W596" s="125"/>
      <c r="X596" s="125"/>
      <c r="Y596" s="125"/>
      <c r="Z596" s="125"/>
      <c r="AA596" s="125"/>
    </row>
    <row r="597" spans="1:27" ht="13.5" customHeight="1" x14ac:dyDescent="0.25">
      <c r="A597" s="125"/>
      <c r="B597" s="125"/>
      <c r="C597" s="125"/>
      <c r="D597" s="125"/>
      <c r="E597" s="125"/>
      <c r="F597" s="125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125"/>
      <c r="V597" s="125"/>
      <c r="W597" s="125"/>
      <c r="X597" s="125"/>
      <c r="Y597" s="125"/>
      <c r="Z597" s="125"/>
      <c r="AA597" s="125"/>
    </row>
    <row r="598" spans="1:27" ht="13.5" customHeight="1" x14ac:dyDescent="0.25">
      <c r="A598" s="125"/>
      <c r="B598" s="125"/>
      <c r="C598" s="125"/>
      <c r="D598" s="125"/>
      <c r="E598" s="125"/>
      <c r="F598" s="125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125"/>
      <c r="V598" s="125"/>
      <c r="W598" s="125"/>
      <c r="X598" s="125"/>
      <c r="Y598" s="125"/>
      <c r="Z598" s="125"/>
      <c r="AA598" s="125"/>
    </row>
    <row r="599" spans="1:27" ht="13.5" customHeight="1" x14ac:dyDescent="0.25">
      <c r="A599" s="125"/>
      <c r="B599" s="125"/>
      <c r="C599" s="125"/>
      <c r="D599" s="125"/>
      <c r="E599" s="125"/>
      <c r="F599" s="125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125"/>
      <c r="V599" s="125"/>
      <c r="W599" s="125"/>
      <c r="X599" s="125"/>
      <c r="Y599" s="125"/>
      <c r="Z599" s="125"/>
      <c r="AA599" s="125"/>
    </row>
    <row r="600" spans="1:27" ht="13.5" customHeight="1" x14ac:dyDescent="0.25">
      <c r="A600" s="125"/>
      <c r="B600" s="125"/>
      <c r="C600" s="125"/>
      <c r="D600" s="125"/>
      <c r="E600" s="125"/>
      <c r="F600" s="125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125"/>
      <c r="V600" s="125"/>
      <c r="W600" s="125"/>
      <c r="X600" s="125"/>
      <c r="Y600" s="125"/>
      <c r="Z600" s="125"/>
      <c r="AA600" s="125"/>
    </row>
    <row r="601" spans="1:27" ht="13.5" customHeight="1" x14ac:dyDescent="0.25">
      <c r="A601" s="125"/>
      <c r="B601" s="125"/>
      <c r="C601" s="125"/>
      <c r="D601" s="125"/>
      <c r="E601" s="125"/>
      <c r="F601" s="125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125"/>
      <c r="V601" s="125"/>
      <c r="W601" s="125"/>
      <c r="X601" s="125"/>
      <c r="Y601" s="125"/>
      <c r="Z601" s="125"/>
      <c r="AA601" s="125"/>
    </row>
    <row r="602" spans="1:27" ht="13.5" customHeight="1" x14ac:dyDescent="0.25">
      <c r="A602" s="125"/>
      <c r="B602" s="125"/>
      <c r="C602" s="125"/>
      <c r="D602" s="125"/>
      <c r="E602" s="125"/>
      <c r="F602" s="125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125"/>
      <c r="V602" s="125"/>
      <c r="W602" s="125"/>
      <c r="X602" s="125"/>
      <c r="Y602" s="125"/>
      <c r="Z602" s="125"/>
      <c r="AA602" s="125"/>
    </row>
    <row r="603" spans="1:27" ht="13.5" customHeight="1" x14ac:dyDescent="0.25">
      <c r="A603" s="125"/>
      <c r="B603" s="125"/>
      <c r="C603" s="125"/>
      <c r="D603" s="125"/>
      <c r="E603" s="125"/>
      <c r="F603" s="125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125"/>
      <c r="V603" s="125"/>
      <c r="W603" s="125"/>
      <c r="X603" s="125"/>
      <c r="Y603" s="125"/>
      <c r="Z603" s="125"/>
      <c r="AA603" s="125"/>
    </row>
    <row r="604" spans="1:27" ht="13.5" customHeight="1" x14ac:dyDescent="0.25">
      <c r="A604" s="125"/>
      <c r="B604" s="125"/>
      <c r="C604" s="125"/>
      <c r="D604" s="125"/>
      <c r="E604" s="125"/>
      <c r="F604" s="125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125"/>
      <c r="V604" s="125"/>
      <c r="W604" s="125"/>
      <c r="X604" s="125"/>
      <c r="Y604" s="125"/>
      <c r="Z604" s="125"/>
      <c r="AA604" s="125"/>
    </row>
    <row r="605" spans="1:27" ht="13.5" customHeight="1" x14ac:dyDescent="0.25">
      <c r="A605" s="125"/>
      <c r="B605" s="125"/>
      <c r="C605" s="125"/>
      <c r="D605" s="125"/>
      <c r="E605" s="125"/>
      <c r="F605" s="125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125"/>
      <c r="V605" s="125"/>
      <c r="W605" s="125"/>
      <c r="X605" s="125"/>
      <c r="Y605" s="125"/>
      <c r="Z605" s="125"/>
      <c r="AA605" s="125"/>
    </row>
    <row r="606" spans="1:27" ht="13.5" customHeight="1" x14ac:dyDescent="0.25">
      <c r="A606" s="125"/>
      <c r="B606" s="125"/>
      <c r="C606" s="125"/>
      <c r="D606" s="125"/>
      <c r="E606" s="125"/>
      <c r="F606" s="125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125"/>
      <c r="V606" s="125"/>
      <c r="W606" s="125"/>
      <c r="X606" s="125"/>
      <c r="Y606" s="125"/>
      <c r="Z606" s="125"/>
      <c r="AA606" s="125"/>
    </row>
    <row r="607" spans="1:27" ht="13.5" customHeight="1" x14ac:dyDescent="0.25">
      <c r="A607" s="125"/>
      <c r="B607" s="125"/>
      <c r="C607" s="125"/>
      <c r="D607" s="125"/>
      <c r="E607" s="125"/>
      <c r="F607" s="125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125"/>
      <c r="V607" s="125"/>
      <c r="W607" s="125"/>
      <c r="X607" s="125"/>
      <c r="Y607" s="125"/>
      <c r="Z607" s="125"/>
      <c r="AA607" s="125"/>
    </row>
    <row r="608" spans="1:27" ht="13.5" customHeight="1" x14ac:dyDescent="0.25">
      <c r="A608" s="125"/>
      <c r="B608" s="125"/>
      <c r="C608" s="125"/>
      <c r="D608" s="125"/>
      <c r="E608" s="125"/>
      <c r="F608" s="125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125"/>
      <c r="V608" s="125"/>
      <c r="W608" s="125"/>
      <c r="X608" s="125"/>
      <c r="Y608" s="125"/>
      <c r="Z608" s="125"/>
      <c r="AA608" s="125"/>
    </row>
    <row r="609" spans="1:27" ht="13.5" customHeight="1" x14ac:dyDescent="0.25">
      <c r="A609" s="125"/>
      <c r="B609" s="125"/>
      <c r="C609" s="125"/>
      <c r="D609" s="125"/>
      <c r="E609" s="125"/>
      <c r="F609" s="125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125"/>
      <c r="V609" s="125"/>
      <c r="W609" s="125"/>
      <c r="X609" s="125"/>
      <c r="Y609" s="125"/>
      <c r="Z609" s="125"/>
      <c r="AA609" s="125"/>
    </row>
    <row r="610" spans="1:27" ht="13.5" customHeight="1" x14ac:dyDescent="0.25">
      <c r="A610" s="125"/>
      <c r="B610" s="125"/>
      <c r="C610" s="125"/>
      <c r="D610" s="125"/>
      <c r="E610" s="125"/>
      <c r="F610" s="125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125"/>
      <c r="V610" s="125"/>
      <c r="W610" s="125"/>
      <c r="X610" s="125"/>
      <c r="Y610" s="125"/>
      <c r="Z610" s="125"/>
      <c r="AA610" s="125"/>
    </row>
    <row r="611" spans="1:27" ht="13.5" customHeight="1" x14ac:dyDescent="0.25">
      <c r="A611" s="125"/>
      <c r="B611" s="125"/>
      <c r="C611" s="125"/>
      <c r="D611" s="125"/>
      <c r="E611" s="125"/>
      <c r="F611" s="125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125"/>
      <c r="V611" s="125"/>
      <c r="W611" s="125"/>
      <c r="X611" s="125"/>
      <c r="Y611" s="125"/>
      <c r="Z611" s="125"/>
      <c r="AA611" s="125"/>
    </row>
    <row r="612" spans="1:27" ht="13.5" customHeight="1" x14ac:dyDescent="0.25">
      <c r="A612" s="125"/>
      <c r="B612" s="125"/>
      <c r="C612" s="125"/>
      <c r="D612" s="125"/>
      <c r="E612" s="125"/>
      <c r="F612" s="125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125"/>
      <c r="V612" s="125"/>
      <c r="W612" s="125"/>
      <c r="X612" s="125"/>
      <c r="Y612" s="125"/>
      <c r="Z612" s="125"/>
      <c r="AA612" s="125"/>
    </row>
    <row r="613" spans="1:27" ht="13.5" customHeight="1" x14ac:dyDescent="0.25">
      <c r="A613" s="125"/>
      <c r="B613" s="125"/>
      <c r="C613" s="125"/>
      <c r="D613" s="125"/>
      <c r="E613" s="125"/>
      <c r="F613" s="125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125"/>
      <c r="V613" s="125"/>
      <c r="W613" s="125"/>
      <c r="X613" s="125"/>
      <c r="Y613" s="125"/>
      <c r="Z613" s="125"/>
      <c r="AA613" s="125"/>
    </row>
    <row r="614" spans="1:27" ht="13.5" customHeight="1" x14ac:dyDescent="0.25">
      <c r="A614" s="125"/>
      <c r="B614" s="125"/>
      <c r="C614" s="125"/>
      <c r="D614" s="125"/>
      <c r="E614" s="125"/>
      <c r="F614" s="125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125"/>
      <c r="V614" s="125"/>
      <c r="W614" s="125"/>
      <c r="X614" s="125"/>
      <c r="Y614" s="125"/>
      <c r="Z614" s="125"/>
      <c r="AA614" s="125"/>
    </row>
    <row r="615" spans="1:27" ht="13.5" customHeight="1" x14ac:dyDescent="0.25">
      <c r="A615" s="125"/>
      <c r="B615" s="125"/>
      <c r="C615" s="125"/>
      <c r="D615" s="125"/>
      <c r="E615" s="125"/>
      <c r="F615" s="125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125"/>
      <c r="V615" s="125"/>
      <c r="W615" s="125"/>
      <c r="X615" s="125"/>
      <c r="Y615" s="125"/>
      <c r="Z615" s="125"/>
      <c r="AA615" s="125"/>
    </row>
    <row r="616" spans="1:27" ht="13.5" customHeight="1" x14ac:dyDescent="0.25">
      <c r="A616" s="125"/>
      <c r="B616" s="125"/>
      <c r="C616" s="125"/>
      <c r="D616" s="125"/>
      <c r="E616" s="125"/>
      <c r="F616" s="125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125"/>
      <c r="V616" s="125"/>
      <c r="W616" s="125"/>
      <c r="X616" s="125"/>
      <c r="Y616" s="125"/>
      <c r="Z616" s="125"/>
      <c r="AA616" s="125"/>
    </row>
    <row r="617" spans="1:27" ht="13.5" customHeight="1" x14ac:dyDescent="0.25">
      <c r="A617" s="125"/>
      <c r="B617" s="125"/>
      <c r="C617" s="125"/>
      <c r="D617" s="125"/>
      <c r="E617" s="125"/>
      <c r="F617" s="125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125"/>
      <c r="V617" s="125"/>
      <c r="W617" s="125"/>
      <c r="X617" s="125"/>
      <c r="Y617" s="125"/>
      <c r="Z617" s="125"/>
      <c r="AA617" s="125"/>
    </row>
    <row r="618" spans="1:27" ht="13.5" customHeight="1" x14ac:dyDescent="0.25">
      <c r="A618" s="125"/>
      <c r="B618" s="125"/>
      <c r="C618" s="125"/>
      <c r="D618" s="125"/>
      <c r="E618" s="125"/>
      <c r="F618" s="125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125"/>
      <c r="V618" s="125"/>
      <c r="W618" s="125"/>
      <c r="X618" s="125"/>
      <c r="Y618" s="125"/>
      <c r="Z618" s="125"/>
      <c r="AA618" s="125"/>
    </row>
    <row r="619" spans="1:27" ht="13.5" customHeight="1" x14ac:dyDescent="0.25">
      <c r="A619" s="125"/>
      <c r="B619" s="125"/>
      <c r="C619" s="125"/>
      <c r="D619" s="125"/>
      <c r="E619" s="125"/>
      <c r="F619" s="125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125"/>
      <c r="V619" s="125"/>
      <c r="W619" s="125"/>
      <c r="X619" s="125"/>
      <c r="Y619" s="125"/>
      <c r="Z619" s="125"/>
      <c r="AA619" s="125"/>
    </row>
    <row r="620" spans="1:27" ht="13.5" customHeight="1" x14ac:dyDescent="0.25">
      <c r="A620" s="125"/>
      <c r="B620" s="125"/>
      <c r="C620" s="125"/>
      <c r="D620" s="125"/>
      <c r="E620" s="125"/>
      <c r="F620" s="125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125"/>
      <c r="V620" s="125"/>
      <c r="W620" s="125"/>
      <c r="X620" s="125"/>
      <c r="Y620" s="125"/>
      <c r="Z620" s="125"/>
      <c r="AA620" s="125"/>
    </row>
    <row r="621" spans="1:27" ht="13.5" customHeight="1" x14ac:dyDescent="0.25">
      <c r="A621" s="125"/>
      <c r="B621" s="125"/>
      <c r="C621" s="125"/>
      <c r="D621" s="125"/>
      <c r="E621" s="125"/>
      <c r="F621" s="125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125"/>
      <c r="V621" s="125"/>
      <c r="W621" s="125"/>
      <c r="X621" s="125"/>
      <c r="Y621" s="125"/>
      <c r="Z621" s="125"/>
      <c r="AA621" s="125"/>
    </row>
    <row r="622" spans="1:27" ht="13.5" customHeight="1" x14ac:dyDescent="0.25">
      <c r="A622" s="125"/>
      <c r="B622" s="125"/>
      <c r="C622" s="125"/>
      <c r="D622" s="125"/>
      <c r="E622" s="125"/>
      <c r="F622" s="125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125"/>
      <c r="V622" s="125"/>
      <c r="W622" s="125"/>
      <c r="X622" s="125"/>
      <c r="Y622" s="125"/>
      <c r="Z622" s="125"/>
      <c r="AA622" s="125"/>
    </row>
    <row r="623" spans="1:27" ht="13.5" customHeight="1" x14ac:dyDescent="0.25">
      <c r="A623" s="125"/>
      <c r="B623" s="125"/>
      <c r="C623" s="125"/>
      <c r="D623" s="125"/>
      <c r="E623" s="125"/>
      <c r="F623" s="125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125"/>
      <c r="V623" s="125"/>
      <c r="W623" s="125"/>
      <c r="X623" s="125"/>
      <c r="Y623" s="125"/>
      <c r="Z623" s="125"/>
      <c r="AA623" s="125"/>
    </row>
    <row r="624" spans="1:27" ht="13.5" customHeight="1" x14ac:dyDescent="0.25">
      <c r="A624" s="125"/>
      <c r="B624" s="125"/>
      <c r="C624" s="125"/>
      <c r="D624" s="125"/>
      <c r="E624" s="125"/>
      <c r="F624" s="125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125"/>
      <c r="V624" s="125"/>
      <c r="W624" s="125"/>
      <c r="X624" s="125"/>
      <c r="Y624" s="125"/>
      <c r="Z624" s="125"/>
      <c r="AA624" s="125"/>
    </row>
    <row r="625" spans="1:27" ht="13.5" customHeight="1" x14ac:dyDescent="0.25">
      <c r="A625" s="125"/>
      <c r="B625" s="125"/>
      <c r="C625" s="125"/>
      <c r="D625" s="125"/>
      <c r="E625" s="125"/>
      <c r="F625" s="125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125"/>
      <c r="V625" s="125"/>
      <c r="W625" s="125"/>
      <c r="X625" s="125"/>
      <c r="Y625" s="125"/>
      <c r="Z625" s="125"/>
      <c r="AA625" s="125"/>
    </row>
    <row r="626" spans="1:27" ht="13.5" customHeight="1" x14ac:dyDescent="0.25">
      <c r="A626" s="125"/>
      <c r="B626" s="125"/>
      <c r="C626" s="125"/>
      <c r="D626" s="125"/>
      <c r="E626" s="125"/>
      <c r="F626" s="125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125"/>
      <c r="V626" s="125"/>
      <c r="W626" s="125"/>
      <c r="X626" s="125"/>
      <c r="Y626" s="125"/>
      <c r="Z626" s="125"/>
      <c r="AA626" s="125"/>
    </row>
    <row r="627" spans="1:27" ht="13.5" customHeight="1" x14ac:dyDescent="0.25">
      <c r="A627" s="125"/>
      <c r="B627" s="125"/>
      <c r="C627" s="125"/>
      <c r="D627" s="125"/>
      <c r="E627" s="125"/>
      <c r="F627" s="125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125"/>
      <c r="V627" s="125"/>
      <c r="W627" s="125"/>
      <c r="X627" s="125"/>
      <c r="Y627" s="125"/>
      <c r="Z627" s="125"/>
      <c r="AA627" s="125"/>
    </row>
    <row r="628" spans="1:27" ht="13.5" customHeight="1" x14ac:dyDescent="0.25">
      <c r="A628" s="125"/>
      <c r="B628" s="125"/>
      <c r="C628" s="125"/>
      <c r="D628" s="125"/>
      <c r="E628" s="125"/>
      <c r="F628" s="125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125"/>
      <c r="V628" s="125"/>
      <c r="W628" s="125"/>
      <c r="X628" s="125"/>
      <c r="Y628" s="125"/>
      <c r="Z628" s="125"/>
      <c r="AA628" s="125"/>
    </row>
    <row r="629" spans="1:27" ht="13.5" customHeight="1" x14ac:dyDescent="0.25">
      <c r="A629" s="125"/>
      <c r="B629" s="125"/>
      <c r="C629" s="125"/>
      <c r="D629" s="125"/>
      <c r="E629" s="125"/>
      <c r="F629" s="125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125"/>
      <c r="V629" s="125"/>
      <c r="W629" s="125"/>
      <c r="X629" s="125"/>
      <c r="Y629" s="125"/>
      <c r="Z629" s="125"/>
      <c r="AA629" s="125"/>
    </row>
    <row r="630" spans="1:27" ht="13.5" customHeight="1" x14ac:dyDescent="0.25">
      <c r="A630" s="125"/>
      <c r="B630" s="125"/>
      <c r="C630" s="125"/>
      <c r="D630" s="125"/>
      <c r="E630" s="125"/>
      <c r="F630" s="125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125"/>
      <c r="V630" s="125"/>
      <c r="W630" s="125"/>
      <c r="X630" s="125"/>
      <c r="Y630" s="125"/>
      <c r="Z630" s="125"/>
      <c r="AA630" s="125"/>
    </row>
    <row r="631" spans="1:27" ht="13.5" customHeight="1" x14ac:dyDescent="0.25">
      <c r="A631" s="125"/>
      <c r="B631" s="125"/>
      <c r="C631" s="125"/>
      <c r="D631" s="125"/>
      <c r="E631" s="125"/>
      <c r="F631" s="125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125"/>
      <c r="V631" s="125"/>
      <c r="W631" s="125"/>
      <c r="X631" s="125"/>
      <c r="Y631" s="125"/>
      <c r="Z631" s="125"/>
      <c r="AA631" s="125"/>
    </row>
    <row r="632" spans="1:27" ht="13.5" customHeight="1" x14ac:dyDescent="0.25">
      <c r="A632" s="125"/>
      <c r="B632" s="125"/>
      <c r="C632" s="125"/>
      <c r="D632" s="125"/>
      <c r="E632" s="125"/>
      <c r="F632" s="125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125"/>
      <c r="V632" s="125"/>
      <c r="W632" s="125"/>
      <c r="X632" s="125"/>
      <c r="Y632" s="125"/>
      <c r="Z632" s="125"/>
      <c r="AA632" s="125"/>
    </row>
    <row r="633" spans="1:27" ht="13.5" customHeight="1" x14ac:dyDescent="0.25">
      <c r="A633" s="125"/>
      <c r="B633" s="125"/>
      <c r="C633" s="125"/>
      <c r="D633" s="125"/>
      <c r="E633" s="125"/>
      <c r="F633" s="125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125"/>
      <c r="V633" s="125"/>
      <c r="W633" s="125"/>
      <c r="X633" s="125"/>
      <c r="Y633" s="125"/>
      <c r="Z633" s="125"/>
      <c r="AA633" s="125"/>
    </row>
    <row r="634" spans="1:27" ht="13.5" customHeight="1" x14ac:dyDescent="0.25">
      <c r="A634" s="125"/>
      <c r="B634" s="125"/>
      <c r="C634" s="125"/>
      <c r="D634" s="125"/>
      <c r="E634" s="125"/>
      <c r="F634" s="125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125"/>
      <c r="V634" s="125"/>
      <c r="W634" s="125"/>
      <c r="X634" s="125"/>
      <c r="Y634" s="125"/>
      <c r="Z634" s="125"/>
      <c r="AA634" s="125"/>
    </row>
    <row r="635" spans="1:27" ht="13.5" customHeight="1" x14ac:dyDescent="0.25">
      <c r="A635" s="125"/>
      <c r="B635" s="125"/>
      <c r="C635" s="125"/>
      <c r="D635" s="125"/>
      <c r="E635" s="125"/>
      <c r="F635" s="125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125"/>
      <c r="V635" s="125"/>
      <c r="W635" s="125"/>
      <c r="X635" s="125"/>
      <c r="Y635" s="125"/>
      <c r="Z635" s="125"/>
      <c r="AA635" s="125"/>
    </row>
    <row r="636" spans="1:27" ht="13.5" customHeight="1" x14ac:dyDescent="0.25">
      <c r="A636" s="125"/>
      <c r="B636" s="125"/>
      <c r="C636" s="125"/>
      <c r="D636" s="125"/>
      <c r="E636" s="125"/>
      <c r="F636" s="125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125"/>
      <c r="V636" s="125"/>
      <c r="W636" s="125"/>
      <c r="X636" s="125"/>
      <c r="Y636" s="125"/>
      <c r="Z636" s="125"/>
      <c r="AA636" s="125"/>
    </row>
    <row r="637" spans="1:27" ht="13.5" customHeight="1" x14ac:dyDescent="0.25">
      <c r="A637" s="125"/>
      <c r="B637" s="125"/>
      <c r="C637" s="125"/>
      <c r="D637" s="125"/>
      <c r="E637" s="125"/>
      <c r="F637" s="125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125"/>
      <c r="V637" s="125"/>
      <c r="W637" s="125"/>
      <c r="X637" s="125"/>
      <c r="Y637" s="125"/>
      <c r="Z637" s="125"/>
      <c r="AA637" s="125"/>
    </row>
    <row r="638" spans="1:27" ht="13.5" customHeight="1" x14ac:dyDescent="0.25">
      <c r="A638" s="125"/>
      <c r="B638" s="125"/>
      <c r="C638" s="125"/>
      <c r="D638" s="125"/>
      <c r="E638" s="125"/>
      <c r="F638" s="125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125"/>
      <c r="V638" s="125"/>
      <c r="W638" s="125"/>
      <c r="X638" s="125"/>
      <c r="Y638" s="125"/>
      <c r="Z638" s="125"/>
      <c r="AA638" s="125"/>
    </row>
    <row r="639" spans="1:27" ht="13.5" customHeight="1" x14ac:dyDescent="0.25">
      <c r="A639" s="125"/>
      <c r="B639" s="125"/>
      <c r="C639" s="125"/>
      <c r="D639" s="125"/>
      <c r="E639" s="125"/>
      <c r="F639" s="125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125"/>
      <c r="V639" s="125"/>
      <c r="W639" s="125"/>
      <c r="X639" s="125"/>
      <c r="Y639" s="125"/>
      <c r="Z639" s="125"/>
      <c r="AA639" s="125"/>
    </row>
    <row r="640" spans="1:27" ht="13.5" customHeight="1" x14ac:dyDescent="0.25">
      <c r="A640" s="125"/>
      <c r="B640" s="125"/>
      <c r="C640" s="125"/>
      <c r="D640" s="125"/>
      <c r="E640" s="125"/>
      <c r="F640" s="125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125"/>
      <c r="V640" s="125"/>
      <c r="W640" s="125"/>
      <c r="X640" s="125"/>
      <c r="Y640" s="125"/>
      <c r="Z640" s="125"/>
      <c r="AA640" s="125"/>
    </row>
    <row r="641" spans="1:27" ht="13.5" customHeight="1" x14ac:dyDescent="0.25">
      <c r="A641" s="125"/>
      <c r="B641" s="125"/>
      <c r="C641" s="125"/>
      <c r="D641" s="125"/>
      <c r="E641" s="125"/>
      <c r="F641" s="125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125"/>
      <c r="V641" s="125"/>
      <c r="W641" s="125"/>
      <c r="X641" s="125"/>
      <c r="Y641" s="125"/>
      <c r="Z641" s="125"/>
      <c r="AA641" s="125"/>
    </row>
    <row r="642" spans="1:27" ht="13.5" customHeight="1" x14ac:dyDescent="0.25">
      <c r="A642" s="125"/>
      <c r="B642" s="125"/>
      <c r="C642" s="125"/>
      <c r="D642" s="125"/>
      <c r="E642" s="125"/>
      <c r="F642" s="125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125"/>
      <c r="V642" s="125"/>
      <c r="W642" s="125"/>
      <c r="X642" s="125"/>
      <c r="Y642" s="125"/>
      <c r="Z642" s="125"/>
      <c r="AA642" s="125"/>
    </row>
    <row r="643" spans="1:27" ht="13.5" customHeight="1" x14ac:dyDescent="0.25">
      <c r="A643" s="125"/>
      <c r="B643" s="125"/>
      <c r="C643" s="125"/>
      <c r="D643" s="125"/>
      <c r="E643" s="125"/>
      <c r="F643" s="125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125"/>
      <c r="V643" s="125"/>
      <c r="W643" s="125"/>
      <c r="X643" s="125"/>
      <c r="Y643" s="125"/>
      <c r="Z643" s="125"/>
      <c r="AA643" s="125"/>
    </row>
    <row r="644" spans="1:27" ht="13.5" customHeight="1" x14ac:dyDescent="0.25">
      <c r="A644" s="125"/>
      <c r="B644" s="125"/>
      <c r="C644" s="125"/>
      <c r="D644" s="125"/>
      <c r="E644" s="125"/>
      <c r="F644" s="125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125"/>
      <c r="V644" s="125"/>
      <c r="W644" s="125"/>
      <c r="X644" s="125"/>
      <c r="Y644" s="125"/>
      <c r="Z644" s="125"/>
      <c r="AA644" s="125"/>
    </row>
    <row r="645" spans="1:27" ht="13.5" customHeight="1" x14ac:dyDescent="0.25">
      <c r="A645" s="125"/>
      <c r="B645" s="125"/>
      <c r="C645" s="125"/>
      <c r="D645" s="125"/>
      <c r="E645" s="125"/>
      <c r="F645" s="125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  <c r="AA645" s="125"/>
    </row>
    <row r="646" spans="1:27" ht="13.5" customHeight="1" x14ac:dyDescent="0.25">
      <c r="A646" s="125"/>
      <c r="B646" s="125"/>
      <c r="C646" s="125"/>
      <c r="D646" s="125"/>
      <c r="E646" s="125"/>
      <c r="F646" s="125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125"/>
      <c r="V646" s="125"/>
      <c r="W646" s="125"/>
      <c r="X646" s="125"/>
      <c r="Y646" s="125"/>
      <c r="Z646" s="125"/>
      <c r="AA646" s="125"/>
    </row>
    <row r="647" spans="1:27" ht="13.5" customHeight="1" x14ac:dyDescent="0.25">
      <c r="A647" s="125"/>
      <c r="B647" s="125"/>
      <c r="C647" s="125"/>
      <c r="D647" s="125"/>
      <c r="E647" s="125"/>
      <c r="F647" s="125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125"/>
      <c r="V647" s="125"/>
      <c r="W647" s="125"/>
      <c r="X647" s="125"/>
      <c r="Y647" s="125"/>
      <c r="Z647" s="125"/>
      <c r="AA647" s="125"/>
    </row>
    <row r="648" spans="1:27" ht="13.5" customHeight="1" x14ac:dyDescent="0.25">
      <c r="A648" s="125"/>
      <c r="B648" s="125"/>
      <c r="C648" s="125"/>
      <c r="D648" s="125"/>
      <c r="E648" s="125"/>
      <c r="F648" s="125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125"/>
      <c r="V648" s="125"/>
      <c r="W648" s="125"/>
      <c r="X648" s="125"/>
      <c r="Y648" s="125"/>
      <c r="Z648" s="125"/>
      <c r="AA648" s="125"/>
    </row>
    <row r="649" spans="1:27" ht="13.5" customHeight="1" x14ac:dyDescent="0.25">
      <c r="A649" s="125"/>
      <c r="B649" s="125"/>
      <c r="C649" s="125"/>
      <c r="D649" s="125"/>
      <c r="E649" s="125"/>
      <c r="F649" s="125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125"/>
      <c r="V649" s="125"/>
      <c r="W649" s="125"/>
      <c r="X649" s="125"/>
      <c r="Y649" s="125"/>
      <c r="Z649" s="125"/>
      <c r="AA649" s="125"/>
    </row>
    <row r="650" spans="1:27" ht="13.5" customHeight="1" x14ac:dyDescent="0.25">
      <c r="A650" s="125"/>
      <c r="B650" s="125"/>
      <c r="C650" s="125"/>
      <c r="D650" s="125"/>
      <c r="E650" s="125"/>
      <c r="F650" s="125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125"/>
      <c r="V650" s="125"/>
      <c r="W650" s="125"/>
      <c r="X650" s="125"/>
      <c r="Y650" s="125"/>
      <c r="Z650" s="125"/>
      <c r="AA650" s="125"/>
    </row>
    <row r="651" spans="1:27" ht="13.5" customHeight="1" x14ac:dyDescent="0.25">
      <c r="A651" s="125"/>
      <c r="B651" s="125"/>
      <c r="C651" s="125"/>
      <c r="D651" s="125"/>
      <c r="E651" s="125"/>
      <c r="F651" s="125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125"/>
      <c r="V651" s="125"/>
      <c r="W651" s="125"/>
      <c r="X651" s="125"/>
      <c r="Y651" s="125"/>
      <c r="Z651" s="125"/>
      <c r="AA651" s="125"/>
    </row>
    <row r="652" spans="1:27" ht="13.5" customHeight="1" x14ac:dyDescent="0.25">
      <c r="A652" s="125"/>
      <c r="B652" s="125"/>
      <c r="C652" s="125"/>
      <c r="D652" s="125"/>
      <c r="E652" s="125"/>
      <c r="F652" s="125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125"/>
      <c r="V652" s="125"/>
      <c r="W652" s="125"/>
      <c r="X652" s="125"/>
      <c r="Y652" s="125"/>
      <c r="Z652" s="125"/>
      <c r="AA652" s="125"/>
    </row>
    <row r="653" spans="1:27" ht="13.5" customHeight="1" x14ac:dyDescent="0.25">
      <c r="A653" s="125"/>
      <c r="B653" s="125"/>
      <c r="C653" s="125"/>
      <c r="D653" s="125"/>
      <c r="E653" s="125"/>
      <c r="F653" s="125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  <c r="AA653" s="125"/>
    </row>
    <row r="654" spans="1:27" ht="13.5" customHeight="1" x14ac:dyDescent="0.25">
      <c r="A654" s="125"/>
      <c r="B654" s="125"/>
      <c r="C654" s="125"/>
      <c r="D654" s="125"/>
      <c r="E654" s="125"/>
      <c r="F654" s="125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  <c r="AA654" s="125"/>
    </row>
    <row r="655" spans="1:27" ht="13.5" customHeight="1" x14ac:dyDescent="0.25">
      <c r="A655" s="125"/>
      <c r="B655" s="125"/>
      <c r="C655" s="125"/>
      <c r="D655" s="125"/>
      <c r="E655" s="125"/>
      <c r="F655" s="125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125"/>
      <c r="V655" s="125"/>
      <c r="W655" s="125"/>
      <c r="X655" s="125"/>
      <c r="Y655" s="125"/>
      <c r="Z655" s="125"/>
      <c r="AA655" s="125"/>
    </row>
    <row r="656" spans="1:27" ht="13.5" customHeight="1" x14ac:dyDescent="0.25">
      <c r="A656" s="125"/>
      <c r="B656" s="125"/>
      <c r="C656" s="125"/>
      <c r="D656" s="125"/>
      <c r="E656" s="125"/>
      <c r="F656" s="125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125"/>
      <c r="V656" s="125"/>
      <c r="W656" s="125"/>
      <c r="X656" s="125"/>
      <c r="Y656" s="125"/>
      <c r="Z656" s="125"/>
      <c r="AA656" s="125"/>
    </row>
    <row r="657" spans="1:27" ht="13.5" customHeight="1" x14ac:dyDescent="0.25">
      <c r="A657" s="125"/>
      <c r="B657" s="125"/>
      <c r="C657" s="125"/>
      <c r="D657" s="125"/>
      <c r="E657" s="125"/>
      <c r="F657" s="125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125"/>
      <c r="V657" s="125"/>
      <c r="W657" s="125"/>
      <c r="X657" s="125"/>
      <c r="Y657" s="125"/>
      <c r="Z657" s="125"/>
      <c r="AA657" s="125"/>
    </row>
    <row r="658" spans="1:27" ht="13.5" customHeight="1" x14ac:dyDescent="0.25">
      <c r="A658" s="125"/>
      <c r="B658" s="125"/>
      <c r="C658" s="125"/>
      <c r="D658" s="125"/>
      <c r="E658" s="125"/>
      <c r="F658" s="125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125"/>
      <c r="V658" s="125"/>
      <c r="W658" s="125"/>
      <c r="X658" s="125"/>
      <c r="Y658" s="125"/>
      <c r="Z658" s="125"/>
      <c r="AA658" s="125"/>
    </row>
    <row r="659" spans="1:27" ht="13.5" customHeight="1" x14ac:dyDescent="0.25">
      <c r="A659" s="125"/>
      <c r="B659" s="125"/>
      <c r="C659" s="125"/>
      <c r="D659" s="125"/>
      <c r="E659" s="125"/>
      <c r="F659" s="125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125"/>
      <c r="V659" s="125"/>
      <c r="W659" s="125"/>
      <c r="X659" s="125"/>
      <c r="Y659" s="125"/>
      <c r="Z659" s="125"/>
      <c r="AA659" s="125"/>
    </row>
    <row r="660" spans="1:27" ht="13.5" customHeight="1" x14ac:dyDescent="0.25">
      <c r="A660" s="125"/>
      <c r="B660" s="125"/>
      <c r="C660" s="125"/>
      <c r="D660" s="125"/>
      <c r="E660" s="125"/>
      <c r="F660" s="125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125"/>
      <c r="V660" s="125"/>
      <c r="W660" s="125"/>
      <c r="X660" s="125"/>
      <c r="Y660" s="125"/>
      <c r="Z660" s="125"/>
      <c r="AA660" s="125"/>
    </row>
    <row r="661" spans="1:27" ht="13.5" customHeight="1" x14ac:dyDescent="0.25">
      <c r="A661" s="125"/>
      <c r="B661" s="125"/>
      <c r="C661" s="125"/>
      <c r="D661" s="125"/>
      <c r="E661" s="125"/>
      <c r="F661" s="125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125"/>
      <c r="V661" s="125"/>
      <c r="W661" s="125"/>
      <c r="X661" s="125"/>
      <c r="Y661" s="125"/>
      <c r="Z661" s="125"/>
      <c r="AA661" s="125"/>
    </row>
    <row r="662" spans="1:27" ht="13.5" customHeight="1" x14ac:dyDescent="0.25">
      <c r="A662" s="125"/>
      <c r="B662" s="125"/>
      <c r="C662" s="125"/>
      <c r="D662" s="125"/>
      <c r="E662" s="125"/>
      <c r="F662" s="125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125"/>
      <c r="V662" s="125"/>
      <c r="W662" s="125"/>
      <c r="X662" s="125"/>
      <c r="Y662" s="125"/>
      <c r="Z662" s="125"/>
      <c r="AA662" s="125"/>
    </row>
    <row r="663" spans="1:27" ht="13.5" customHeight="1" x14ac:dyDescent="0.25">
      <c r="A663" s="125"/>
      <c r="B663" s="125"/>
      <c r="C663" s="125"/>
      <c r="D663" s="125"/>
      <c r="E663" s="125"/>
      <c r="F663" s="125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125"/>
      <c r="V663" s="125"/>
      <c r="W663" s="125"/>
      <c r="X663" s="125"/>
      <c r="Y663" s="125"/>
      <c r="Z663" s="125"/>
      <c r="AA663" s="125"/>
    </row>
    <row r="664" spans="1:27" ht="13.5" customHeight="1" x14ac:dyDescent="0.25">
      <c r="A664" s="125"/>
      <c r="B664" s="125"/>
      <c r="C664" s="125"/>
      <c r="D664" s="125"/>
      <c r="E664" s="125"/>
      <c r="F664" s="125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125"/>
      <c r="V664" s="125"/>
      <c r="W664" s="125"/>
      <c r="X664" s="125"/>
      <c r="Y664" s="125"/>
      <c r="Z664" s="125"/>
      <c r="AA664" s="125"/>
    </row>
    <row r="665" spans="1:27" ht="13.5" customHeight="1" x14ac:dyDescent="0.25">
      <c r="A665" s="125"/>
      <c r="B665" s="125"/>
      <c r="C665" s="125"/>
      <c r="D665" s="125"/>
      <c r="E665" s="125"/>
      <c r="F665" s="125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125"/>
      <c r="V665" s="125"/>
      <c r="W665" s="125"/>
      <c r="X665" s="125"/>
      <c r="Y665" s="125"/>
      <c r="Z665" s="125"/>
      <c r="AA665" s="125"/>
    </row>
    <row r="666" spans="1:27" ht="13.5" customHeight="1" x14ac:dyDescent="0.25">
      <c r="A666" s="125"/>
      <c r="B666" s="125"/>
      <c r="C666" s="125"/>
      <c r="D666" s="125"/>
      <c r="E666" s="125"/>
      <c r="F666" s="125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125"/>
      <c r="V666" s="125"/>
      <c r="W666" s="125"/>
      <c r="X666" s="125"/>
      <c r="Y666" s="125"/>
      <c r="Z666" s="125"/>
      <c r="AA666" s="125"/>
    </row>
    <row r="667" spans="1:27" ht="13.5" customHeight="1" x14ac:dyDescent="0.25">
      <c r="A667" s="125"/>
      <c r="B667" s="125"/>
      <c r="C667" s="125"/>
      <c r="D667" s="125"/>
      <c r="E667" s="125"/>
      <c r="F667" s="125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125"/>
      <c r="V667" s="125"/>
      <c r="W667" s="125"/>
      <c r="X667" s="125"/>
      <c r="Y667" s="125"/>
      <c r="Z667" s="125"/>
      <c r="AA667" s="125"/>
    </row>
    <row r="668" spans="1:27" ht="13.5" customHeight="1" x14ac:dyDescent="0.25">
      <c r="A668" s="125"/>
      <c r="B668" s="125"/>
      <c r="C668" s="125"/>
      <c r="D668" s="125"/>
      <c r="E668" s="125"/>
      <c r="F668" s="125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125"/>
      <c r="V668" s="125"/>
      <c r="W668" s="125"/>
      <c r="X668" s="125"/>
      <c r="Y668" s="125"/>
      <c r="Z668" s="125"/>
      <c r="AA668" s="125"/>
    </row>
    <row r="669" spans="1:27" ht="13.5" customHeight="1" x14ac:dyDescent="0.25">
      <c r="A669" s="125"/>
      <c r="B669" s="125"/>
      <c r="C669" s="125"/>
      <c r="D669" s="125"/>
      <c r="E669" s="125"/>
      <c r="F669" s="125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125"/>
      <c r="V669" s="125"/>
      <c r="W669" s="125"/>
      <c r="X669" s="125"/>
      <c r="Y669" s="125"/>
      <c r="Z669" s="125"/>
      <c r="AA669" s="125"/>
    </row>
    <row r="670" spans="1:27" ht="13.5" customHeight="1" x14ac:dyDescent="0.25">
      <c r="A670" s="125"/>
      <c r="B670" s="125"/>
      <c r="C670" s="125"/>
      <c r="D670" s="125"/>
      <c r="E670" s="125"/>
      <c r="F670" s="125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125"/>
      <c r="V670" s="125"/>
      <c r="W670" s="125"/>
      <c r="X670" s="125"/>
      <c r="Y670" s="125"/>
      <c r="Z670" s="125"/>
      <c r="AA670" s="125"/>
    </row>
    <row r="671" spans="1:27" ht="13.5" customHeight="1" x14ac:dyDescent="0.25">
      <c r="A671" s="125"/>
      <c r="B671" s="125"/>
      <c r="C671" s="125"/>
      <c r="D671" s="125"/>
      <c r="E671" s="125"/>
      <c r="F671" s="125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125"/>
      <c r="V671" s="125"/>
      <c r="W671" s="125"/>
      <c r="X671" s="125"/>
      <c r="Y671" s="125"/>
      <c r="Z671" s="125"/>
      <c r="AA671" s="125"/>
    </row>
    <row r="672" spans="1:27" ht="13.5" customHeight="1" x14ac:dyDescent="0.25">
      <c r="A672" s="125"/>
      <c r="B672" s="125"/>
      <c r="C672" s="125"/>
      <c r="D672" s="125"/>
      <c r="E672" s="125"/>
      <c r="F672" s="125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125"/>
      <c r="V672" s="125"/>
      <c r="W672" s="125"/>
      <c r="X672" s="125"/>
      <c r="Y672" s="125"/>
      <c r="Z672" s="125"/>
      <c r="AA672" s="125"/>
    </row>
    <row r="673" spans="1:27" ht="13.5" customHeight="1" x14ac:dyDescent="0.25">
      <c r="A673" s="125"/>
      <c r="B673" s="125"/>
      <c r="C673" s="125"/>
      <c r="D673" s="125"/>
      <c r="E673" s="125"/>
      <c r="F673" s="125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125"/>
      <c r="V673" s="125"/>
      <c r="W673" s="125"/>
      <c r="X673" s="125"/>
      <c r="Y673" s="125"/>
      <c r="Z673" s="125"/>
      <c r="AA673" s="125"/>
    </row>
    <row r="674" spans="1:27" ht="13.5" customHeight="1" x14ac:dyDescent="0.25">
      <c r="A674" s="125"/>
      <c r="B674" s="125"/>
      <c r="C674" s="125"/>
      <c r="D674" s="125"/>
      <c r="E674" s="125"/>
      <c r="F674" s="125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125"/>
      <c r="V674" s="125"/>
      <c r="W674" s="125"/>
      <c r="X674" s="125"/>
      <c r="Y674" s="125"/>
      <c r="Z674" s="125"/>
      <c r="AA674" s="125"/>
    </row>
    <row r="675" spans="1:27" ht="13.5" customHeight="1" x14ac:dyDescent="0.25">
      <c r="A675" s="125"/>
      <c r="B675" s="125"/>
      <c r="C675" s="125"/>
      <c r="D675" s="125"/>
      <c r="E675" s="125"/>
      <c r="F675" s="125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125"/>
      <c r="V675" s="125"/>
      <c r="W675" s="125"/>
      <c r="X675" s="125"/>
      <c r="Y675" s="125"/>
      <c r="Z675" s="125"/>
      <c r="AA675" s="125"/>
    </row>
    <row r="676" spans="1:27" ht="13.5" customHeight="1" x14ac:dyDescent="0.25">
      <c r="A676" s="125"/>
      <c r="B676" s="125"/>
      <c r="C676" s="125"/>
      <c r="D676" s="125"/>
      <c r="E676" s="125"/>
      <c r="F676" s="125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125"/>
      <c r="V676" s="125"/>
      <c r="W676" s="125"/>
      <c r="X676" s="125"/>
      <c r="Y676" s="125"/>
      <c r="Z676" s="125"/>
      <c r="AA676" s="125"/>
    </row>
    <row r="677" spans="1:27" ht="13.5" customHeight="1" x14ac:dyDescent="0.25">
      <c r="A677" s="125"/>
      <c r="B677" s="125"/>
      <c r="C677" s="125"/>
      <c r="D677" s="125"/>
      <c r="E677" s="125"/>
      <c r="F677" s="125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125"/>
      <c r="V677" s="125"/>
      <c r="W677" s="125"/>
      <c r="X677" s="125"/>
      <c r="Y677" s="125"/>
      <c r="Z677" s="125"/>
      <c r="AA677" s="125"/>
    </row>
    <row r="678" spans="1:27" ht="13.5" customHeight="1" x14ac:dyDescent="0.25">
      <c r="A678" s="125"/>
      <c r="B678" s="125"/>
      <c r="C678" s="125"/>
      <c r="D678" s="125"/>
      <c r="E678" s="125"/>
      <c r="F678" s="125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125"/>
      <c r="V678" s="125"/>
      <c r="W678" s="125"/>
      <c r="X678" s="125"/>
      <c r="Y678" s="125"/>
      <c r="Z678" s="125"/>
      <c r="AA678" s="125"/>
    </row>
    <row r="679" spans="1:27" ht="13.5" customHeight="1" x14ac:dyDescent="0.25">
      <c r="A679" s="125"/>
      <c r="B679" s="125"/>
      <c r="C679" s="125"/>
      <c r="D679" s="125"/>
      <c r="E679" s="125"/>
      <c r="F679" s="125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125"/>
      <c r="V679" s="125"/>
      <c r="W679" s="125"/>
      <c r="X679" s="125"/>
      <c r="Y679" s="125"/>
      <c r="Z679" s="125"/>
      <c r="AA679" s="125"/>
    </row>
    <row r="680" spans="1:27" ht="13.5" customHeight="1" x14ac:dyDescent="0.25">
      <c r="A680" s="125"/>
      <c r="B680" s="125"/>
      <c r="C680" s="125"/>
      <c r="D680" s="125"/>
      <c r="E680" s="125"/>
      <c r="F680" s="125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125"/>
      <c r="V680" s="125"/>
      <c r="W680" s="125"/>
      <c r="X680" s="125"/>
      <c r="Y680" s="125"/>
      <c r="Z680" s="125"/>
      <c r="AA680" s="125"/>
    </row>
    <row r="681" spans="1:27" ht="13.5" customHeight="1" x14ac:dyDescent="0.25">
      <c r="A681" s="125"/>
      <c r="B681" s="125"/>
      <c r="C681" s="125"/>
      <c r="D681" s="125"/>
      <c r="E681" s="125"/>
      <c r="F681" s="125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125"/>
      <c r="V681" s="125"/>
      <c r="W681" s="125"/>
      <c r="X681" s="125"/>
      <c r="Y681" s="125"/>
      <c r="Z681" s="125"/>
      <c r="AA681" s="125"/>
    </row>
    <row r="682" spans="1:27" ht="13.5" customHeight="1" x14ac:dyDescent="0.25">
      <c r="A682" s="125"/>
      <c r="B682" s="125"/>
      <c r="C682" s="125"/>
      <c r="D682" s="125"/>
      <c r="E682" s="125"/>
      <c r="F682" s="125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125"/>
      <c r="V682" s="125"/>
      <c r="W682" s="125"/>
      <c r="X682" s="125"/>
      <c r="Y682" s="125"/>
      <c r="Z682" s="125"/>
      <c r="AA682" s="125"/>
    </row>
    <row r="683" spans="1:27" ht="13.5" customHeight="1" x14ac:dyDescent="0.25">
      <c r="A683" s="125"/>
      <c r="B683" s="125"/>
      <c r="C683" s="125"/>
      <c r="D683" s="125"/>
      <c r="E683" s="125"/>
      <c r="F683" s="125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125"/>
      <c r="V683" s="125"/>
      <c r="W683" s="125"/>
      <c r="X683" s="125"/>
      <c r="Y683" s="125"/>
      <c r="Z683" s="125"/>
      <c r="AA683" s="125"/>
    </row>
    <row r="684" spans="1:27" ht="13.5" customHeight="1" x14ac:dyDescent="0.25">
      <c r="A684" s="125"/>
      <c r="B684" s="125"/>
      <c r="C684" s="125"/>
      <c r="D684" s="125"/>
      <c r="E684" s="125"/>
      <c r="F684" s="125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125"/>
      <c r="V684" s="125"/>
      <c r="W684" s="125"/>
      <c r="X684" s="125"/>
      <c r="Y684" s="125"/>
      <c r="Z684" s="125"/>
      <c r="AA684" s="125"/>
    </row>
    <row r="685" spans="1:27" ht="13.5" customHeight="1" x14ac:dyDescent="0.25">
      <c r="A685" s="125"/>
      <c r="B685" s="125"/>
      <c r="C685" s="125"/>
      <c r="D685" s="125"/>
      <c r="E685" s="125"/>
      <c r="F685" s="125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125"/>
      <c r="V685" s="125"/>
      <c r="W685" s="125"/>
      <c r="X685" s="125"/>
      <c r="Y685" s="125"/>
      <c r="Z685" s="125"/>
      <c r="AA685" s="125"/>
    </row>
    <row r="686" spans="1:27" ht="13.5" customHeight="1" x14ac:dyDescent="0.25">
      <c r="A686" s="125"/>
      <c r="B686" s="125"/>
      <c r="C686" s="125"/>
      <c r="D686" s="125"/>
      <c r="E686" s="125"/>
      <c r="F686" s="125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125"/>
      <c r="V686" s="125"/>
      <c r="W686" s="125"/>
      <c r="X686" s="125"/>
      <c r="Y686" s="125"/>
      <c r="Z686" s="125"/>
      <c r="AA686" s="125"/>
    </row>
    <row r="687" spans="1:27" ht="13.5" customHeight="1" x14ac:dyDescent="0.25">
      <c r="A687" s="125"/>
      <c r="B687" s="125"/>
      <c r="C687" s="125"/>
      <c r="D687" s="125"/>
      <c r="E687" s="125"/>
      <c r="F687" s="125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125"/>
      <c r="V687" s="125"/>
      <c r="W687" s="125"/>
      <c r="X687" s="125"/>
      <c r="Y687" s="125"/>
      <c r="Z687" s="125"/>
      <c r="AA687" s="125"/>
    </row>
    <row r="688" spans="1:27" ht="13.5" customHeight="1" x14ac:dyDescent="0.25">
      <c r="A688" s="125"/>
      <c r="B688" s="125"/>
      <c r="C688" s="125"/>
      <c r="D688" s="125"/>
      <c r="E688" s="125"/>
      <c r="F688" s="125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125"/>
      <c r="V688" s="125"/>
      <c r="W688" s="125"/>
      <c r="X688" s="125"/>
      <c r="Y688" s="125"/>
      <c r="Z688" s="125"/>
      <c r="AA688" s="125"/>
    </row>
    <row r="689" spans="1:27" ht="13.5" customHeight="1" x14ac:dyDescent="0.25">
      <c r="A689" s="125"/>
      <c r="B689" s="125"/>
      <c r="C689" s="125"/>
      <c r="D689" s="125"/>
      <c r="E689" s="125"/>
      <c r="F689" s="125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125"/>
      <c r="V689" s="125"/>
      <c r="W689" s="125"/>
      <c r="X689" s="125"/>
      <c r="Y689" s="125"/>
      <c r="Z689" s="125"/>
      <c r="AA689" s="125"/>
    </row>
    <row r="690" spans="1:27" ht="13.5" customHeight="1" x14ac:dyDescent="0.25">
      <c r="A690" s="125"/>
      <c r="B690" s="125"/>
      <c r="C690" s="125"/>
      <c r="D690" s="125"/>
      <c r="E690" s="125"/>
      <c r="F690" s="125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125"/>
      <c r="V690" s="125"/>
      <c r="W690" s="125"/>
      <c r="X690" s="125"/>
      <c r="Y690" s="125"/>
      <c r="Z690" s="125"/>
      <c r="AA690" s="125"/>
    </row>
    <row r="691" spans="1:27" ht="13.5" customHeight="1" x14ac:dyDescent="0.25">
      <c r="A691" s="125"/>
      <c r="B691" s="125"/>
      <c r="C691" s="125"/>
      <c r="D691" s="125"/>
      <c r="E691" s="125"/>
      <c r="F691" s="125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125"/>
      <c r="V691" s="125"/>
      <c r="W691" s="125"/>
      <c r="X691" s="125"/>
      <c r="Y691" s="125"/>
      <c r="Z691" s="125"/>
      <c r="AA691" s="125"/>
    </row>
    <row r="692" spans="1:27" ht="13.5" customHeight="1" x14ac:dyDescent="0.25">
      <c r="A692" s="125"/>
      <c r="B692" s="125"/>
      <c r="C692" s="125"/>
      <c r="D692" s="125"/>
      <c r="E692" s="125"/>
      <c r="F692" s="125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125"/>
      <c r="V692" s="125"/>
      <c r="W692" s="125"/>
      <c r="X692" s="125"/>
      <c r="Y692" s="125"/>
      <c r="Z692" s="125"/>
      <c r="AA692" s="125"/>
    </row>
    <row r="693" spans="1:27" ht="13.5" customHeight="1" x14ac:dyDescent="0.25">
      <c r="A693" s="125"/>
      <c r="B693" s="125"/>
      <c r="C693" s="125"/>
      <c r="D693" s="125"/>
      <c r="E693" s="125"/>
      <c r="F693" s="125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125"/>
      <c r="V693" s="125"/>
      <c r="W693" s="125"/>
      <c r="X693" s="125"/>
      <c r="Y693" s="125"/>
      <c r="Z693" s="125"/>
      <c r="AA693" s="125"/>
    </row>
    <row r="694" spans="1:27" ht="13.5" customHeight="1" x14ac:dyDescent="0.25">
      <c r="A694" s="125"/>
      <c r="B694" s="125"/>
      <c r="C694" s="125"/>
      <c r="D694" s="125"/>
      <c r="E694" s="125"/>
      <c r="F694" s="125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125"/>
      <c r="V694" s="125"/>
      <c r="W694" s="125"/>
      <c r="X694" s="125"/>
      <c r="Y694" s="125"/>
      <c r="Z694" s="125"/>
      <c r="AA694" s="125"/>
    </row>
    <row r="695" spans="1:27" ht="13.5" customHeight="1" x14ac:dyDescent="0.25">
      <c r="A695" s="125"/>
      <c r="B695" s="125"/>
      <c r="C695" s="125"/>
      <c r="D695" s="125"/>
      <c r="E695" s="125"/>
      <c r="F695" s="125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125"/>
      <c r="V695" s="125"/>
      <c r="W695" s="125"/>
      <c r="X695" s="125"/>
      <c r="Y695" s="125"/>
      <c r="Z695" s="125"/>
      <c r="AA695" s="125"/>
    </row>
    <row r="696" spans="1:27" ht="13.5" customHeight="1" x14ac:dyDescent="0.25">
      <c r="A696" s="125"/>
      <c r="B696" s="125"/>
      <c r="C696" s="125"/>
      <c r="D696" s="125"/>
      <c r="E696" s="125"/>
      <c r="F696" s="125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125"/>
      <c r="V696" s="125"/>
      <c r="W696" s="125"/>
      <c r="X696" s="125"/>
      <c r="Y696" s="125"/>
      <c r="Z696" s="125"/>
      <c r="AA696" s="125"/>
    </row>
    <row r="697" spans="1:27" ht="13.5" customHeight="1" x14ac:dyDescent="0.25">
      <c r="A697" s="125"/>
      <c r="B697" s="125"/>
      <c r="C697" s="125"/>
      <c r="D697" s="125"/>
      <c r="E697" s="125"/>
      <c r="F697" s="125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125"/>
      <c r="V697" s="125"/>
      <c r="W697" s="125"/>
      <c r="X697" s="125"/>
      <c r="Y697" s="125"/>
      <c r="Z697" s="125"/>
      <c r="AA697" s="125"/>
    </row>
    <row r="698" spans="1:27" ht="13.5" customHeight="1" x14ac:dyDescent="0.25">
      <c r="A698" s="125"/>
      <c r="B698" s="125"/>
      <c r="C698" s="125"/>
      <c r="D698" s="125"/>
      <c r="E698" s="125"/>
      <c r="F698" s="125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125"/>
      <c r="V698" s="125"/>
      <c r="W698" s="125"/>
      <c r="X698" s="125"/>
      <c r="Y698" s="125"/>
      <c r="Z698" s="125"/>
      <c r="AA698" s="125"/>
    </row>
    <row r="699" spans="1:27" ht="13.5" customHeight="1" x14ac:dyDescent="0.25">
      <c r="A699" s="125"/>
      <c r="B699" s="125"/>
      <c r="C699" s="125"/>
      <c r="D699" s="125"/>
      <c r="E699" s="125"/>
      <c r="F699" s="125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125"/>
      <c r="V699" s="125"/>
      <c r="W699" s="125"/>
      <c r="X699" s="125"/>
      <c r="Y699" s="125"/>
      <c r="Z699" s="125"/>
      <c r="AA699" s="125"/>
    </row>
    <row r="700" spans="1:27" ht="13.5" customHeight="1" x14ac:dyDescent="0.25">
      <c r="A700" s="125"/>
      <c r="B700" s="125"/>
      <c r="C700" s="125"/>
      <c r="D700" s="125"/>
      <c r="E700" s="125"/>
      <c r="F700" s="125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125"/>
      <c r="V700" s="125"/>
      <c r="W700" s="125"/>
      <c r="X700" s="125"/>
      <c r="Y700" s="125"/>
      <c r="Z700" s="125"/>
      <c r="AA700" s="125"/>
    </row>
    <row r="701" spans="1:27" ht="13.5" customHeight="1" x14ac:dyDescent="0.25">
      <c r="A701" s="125"/>
      <c r="B701" s="125"/>
      <c r="C701" s="125"/>
      <c r="D701" s="125"/>
      <c r="E701" s="125"/>
      <c r="F701" s="125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125"/>
      <c r="V701" s="125"/>
      <c r="W701" s="125"/>
      <c r="X701" s="125"/>
      <c r="Y701" s="125"/>
      <c r="Z701" s="125"/>
      <c r="AA701" s="125"/>
    </row>
    <row r="702" spans="1:27" ht="13.5" customHeight="1" x14ac:dyDescent="0.25">
      <c r="A702" s="125"/>
      <c r="B702" s="125"/>
      <c r="C702" s="125"/>
      <c r="D702" s="125"/>
      <c r="E702" s="125"/>
      <c r="F702" s="125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125"/>
      <c r="V702" s="125"/>
      <c r="W702" s="125"/>
      <c r="X702" s="125"/>
      <c r="Y702" s="125"/>
      <c r="Z702" s="125"/>
      <c r="AA702" s="125"/>
    </row>
    <row r="703" spans="1:27" ht="13.5" customHeight="1" x14ac:dyDescent="0.25">
      <c r="A703" s="125"/>
      <c r="B703" s="125"/>
      <c r="C703" s="125"/>
      <c r="D703" s="125"/>
      <c r="E703" s="125"/>
      <c r="F703" s="125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125"/>
      <c r="V703" s="125"/>
      <c r="W703" s="125"/>
      <c r="X703" s="125"/>
      <c r="Y703" s="125"/>
      <c r="Z703" s="125"/>
      <c r="AA703" s="125"/>
    </row>
    <row r="704" spans="1:27" ht="13.5" customHeight="1" x14ac:dyDescent="0.25">
      <c r="A704" s="125"/>
      <c r="B704" s="125"/>
      <c r="C704" s="125"/>
      <c r="D704" s="125"/>
      <c r="E704" s="125"/>
      <c r="F704" s="125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125"/>
      <c r="V704" s="125"/>
      <c r="W704" s="125"/>
      <c r="X704" s="125"/>
      <c r="Y704" s="125"/>
      <c r="Z704" s="125"/>
      <c r="AA704" s="125"/>
    </row>
    <row r="705" spans="1:27" ht="13.5" customHeight="1" x14ac:dyDescent="0.25">
      <c r="A705" s="125"/>
      <c r="B705" s="125"/>
      <c r="C705" s="125"/>
      <c r="D705" s="125"/>
      <c r="E705" s="125"/>
      <c r="F705" s="125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125"/>
      <c r="V705" s="125"/>
      <c r="W705" s="125"/>
      <c r="X705" s="125"/>
      <c r="Y705" s="125"/>
      <c r="Z705" s="125"/>
      <c r="AA705" s="125"/>
    </row>
    <row r="706" spans="1:27" ht="13.5" customHeight="1" x14ac:dyDescent="0.25">
      <c r="A706" s="125"/>
      <c r="B706" s="125"/>
      <c r="C706" s="125"/>
      <c r="D706" s="125"/>
      <c r="E706" s="125"/>
      <c r="F706" s="125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125"/>
      <c r="V706" s="125"/>
      <c r="W706" s="125"/>
      <c r="X706" s="125"/>
      <c r="Y706" s="125"/>
      <c r="Z706" s="125"/>
      <c r="AA706" s="125"/>
    </row>
    <row r="707" spans="1:27" ht="13.5" customHeight="1" x14ac:dyDescent="0.25">
      <c r="A707" s="125"/>
      <c r="B707" s="125"/>
      <c r="C707" s="125"/>
      <c r="D707" s="125"/>
      <c r="E707" s="125"/>
      <c r="F707" s="125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125"/>
      <c r="V707" s="125"/>
      <c r="W707" s="125"/>
      <c r="X707" s="125"/>
      <c r="Y707" s="125"/>
      <c r="Z707" s="125"/>
      <c r="AA707" s="125"/>
    </row>
    <row r="708" spans="1:27" ht="13.5" customHeight="1" x14ac:dyDescent="0.25">
      <c r="A708" s="125"/>
      <c r="B708" s="125"/>
      <c r="C708" s="125"/>
      <c r="D708" s="125"/>
      <c r="E708" s="125"/>
      <c r="F708" s="125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125"/>
      <c r="V708" s="125"/>
      <c r="W708" s="125"/>
      <c r="X708" s="125"/>
      <c r="Y708" s="125"/>
      <c r="Z708" s="125"/>
      <c r="AA708" s="125"/>
    </row>
    <row r="709" spans="1:27" ht="13.5" customHeight="1" x14ac:dyDescent="0.25">
      <c r="A709" s="125"/>
      <c r="B709" s="125"/>
      <c r="C709" s="125"/>
      <c r="D709" s="125"/>
      <c r="E709" s="125"/>
      <c r="F709" s="125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125"/>
      <c r="V709" s="125"/>
      <c r="W709" s="125"/>
      <c r="X709" s="125"/>
      <c r="Y709" s="125"/>
      <c r="Z709" s="125"/>
      <c r="AA709" s="125"/>
    </row>
    <row r="710" spans="1:27" ht="13.5" customHeight="1" x14ac:dyDescent="0.25">
      <c r="A710" s="125"/>
      <c r="B710" s="125"/>
      <c r="C710" s="125"/>
      <c r="D710" s="125"/>
      <c r="E710" s="125"/>
      <c r="F710" s="125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125"/>
      <c r="V710" s="125"/>
      <c r="W710" s="125"/>
      <c r="X710" s="125"/>
      <c r="Y710" s="125"/>
      <c r="Z710" s="125"/>
      <c r="AA710" s="125"/>
    </row>
    <row r="711" spans="1:27" ht="13.5" customHeight="1" x14ac:dyDescent="0.25">
      <c r="A711" s="125"/>
      <c r="B711" s="125"/>
      <c r="C711" s="125"/>
      <c r="D711" s="125"/>
      <c r="E711" s="125"/>
      <c r="F711" s="125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125"/>
      <c r="V711" s="125"/>
      <c r="W711" s="125"/>
      <c r="X711" s="125"/>
      <c r="Y711" s="125"/>
      <c r="Z711" s="125"/>
      <c r="AA711" s="125"/>
    </row>
    <row r="712" spans="1:27" ht="13.5" customHeight="1" x14ac:dyDescent="0.25">
      <c r="A712" s="125"/>
      <c r="B712" s="125"/>
      <c r="C712" s="125"/>
      <c r="D712" s="125"/>
      <c r="E712" s="125"/>
      <c r="F712" s="125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125"/>
      <c r="V712" s="125"/>
      <c r="W712" s="125"/>
      <c r="X712" s="125"/>
      <c r="Y712" s="125"/>
      <c r="Z712" s="125"/>
      <c r="AA712" s="125"/>
    </row>
    <row r="713" spans="1:27" ht="13.5" customHeight="1" x14ac:dyDescent="0.25">
      <c r="A713" s="125"/>
      <c r="B713" s="125"/>
      <c r="C713" s="125"/>
      <c r="D713" s="125"/>
      <c r="E713" s="125"/>
      <c r="F713" s="125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125"/>
      <c r="V713" s="125"/>
      <c r="W713" s="125"/>
      <c r="X713" s="125"/>
      <c r="Y713" s="125"/>
      <c r="Z713" s="125"/>
      <c r="AA713" s="125"/>
    </row>
    <row r="714" spans="1:27" ht="13.5" customHeight="1" x14ac:dyDescent="0.25">
      <c r="A714" s="125"/>
      <c r="B714" s="125"/>
      <c r="C714" s="125"/>
      <c r="D714" s="125"/>
      <c r="E714" s="125"/>
      <c r="F714" s="125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125"/>
      <c r="V714" s="125"/>
      <c r="W714" s="125"/>
      <c r="X714" s="125"/>
      <c r="Y714" s="125"/>
      <c r="Z714" s="125"/>
      <c r="AA714" s="125"/>
    </row>
    <row r="715" spans="1:27" ht="13.5" customHeight="1" x14ac:dyDescent="0.25">
      <c r="A715" s="125"/>
      <c r="B715" s="125"/>
      <c r="C715" s="125"/>
      <c r="D715" s="125"/>
      <c r="E715" s="125"/>
      <c r="F715" s="125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125"/>
      <c r="V715" s="125"/>
      <c r="W715" s="125"/>
      <c r="X715" s="125"/>
      <c r="Y715" s="125"/>
      <c r="Z715" s="125"/>
      <c r="AA715" s="125"/>
    </row>
    <row r="716" spans="1:27" ht="13.5" customHeight="1" x14ac:dyDescent="0.25">
      <c r="A716" s="125"/>
      <c r="B716" s="125"/>
      <c r="C716" s="125"/>
      <c r="D716" s="125"/>
      <c r="E716" s="125"/>
      <c r="F716" s="125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125"/>
      <c r="V716" s="125"/>
      <c r="W716" s="125"/>
      <c r="X716" s="125"/>
      <c r="Y716" s="125"/>
      <c r="Z716" s="125"/>
      <c r="AA716" s="125"/>
    </row>
    <row r="717" spans="1:27" ht="13.5" customHeight="1" x14ac:dyDescent="0.25">
      <c r="A717" s="125"/>
      <c r="B717" s="125"/>
      <c r="C717" s="125"/>
      <c r="D717" s="125"/>
      <c r="E717" s="125"/>
      <c r="F717" s="125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125"/>
      <c r="V717" s="125"/>
      <c r="W717" s="125"/>
      <c r="X717" s="125"/>
      <c r="Y717" s="125"/>
      <c r="Z717" s="125"/>
      <c r="AA717" s="125"/>
    </row>
    <row r="718" spans="1:27" ht="13.5" customHeight="1" x14ac:dyDescent="0.25">
      <c r="A718" s="125"/>
      <c r="B718" s="125"/>
      <c r="C718" s="125"/>
      <c r="D718" s="125"/>
      <c r="E718" s="125"/>
      <c r="F718" s="125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125"/>
      <c r="V718" s="125"/>
      <c r="W718" s="125"/>
      <c r="X718" s="125"/>
      <c r="Y718" s="125"/>
      <c r="Z718" s="125"/>
      <c r="AA718" s="125"/>
    </row>
    <row r="719" spans="1:27" ht="13.5" customHeight="1" x14ac:dyDescent="0.25">
      <c r="A719" s="125"/>
      <c r="B719" s="125"/>
      <c r="C719" s="125"/>
      <c r="D719" s="125"/>
      <c r="E719" s="125"/>
      <c r="F719" s="125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125"/>
      <c r="V719" s="125"/>
      <c r="W719" s="125"/>
      <c r="X719" s="125"/>
      <c r="Y719" s="125"/>
      <c r="Z719" s="125"/>
      <c r="AA719" s="125"/>
    </row>
    <row r="720" spans="1:27" ht="13.5" customHeight="1" x14ac:dyDescent="0.25">
      <c r="A720" s="125"/>
      <c r="B720" s="125"/>
      <c r="C720" s="125"/>
      <c r="D720" s="125"/>
      <c r="E720" s="125"/>
      <c r="F720" s="125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125"/>
      <c r="V720" s="125"/>
      <c r="W720" s="125"/>
      <c r="X720" s="125"/>
      <c r="Y720" s="125"/>
      <c r="Z720" s="125"/>
      <c r="AA720" s="125"/>
    </row>
    <row r="721" spans="1:27" ht="13.5" customHeight="1" x14ac:dyDescent="0.25">
      <c r="A721" s="125"/>
      <c r="B721" s="125"/>
      <c r="C721" s="125"/>
      <c r="D721" s="125"/>
      <c r="E721" s="125"/>
      <c r="F721" s="125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125"/>
      <c r="V721" s="125"/>
      <c r="W721" s="125"/>
      <c r="X721" s="125"/>
      <c r="Y721" s="125"/>
      <c r="Z721" s="125"/>
      <c r="AA721" s="125"/>
    </row>
    <row r="722" spans="1:27" ht="13.5" customHeight="1" x14ac:dyDescent="0.25">
      <c r="A722" s="125"/>
      <c r="B722" s="125"/>
      <c r="C722" s="125"/>
      <c r="D722" s="125"/>
      <c r="E722" s="125"/>
      <c r="F722" s="125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125"/>
      <c r="V722" s="125"/>
      <c r="W722" s="125"/>
      <c r="X722" s="125"/>
      <c r="Y722" s="125"/>
      <c r="Z722" s="125"/>
      <c r="AA722" s="125"/>
    </row>
    <row r="723" spans="1:27" ht="13.5" customHeight="1" x14ac:dyDescent="0.25">
      <c r="A723" s="125"/>
      <c r="B723" s="125"/>
      <c r="C723" s="125"/>
      <c r="D723" s="125"/>
      <c r="E723" s="125"/>
      <c r="F723" s="125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125"/>
      <c r="V723" s="125"/>
      <c r="W723" s="125"/>
      <c r="X723" s="125"/>
      <c r="Y723" s="125"/>
      <c r="Z723" s="125"/>
      <c r="AA723" s="125"/>
    </row>
    <row r="724" spans="1:27" ht="13.5" customHeight="1" x14ac:dyDescent="0.25">
      <c r="A724" s="125"/>
      <c r="B724" s="125"/>
      <c r="C724" s="125"/>
      <c r="D724" s="125"/>
      <c r="E724" s="125"/>
      <c r="F724" s="125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125"/>
      <c r="V724" s="125"/>
      <c r="W724" s="125"/>
      <c r="X724" s="125"/>
      <c r="Y724" s="125"/>
      <c r="Z724" s="125"/>
      <c r="AA724" s="125"/>
    </row>
    <row r="725" spans="1:27" ht="13.5" customHeight="1" x14ac:dyDescent="0.25">
      <c r="A725" s="125"/>
      <c r="B725" s="125"/>
      <c r="C725" s="125"/>
      <c r="D725" s="125"/>
      <c r="E725" s="125"/>
      <c r="F725" s="125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125"/>
      <c r="V725" s="125"/>
      <c r="W725" s="125"/>
      <c r="X725" s="125"/>
      <c r="Y725" s="125"/>
      <c r="Z725" s="125"/>
      <c r="AA725" s="125"/>
    </row>
    <row r="726" spans="1:27" ht="13.5" customHeight="1" x14ac:dyDescent="0.25">
      <c r="A726" s="125"/>
      <c r="B726" s="125"/>
      <c r="C726" s="125"/>
      <c r="D726" s="125"/>
      <c r="E726" s="125"/>
      <c r="F726" s="125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125"/>
      <c r="V726" s="125"/>
      <c r="W726" s="125"/>
      <c r="X726" s="125"/>
      <c r="Y726" s="125"/>
      <c r="Z726" s="125"/>
      <c r="AA726" s="125"/>
    </row>
    <row r="727" spans="1:27" ht="13.5" customHeight="1" x14ac:dyDescent="0.25">
      <c r="A727" s="125"/>
      <c r="B727" s="125"/>
      <c r="C727" s="125"/>
      <c r="D727" s="125"/>
      <c r="E727" s="125"/>
      <c r="F727" s="125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125"/>
      <c r="V727" s="125"/>
      <c r="W727" s="125"/>
      <c r="X727" s="125"/>
      <c r="Y727" s="125"/>
      <c r="Z727" s="125"/>
      <c r="AA727" s="125"/>
    </row>
    <row r="728" spans="1:27" ht="13.5" customHeight="1" x14ac:dyDescent="0.25">
      <c r="A728" s="125"/>
      <c r="B728" s="125"/>
      <c r="C728" s="125"/>
      <c r="D728" s="125"/>
      <c r="E728" s="125"/>
      <c r="F728" s="125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125"/>
      <c r="V728" s="125"/>
      <c r="W728" s="125"/>
      <c r="X728" s="125"/>
      <c r="Y728" s="125"/>
      <c r="Z728" s="125"/>
      <c r="AA728" s="125"/>
    </row>
    <row r="729" spans="1:27" ht="13.5" customHeight="1" x14ac:dyDescent="0.25">
      <c r="A729" s="125"/>
      <c r="B729" s="125"/>
      <c r="C729" s="125"/>
      <c r="D729" s="125"/>
      <c r="E729" s="125"/>
      <c r="F729" s="125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125"/>
      <c r="V729" s="125"/>
      <c r="W729" s="125"/>
      <c r="X729" s="125"/>
      <c r="Y729" s="125"/>
      <c r="Z729" s="125"/>
      <c r="AA729" s="125"/>
    </row>
    <row r="730" spans="1:27" ht="13.5" customHeight="1" x14ac:dyDescent="0.25">
      <c r="A730" s="125"/>
      <c r="B730" s="125"/>
      <c r="C730" s="125"/>
      <c r="D730" s="125"/>
      <c r="E730" s="125"/>
      <c r="F730" s="125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125"/>
      <c r="V730" s="125"/>
      <c r="W730" s="125"/>
      <c r="X730" s="125"/>
      <c r="Y730" s="125"/>
      <c r="Z730" s="125"/>
      <c r="AA730" s="125"/>
    </row>
    <row r="731" spans="1:27" ht="13.5" customHeight="1" x14ac:dyDescent="0.25">
      <c r="A731" s="125"/>
      <c r="B731" s="125"/>
      <c r="C731" s="125"/>
      <c r="D731" s="125"/>
      <c r="E731" s="125"/>
      <c r="F731" s="125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125"/>
      <c r="V731" s="125"/>
      <c r="W731" s="125"/>
      <c r="X731" s="125"/>
      <c r="Y731" s="125"/>
      <c r="Z731" s="125"/>
      <c r="AA731" s="125"/>
    </row>
    <row r="732" spans="1:27" ht="13.5" customHeight="1" x14ac:dyDescent="0.25">
      <c r="A732" s="125"/>
      <c r="B732" s="125"/>
      <c r="C732" s="125"/>
      <c r="D732" s="125"/>
      <c r="E732" s="125"/>
      <c r="F732" s="125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125"/>
      <c r="V732" s="125"/>
      <c r="W732" s="125"/>
      <c r="X732" s="125"/>
      <c r="Y732" s="125"/>
      <c r="Z732" s="125"/>
      <c r="AA732" s="125"/>
    </row>
    <row r="733" spans="1:27" ht="13.5" customHeight="1" x14ac:dyDescent="0.25">
      <c r="A733" s="125"/>
      <c r="B733" s="125"/>
      <c r="C733" s="125"/>
      <c r="D733" s="125"/>
      <c r="E733" s="125"/>
      <c r="F733" s="125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125"/>
      <c r="V733" s="125"/>
      <c r="W733" s="125"/>
      <c r="X733" s="125"/>
      <c r="Y733" s="125"/>
      <c r="Z733" s="125"/>
      <c r="AA733" s="125"/>
    </row>
    <row r="734" spans="1:27" ht="13.5" customHeight="1" x14ac:dyDescent="0.25">
      <c r="A734" s="125"/>
      <c r="B734" s="125"/>
      <c r="C734" s="125"/>
      <c r="D734" s="125"/>
      <c r="E734" s="125"/>
      <c r="F734" s="125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125"/>
      <c r="V734" s="125"/>
      <c r="W734" s="125"/>
      <c r="X734" s="125"/>
      <c r="Y734" s="125"/>
      <c r="Z734" s="125"/>
      <c r="AA734" s="125"/>
    </row>
    <row r="735" spans="1:27" ht="13.5" customHeight="1" x14ac:dyDescent="0.25">
      <c r="A735" s="125"/>
      <c r="B735" s="125"/>
      <c r="C735" s="125"/>
      <c r="D735" s="125"/>
      <c r="E735" s="125"/>
      <c r="F735" s="125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125"/>
      <c r="V735" s="125"/>
      <c r="W735" s="125"/>
      <c r="X735" s="125"/>
      <c r="Y735" s="125"/>
      <c r="Z735" s="125"/>
      <c r="AA735" s="125"/>
    </row>
    <row r="736" spans="1:27" ht="13.5" customHeight="1" x14ac:dyDescent="0.25">
      <c r="A736" s="125"/>
      <c r="B736" s="125"/>
      <c r="C736" s="125"/>
      <c r="D736" s="125"/>
      <c r="E736" s="125"/>
      <c r="F736" s="125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125"/>
      <c r="V736" s="125"/>
      <c r="W736" s="125"/>
      <c r="X736" s="125"/>
      <c r="Y736" s="125"/>
      <c r="Z736" s="125"/>
      <c r="AA736" s="125"/>
    </row>
    <row r="737" spans="1:27" ht="13.5" customHeight="1" x14ac:dyDescent="0.25">
      <c r="A737" s="125"/>
      <c r="B737" s="125"/>
      <c r="C737" s="125"/>
      <c r="D737" s="125"/>
      <c r="E737" s="125"/>
      <c r="F737" s="125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125"/>
      <c r="V737" s="125"/>
      <c r="W737" s="125"/>
      <c r="X737" s="125"/>
      <c r="Y737" s="125"/>
      <c r="Z737" s="125"/>
      <c r="AA737" s="125"/>
    </row>
    <row r="738" spans="1:27" ht="13.5" customHeight="1" x14ac:dyDescent="0.25">
      <c r="A738" s="125"/>
      <c r="B738" s="125"/>
      <c r="C738" s="125"/>
      <c r="D738" s="125"/>
      <c r="E738" s="125"/>
      <c r="F738" s="125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125"/>
      <c r="V738" s="125"/>
      <c r="W738" s="125"/>
      <c r="X738" s="125"/>
      <c r="Y738" s="125"/>
      <c r="Z738" s="125"/>
      <c r="AA738" s="125"/>
    </row>
    <row r="739" spans="1:27" ht="13.5" customHeight="1" x14ac:dyDescent="0.25">
      <c r="A739" s="125"/>
      <c r="B739" s="125"/>
      <c r="C739" s="125"/>
      <c r="D739" s="125"/>
      <c r="E739" s="125"/>
      <c r="F739" s="125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125"/>
      <c r="V739" s="125"/>
      <c r="W739" s="125"/>
      <c r="X739" s="125"/>
      <c r="Y739" s="125"/>
      <c r="Z739" s="125"/>
      <c r="AA739" s="125"/>
    </row>
    <row r="740" spans="1:27" ht="13.5" customHeight="1" x14ac:dyDescent="0.25">
      <c r="A740" s="125"/>
      <c r="B740" s="125"/>
      <c r="C740" s="125"/>
      <c r="D740" s="125"/>
      <c r="E740" s="125"/>
      <c r="F740" s="125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125"/>
      <c r="V740" s="125"/>
      <c r="W740" s="125"/>
      <c r="X740" s="125"/>
      <c r="Y740" s="125"/>
      <c r="Z740" s="125"/>
      <c r="AA740" s="125"/>
    </row>
    <row r="741" spans="1:27" ht="13.5" customHeight="1" x14ac:dyDescent="0.25">
      <c r="A741" s="125"/>
      <c r="B741" s="125"/>
      <c r="C741" s="125"/>
      <c r="D741" s="125"/>
      <c r="E741" s="125"/>
      <c r="F741" s="125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125"/>
      <c r="V741" s="125"/>
      <c r="W741" s="125"/>
      <c r="X741" s="125"/>
      <c r="Y741" s="125"/>
      <c r="Z741" s="125"/>
      <c r="AA741" s="125"/>
    </row>
    <row r="742" spans="1:27" ht="13.5" customHeight="1" x14ac:dyDescent="0.25">
      <c r="A742" s="125"/>
      <c r="B742" s="125"/>
      <c r="C742" s="125"/>
      <c r="D742" s="125"/>
      <c r="E742" s="125"/>
      <c r="F742" s="125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125"/>
      <c r="V742" s="125"/>
      <c r="W742" s="125"/>
      <c r="X742" s="125"/>
      <c r="Y742" s="125"/>
      <c r="Z742" s="125"/>
      <c r="AA742" s="125"/>
    </row>
    <row r="743" spans="1:27" ht="13.5" customHeight="1" x14ac:dyDescent="0.25">
      <c r="A743" s="125"/>
      <c r="B743" s="125"/>
      <c r="C743" s="125"/>
      <c r="D743" s="125"/>
      <c r="E743" s="125"/>
      <c r="F743" s="125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125"/>
      <c r="V743" s="125"/>
      <c r="W743" s="125"/>
      <c r="X743" s="125"/>
      <c r="Y743" s="125"/>
      <c r="Z743" s="125"/>
      <c r="AA743" s="125"/>
    </row>
    <row r="744" spans="1:27" ht="13.5" customHeight="1" x14ac:dyDescent="0.25">
      <c r="A744" s="125"/>
      <c r="B744" s="125"/>
      <c r="C744" s="125"/>
      <c r="D744" s="125"/>
      <c r="E744" s="125"/>
      <c r="F744" s="125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125"/>
      <c r="V744" s="125"/>
      <c r="W744" s="125"/>
      <c r="X744" s="125"/>
      <c r="Y744" s="125"/>
      <c r="Z744" s="125"/>
      <c r="AA744" s="125"/>
    </row>
    <row r="745" spans="1:27" ht="13.5" customHeight="1" x14ac:dyDescent="0.25">
      <c r="A745" s="125"/>
      <c r="B745" s="125"/>
      <c r="C745" s="125"/>
      <c r="D745" s="125"/>
      <c r="E745" s="125"/>
      <c r="F745" s="125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125"/>
      <c r="V745" s="125"/>
      <c r="W745" s="125"/>
      <c r="X745" s="125"/>
      <c r="Y745" s="125"/>
      <c r="Z745" s="125"/>
      <c r="AA745" s="125"/>
    </row>
    <row r="746" spans="1:27" ht="13.5" customHeight="1" x14ac:dyDescent="0.25">
      <c r="A746" s="125"/>
      <c r="B746" s="125"/>
      <c r="C746" s="125"/>
      <c r="D746" s="125"/>
      <c r="E746" s="125"/>
      <c r="F746" s="125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125"/>
      <c r="V746" s="125"/>
      <c r="W746" s="125"/>
      <c r="X746" s="125"/>
      <c r="Y746" s="125"/>
      <c r="Z746" s="125"/>
      <c r="AA746" s="125"/>
    </row>
    <row r="747" spans="1:27" ht="13.5" customHeight="1" x14ac:dyDescent="0.25">
      <c r="A747" s="125"/>
      <c r="B747" s="125"/>
      <c r="C747" s="125"/>
      <c r="D747" s="125"/>
      <c r="E747" s="125"/>
      <c r="F747" s="125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125"/>
      <c r="V747" s="125"/>
      <c r="W747" s="125"/>
      <c r="X747" s="125"/>
      <c r="Y747" s="125"/>
      <c r="Z747" s="125"/>
      <c r="AA747" s="125"/>
    </row>
    <row r="748" spans="1:27" ht="13.5" customHeight="1" x14ac:dyDescent="0.25">
      <c r="A748" s="125"/>
      <c r="B748" s="125"/>
      <c r="C748" s="125"/>
      <c r="D748" s="125"/>
      <c r="E748" s="125"/>
      <c r="F748" s="125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125"/>
      <c r="V748" s="125"/>
      <c r="W748" s="125"/>
      <c r="X748" s="125"/>
      <c r="Y748" s="125"/>
      <c r="Z748" s="125"/>
      <c r="AA748" s="125"/>
    </row>
    <row r="749" spans="1:27" ht="13.5" customHeight="1" x14ac:dyDescent="0.25">
      <c r="A749" s="125"/>
      <c r="B749" s="125"/>
      <c r="C749" s="125"/>
      <c r="D749" s="125"/>
      <c r="E749" s="125"/>
      <c r="F749" s="125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125"/>
      <c r="V749" s="125"/>
      <c r="W749" s="125"/>
      <c r="X749" s="125"/>
      <c r="Y749" s="125"/>
      <c r="Z749" s="125"/>
      <c r="AA749" s="125"/>
    </row>
    <row r="750" spans="1:27" ht="13.5" customHeight="1" x14ac:dyDescent="0.25">
      <c r="A750" s="125"/>
      <c r="B750" s="125"/>
      <c r="C750" s="125"/>
      <c r="D750" s="125"/>
      <c r="E750" s="125"/>
      <c r="F750" s="125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125"/>
      <c r="V750" s="125"/>
      <c r="W750" s="125"/>
      <c r="X750" s="125"/>
      <c r="Y750" s="125"/>
      <c r="Z750" s="125"/>
      <c r="AA750" s="125"/>
    </row>
    <row r="751" spans="1:27" ht="13.5" customHeight="1" x14ac:dyDescent="0.25">
      <c r="A751" s="125"/>
      <c r="B751" s="125"/>
      <c r="C751" s="125"/>
      <c r="D751" s="125"/>
      <c r="E751" s="125"/>
      <c r="F751" s="125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125"/>
      <c r="V751" s="125"/>
      <c r="W751" s="125"/>
      <c r="X751" s="125"/>
      <c r="Y751" s="125"/>
      <c r="Z751" s="125"/>
      <c r="AA751" s="125"/>
    </row>
    <row r="752" spans="1:27" ht="13.5" customHeight="1" x14ac:dyDescent="0.25">
      <c r="A752" s="125"/>
      <c r="B752" s="125"/>
      <c r="C752" s="125"/>
      <c r="D752" s="125"/>
      <c r="E752" s="125"/>
      <c r="F752" s="125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125"/>
      <c r="V752" s="125"/>
      <c r="W752" s="125"/>
      <c r="X752" s="125"/>
      <c r="Y752" s="125"/>
      <c r="Z752" s="125"/>
      <c r="AA752" s="125"/>
    </row>
    <row r="753" spans="1:27" ht="13.5" customHeight="1" x14ac:dyDescent="0.25">
      <c r="A753" s="125"/>
      <c r="B753" s="125"/>
      <c r="C753" s="125"/>
      <c r="D753" s="125"/>
      <c r="E753" s="125"/>
      <c r="F753" s="125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125"/>
      <c r="V753" s="125"/>
      <c r="W753" s="125"/>
      <c r="X753" s="125"/>
      <c r="Y753" s="125"/>
      <c r="Z753" s="125"/>
      <c r="AA753" s="125"/>
    </row>
    <row r="754" spans="1:27" ht="13.5" customHeight="1" x14ac:dyDescent="0.25">
      <c r="A754" s="125"/>
      <c r="B754" s="125"/>
      <c r="C754" s="125"/>
      <c r="D754" s="125"/>
      <c r="E754" s="125"/>
      <c r="F754" s="125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125"/>
      <c r="V754" s="125"/>
      <c r="W754" s="125"/>
      <c r="X754" s="125"/>
      <c r="Y754" s="125"/>
      <c r="Z754" s="125"/>
      <c r="AA754" s="125"/>
    </row>
    <row r="755" spans="1:27" ht="13.5" customHeight="1" x14ac:dyDescent="0.25">
      <c r="A755" s="125"/>
      <c r="B755" s="125"/>
      <c r="C755" s="125"/>
      <c r="D755" s="125"/>
      <c r="E755" s="125"/>
      <c r="F755" s="125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125"/>
      <c r="V755" s="125"/>
      <c r="W755" s="125"/>
      <c r="X755" s="125"/>
      <c r="Y755" s="125"/>
      <c r="Z755" s="125"/>
      <c r="AA755" s="125"/>
    </row>
    <row r="756" spans="1:27" ht="13.5" customHeight="1" x14ac:dyDescent="0.25">
      <c r="A756" s="125"/>
      <c r="B756" s="125"/>
      <c r="C756" s="125"/>
      <c r="D756" s="125"/>
      <c r="E756" s="125"/>
      <c r="F756" s="125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125"/>
      <c r="V756" s="125"/>
      <c r="W756" s="125"/>
      <c r="X756" s="125"/>
      <c r="Y756" s="125"/>
      <c r="Z756" s="125"/>
      <c r="AA756" s="125"/>
    </row>
    <row r="757" spans="1:27" ht="13.5" customHeight="1" x14ac:dyDescent="0.25">
      <c r="A757" s="125"/>
      <c r="B757" s="125"/>
      <c r="C757" s="125"/>
      <c r="D757" s="125"/>
      <c r="E757" s="125"/>
      <c r="F757" s="125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125"/>
      <c r="V757" s="125"/>
      <c r="W757" s="125"/>
      <c r="X757" s="125"/>
      <c r="Y757" s="125"/>
      <c r="Z757" s="125"/>
      <c r="AA757" s="125"/>
    </row>
    <row r="758" spans="1:27" ht="13.5" customHeight="1" x14ac:dyDescent="0.25">
      <c r="A758" s="125"/>
      <c r="B758" s="125"/>
      <c r="C758" s="125"/>
      <c r="D758" s="125"/>
      <c r="E758" s="125"/>
      <c r="F758" s="125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125"/>
      <c r="V758" s="125"/>
      <c r="W758" s="125"/>
      <c r="X758" s="125"/>
      <c r="Y758" s="125"/>
      <c r="Z758" s="125"/>
      <c r="AA758" s="125"/>
    </row>
    <row r="759" spans="1:27" ht="13.5" customHeight="1" x14ac:dyDescent="0.25">
      <c r="A759" s="125"/>
      <c r="B759" s="125"/>
      <c r="C759" s="125"/>
      <c r="D759" s="125"/>
      <c r="E759" s="125"/>
      <c r="F759" s="125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125"/>
      <c r="V759" s="125"/>
      <c r="W759" s="125"/>
      <c r="X759" s="125"/>
      <c r="Y759" s="125"/>
      <c r="Z759" s="125"/>
      <c r="AA759" s="125"/>
    </row>
    <row r="760" spans="1:27" ht="13.5" customHeight="1" x14ac:dyDescent="0.25">
      <c r="A760" s="125"/>
      <c r="B760" s="125"/>
      <c r="C760" s="125"/>
      <c r="D760" s="125"/>
      <c r="E760" s="125"/>
      <c r="F760" s="125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125"/>
      <c r="V760" s="125"/>
      <c r="W760" s="125"/>
      <c r="X760" s="125"/>
      <c r="Y760" s="125"/>
      <c r="Z760" s="125"/>
      <c r="AA760" s="125"/>
    </row>
    <row r="761" spans="1:27" ht="13.5" customHeight="1" x14ac:dyDescent="0.25">
      <c r="A761" s="125"/>
      <c r="B761" s="125"/>
      <c r="C761" s="125"/>
      <c r="D761" s="125"/>
      <c r="E761" s="125"/>
      <c r="F761" s="125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125"/>
      <c r="V761" s="125"/>
      <c r="W761" s="125"/>
      <c r="X761" s="125"/>
      <c r="Y761" s="125"/>
      <c r="Z761" s="125"/>
      <c r="AA761" s="125"/>
    </row>
    <row r="762" spans="1:27" ht="13.5" customHeight="1" x14ac:dyDescent="0.25">
      <c r="A762" s="125"/>
      <c r="B762" s="125"/>
      <c r="C762" s="125"/>
      <c r="D762" s="125"/>
      <c r="E762" s="125"/>
      <c r="F762" s="125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125"/>
      <c r="V762" s="125"/>
      <c r="W762" s="125"/>
      <c r="X762" s="125"/>
      <c r="Y762" s="125"/>
      <c r="Z762" s="125"/>
      <c r="AA762" s="125"/>
    </row>
    <row r="763" spans="1:27" ht="13.5" customHeight="1" x14ac:dyDescent="0.25">
      <c r="A763" s="125"/>
      <c r="B763" s="125"/>
      <c r="C763" s="125"/>
      <c r="D763" s="125"/>
      <c r="E763" s="125"/>
      <c r="F763" s="125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125"/>
      <c r="V763" s="125"/>
      <c r="W763" s="125"/>
      <c r="X763" s="125"/>
      <c r="Y763" s="125"/>
      <c r="Z763" s="125"/>
      <c r="AA763" s="125"/>
    </row>
    <row r="764" spans="1:27" ht="13.5" customHeight="1" x14ac:dyDescent="0.25">
      <c r="A764" s="125"/>
      <c r="B764" s="125"/>
      <c r="C764" s="125"/>
      <c r="D764" s="125"/>
      <c r="E764" s="125"/>
      <c r="F764" s="125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125"/>
      <c r="V764" s="125"/>
      <c r="W764" s="125"/>
      <c r="X764" s="125"/>
      <c r="Y764" s="125"/>
      <c r="Z764" s="125"/>
      <c r="AA764" s="125"/>
    </row>
    <row r="765" spans="1:27" ht="13.5" customHeight="1" x14ac:dyDescent="0.25">
      <c r="A765" s="125"/>
      <c r="B765" s="125"/>
      <c r="C765" s="125"/>
      <c r="D765" s="125"/>
      <c r="E765" s="125"/>
      <c r="F765" s="125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125"/>
      <c r="V765" s="125"/>
      <c r="W765" s="125"/>
      <c r="X765" s="125"/>
      <c r="Y765" s="125"/>
      <c r="Z765" s="125"/>
      <c r="AA765" s="125"/>
    </row>
    <row r="766" spans="1:27" ht="13.5" customHeight="1" x14ac:dyDescent="0.25">
      <c r="A766" s="125"/>
      <c r="B766" s="125"/>
      <c r="C766" s="125"/>
      <c r="D766" s="125"/>
      <c r="E766" s="125"/>
      <c r="F766" s="125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125"/>
      <c r="V766" s="125"/>
      <c r="W766" s="125"/>
      <c r="X766" s="125"/>
      <c r="Y766" s="125"/>
      <c r="Z766" s="125"/>
      <c r="AA766" s="125"/>
    </row>
    <row r="767" spans="1:27" ht="13.5" customHeight="1" x14ac:dyDescent="0.25">
      <c r="A767" s="125"/>
      <c r="B767" s="125"/>
      <c r="C767" s="125"/>
      <c r="D767" s="125"/>
      <c r="E767" s="125"/>
      <c r="F767" s="125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125"/>
      <c r="V767" s="125"/>
      <c r="W767" s="125"/>
      <c r="X767" s="125"/>
      <c r="Y767" s="125"/>
      <c r="Z767" s="125"/>
      <c r="AA767" s="125"/>
    </row>
    <row r="768" spans="1:27" ht="13.5" customHeight="1" x14ac:dyDescent="0.25">
      <c r="A768" s="125"/>
      <c r="B768" s="125"/>
      <c r="C768" s="125"/>
      <c r="D768" s="125"/>
      <c r="E768" s="125"/>
      <c r="F768" s="125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125"/>
      <c r="V768" s="125"/>
      <c r="W768" s="125"/>
      <c r="X768" s="125"/>
      <c r="Y768" s="125"/>
      <c r="Z768" s="125"/>
      <c r="AA768" s="125"/>
    </row>
    <row r="769" spans="1:27" ht="13.5" customHeight="1" x14ac:dyDescent="0.25">
      <c r="A769" s="125"/>
      <c r="B769" s="125"/>
      <c r="C769" s="125"/>
      <c r="D769" s="125"/>
      <c r="E769" s="125"/>
      <c r="F769" s="125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125"/>
      <c r="V769" s="125"/>
      <c r="W769" s="125"/>
      <c r="X769" s="125"/>
      <c r="Y769" s="125"/>
      <c r="Z769" s="125"/>
      <c r="AA769" s="125"/>
    </row>
    <row r="770" spans="1:27" ht="13.5" customHeight="1" x14ac:dyDescent="0.25">
      <c r="A770" s="125"/>
      <c r="B770" s="125"/>
      <c r="C770" s="125"/>
      <c r="D770" s="125"/>
      <c r="E770" s="125"/>
      <c r="F770" s="125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125"/>
      <c r="V770" s="125"/>
      <c r="W770" s="125"/>
      <c r="X770" s="125"/>
      <c r="Y770" s="125"/>
      <c r="Z770" s="125"/>
      <c r="AA770" s="125"/>
    </row>
    <row r="771" spans="1:27" ht="13.5" customHeight="1" x14ac:dyDescent="0.25">
      <c r="A771" s="125"/>
      <c r="B771" s="125"/>
      <c r="C771" s="125"/>
      <c r="D771" s="125"/>
      <c r="E771" s="125"/>
      <c r="F771" s="125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125"/>
      <c r="V771" s="125"/>
      <c r="W771" s="125"/>
      <c r="X771" s="125"/>
      <c r="Y771" s="125"/>
      <c r="Z771" s="125"/>
      <c r="AA771" s="125"/>
    </row>
    <row r="772" spans="1:27" ht="13.5" customHeight="1" x14ac:dyDescent="0.25">
      <c r="A772" s="125"/>
      <c r="B772" s="125"/>
      <c r="C772" s="125"/>
      <c r="D772" s="125"/>
      <c r="E772" s="125"/>
      <c r="F772" s="125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125"/>
      <c r="V772" s="125"/>
      <c r="W772" s="125"/>
      <c r="X772" s="125"/>
      <c r="Y772" s="125"/>
      <c r="Z772" s="125"/>
      <c r="AA772" s="125"/>
    </row>
    <row r="773" spans="1:27" ht="13.5" customHeight="1" x14ac:dyDescent="0.25">
      <c r="A773" s="125"/>
      <c r="B773" s="125"/>
      <c r="C773" s="125"/>
      <c r="D773" s="125"/>
      <c r="E773" s="125"/>
      <c r="F773" s="125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125"/>
      <c r="V773" s="125"/>
      <c r="W773" s="125"/>
      <c r="X773" s="125"/>
      <c r="Y773" s="125"/>
      <c r="Z773" s="125"/>
      <c r="AA773" s="125"/>
    </row>
    <row r="774" spans="1:27" ht="13.5" customHeight="1" x14ac:dyDescent="0.25">
      <c r="A774" s="125"/>
      <c r="B774" s="125"/>
      <c r="C774" s="125"/>
      <c r="D774" s="125"/>
      <c r="E774" s="125"/>
      <c r="F774" s="125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125"/>
      <c r="V774" s="125"/>
      <c r="W774" s="125"/>
      <c r="X774" s="125"/>
      <c r="Y774" s="125"/>
      <c r="Z774" s="125"/>
      <c r="AA774" s="125"/>
    </row>
    <row r="775" spans="1:27" ht="13.5" customHeight="1" x14ac:dyDescent="0.25">
      <c r="A775" s="125"/>
      <c r="B775" s="125"/>
      <c r="C775" s="125"/>
      <c r="D775" s="125"/>
      <c r="E775" s="125"/>
      <c r="F775" s="125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125"/>
      <c r="V775" s="125"/>
      <c r="W775" s="125"/>
      <c r="X775" s="125"/>
      <c r="Y775" s="125"/>
      <c r="Z775" s="125"/>
      <c r="AA775" s="125"/>
    </row>
    <row r="776" spans="1:27" ht="13.5" customHeight="1" x14ac:dyDescent="0.25">
      <c r="A776" s="125"/>
      <c r="B776" s="125"/>
      <c r="C776" s="125"/>
      <c r="D776" s="125"/>
      <c r="E776" s="125"/>
      <c r="F776" s="125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125"/>
      <c r="V776" s="125"/>
      <c r="W776" s="125"/>
      <c r="X776" s="125"/>
      <c r="Y776" s="125"/>
      <c r="Z776" s="125"/>
      <c r="AA776" s="125"/>
    </row>
    <row r="777" spans="1:27" ht="13.5" customHeight="1" x14ac:dyDescent="0.25">
      <c r="A777" s="125"/>
      <c r="B777" s="125"/>
      <c r="C777" s="125"/>
      <c r="D777" s="125"/>
      <c r="E777" s="125"/>
      <c r="F777" s="125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125"/>
      <c r="V777" s="125"/>
      <c r="W777" s="125"/>
      <c r="X777" s="125"/>
      <c r="Y777" s="125"/>
      <c r="Z777" s="125"/>
      <c r="AA777" s="125"/>
    </row>
    <row r="778" spans="1:27" ht="13.5" customHeight="1" x14ac:dyDescent="0.25">
      <c r="A778" s="125"/>
      <c r="B778" s="125"/>
      <c r="C778" s="125"/>
      <c r="D778" s="125"/>
      <c r="E778" s="125"/>
      <c r="F778" s="125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125"/>
      <c r="V778" s="125"/>
      <c r="W778" s="125"/>
      <c r="X778" s="125"/>
      <c r="Y778" s="125"/>
      <c r="Z778" s="125"/>
      <c r="AA778" s="125"/>
    </row>
    <row r="779" spans="1:27" ht="13.5" customHeight="1" x14ac:dyDescent="0.25">
      <c r="A779" s="125"/>
      <c r="B779" s="125"/>
      <c r="C779" s="125"/>
      <c r="D779" s="125"/>
      <c r="E779" s="125"/>
      <c r="F779" s="125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125"/>
      <c r="V779" s="125"/>
      <c r="W779" s="125"/>
      <c r="X779" s="125"/>
      <c r="Y779" s="125"/>
      <c r="Z779" s="125"/>
      <c r="AA779" s="125"/>
    </row>
    <row r="780" spans="1:27" ht="13.5" customHeight="1" x14ac:dyDescent="0.25">
      <c r="A780" s="125"/>
      <c r="B780" s="125"/>
      <c r="C780" s="125"/>
      <c r="D780" s="125"/>
      <c r="E780" s="125"/>
      <c r="F780" s="125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125"/>
      <c r="V780" s="125"/>
      <c r="W780" s="125"/>
      <c r="X780" s="125"/>
      <c r="Y780" s="125"/>
      <c r="Z780" s="125"/>
      <c r="AA780" s="125"/>
    </row>
    <row r="781" spans="1:27" ht="13.5" customHeight="1" x14ac:dyDescent="0.25">
      <c r="A781" s="125"/>
      <c r="B781" s="125"/>
      <c r="C781" s="125"/>
      <c r="D781" s="125"/>
      <c r="E781" s="125"/>
      <c r="F781" s="125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125"/>
      <c r="V781" s="125"/>
      <c r="W781" s="125"/>
      <c r="X781" s="125"/>
      <c r="Y781" s="125"/>
      <c r="Z781" s="125"/>
      <c r="AA781" s="125"/>
    </row>
    <row r="782" spans="1:27" ht="13.5" customHeight="1" x14ac:dyDescent="0.25">
      <c r="A782" s="125"/>
      <c r="B782" s="125"/>
      <c r="C782" s="125"/>
      <c r="D782" s="125"/>
      <c r="E782" s="125"/>
      <c r="F782" s="125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125"/>
      <c r="V782" s="125"/>
      <c r="W782" s="125"/>
      <c r="X782" s="125"/>
      <c r="Y782" s="125"/>
      <c r="Z782" s="125"/>
      <c r="AA782" s="125"/>
    </row>
    <row r="783" spans="1:27" ht="13.5" customHeight="1" x14ac:dyDescent="0.25">
      <c r="A783" s="125"/>
      <c r="B783" s="125"/>
      <c r="C783" s="125"/>
      <c r="D783" s="125"/>
      <c r="E783" s="125"/>
      <c r="F783" s="125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125"/>
      <c r="V783" s="125"/>
      <c r="W783" s="125"/>
      <c r="X783" s="125"/>
      <c r="Y783" s="125"/>
      <c r="Z783" s="125"/>
      <c r="AA783" s="125"/>
    </row>
    <row r="784" spans="1:27" ht="13.5" customHeight="1" x14ac:dyDescent="0.25">
      <c r="A784" s="125"/>
      <c r="B784" s="125"/>
      <c r="C784" s="125"/>
      <c r="D784" s="125"/>
      <c r="E784" s="125"/>
      <c r="F784" s="125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125"/>
      <c r="V784" s="125"/>
      <c r="W784" s="125"/>
      <c r="X784" s="125"/>
      <c r="Y784" s="125"/>
      <c r="Z784" s="125"/>
      <c r="AA784" s="125"/>
    </row>
    <row r="785" spans="1:27" ht="13.5" customHeight="1" x14ac:dyDescent="0.25">
      <c r="A785" s="125"/>
      <c r="B785" s="125"/>
      <c r="C785" s="125"/>
      <c r="D785" s="125"/>
      <c r="E785" s="125"/>
      <c r="F785" s="125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125"/>
      <c r="V785" s="125"/>
      <c r="W785" s="125"/>
      <c r="X785" s="125"/>
      <c r="Y785" s="125"/>
      <c r="Z785" s="125"/>
      <c r="AA785" s="125"/>
    </row>
    <row r="786" spans="1:27" ht="13.5" customHeight="1" x14ac:dyDescent="0.25">
      <c r="A786" s="125"/>
      <c r="B786" s="125"/>
      <c r="C786" s="125"/>
      <c r="D786" s="125"/>
      <c r="E786" s="125"/>
      <c r="F786" s="125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125"/>
      <c r="V786" s="125"/>
      <c r="W786" s="125"/>
      <c r="X786" s="125"/>
      <c r="Y786" s="125"/>
      <c r="Z786" s="125"/>
      <c r="AA786" s="125"/>
    </row>
    <row r="787" spans="1:27" ht="13.5" customHeight="1" x14ac:dyDescent="0.25">
      <c r="A787" s="125"/>
      <c r="B787" s="125"/>
      <c r="C787" s="125"/>
      <c r="D787" s="125"/>
      <c r="E787" s="125"/>
      <c r="F787" s="125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125"/>
      <c r="V787" s="125"/>
      <c r="W787" s="125"/>
      <c r="X787" s="125"/>
      <c r="Y787" s="125"/>
      <c r="Z787" s="125"/>
      <c r="AA787" s="125"/>
    </row>
    <row r="788" spans="1:27" ht="13.5" customHeight="1" x14ac:dyDescent="0.25">
      <c r="A788" s="125"/>
      <c r="B788" s="125"/>
      <c r="C788" s="125"/>
      <c r="D788" s="125"/>
      <c r="E788" s="125"/>
      <c r="F788" s="125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125"/>
      <c r="V788" s="125"/>
      <c r="W788" s="125"/>
      <c r="X788" s="125"/>
      <c r="Y788" s="125"/>
      <c r="Z788" s="125"/>
      <c r="AA788" s="125"/>
    </row>
    <row r="789" spans="1:27" ht="13.5" customHeight="1" x14ac:dyDescent="0.25">
      <c r="A789" s="125"/>
      <c r="B789" s="125"/>
      <c r="C789" s="125"/>
      <c r="D789" s="125"/>
      <c r="E789" s="125"/>
      <c r="F789" s="125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125"/>
      <c r="V789" s="125"/>
      <c r="W789" s="125"/>
      <c r="X789" s="125"/>
      <c r="Y789" s="125"/>
      <c r="Z789" s="125"/>
      <c r="AA789" s="125"/>
    </row>
    <row r="790" spans="1:27" ht="13.5" customHeight="1" x14ac:dyDescent="0.25">
      <c r="A790" s="125"/>
      <c r="B790" s="125"/>
      <c r="C790" s="125"/>
      <c r="D790" s="125"/>
      <c r="E790" s="125"/>
      <c r="F790" s="125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125"/>
      <c r="V790" s="125"/>
      <c r="W790" s="125"/>
      <c r="X790" s="125"/>
      <c r="Y790" s="125"/>
      <c r="Z790" s="125"/>
      <c r="AA790" s="125"/>
    </row>
    <row r="791" spans="1:27" ht="13.5" customHeight="1" x14ac:dyDescent="0.25">
      <c r="A791" s="125"/>
      <c r="B791" s="125"/>
      <c r="C791" s="125"/>
      <c r="D791" s="125"/>
      <c r="E791" s="125"/>
      <c r="F791" s="125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125"/>
      <c r="V791" s="125"/>
      <c r="W791" s="125"/>
      <c r="X791" s="125"/>
      <c r="Y791" s="125"/>
      <c r="Z791" s="125"/>
      <c r="AA791" s="125"/>
    </row>
    <row r="792" spans="1:27" ht="13.5" customHeight="1" x14ac:dyDescent="0.25">
      <c r="A792" s="125"/>
      <c r="B792" s="125"/>
      <c r="C792" s="125"/>
      <c r="D792" s="125"/>
      <c r="E792" s="125"/>
      <c r="F792" s="125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125"/>
      <c r="V792" s="125"/>
      <c r="W792" s="125"/>
      <c r="X792" s="125"/>
      <c r="Y792" s="125"/>
      <c r="Z792" s="125"/>
      <c r="AA792" s="125"/>
    </row>
    <row r="793" spans="1:27" ht="13.5" customHeight="1" x14ac:dyDescent="0.25">
      <c r="A793" s="125"/>
      <c r="B793" s="125"/>
      <c r="C793" s="125"/>
      <c r="D793" s="125"/>
      <c r="E793" s="125"/>
      <c r="F793" s="125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125"/>
      <c r="V793" s="125"/>
      <c r="W793" s="125"/>
      <c r="X793" s="125"/>
      <c r="Y793" s="125"/>
      <c r="Z793" s="125"/>
      <c r="AA793" s="125"/>
    </row>
    <row r="794" spans="1:27" ht="13.5" customHeight="1" x14ac:dyDescent="0.25">
      <c r="A794" s="125"/>
      <c r="B794" s="125"/>
      <c r="C794" s="125"/>
      <c r="D794" s="125"/>
      <c r="E794" s="125"/>
      <c r="F794" s="125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125"/>
      <c r="V794" s="125"/>
      <c r="W794" s="125"/>
      <c r="X794" s="125"/>
      <c r="Y794" s="125"/>
      <c r="Z794" s="125"/>
      <c r="AA794" s="125"/>
    </row>
    <row r="795" spans="1:27" ht="13.5" customHeight="1" x14ac:dyDescent="0.25">
      <c r="A795" s="125"/>
      <c r="B795" s="125"/>
      <c r="C795" s="125"/>
      <c r="D795" s="125"/>
      <c r="E795" s="125"/>
      <c r="F795" s="125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125"/>
      <c r="V795" s="125"/>
      <c r="W795" s="125"/>
      <c r="X795" s="125"/>
      <c r="Y795" s="125"/>
      <c r="Z795" s="125"/>
      <c r="AA795" s="125"/>
    </row>
    <row r="796" spans="1:27" ht="13.5" customHeight="1" x14ac:dyDescent="0.25">
      <c r="A796" s="125"/>
      <c r="B796" s="125"/>
      <c r="C796" s="125"/>
      <c r="D796" s="125"/>
      <c r="E796" s="125"/>
      <c r="F796" s="125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125"/>
      <c r="V796" s="125"/>
      <c r="W796" s="125"/>
      <c r="X796" s="125"/>
      <c r="Y796" s="125"/>
      <c r="Z796" s="125"/>
      <c r="AA796" s="125"/>
    </row>
    <row r="797" spans="1:27" ht="13.5" customHeight="1" x14ac:dyDescent="0.25">
      <c r="A797" s="125"/>
      <c r="B797" s="125"/>
      <c r="C797" s="125"/>
      <c r="D797" s="125"/>
      <c r="E797" s="125"/>
      <c r="F797" s="125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125"/>
      <c r="V797" s="125"/>
      <c r="W797" s="125"/>
      <c r="X797" s="125"/>
      <c r="Y797" s="125"/>
      <c r="Z797" s="125"/>
      <c r="AA797" s="125"/>
    </row>
    <row r="798" spans="1:27" ht="13.5" customHeight="1" x14ac:dyDescent="0.25">
      <c r="A798" s="125"/>
      <c r="B798" s="125"/>
      <c r="C798" s="125"/>
      <c r="D798" s="125"/>
      <c r="E798" s="125"/>
      <c r="F798" s="125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125"/>
      <c r="V798" s="125"/>
      <c r="W798" s="125"/>
      <c r="X798" s="125"/>
      <c r="Y798" s="125"/>
      <c r="Z798" s="125"/>
      <c r="AA798" s="125"/>
    </row>
    <row r="799" spans="1:27" ht="13.5" customHeight="1" x14ac:dyDescent="0.25">
      <c r="A799" s="125"/>
      <c r="B799" s="125"/>
      <c r="C799" s="125"/>
      <c r="D799" s="125"/>
      <c r="E799" s="125"/>
      <c r="F799" s="125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125"/>
      <c r="V799" s="125"/>
      <c r="W799" s="125"/>
      <c r="X799" s="125"/>
      <c r="Y799" s="125"/>
      <c r="Z799" s="125"/>
      <c r="AA799" s="125"/>
    </row>
    <row r="800" spans="1:27" ht="13.5" customHeight="1" x14ac:dyDescent="0.25">
      <c r="A800" s="125"/>
      <c r="B800" s="125"/>
      <c r="C800" s="125"/>
      <c r="D800" s="125"/>
      <c r="E800" s="125"/>
      <c r="F800" s="125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125"/>
      <c r="V800" s="125"/>
      <c r="W800" s="125"/>
      <c r="X800" s="125"/>
      <c r="Y800" s="125"/>
      <c r="Z800" s="125"/>
      <c r="AA800" s="125"/>
    </row>
    <row r="801" spans="1:27" ht="13.5" customHeight="1" x14ac:dyDescent="0.25">
      <c r="A801" s="125"/>
      <c r="B801" s="125"/>
      <c r="C801" s="125"/>
      <c r="D801" s="125"/>
      <c r="E801" s="125"/>
      <c r="F801" s="125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125"/>
      <c r="V801" s="125"/>
      <c r="W801" s="125"/>
      <c r="X801" s="125"/>
      <c r="Y801" s="125"/>
      <c r="Z801" s="125"/>
      <c r="AA801" s="125"/>
    </row>
    <row r="802" spans="1:27" ht="13.5" customHeight="1" x14ac:dyDescent="0.25">
      <c r="A802" s="125"/>
      <c r="B802" s="125"/>
      <c r="C802" s="125"/>
      <c r="D802" s="125"/>
      <c r="E802" s="125"/>
      <c r="F802" s="125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125"/>
      <c r="V802" s="125"/>
      <c r="W802" s="125"/>
      <c r="X802" s="125"/>
      <c r="Y802" s="125"/>
      <c r="Z802" s="125"/>
      <c r="AA802" s="125"/>
    </row>
    <row r="803" spans="1:27" ht="13.5" customHeight="1" x14ac:dyDescent="0.25">
      <c r="A803" s="125"/>
      <c r="B803" s="125"/>
      <c r="C803" s="125"/>
      <c r="D803" s="125"/>
      <c r="E803" s="125"/>
      <c r="F803" s="125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125"/>
      <c r="V803" s="125"/>
      <c r="W803" s="125"/>
      <c r="X803" s="125"/>
      <c r="Y803" s="125"/>
      <c r="Z803" s="125"/>
      <c r="AA803" s="125"/>
    </row>
    <row r="804" spans="1:27" ht="13.5" customHeight="1" x14ac:dyDescent="0.25">
      <c r="A804" s="125"/>
      <c r="B804" s="125"/>
      <c r="C804" s="125"/>
      <c r="D804" s="125"/>
      <c r="E804" s="125"/>
      <c r="F804" s="125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125"/>
      <c r="V804" s="125"/>
      <c r="W804" s="125"/>
      <c r="X804" s="125"/>
      <c r="Y804" s="125"/>
      <c r="Z804" s="125"/>
      <c r="AA804" s="125"/>
    </row>
    <row r="805" spans="1:27" ht="13.5" customHeight="1" x14ac:dyDescent="0.25">
      <c r="A805" s="125"/>
      <c r="B805" s="125"/>
      <c r="C805" s="125"/>
      <c r="D805" s="125"/>
      <c r="E805" s="125"/>
      <c r="F805" s="125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125"/>
      <c r="V805" s="125"/>
      <c r="W805" s="125"/>
      <c r="X805" s="125"/>
      <c r="Y805" s="125"/>
      <c r="Z805" s="125"/>
      <c r="AA805" s="125"/>
    </row>
    <row r="806" spans="1:27" ht="13.5" customHeight="1" x14ac:dyDescent="0.25">
      <c r="A806" s="125"/>
      <c r="B806" s="125"/>
      <c r="C806" s="125"/>
      <c r="D806" s="125"/>
      <c r="E806" s="125"/>
      <c r="F806" s="125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125"/>
      <c r="V806" s="125"/>
      <c r="W806" s="125"/>
      <c r="X806" s="125"/>
      <c r="Y806" s="125"/>
      <c r="Z806" s="125"/>
      <c r="AA806" s="125"/>
    </row>
    <row r="807" spans="1:27" ht="13.5" customHeight="1" x14ac:dyDescent="0.25">
      <c r="A807" s="125"/>
      <c r="B807" s="125"/>
      <c r="C807" s="125"/>
      <c r="D807" s="125"/>
      <c r="E807" s="125"/>
      <c r="F807" s="125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125"/>
      <c r="V807" s="125"/>
      <c r="W807" s="125"/>
      <c r="X807" s="125"/>
      <c r="Y807" s="125"/>
      <c r="Z807" s="125"/>
      <c r="AA807" s="125"/>
    </row>
    <row r="808" spans="1:27" ht="13.5" customHeight="1" x14ac:dyDescent="0.25">
      <c r="A808" s="125"/>
      <c r="B808" s="125"/>
      <c r="C808" s="125"/>
      <c r="D808" s="125"/>
      <c r="E808" s="125"/>
      <c r="F808" s="125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125"/>
      <c r="V808" s="125"/>
      <c r="W808" s="125"/>
      <c r="X808" s="125"/>
      <c r="Y808" s="125"/>
      <c r="Z808" s="125"/>
      <c r="AA808" s="125"/>
    </row>
    <row r="809" spans="1:27" ht="13.5" customHeight="1" x14ac:dyDescent="0.25">
      <c r="A809" s="125"/>
      <c r="B809" s="125"/>
      <c r="C809" s="125"/>
      <c r="D809" s="125"/>
      <c r="E809" s="125"/>
      <c r="F809" s="125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125"/>
      <c r="V809" s="125"/>
      <c r="W809" s="125"/>
      <c r="X809" s="125"/>
      <c r="Y809" s="125"/>
      <c r="Z809" s="125"/>
      <c r="AA809" s="125"/>
    </row>
    <row r="810" spans="1:27" ht="13.5" customHeight="1" x14ac:dyDescent="0.25">
      <c r="A810" s="125"/>
      <c r="B810" s="125"/>
      <c r="C810" s="125"/>
      <c r="D810" s="125"/>
      <c r="E810" s="125"/>
      <c r="F810" s="125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125"/>
      <c r="V810" s="125"/>
      <c r="W810" s="125"/>
      <c r="X810" s="125"/>
      <c r="Y810" s="125"/>
      <c r="Z810" s="125"/>
      <c r="AA810" s="125"/>
    </row>
    <row r="811" spans="1:27" ht="13.5" customHeight="1" x14ac:dyDescent="0.25">
      <c r="A811" s="125"/>
      <c r="B811" s="125"/>
      <c r="C811" s="125"/>
      <c r="D811" s="125"/>
      <c r="E811" s="125"/>
      <c r="F811" s="125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125"/>
      <c r="V811" s="125"/>
      <c r="W811" s="125"/>
      <c r="X811" s="125"/>
      <c r="Y811" s="125"/>
      <c r="Z811" s="125"/>
      <c r="AA811" s="125"/>
    </row>
    <row r="812" spans="1:27" ht="13.5" customHeight="1" x14ac:dyDescent="0.25">
      <c r="A812" s="125"/>
      <c r="B812" s="125"/>
      <c r="C812" s="125"/>
      <c r="D812" s="125"/>
      <c r="E812" s="125"/>
      <c r="F812" s="125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125"/>
      <c r="V812" s="125"/>
      <c r="W812" s="125"/>
      <c r="X812" s="125"/>
      <c r="Y812" s="125"/>
      <c r="Z812" s="125"/>
      <c r="AA812" s="125"/>
    </row>
    <row r="813" spans="1:27" ht="13.5" customHeight="1" x14ac:dyDescent="0.25">
      <c r="A813" s="125"/>
      <c r="B813" s="125"/>
      <c r="C813" s="125"/>
      <c r="D813" s="125"/>
      <c r="E813" s="125"/>
      <c r="F813" s="125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125"/>
      <c r="V813" s="125"/>
      <c r="W813" s="125"/>
      <c r="X813" s="125"/>
      <c r="Y813" s="125"/>
      <c r="Z813" s="125"/>
      <c r="AA813" s="125"/>
    </row>
    <row r="814" spans="1:27" ht="13.5" customHeight="1" x14ac:dyDescent="0.25">
      <c r="A814" s="125"/>
      <c r="B814" s="125"/>
      <c r="C814" s="125"/>
      <c r="D814" s="125"/>
      <c r="E814" s="125"/>
      <c r="F814" s="125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125"/>
      <c r="V814" s="125"/>
      <c r="W814" s="125"/>
      <c r="X814" s="125"/>
      <c r="Y814" s="125"/>
      <c r="Z814" s="125"/>
      <c r="AA814" s="125"/>
    </row>
    <row r="815" spans="1:27" ht="13.5" customHeight="1" x14ac:dyDescent="0.25">
      <c r="A815" s="125"/>
      <c r="B815" s="125"/>
      <c r="C815" s="125"/>
      <c r="D815" s="125"/>
      <c r="E815" s="125"/>
      <c r="F815" s="125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125"/>
      <c r="V815" s="125"/>
      <c r="W815" s="125"/>
      <c r="X815" s="125"/>
      <c r="Y815" s="125"/>
      <c r="Z815" s="125"/>
      <c r="AA815" s="125"/>
    </row>
    <row r="816" spans="1:27" ht="13.5" customHeight="1" x14ac:dyDescent="0.25">
      <c r="A816" s="125"/>
      <c r="B816" s="125"/>
      <c r="C816" s="125"/>
      <c r="D816" s="125"/>
      <c r="E816" s="125"/>
      <c r="F816" s="125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125"/>
      <c r="V816" s="125"/>
      <c r="W816" s="125"/>
      <c r="X816" s="125"/>
      <c r="Y816" s="125"/>
      <c r="Z816" s="125"/>
      <c r="AA816" s="125"/>
    </row>
    <row r="817" spans="1:27" ht="13.5" customHeight="1" x14ac:dyDescent="0.25">
      <c r="A817" s="125"/>
      <c r="B817" s="125"/>
      <c r="C817" s="125"/>
      <c r="D817" s="125"/>
      <c r="E817" s="125"/>
      <c r="F817" s="125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125"/>
      <c r="V817" s="125"/>
      <c r="W817" s="125"/>
      <c r="X817" s="125"/>
      <c r="Y817" s="125"/>
      <c r="Z817" s="125"/>
      <c r="AA817" s="125"/>
    </row>
    <row r="818" spans="1:27" ht="13.5" customHeight="1" x14ac:dyDescent="0.25">
      <c r="A818" s="125"/>
      <c r="B818" s="125"/>
      <c r="C818" s="125"/>
      <c r="D818" s="125"/>
      <c r="E818" s="125"/>
      <c r="F818" s="125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125"/>
      <c r="V818" s="125"/>
      <c r="W818" s="125"/>
      <c r="X818" s="125"/>
      <c r="Y818" s="125"/>
      <c r="Z818" s="125"/>
      <c r="AA818" s="125"/>
    </row>
    <row r="819" spans="1:27" ht="13.5" customHeight="1" x14ac:dyDescent="0.25">
      <c r="A819" s="125"/>
      <c r="B819" s="125"/>
      <c r="C819" s="125"/>
      <c r="D819" s="125"/>
      <c r="E819" s="125"/>
      <c r="F819" s="125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125"/>
      <c r="V819" s="125"/>
      <c r="W819" s="125"/>
      <c r="X819" s="125"/>
      <c r="Y819" s="125"/>
      <c r="Z819" s="125"/>
      <c r="AA819" s="125"/>
    </row>
    <row r="820" spans="1:27" ht="13.5" customHeight="1" x14ac:dyDescent="0.25">
      <c r="A820" s="125"/>
      <c r="B820" s="125"/>
      <c r="C820" s="125"/>
      <c r="D820" s="125"/>
      <c r="E820" s="125"/>
      <c r="F820" s="125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125"/>
      <c r="V820" s="125"/>
      <c r="W820" s="125"/>
      <c r="X820" s="125"/>
      <c r="Y820" s="125"/>
      <c r="Z820" s="125"/>
      <c r="AA820" s="125"/>
    </row>
    <row r="821" spans="1:27" ht="13.5" customHeight="1" x14ac:dyDescent="0.25">
      <c r="A821" s="125"/>
      <c r="B821" s="125"/>
      <c r="C821" s="125"/>
      <c r="D821" s="125"/>
      <c r="E821" s="125"/>
      <c r="F821" s="125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125"/>
      <c r="V821" s="125"/>
      <c r="W821" s="125"/>
      <c r="X821" s="125"/>
      <c r="Y821" s="125"/>
      <c r="Z821" s="125"/>
      <c r="AA821" s="125"/>
    </row>
    <row r="822" spans="1:27" ht="13.5" customHeight="1" x14ac:dyDescent="0.25">
      <c r="A822" s="125"/>
      <c r="B822" s="125"/>
      <c r="C822" s="125"/>
      <c r="D822" s="125"/>
      <c r="E822" s="125"/>
      <c r="F822" s="125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125"/>
      <c r="V822" s="125"/>
      <c r="W822" s="125"/>
      <c r="X822" s="125"/>
      <c r="Y822" s="125"/>
      <c r="Z822" s="125"/>
      <c r="AA822" s="125"/>
    </row>
    <row r="823" spans="1:27" ht="13.5" customHeight="1" x14ac:dyDescent="0.25">
      <c r="A823" s="125"/>
      <c r="B823" s="125"/>
      <c r="C823" s="125"/>
      <c r="D823" s="125"/>
      <c r="E823" s="125"/>
      <c r="F823" s="125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125"/>
      <c r="V823" s="125"/>
      <c r="W823" s="125"/>
      <c r="X823" s="125"/>
      <c r="Y823" s="125"/>
      <c r="Z823" s="125"/>
      <c r="AA823" s="125"/>
    </row>
    <row r="824" spans="1:27" ht="13.5" customHeight="1" x14ac:dyDescent="0.25">
      <c r="A824" s="125"/>
      <c r="B824" s="125"/>
      <c r="C824" s="125"/>
      <c r="D824" s="125"/>
      <c r="E824" s="125"/>
      <c r="F824" s="125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125"/>
      <c r="V824" s="125"/>
      <c r="W824" s="125"/>
      <c r="X824" s="125"/>
      <c r="Y824" s="125"/>
      <c r="Z824" s="125"/>
      <c r="AA824" s="125"/>
    </row>
    <row r="825" spans="1:27" ht="13.5" customHeight="1" x14ac:dyDescent="0.25">
      <c r="A825" s="125"/>
      <c r="B825" s="125"/>
      <c r="C825" s="125"/>
      <c r="D825" s="125"/>
      <c r="E825" s="125"/>
      <c r="F825" s="125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125"/>
      <c r="V825" s="125"/>
      <c r="W825" s="125"/>
      <c r="X825" s="125"/>
      <c r="Y825" s="125"/>
      <c r="Z825" s="125"/>
      <c r="AA825" s="125"/>
    </row>
    <row r="826" spans="1:27" ht="13.5" customHeight="1" x14ac:dyDescent="0.25">
      <c r="A826" s="125"/>
      <c r="B826" s="125"/>
      <c r="C826" s="125"/>
      <c r="D826" s="125"/>
      <c r="E826" s="125"/>
      <c r="F826" s="125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125"/>
      <c r="V826" s="125"/>
      <c r="W826" s="125"/>
      <c r="X826" s="125"/>
      <c r="Y826" s="125"/>
      <c r="Z826" s="125"/>
      <c r="AA826" s="125"/>
    </row>
    <row r="827" spans="1:27" ht="13.5" customHeight="1" x14ac:dyDescent="0.25">
      <c r="A827" s="125"/>
      <c r="B827" s="125"/>
      <c r="C827" s="125"/>
      <c r="D827" s="125"/>
      <c r="E827" s="125"/>
      <c r="F827" s="125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125"/>
      <c r="V827" s="125"/>
      <c r="W827" s="125"/>
      <c r="X827" s="125"/>
      <c r="Y827" s="125"/>
      <c r="Z827" s="125"/>
      <c r="AA827" s="125"/>
    </row>
    <row r="828" spans="1:27" ht="13.5" customHeight="1" x14ac:dyDescent="0.25">
      <c r="A828" s="125"/>
      <c r="B828" s="125"/>
      <c r="C828" s="125"/>
      <c r="D828" s="125"/>
      <c r="E828" s="125"/>
      <c r="F828" s="125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125"/>
      <c r="V828" s="125"/>
      <c r="W828" s="125"/>
      <c r="X828" s="125"/>
      <c r="Y828" s="125"/>
      <c r="Z828" s="125"/>
      <c r="AA828" s="125"/>
    </row>
    <row r="829" spans="1:27" ht="13.5" customHeight="1" x14ac:dyDescent="0.25">
      <c r="A829" s="125"/>
      <c r="B829" s="125"/>
      <c r="C829" s="125"/>
      <c r="D829" s="125"/>
      <c r="E829" s="125"/>
      <c r="F829" s="125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125"/>
      <c r="V829" s="125"/>
      <c r="W829" s="125"/>
      <c r="X829" s="125"/>
      <c r="Y829" s="125"/>
      <c r="Z829" s="125"/>
      <c r="AA829" s="125"/>
    </row>
    <row r="830" spans="1:27" ht="13.5" customHeight="1" x14ac:dyDescent="0.25">
      <c r="A830" s="125"/>
      <c r="B830" s="125"/>
      <c r="C830" s="125"/>
      <c r="D830" s="125"/>
      <c r="E830" s="125"/>
      <c r="F830" s="125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125"/>
      <c r="V830" s="125"/>
      <c r="W830" s="125"/>
      <c r="X830" s="125"/>
      <c r="Y830" s="125"/>
      <c r="Z830" s="125"/>
      <c r="AA830" s="125"/>
    </row>
    <row r="831" spans="1:27" ht="13.5" customHeight="1" x14ac:dyDescent="0.25">
      <c r="A831" s="125"/>
      <c r="B831" s="125"/>
      <c r="C831" s="125"/>
      <c r="D831" s="125"/>
      <c r="E831" s="125"/>
      <c r="F831" s="125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125"/>
      <c r="V831" s="125"/>
      <c r="W831" s="125"/>
      <c r="X831" s="125"/>
      <c r="Y831" s="125"/>
      <c r="Z831" s="125"/>
      <c r="AA831" s="125"/>
    </row>
    <row r="832" spans="1:27" ht="13.5" customHeight="1" x14ac:dyDescent="0.25">
      <c r="A832" s="125"/>
      <c r="B832" s="125"/>
      <c r="C832" s="125"/>
      <c r="D832" s="125"/>
      <c r="E832" s="125"/>
      <c r="F832" s="125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125"/>
      <c r="V832" s="125"/>
      <c r="W832" s="125"/>
      <c r="X832" s="125"/>
      <c r="Y832" s="125"/>
      <c r="Z832" s="125"/>
      <c r="AA832" s="125"/>
    </row>
    <row r="833" spans="1:27" ht="13.5" customHeight="1" x14ac:dyDescent="0.25">
      <c r="A833" s="125"/>
      <c r="B833" s="125"/>
      <c r="C833" s="125"/>
      <c r="D833" s="125"/>
      <c r="E833" s="125"/>
      <c r="F833" s="125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125"/>
      <c r="V833" s="125"/>
      <c r="W833" s="125"/>
      <c r="X833" s="125"/>
      <c r="Y833" s="125"/>
      <c r="Z833" s="125"/>
      <c r="AA833" s="125"/>
    </row>
    <row r="834" spans="1:27" ht="13.5" customHeight="1" x14ac:dyDescent="0.25">
      <c r="A834" s="125"/>
      <c r="B834" s="125"/>
      <c r="C834" s="125"/>
      <c r="D834" s="125"/>
      <c r="E834" s="125"/>
      <c r="F834" s="125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125"/>
      <c r="V834" s="125"/>
      <c r="W834" s="125"/>
      <c r="X834" s="125"/>
      <c r="Y834" s="125"/>
      <c r="Z834" s="125"/>
      <c r="AA834" s="125"/>
    </row>
    <row r="835" spans="1:27" ht="13.5" customHeight="1" x14ac:dyDescent="0.25">
      <c r="A835" s="125"/>
      <c r="B835" s="125"/>
      <c r="C835" s="125"/>
      <c r="D835" s="125"/>
      <c r="E835" s="125"/>
      <c r="F835" s="125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125"/>
      <c r="V835" s="125"/>
      <c r="W835" s="125"/>
      <c r="X835" s="125"/>
      <c r="Y835" s="125"/>
      <c r="Z835" s="125"/>
      <c r="AA835" s="125"/>
    </row>
    <row r="836" spans="1:27" ht="13.5" customHeight="1" x14ac:dyDescent="0.25">
      <c r="A836" s="125"/>
      <c r="B836" s="125"/>
      <c r="C836" s="125"/>
      <c r="D836" s="125"/>
      <c r="E836" s="125"/>
      <c r="F836" s="125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125"/>
      <c r="V836" s="125"/>
      <c r="W836" s="125"/>
      <c r="X836" s="125"/>
      <c r="Y836" s="125"/>
      <c r="Z836" s="125"/>
      <c r="AA836" s="125"/>
    </row>
    <row r="837" spans="1:27" ht="13.5" customHeight="1" x14ac:dyDescent="0.25">
      <c r="A837" s="125"/>
      <c r="B837" s="125"/>
      <c r="C837" s="125"/>
      <c r="D837" s="125"/>
      <c r="E837" s="125"/>
      <c r="F837" s="125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125"/>
      <c r="V837" s="125"/>
      <c r="W837" s="125"/>
      <c r="X837" s="125"/>
      <c r="Y837" s="125"/>
      <c r="Z837" s="125"/>
      <c r="AA837" s="125"/>
    </row>
    <row r="838" spans="1:27" ht="13.5" customHeight="1" x14ac:dyDescent="0.25">
      <c r="A838" s="125"/>
      <c r="B838" s="125"/>
      <c r="C838" s="125"/>
      <c r="D838" s="125"/>
      <c r="E838" s="125"/>
      <c r="F838" s="125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125"/>
      <c r="V838" s="125"/>
      <c r="W838" s="125"/>
      <c r="X838" s="125"/>
      <c r="Y838" s="125"/>
      <c r="Z838" s="125"/>
      <c r="AA838" s="125"/>
    </row>
    <row r="839" spans="1:27" ht="13.5" customHeight="1" x14ac:dyDescent="0.25">
      <c r="A839" s="125"/>
      <c r="B839" s="125"/>
      <c r="C839" s="125"/>
      <c r="D839" s="125"/>
      <c r="E839" s="125"/>
      <c r="F839" s="125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125"/>
      <c r="V839" s="125"/>
      <c r="W839" s="125"/>
      <c r="X839" s="125"/>
      <c r="Y839" s="125"/>
      <c r="Z839" s="125"/>
      <c r="AA839" s="125"/>
    </row>
    <row r="840" spans="1:27" ht="13.5" customHeight="1" x14ac:dyDescent="0.25">
      <c r="A840" s="125"/>
      <c r="B840" s="125"/>
      <c r="C840" s="125"/>
      <c r="D840" s="125"/>
      <c r="E840" s="125"/>
      <c r="F840" s="125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125"/>
      <c r="V840" s="125"/>
      <c r="W840" s="125"/>
      <c r="X840" s="125"/>
      <c r="Y840" s="125"/>
      <c r="Z840" s="125"/>
      <c r="AA840" s="125"/>
    </row>
    <row r="841" spans="1:27" ht="13.5" customHeight="1" x14ac:dyDescent="0.25">
      <c r="A841" s="125"/>
      <c r="B841" s="125"/>
      <c r="C841" s="125"/>
      <c r="D841" s="125"/>
      <c r="E841" s="125"/>
      <c r="F841" s="125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125"/>
      <c r="V841" s="125"/>
      <c r="W841" s="125"/>
      <c r="X841" s="125"/>
      <c r="Y841" s="125"/>
      <c r="Z841" s="125"/>
      <c r="AA841" s="125"/>
    </row>
    <row r="842" spans="1:27" ht="13.5" customHeight="1" x14ac:dyDescent="0.25">
      <c r="A842" s="125"/>
      <c r="B842" s="125"/>
      <c r="C842" s="125"/>
      <c r="D842" s="125"/>
      <c r="E842" s="125"/>
      <c r="F842" s="125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125"/>
      <c r="V842" s="125"/>
      <c r="W842" s="125"/>
      <c r="X842" s="125"/>
      <c r="Y842" s="125"/>
      <c r="Z842" s="125"/>
      <c r="AA842" s="125"/>
    </row>
    <row r="843" spans="1:27" ht="13.5" customHeight="1" x14ac:dyDescent="0.25">
      <c r="A843" s="125"/>
      <c r="B843" s="125"/>
      <c r="C843" s="125"/>
      <c r="D843" s="125"/>
      <c r="E843" s="125"/>
      <c r="F843" s="125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125"/>
      <c r="V843" s="125"/>
      <c r="W843" s="125"/>
      <c r="X843" s="125"/>
      <c r="Y843" s="125"/>
      <c r="Z843" s="125"/>
      <c r="AA843" s="125"/>
    </row>
    <row r="844" spans="1:27" ht="13.5" customHeight="1" x14ac:dyDescent="0.25">
      <c r="A844" s="125"/>
      <c r="B844" s="125"/>
      <c r="C844" s="125"/>
      <c r="D844" s="125"/>
      <c r="E844" s="125"/>
      <c r="F844" s="125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125"/>
      <c r="V844" s="125"/>
      <c r="W844" s="125"/>
      <c r="X844" s="125"/>
      <c r="Y844" s="125"/>
      <c r="Z844" s="125"/>
      <c r="AA844" s="125"/>
    </row>
    <row r="845" spans="1:27" ht="13.5" customHeight="1" x14ac:dyDescent="0.25">
      <c r="A845" s="125"/>
      <c r="B845" s="125"/>
      <c r="C845" s="125"/>
      <c r="D845" s="125"/>
      <c r="E845" s="125"/>
      <c r="F845" s="125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125"/>
      <c r="V845" s="125"/>
      <c r="W845" s="125"/>
      <c r="X845" s="125"/>
      <c r="Y845" s="125"/>
      <c r="Z845" s="125"/>
      <c r="AA845" s="125"/>
    </row>
    <row r="846" spans="1:27" ht="13.5" customHeight="1" x14ac:dyDescent="0.25">
      <c r="A846" s="125"/>
      <c r="B846" s="125"/>
      <c r="C846" s="125"/>
      <c r="D846" s="125"/>
      <c r="E846" s="125"/>
      <c r="F846" s="125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125"/>
      <c r="V846" s="125"/>
      <c r="W846" s="125"/>
      <c r="X846" s="125"/>
      <c r="Y846" s="125"/>
      <c r="Z846" s="125"/>
      <c r="AA846" s="125"/>
    </row>
    <row r="847" spans="1:27" ht="13.5" customHeight="1" x14ac:dyDescent="0.25">
      <c r="A847" s="125"/>
      <c r="B847" s="125"/>
      <c r="C847" s="125"/>
      <c r="D847" s="125"/>
      <c r="E847" s="125"/>
      <c r="F847" s="125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125"/>
      <c r="V847" s="125"/>
      <c r="W847" s="125"/>
      <c r="X847" s="125"/>
      <c r="Y847" s="125"/>
      <c r="Z847" s="125"/>
      <c r="AA847" s="125"/>
    </row>
    <row r="848" spans="1:27" ht="13.5" customHeight="1" x14ac:dyDescent="0.25">
      <c r="A848" s="125"/>
      <c r="B848" s="125"/>
      <c r="C848" s="125"/>
      <c r="D848" s="125"/>
      <c r="E848" s="125"/>
      <c r="F848" s="125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125"/>
      <c r="V848" s="125"/>
      <c r="W848" s="125"/>
      <c r="X848" s="125"/>
      <c r="Y848" s="125"/>
      <c r="Z848" s="125"/>
      <c r="AA848" s="125"/>
    </row>
    <row r="849" spans="1:27" ht="13.5" customHeight="1" x14ac:dyDescent="0.25">
      <c r="A849" s="125"/>
      <c r="B849" s="125"/>
      <c r="C849" s="125"/>
      <c r="D849" s="125"/>
      <c r="E849" s="125"/>
      <c r="F849" s="125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125"/>
      <c r="V849" s="125"/>
      <c r="W849" s="125"/>
      <c r="X849" s="125"/>
      <c r="Y849" s="125"/>
      <c r="Z849" s="125"/>
      <c r="AA849" s="125"/>
    </row>
    <row r="850" spans="1:27" ht="13.5" customHeight="1" x14ac:dyDescent="0.25">
      <c r="A850" s="125"/>
      <c r="B850" s="125"/>
      <c r="C850" s="125"/>
      <c r="D850" s="125"/>
      <c r="E850" s="125"/>
      <c r="F850" s="125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125"/>
      <c r="V850" s="125"/>
      <c r="W850" s="125"/>
      <c r="X850" s="125"/>
      <c r="Y850" s="125"/>
      <c r="Z850" s="125"/>
      <c r="AA850" s="125"/>
    </row>
    <row r="851" spans="1:27" ht="13.5" customHeight="1" x14ac:dyDescent="0.25">
      <c r="A851" s="125"/>
      <c r="B851" s="125"/>
      <c r="C851" s="125"/>
      <c r="D851" s="125"/>
      <c r="E851" s="125"/>
      <c r="F851" s="125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125"/>
      <c r="V851" s="125"/>
      <c r="W851" s="125"/>
      <c r="X851" s="125"/>
      <c r="Y851" s="125"/>
      <c r="Z851" s="125"/>
      <c r="AA851" s="125"/>
    </row>
    <row r="852" spans="1:27" ht="13.5" customHeight="1" x14ac:dyDescent="0.25">
      <c r="A852" s="125"/>
      <c r="B852" s="125"/>
      <c r="C852" s="125"/>
      <c r="D852" s="125"/>
      <c r="E852" s="125"/>
      <c r="F852" s="125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125"/>
      <c r="V852" s="125"/>
      <c r="W852" s="125"/>
      <c r="X852" s="125"/>
      <c r="Y852" s="125"/>
      <c r="Z852" s="125"/>
      <c r="AA852" s="125"/>
    </row>
    <row r="853" spans="1:27" ht="13.5" customHeight="1" x14ac:dyDescent="0.25">
      <c r="A853" s="125"/>
      <c r="B853" s="125"/>
      <c r="C853" s="125"/>
      <c r="D853" s="125"/>
      <c r="E853" s="125"/>
      <c r="F853" s="125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125"/>
      <c r="V853" s="125"/>
      <c r="W853" s="125"/>
      <c r="X853" s="125"/>
      <c r="Y853" s="125"/>
      <c r="Z853" s="125"/>
      <c r="AA853" s="125"/>
    </row>
    <row r="854" spans="1:27" ht="13.5" customHeight="1" x14ac:dyDescent="0.25">
      <c r="A854" s="125"/>
      <c r="B854" s="125"/>
      <c r="C854" s="125"/>
      <c r="D854" s="125"/>
      <c r="E854" s="125"/>
      <c r="F854" s="125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125"/>
      <c r="V854" s="125"/>
      <c r="W854" s="125"/>
      <c r="X854" s="125"/>
      <c r="Y854" s="125"/>
      <c r="Z854" s="125"/>
      <c r="AA854" s="125"/>
    </row>
    <row r="855" spans="1:27" ht="13.5" customHeight="1" x14ac:dyDescent="0.25">
      <c r="A855" s="125"/>
      <c r="B855" s="125"/>
      <c r="C855" s="125"/>
      <c r="D855" s="125"/>
      <c r="E855" s="125"/>
      <c r="F855" s="125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125"/>
      <c r="V855" s="125"/>
      <c r="W855" s="125"/>
      <c r="X855" s="125"/>
      <c r="Y855" s="125"/>
      <c r="Z855" s="125"/>
      <c r="AA855" s="125"/>
    </row>
    <row r="856" spans="1:27" ht="13.5" customHeight="1" x14ac:dyDescent="0.25">
      <c r="A856" s="125"/>
      <c r="B856" s="125"/>
      <c r="C856" s="125"/>
      <c r="D856" s="125"/>
      <c r="E856" s="125"/>
      <c r="F856" s="125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125"/>
      <c r="V856" s="125"/>
      <c r="W856" s="125"/>
      <c r="X856" s="125"/>
      <c r="Y856" s="125"/>
      <c r="Z856" s="125"/>
      <c r="AA856" s="125"/>
    </row>
    <row r="857" spans="1:27" ht="13.5" customHeight="1" x14ac:dyDescent="0.25">
      <c r="A857" s="125"/>
      <c r="B857" s="125"/>
      <c r="C857" s="125"/>
      <c r="D857" s="125"/>
      <c r="E857" s="125"/>
      <c r="F857" s="125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125"/>
      <c r="V857" s="125"/>
      <c r="W857" s="125"/>
      <c r="X857" s="125"/>
      <c r="Y857" s="125"/>
      <c r="Z857" s="125"/>
      <c r="AA857" s="125"/>
    </row>
    <row r="858" spans="1:27" ht="13.5" customHeight="1" x14ac:dyDescent="0.25">
      <c r="A858" s="125"/>
      <c r="B858" s="125"/>
      <c r="C858" s="125"/>
      <c r="D858" s="125"/>
      <c r="E858" s="125"/>
      <c r="F858" s="125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125"/>
      <c r="V858" s="125"/>
      <c r="W858" s="125"/>
      <c r="X858" s="125"/>
      <c r="Y858" s="125"/>
      <c r="Z858" s="125"/>
      <c r="AA858" s="125"/>
    </row>
    <row r="859" spans="1:27" ht="13.5" customHeight="1" x14ac:dyDescent="0.25">
      <c r="A859" s="125"/>
      <c r="B859" s="125"/>
      <c r="C859" s="125"/>
      <c r="D859" s="125"/>
      <c r="E859" s="125"/>
      <c r="F859" s="125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125"/>
      <c r="V859" s="125"/>
      <c r="W859" s="125"/>
      <c r="X859" s="125"/>
      <c r="Y859" s="125"/>
      <c r="Z859" s="125"/>
      <c r="AA859" s="125"/>
    </row>
    <row r="860" spans="1:27" ht="13.5" customHeight="1" x14ac:dyDescent="0.25">
      <c r="A860" s="125"/>
      <c r="B860" s="125"/>
      <c r="C860" s="125"/>
      <c r="D860" s="125"/>
      <c r="E860" s="125"/>
      <c r="F860" s="125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125"/>
      <c r="V860" s="125"/>
      <c r="W860" s="125"/>
      <c r="X860" s="125"/>
      <c r="Y860" s="125"/>
      <c r="Z860" s="125"/>
      <c r="AA860" s="125"/>
    </row>
    <row r="861" spans="1:27" ht="13.5" customHeight="1" x14ac:dyDescent="0.25">
      <c r="A861" s="125"/>
      <c r="B861" s="125"/>
      <c r="C861" s="125"/>
      <c r="D861" s="125"/>
      <c r="E861" s="125"/>
      <c r="F861" s="125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125"/>
      <c r="V861" s="125"/>
      <c r="W861" s="125"/>
      <c r="X861" s="125"/>
      <c r="Y861" s="125"/>
      <c r="Z861" s="125"/>
      <c r="AA861" s="125"/>
    </row>
    <row r="862" spans="1:27" ht="13.5" customHeight="1" x14ac:dyDescent="0.25">
      <c r="A862" s="125"/>
      <c r="B862" s="125"/>
      <c r="C862" s="125"/>
      <c r="D862" s="125"/>
      <c r="E862" s="125"/>
      <c r="F862" s="125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125"/>
      <c r="V862" s="125"/>
      <c r="W862" s="125"/>
      <c r="X862" s="125"/>
      <c r="Y862" s="125"/>
      <c r="Z862" s="125"/>
      <c r="AA862" s="125"/>
    </row>
    <row r="863" spans="1:27" ht="13.5" customHeight="1" x14ac:dyDescent="0.25">
      <c r="A863" s="125"/>
      <c r="B863" s="125"/>
      <c r="C863" s="125"/>
      <c r="D863" s="125"/>
      <c r="E863" s="125"/>
      <c r="F863" s="125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125"/>
      <c r="V863" s="125"/>
      <c r="W863" s="125"/>
      <c r="X863" s="125"/>
      <c r="Y863" s="125"/>
      <c r="Z863" s="125"/>
      <c r="AA863" s="125"/>
    </row>
    <row r="864" spans="1:27" ht="13.5" customHeight="1" x14ac:dyDescent="0.25">
      <c r="A864" s="125"/>
      <c r="B864" s="125"/>
      <c r="C864" s="125"/>
      <c r="D864" s="125"/>
      <c r="E864" s="125"/>
      <c r="F864" s="125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125"/>
      <c r="V864" s="125"/>
      <c r="W864" s="125"/>
      <c r="X864" s="125"/>
      <c r="Y864" s="125"/>
      <c r="Z864" s="125"/>
      <c r="AA864" s="125"/>
    </row>
    <row r="865" spans="1:27" ht="13.5" customHeight="1" x14ac:dyDescent="0.25">
      <c r="A865" s="125"/>
      <c r="B865" s="125"/>
      <c r="C865" s="125"/>
      <c r="D865" s="125"/>
      <c r="E865" s="125"/>
      <c r="F865" s="125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125"/>
      <c r="V865" s="125"/>
      <c r="W865" s="125"/>
      <c r="X865" s="125"/>
      <c r="Y865" s="125"/>
      <c r="Z865" s="125"/>
      <c r="AA865" s="125"/>
    </row>
    <row r="866" spans="1:27" ht="13.5" customHeight="1" x14ac:dyDescent="0.25">
      <c r="A866" s="125"/>
      <c r="B866" s="125"/>
      <c r="C866" s="125"/>
      <c r="D866" s="125"/>
      <c r="E866" s="125"/>
      <c r="F866" s="125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125"/>
      <c r="V866" s="125"/>
      <c r="W866" s="125"/>
      <c r="X866" s="125"/>
      <c r="Y866" s="125"/>
      <c r="Z866" s="125"/>
      <c r="AA866" s="125"/>
    </row>
    <row r="867" spans="1:27" ht="13.5" customHeight="1" x14ac:dyDescent="0.25">
      <c r="A867" s="125"/>
      <c r="B867" s="125"/>
      <c r="C867" s="125"/>
      <c r="D867" s="125"/>
      <c r="E867" s="125"/>
      <c r="F867" s="125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125"/>
      <c r="V867" s="125"/>
      <c r="W867" s="125"/>
      <c r="X867" s="125"/>
      <c r="Y867" s="125"/>
      <c r="Z867" s="125"/>
      <c r="AA867" s="125"/>
    </row>
    <row r="868" spans="1:27" ht="13.5" customHeight="1" x14ac:dyDescent="0.25">
      <c r="A868" s="125"/>
      <c r="B868" s="125"/>
      <c r="C868" s="125"/>
      <c r="D868" s="125"/>
      <c r="E868" s="125"/>
      <c r="F868" s="125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125"/>
      <c r="V868" s="125"/>
      <c r="W868" s="125"/>
      <c r="X868" s="125"/>
      <c r="Y868" s="125"/>
      <c r="Z868" s="125"/>
      <c r="AA868" s="125"/>
    </row>
    <row r="869" spans="1:27" ht="13.5" customHeight="1" x14ac:dyDescent="0.25">
      <c r="A869" s="125"/>
      <c r="B869" s="125"/>
      <c r="C869" s="125"/>
      <c r="D869" s="125"/>
      <c r="E869" s="125"/>
      <c r="F869" s="125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125"/>
      <c r="V869" s="125"/>
      <c r="W869" s="125"/>
      <c r="X869" s="125"/>
      <c r="Y869" s="125"/>
      <c r="Z869" s="125"/>
      <c r="AA869" s="125"/>
    </row>
    <row r="870" spans="1:27" ht="13.5" customHeight="1" x14ac:dyDescent="0.25">
      <c r="A870" s="125"/>
      <c r="B870" s="125"/>
      <c r="C870" s="125"/>
      <c r="D870" s="125"/>
      <c r="E870" s="125"/>
      <c r="F870" s="125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125"/>
      <c r="V870" s="125"/>
      <c r="W870" s="125"/>
      <c r="X870" s="125"/>
      <c r="Y870" s="125"/>
      <c r="Z870" s="125"/>
      <c r="AA870" s="125"/>
    </row>
    <row r="871" spans="1:27" ht="13.5" customHeight="1" x14ac:dyDescent="0.25">
      <c r="A871" s="125"/>
      <c r="B871" s="125"/>
      <c r="C871" s="125"/>
      <c r="D871" s="125"/>
      <c r="E871" s="125"/>
      <c r="F871" s="125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125"/>
      <c r="V871" s="125"/>
      <c r="W871" s="125"/>
      <c r="X871" s="125"/>
      <c r="Y871" s="125"/>
      <c r="Z871" s="125"/>
      <c r="AA871" s="125"/>
    </row>
    <row r="872" spans="1:27" ht="13.5" customHeight="1" x14ac:dyDescent="0.25">
      <c r="A872" s="125"/>
      <c r="B872" s="125"/>
      <c r="C872" s="125"/>
      <c r="D872" s="125"/>
      <c r="E872" s="125"/>
      <c r="F872" s="125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125"/>
      <c r="V872" s="125"/>
      <c r="W872" s="125"/>
      <c r="X872" s="125"/>
      <c r="Y872" s="125"/>
      <c r="Z872" s="125"/>
      <c r="AA872" s="125"/>
    </row>
    <row r="873" spans="1:27" ht="13.5" customHeight="1" x14ac:dyDescent="0.25">
      <c r="A873" s="125"/>
      <c r="B873" s="125"/>
      <c r="C873" s="125"/>
      <c r="D873" s="125"/>
      <c r="E873" s="125"/>
      <c r="F873" s="125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125"/>
      <c r="V873" s="125"/>
      <c r="W873" s="125"/>
      <c r="X873" s="125"/>
      <c r="Y873" s="125"/>
      <c r="Z873" s="125"/>
      <c r="AA873" s="125"/>
    </row>
    <row r="874" spans="1:27" ht="13.5" customHeight="1" x14ac:dyDescent="0.25">
      <c r="A874" s="125"/>
      <c r="B874" s="125"/>
      <c r="C874" s="125"/>
      <c r="D874" s="125"/>
      <c r="E874" s="125"/>
      <c r="F874" s="125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125"/>
      <c r="V874" s="125"/>
      <c r="W874" s="125"/>
      <c r="X874" s="125"/>
      <c r="Y874" s="125"/>
      <c r="Z874" s="125"/>
      <c r="AA874" s="125"/>
    </row>
    <row r="875" spans="1:27" ht="13.5" customHeight="1" x14ac:dyDescent="0.25">
      <c r="A875" s="125"/>
      <c r="B875" s="125"/>
      <c r="C875" s="125"/>
      <c r="D875" s="125"/>
      <c r="E875" s="125"/>
      <c r="F875" s="125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125"/>
      <c r="V875" s="125"/>
      <c r="W875" s="125"/>
      <c r="X875" s="125"/>
      <c r="Y875" s="125"/>
      <c r="Z875" s="125"/>
      <c r="AA875" s="125"/>
    </row>
    <row r="876" spans="1:27" ht="13.5" customHeight="1" x14ac:dyDescent="0.25">
      <c r="A876" s="125"/>
      <c r="B876" s="125"/>
      <c r="C876" s="125"/>
      <c r="D876" s="125"/>
      <c r="E876" s="125"/>
      <c r="F876" s="125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125"/>
      <c r="V876" s="125"/>
      <c r="W876" s="125"/>
      <c r="X876" s="125"/>
      <c r="Y876" s="125"/>
      <c r="Z876" s="125"/>
      <c r="AA876" s="125"/>
    </row>
    <row r="877" spans="1:27" ht="13.5" customHeight="1" x14ac:dyDescent="0.25">
      <c r="A877" s="125"/>
      <c r="B877" s="125"/>
      <c r="C877" s="125"/>
      <c r="D877" s="125"/>
      <c r="E877" s="125"/>
      <c r="F877" s="125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125"/>
      <c r="V877" s="125"/>
      <c r="W877" s="125"/>
      <c r="X877" s="125"/>
      <c r="Y877" s="125"/>
      <c r="Z877" s="125"/>
      <c r="AA877" s="125"/>
    </row>
    <row r="878" spans="1:27" ht="13.5" customHeight="1" x14ac:dyDescent="0.25">
      <c r="A878" s="125"/>
      <c r="B878" s="125"/>
      <c r="C878" s="125"/>
      <c r="D878" s="125"/>
      <c r="E878" s="125"/>
      <c r="F878" s="125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125"/>
      <c r="V878" s="125"/>
      <c r="W878" s="125"/>
      <c r="X878" s="125"/>
      <c r="Y878" s="125"/>
      <c r="Z878" s="125"/>
      <c r="AA878" s="125"/>
    </row>
    <row r="879" spans="1:27" ht="13.5" customHeight="1" x14ac:dyDescent="0.25">
      <c r="A879" s="125"/>
      <c r="B879" s="125"/>
      <c r="C879" s="125"/>
      <c r="D879" s="125"/>
      <c r="E879" s="125"/>
      <c r="F879" s="125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125"/>
      <c r="V879" s="125"/>
      <c r="W879" s="125"/>
      <c r="X879" s="125"/>
      <c r="Y879" s="125"/>
      <c r="Z879" s="125"/>
      <c r="AA879" s="125"/>
    </row>
    <row r="880" spans="1:27" ht="13.5" customHeight="1" x14ac:dyDescent="0.25">
      <c r="A880" s="125"/>
      <c r="B880" s="125"/>
      <c r="C880" s="125"/>
      <c r="D880" s="125"/>
      <c r="E880" s="125"/>
      <c r="F880" s="125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125"/>
      <c r="V880" s="125"/>
      <c r="W880" s="125"/>
      <c r="X880" s="125"/>
      <c r="Y880" s="125"/>
      <c r="Z880" s="125"/>
      <c r="AA880" s="125"/>
    </row>
    <row r="881" spans="1:27" ht="13.5" customHeight="1" x14ac:dyDescent="0.25">
      <c r="A881" s="125"/>
      <c r="B881" s="125"/>
      <c r="C881" s="125"/>
      <c r="D881" s="125"/>
      <c r="E881" s="125"/>
      <c r="F881" s="125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125"/>
      <c r="V881" s="125"/>
      <c r="W881" s="125"/>
      <c r="X881" s="125"/>
      <c r="Y881" s="125"/>
      <c r="Z881" s="125"/>
      <c r="AA881" s="125"/>
    </row>
    <row r="882" spans="1:27" ht="13.5" customHeight="1" x14ac:dyDescent="0.25">
      <c r="A882" s="125"/>
      <c r="B882" s="125"/>
      <c r="C882" s="125"/>
      <c r="D882" s="125"/>
      <c r="E882" s="125"/>
      <c r="F882" s="125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125"/>
      <c r="V882" s="125"/>
      <c r="W882" s="125"/>
      <c r="X882" s="125"/>
      <c r="Y882" s="125"/>
      <c r="Z882" s="125"/>
      <c r="AA882" s="125"/>
    </row>
    <row r="883" spans="1:27" ht="13.5" customHeight="1" x14ac:dyDescent="0.25">
      <c r="A883" s="125"/>
      <c r="B883" s="125"/>
      <c r="C883" s="125"/>
      <c r="D883" s="125"/>
      <c r="E883" s="125"/>
      <c r="F883" s="125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125"/>
      <c r="V883" s="125"/>
      <c r="W883" s="125"/>
      <c r="X883" s="125"/>
      <c r="Y883" s="125"/>
      <c r="Z883" s="125"/>
      <c r="AA883" s="125"/>
    </row>
    <row r="884" spans="1:27" ht="13.5" customHeight="1" x14ac:dyDescent="0.25">
      <c r="A884" s="125"/>
      <c r="B884" s="125"/>
      <c r="C884" s="125"/>
      <c r="D884" s="125"/>
      <c r="E884" s="125"/>
      <c r="F884" s="125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125"/>
      <c r="V884" s="125"/>
      <c r="W884" s="125"/>
      <c r="X884" s="125"/>
      <c r="Y884" s="125"/>
      <c r="Z884" s="125"/>
      <c r="AA884" s="125"/>
    </row>
    <row r="885" spans="1:27" ht="13.5" customHeight="1" x14ac:dyDescent="0.25">
      <c r="A885" s="125"/>
      <c r="B885" s="125"/>
      <c r="C885" s="125"/>
      <c r="D885" s="125"/>
      <c r="E885" s="125"/>
      <c r="F885" s="125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125"/>
      <c r="V885" s="125"/>
      <c r="W885" s="125"/>
      <c r="X885" s="125"/>
      <c r="Y885" s="125"/>
      <c r="Z885" s="125"/>
      <c r="AA885" s="125"/>
    </row>
    <row r="886" spans="1:27" ht="13.5" customHeight="1" x14ac:dyDescent="0.25">
      <c r="A886" s="125"/>
      <c r="B886" s="125"/>
      <c r="C886" s="125"/>
      <c r="D886" s="125"/>
      <c r="E886" s="125"/>
      <c r="F886" s="125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125"/>
      <c r="V886" s="125"/>
      <c r="W886" s="125"/>
      <c r="X886" s="125"/>
      <c r="Y886" s="125"/>
      <c r="Z886" s="125"/>
      <c r="AA886" s="125"/>
    </row>
    <row r="887" spans="1:27" ht="13.5" customHeight="1" x14ac:dyDescent="0.25">
      <c r="A887" s="125"/>
      <c r="B887" s="125"/>
      <c r="C887" s="125"/>
      <c r="D887" s="125"/>
      <c r="E887" s="125"/>
      <c r="F887" s="125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125"/>
      <c r="V887" s="125"/>
      <c r="W887" s="125"/>
      <c r="X887" s="125"/>
      <c r="Y887" s="125"/>
      <c r="Z887" s="125"/>
      <c r="AA887" s="125"/>
    </row>
    <row r="888" spans="1:27" ht="13.5" customHeight="1" x14ac:dyDescent="0.25">
      <c r="A888" s="125"/>
      <c r="B888" s="125"/>
      <c r="C888" s="125"/>
      <c r="D888" s="125"/>
      <c r="E888" s="125"/>
      <c r="F888" s="125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125"/>
      <c r="V888" s="125"/>
      <c r="W888" s="125"/>
      <c r="X888" s="125"/>
      <c r="Y888" s="125"/>
      <c r="Z888" s="125"/>
      <c r="AA888" s="125"/>
    </row>
    <row r="889" spans="1:27" ht="13.5" customHeight="1" x14ac:dyDescent="0.25">
      <c r="A889" s="125"/>
      <c r="B889" s="125"/>
      <c r="C889" s="125"/>
      <c r="D889" s="125"/>
      <c r="E889" s="125"/>
      <c r="F889" s="125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125"/>
      <c r="V889" s="125"/>
      <c r="W889" s="125"/>
      <c r="X889" s="125"/>
      <c r="Y889" s="125"/>
      <c r="Z889" s="125"/>
      <c r="AA889" s="125"/>
    </row>
    <row r="890" spans="1:27" ht="13.5" customHeight="1" x14ac:dyDescent="0.25">
      <c r="A890" s="125"/>
      <c r="B890" s="125"/>
      <c r="C890" s="125"/>
      <c r="D890" s="125"/>
      <c r="E890" s="125"/>
      <c r="F890" s="125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125"/>
      <c r="V890" s="125"/>
      <c r="W890" s="125"/>
      <c r="X890" s="125"/>
      <c r="Y890" s="125"/>
      <c r="Z890" s="125"/>
      <c r="AA890" s="125"/>
    </row>
    <row r="891" spans="1:27" ht="13.5" customHeight="1" x14ac:dyDescent="0.25">
      <c r="A891" s="125"/>
      <c r="B891" s="125"/>
      <c r="C891" s="125"/>
      <c r="D891" s="125"/>
      <c r="E891" s="125"/>
      <c r="F891" s="125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125"/>
      <c r="V891" s="125"/>
      <c r="W891" s="125"/>
      <c r="X891" s="125"/>
      <c r="Y891" s="125"/>
      <c r="Z891" s="125"/>
      <c r="AA891" s="125"/>
    </row>
    <row r="892" spans="1:27" ht="13.5" customHeight="1" x14ac:dyDescent="0.25">
      <c r="A892" s="125"/>
      <c r="B892" s="125"/>
      <c r="C892" s="125"/>
      <c r="D892" s="125"/>
      <c r="E892" s="125"/>
      <c r="F892" s="125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125"/>
      <c r="V892" s="125"/>
      <c r="W892" s="125"/>
      <c r="X892" s="125"/>
      <c r="Y892" s="125"/>
      <c r="Z892" s="125"/>
      <c r="AA892" s="125"/>
    </row>
    <row r="893" spans="1:27" ht="13.5" customHeight="1" x14ac:dyDescent="0.25">
      <c r="A893" s="125"/>
      <c r="B893" s="125"/>
      <c r="C893" s="125"/>
      <c r="D893" s="125"/>
      <c r="E893" s="125"/>
      <c r="F893" s="125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125"/>
      <c r="V893" s="125"/>
      <c r="W893" s="125"/>
      <c r="X893" s="125"/>
      <c r="Y893" s="125"/>
      <c r="Z893" s="125"/>
      <c r="AA893" s="125"/>
    </row>
    <row r="894" spans="1:27" ht="13.5" customHeight="1" x14ac:dyDescent="0.25">
      <c r="A894" s="125"/>
      <c r="B894" s="125"/>
      <c r="C894" s="125"/>
      <c r="D894" s="125"/>
      <c r="E894" s="125"/>
      <c r="F894" s="125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125"/>
      <c r="V894" s="125"/>
      <c r="W894" s="125"/>
      <c r="X894" s="125"/>
      <c r="Y894" s="125"/>
      <c r="Z894" s="125"/>
      <c r="AA894" s="125"/>
    </row>
    <row r="895" spans="1:27" ht="13.5" customHeight="1" x14ac:dyDescent="0.25">
      <c r="A895" s="125"/>
      <c r="B895" s="125"/>
      <c r="C895" s="125"/>
      <c r="D895" s="125"/>
      <c r="E895" s="125"/>
      <c r="F895" s="125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125"/>
      <c r="V895" s="125"/>
      <c r="W895" s="125"/>
      <c r="X895" s="125"/>
      <c r="Y895" s="125"/>
      <c r="Z895" s="125"/>
      <c r="AA895" s="125"/>
    </row>
    <row r="896" spans="1:27" ht="13.5" customHeight="1" x14ac:dyDescent="0.25">
      <c r="A896" s="125"/>
      <c r="B896" s="125"/>
      <c r="C896" s="125"/>
      <c r="D896" s="125"/>
      <c r="E896" s="125"/>
      <c r="F896" s="125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125"/>
      <c r="V896" s="125"/>
      <c r="W896" s="125"/>
      <c r="X896" s="125"/>
      <c r="Y896" s="125"/>
      <c r="Z896" s="125"/>
      <c r="AA896" s="125"/>
    </row>
    <row r="897" spans="1:27" ht="13.5" customHeight="1" x14ac:dyDescent="0.25">
      <c r="A897" s="125"/>
      <c r="B897" s="125"/>
      <c r="C897" s="125"/>
      <c r="D897" s="125"/>
      <c r="E897" s="125"/>
      <c r="F897" s="125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125"/>
      <c r="V897" s="125"/>
      <c r="W897" s="125"/>
      <c r="X897" s="125"/>
      <c r="Y897" s="125"/>
      <c r="Z897" s="125"/>
      <c r="AA897" s="125"/>
    </row>
    <row r="898" spans="1:27" ht="13.5" customHeight="1" x14ac:dyDescent="0.25">
      <c r="A898" s="125"/>
      <c r="B898" s="125"/>
      <c r="C898" s="125"/>
      <c r="D898" s="125"/>
      <c r="E898" s="125"/>
      <c r="F898" s="125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125"/>
      <c r="V898" s="125"/>
      <c r="W898" s="125"/>
      <c r="X898" s="125"/>
      <c r="Y898" s="125"/>
      <c r="Z898" s="125"/>
      <c r="AA898" s="125"/>
    </row>
    <row r="899" spans="1:27" ht="13.5" customHeight="1" x14ac:dyDescent="0.25">
      <c r="A899" s="125"/>
      <c r="B899" s="125"/>
      <c r="C899" s="125"/>
      <c r="D899" s="125"/>
      <c r="E899" s="125"/>
      <c r="F899" s="125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125"/>
      <c r="V899" s="125"/>
      <c r="W899" s="125"/>
      <c r="X899" s="125"/>
      <c r="Y899" s="125"/>
      <c r="Z899" s="125"/>
      <c r="AA899" s="125"/>
    </row>
    <row r="900" spans="1:27" ht="13.5" customHeight="1" x14ac:dyDescent="0.25">
      <c r="A900" s="125"/>
      <c r="B900" s="125"/>
      <c r="C900" s="125"/>
      <c r="D900" s="125"/>
      <c r="E900" s="125"/>
      <c r="F900" s="125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125"/>
      <c r="V900" s="125"/>
      <c r="W900" s="125"/>
      <c r="X900" s="125"/>
      <c r="Y900" s="125"/>
      <c r="Z900" s="125"/>
      <c r="AA900" s="125"/>
    </row>
    <row r="901" spans="1:27" ht="13.5" customHeight="1" x14ac:dyDescent="0.25">
      <c r="A901" s="125"/>
      <c r="B901" s="125"/>
      <c r="C901" s="125"/>
      <c r="D901" s="125"/>
      <c r="E901" s="125"/>
      <c r="F901" s="125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125"/>
      <c r="V901" s="125"/>
      <c r="W901" s="125"/>
      <c r="X901" s="125"/>
      <c r="Y901" s="125"/>
      <c r="Z901" s="125"/>
      <c r="AA901" s="125"/>
    </row>
    <row r="902" spans="1:27" ht="13.5" customHeight="1" x14ac:dyDescent="0.25">
      <c r="A902" s="125"/>
      <c r="B902" s="125"/>
      <c r="C902" s="125"/>
      <c r="D902" s="125"/>
      <c r="E902" s="125"/>
      <c r="F902" s="125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125"/>
      <c r="V902" s="125"/>
      <c r="W902" s="125"/>
      <c r="X902" s="125"/>
      <c r="Y902" s="125"/>
      <c r="Z902" s="125"/>
      <c r="AA902" s="125"/>
    </row>
    <row r="903" spans="1:27" ht="13.5" customHeight="1" x14ac:dyDescent="0.25">
      <c r="A903" s="125"/>
      <c r="B903" s="125"/>
      <c r="C903" s="125"/>
      <c r="D903" s="125"/>
      <c r="E903" s="125"/>
      <c r="F903" s="125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125"/>
      <c r="V903" s="125"/>
      <c r="W903" s="125"/>
      <c r="X903" s="125"/>
      <c r="Y903" s="125"/>
      <c r="Z903" s="125"/>
      <c r="AA903" s="125"/>
    </row>
    <row r="904" spans="1:27" ht="13.5" customHeight="1" x14ac:dyDescent="0.25">
      <c r="A904" s="125"/>
      <c r="B904" s="125"/>
      <c r="C904" s="125"/>
      <c r="D904" s="125"/>
      <c r="E904" s="125"/>
      <c r="F904" s="125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125"/>
      <c r="V904" s="125"/>
      <c r="W904" s="125"/>
      <c r="X904" s="125"/>
      <c r="Y904" s="125"/>
      <c r="Z904" s="125"/>
      <c r="AA904" s="125"/>
    </row>
    <row r="905" spans="1:27" ht="13.5" customHeight="1" x14ac:dyDescent="0.25">
      <c r="A905" s="125"/>
      <c r="B905" s="125"/>
      <c r="C905" s="125"/>
      <c r="D905" s="125"/>
      <c r="E905" s="125"/>
      <c r="F905" s="125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125"/>
      <c r="V905" s="125"/>
      <c r="W905" s="125"/>
      <c r="X905" s="125"/>
      <c r="Y905" s="125"/>
      <c r="Z905" s="125"/>
      <c r="AA905" s="125"/>
    </row>
    <row r="906" spans="1:27" ht="13.5" customHeight="1" x14ac:dyDescent="0.25">
      <c r="A906" s="125"/>
      <c r="B906" s="125"/>
      <c r="C906" s="125"/>
      <c r="D906" s="125"/>
      <c r="E906" s="125"/>
      <c r="F906" s="125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125"/>
      <c r="V906" s="125"/>
      <c r="W906" s="125"/>
      <c r="X906" s="125"/>
      <c r="Y906" s="125"/>
      <c r="Z906" s="125"/>
      <c r="AA906" s="125"/>
    </row>
    <row r="907" spans="1:27" ht="13.5" customHeight="1" x14ac:dyDescent="0.25">
      <c r="A907" s="125"/>
      <c r="B907" s="125"/>
      <c r="C907" s="125"/>
      <c r="D907" s="125"/>
      <c r="E907" s="125"/>
      <c r="F907" s="125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125"/>
      <c r="V907" s="125"/>
      <c r="W907" s="125"/>
      <c r="X907" s="125"/>
      <c r="Y907" s="125"/>
      <c r="Z907" s="125"/>
      <c r="AA907" s="125"/>
    </row>
    <row r="908" spans="1:27" ht="13.5" customHeight="1" x14ac:dyDescent="0.25">
      <c r="A908" s="125"/>
      <c r="B908" s="125"/>
      <c r="C908" s="125"/>
      <c r="D908" s="125"/>
      <c r="E908" s="125"/>
      <c r="F908" s="125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125"/>
      <c r="V908" s="125"/>
      <c r="W908" s="125"/>
      <c r="X908" s="125"/>
      <c r="Y908" s="125"/>
      <c r="Z908" s="125"/>
      <c r="AA908" s="125"/>
    </row>
    <row r="909" spans="1:27" ht="13.5" customHeight="1" x14ac:dyDescent="0.25">
      <c r="A909" s="125"/>
      <c r="B909" s="125"/>
      <c r="C909" s="125"/>
      <c r="D909" s="125"/>
      <c r="E909" s="125"/>
      <c r="F909" s="125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125"/>
      <c r="V909" s="125"/>
      <c r="W909" s="125"/>
      <c r="X909" s="125"/>
      <c r="Y909" s="125"/>
      <c r="Z909" s="125"/>
      <c r="AA909" s="125"/>
    </row>
    <row r="910" spans="1:27" ht="13.5" customHeight="1" x14ac:dyDescent="0.25">
      <c r="A910" s="125"/>
      <c r="B910" s="125"/>
      <c r="C910" s="125"/>
      <c r="D910" s="125"/>
      <c r="E910" s="125"/>
      <c r="F910" s="125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125"/>
      <c r="V910" s="125"/>
      <c r="W910" s="125"/>
      <c r="X910" s="125"/>
      <c r="Y910" s="125"/>
      <c r="Z910" s="125"/>
      <c r="AA910" s="125"/>
    </row>
    <row r="911" spans="1:27" ht="13.5" customHeight="1" x14ac:dyDescent="0.25">
      <c r="A911" s="125"/>
      <c r="B911" s="125"/>
      <c r="C911" s="125"/>
      <c r="D911" s="125"/>
      <c r="E911" s="125"/>
      <c r="F911" s="125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125"/>
      <c r="V911" s="125"/>
      <c r="W911" s="125"/>
      <c r="X911" s="125"/>
      <c r="Y911" s="125"/>
      <c r="Z911" s="125"/>
      <c r="AA911" s="125"/>
    </row>
    <row r="912" spans="1:27" ht="13.5" customHeight="1" x14ac:dyDescent="0.25">
      <c r="A912" s="125"/>
      <c r="B912" s="125"/>
      <c r="C912" s="125"/>
      <c r="D912" s="125"/>
      <c r="E912" s="125"/>
      <c r="F912" s="125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125"/>
      <c r="V912" s="125"/>
      <c r="W912" s="125"/>
      <c r="X912" s="125"/>
      <c r="Y912" s="125"/>
      <c r="Z912" s="125"/>
      <c r="AA912" s="125"/>
    </row>
    <row r="913" spans="1:27" ht="13.5" customHeight="1" x14ac:dyDescent="0.25">
      <c r="A913" s="125"/>
      <c r="B913" s="125"/>
      <c r="C913" s="125"/>
      <c r="D913" s="125"/>
      <c r="E913" s="125"/>
      <c r="F913" s="125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125"/>
      <c r="V913" s="125"/>
      <c r="W913" s="125"/>
      <c r="X913" s="125"/>
      <c r="Y913" s="125"/>
      <c r="Z913" s="125"/>
      <c r="AA913" s="125"/>
    </row>
    <row r="914" spans="1:27" ht="13.5" customHeight="1" x14ac:dyDescent="0.25">
      <c r="A914" s="125"/>
      <c r="B914" s="125"/>
      <c r="C914" s="125"/>
      <c r="D914" s="125"/>
      <c r="E914" s="125"/>
      <c r="F914" s="125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125"/>
      <c r="V914" s="125"/>
      <c r="W914" s="125"/>
      <c r="X914" s="125"/>
      <c r="Y914" s="125"/>
      <c r="Z914" s="125"/>
      <c r="AA914" s="125"/>
    </row>
    <row r="915" spans="1:27" ht="13.5" customHeight="1" x14ac:dyDescent="0.25">
      <c r="A915" s="125"/>
      <c r="B915" s="125"/>
      <c r="C915" s="125"/>
      <c r="D915" s="125"/>
      <c r="E915" s="125"/>
      <c r="F915" s="125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125"/>
      <c r="V915" s="125"/>
      <c r="W915" s="125"/>
      <c r="X915" s="125"/>
      <c r="Y915" s="125"/>
      <c r="Z915" s="125"/>
      <c r="AA915" s="125"/>
    </row>
    <row r="916" spans="1:27" ht="13.5" customHeight="1" x14ac:dyDescent="0.25">
      <c r="A916" s="125"/>
      <c r="B916" s="125"/>
      <c r="C916" s="125"/>
      <c r="D916" s="125"/>
      <c r="E916" s="125"/>
      <c r="F916" s="125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125"/>
      <c r="V916" s="125"/>
      <c r="W916" s="125"/>
      <c r="X916" s="125"/>
      <c r="Y916" s="125"/>
      <c r="Z916" s="125"/>
      <c r="AA916" s="125"/>
    </row>
    <row r="917" spans="1:27" ht="13.5" customHeight="1" x14ac:dyDescent="0.25">
      <c r="A917" s="125"/>
      <c r="B917" s="125"/>
      <c r="C917" s="125"/>
      <c r="D917" s="125"/>
      <c r="E917" s="125"/>
      <c r="F917" s="125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125"/>
      <c r="V917" s="125"/>
      <c r="W917" s="125"/>
      <c r="X917" s="125"/>
      <c r="Y917" s="125"/>
      <c r="Z917" s="125"/>
      <c r="AA917" s="125"/>
    </row>
    <row r="918" spans="1:27" ht="13.5" customHeight="1" x14ac:dyDescent="0.25">
      <c r="A918" s="125"/>
      <c r="B918" s="125"/>
      <c r="C918" s="125"/>
      <c r="D918" s="125"/>
      <c r="E918" s="125"/>
      <c r="F918" s="125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125"/>
      <c r="V918" s="125"/>
      <c r="W918" s="125"/>
      <c r="X918" s="125"/>
      <c r="Y918" s="125"/>
      <c r="Z918" s="125"/>
      <c r="AA918" s="125"/>
    </row>
    <row r="919" spans="1:27" ht="13.5" customHeight="1" x14ac:dyDescent="0.25">
      <c r="A919" s="125"/>
      <c r="B919" s="125"/>
      <c r="C919" s="125"/>
      <c r="D919" s="125"/>
      <c r="E919" s="125"/>
      <c r="F919" s="125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125"/>
      <c r="V919" s="125"/>
      <c r="W919" s="125"/>
      <c r="X919" s="125"/>
      <c r="Y919" s="125"/>
      <c r="Z919" s="125"/>
      <c r="AA919" s="125"/>
    </row>
    <row r="920" spans="1:27" ht="13.5" customHeight="1" x14ac:dyDescent="0.25">
      <c r="A920" s="125"/>
      <c r="B920" s="125"/>
      <c r="C920" s="125"/>
      <c r="D920" s="125"/>
      <c r="E920" s="125"/>
      <c r="F920" s="125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125"/>
      <c r="V920" s="125"/>
      <c r="W920" s="125"/>
      <c r="X920" s="125"/>
      <c r="Y920" s="125"/>
      <c r="Z920" s="125"/>
      <c r="AA920" s="125"/>
    </row>
    <row r="921" spans="1:27" ht="13.5" customHeight="1" x14ac:dyDescent="0.25">
      <c r="A921" s="125"/>
      <c r="B921" s="125"/>
      <c r="C921" s="125"/>
      <c r="D921" s="125"/>
      <c r="E921" s="125"/>
      <c r="F921" s="125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125"/>
      <c r="V921" s="125"/>
      <c r="W921" s="125"/>
      <c r="X921" s="125"/>
      <c r="Y921" s="125"/>
      <c r="Z921" s="125"/>
      <c r="AA921" s="125"/>
    </row>
    <row r="922" spans="1:27" ht="13.5" customHeight="1" x14ac:dyDescent="0.25">
      <c r="A922" s="125"/>
      <c r="B922" s="125"/>
      <c r="C922" s="125"/>
      <c r="D922" s="125"/>
      <c r="E922" s="125"/>
      <c r="F922" s="125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125"/>
      <c r="V922" s="125"/>
      <c r="W922" s="125"/>
      <c r="X922" s="125"/>
      <c r="Y922" s="125"/>
      <c r="Z922" s="125"/>
      <c r="AA922" s="125"/>
    </row>
    <row r="923" spans="1:27" ht="13.5" customHeight="1" x14ac:dyDescent="0.25">
      <c r="A923" s="125"/>
      <c r="B923" s="125"/>
      <c r="C923" s="125"/>
      <c r="D923" s="125"/>
      <c r="E923" s="125"/>
      <c r="F923" s="125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125"/>
      <c r="V923" s="125"/>
      <c r="W923" s="125"/>
      <c r="X923" s="125"/>
      <c r="Y923" s="125"/>
      <c r="Z923" s="125"/>
      <c r="AA923" s="125"/>
    </row>
    <row r="924" spans="1:27" ht="13.5" customHeight="1" x14ac:dyDescent="0.25">
      <c r="A924" s="125"/>
      <c r="B924" s="125"/>
      <c r="C924" s="125"/>
      <c r="D924" s="125"/>
      <c r="E924" s="125"/>
      <c r="F924" s="125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125"/>
      <c r="V924" s="125"/>
      <c r="W924" s="125"/>
      <c r="X924" s="125"/>
      <c r="Y924" s="125"/>
      <c r="Z924" s="125"/>
      <c r="AA924" s="125"/>
    </row>
    <row r="925" spans="1:27" ht="13.5" customHeight="1" x14ac:dyDescent="0.25">
      <c r="A925" s="125"/>
      <c r="B925" s="125"/>
      <c r="C925" s="125"/>
      <c r="D925" s="125"/>
      <c r="E925" s="125"/>
      <c r="F925" s="125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125"/>
      <c r="V925" s="125"/>
      <c r="W925" s="125"/>
      <c r="X925" s="125"/>
      <c r="Y925" s="125"/>
      <c r="Z925" s="125"/>
      <c r="AA925" s="125"/>
    </row>
    <row r="926" spans="1:27" ht="13.5" customHeight="1" x14ac:dyDescent="0.25">
      <c r="A926" s="125"/>
      <c r="B926" s="125"/>
      <c r="C926" s="125"/>
      <c r="D926" s="125"/>
      <c r="E926" s="125"/>
      <c r="F926" s="125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125"/>
      <c r="V926" s="125"/>
      <c r="W926" s="125"/>
      <c r="X926" s="125"/>
      <c r="Y926" s="125"/>
      <c r="Z926" s="125"/>
      <c r="AA926" s="125"/>
    </row>
    <row r="927" spans="1:27" ht="13.5" customHeight="1" x14ac:dyDescent="0.25">
      <c r="A927" s="125"/>
      <c r="B927" s="125"/>
      <c r="C927" s="125"/>
      <c r="D927" s="125"/>
      <c r="E927" s="125"/>
      <c r="F927" s="125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125"/>
      <c r="V927" s="125"/>
      <c r="W927" s="125"/>
      <c r="X927" s="125"/>
      <c r="Y927" s="125"/>
      <c r="Z927" s="125"/>
      <c r="AA927" s="125"/>
    </row>
    <row r="928" spans="1:27" ht="13.5" customHeight="1" x14ac:dyDescent="0.25">
      <c r="A928" s="125"/>
      <c r="B928" s="125"/>
      <c r="C928" s="125"/>
      <c r="D928" s="125"/>
      <c r="E928" s="125"/>
      <c r="F928" s="125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125"/>
      <c r="V928" s="125"/>
      <c r="W928" s="125"/>
      <c r="X928" s="125"/>
      <c r="Y928" s="125"/>
      <c r="Z928" s="125"/>
      <c r="AA928" s="125"/>
    </row>
    <row r="929" spans="1:27" ht="13.5" customHeight="1" x14ac:dyDescent="0.25">
      <c r="A929" s="125"/>
      <c r="B929" s="125"/>
      <c r="C929" s="125"/>
      <c r="D929" s="125"/>
      <c r="E929" s="125"/>
      <c r="F929" s="125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125"/>
      <c r="V929" s="125"/>
      <c r="W929" s="125"/>
      <c r="X929" s="125"/>
      <c r="Y929" s="125"/>
      <c r="Z929" s="125"/>
      <c r="AA929" s="125"/>
    </row>
    <row r="930" spans="1:27" ht="13.5" customHeight="1" x14ac:dyDescent="0.25">
      <c r="A930" s="125"/>
      <c r="B930" s="125"/>
      <c r="C930" s="125"/>
      <c r="D930" s="125"/>
      <c r="E930" s="125"/>
      <c r="F930" s="125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125"/>
      <c r="V930" s="125"/>
      <c r="W930" s="125"/>
      <c r="X930" s="125"/>
      <c r="Y930" s="125"/>
      <c r="Z930" s="125"/>
      <c r="AA930" s="125"/>
    </row>
    <row r="931" spans="1:27" ht="13.5" customHeight="1" x14ac:dyDescent="0.25">
      <c r="A931" s="125"/>
      <c r="B931" s="125"/>
      <c r="C931" s="125"/>
      <c r="D931" s="125"/>
      <c r="E931" s="125"/>
      <c r="F931" s="125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125"/>
      <c r="V931" s="125"/>
      <c r="W931" s="125"/>
      <c r="X931" s="125"/>
      <c r="Y931" s="125"/>
      <c r="Z931" s="125"/>
      <c r="AA931" s="125"/>
    </row>
    <row r="932" spans="1:27" ht="13.5" customHeight="1" x14ac:dyDescent="0.25">
      <c r="A932" s="125"/>
      <c r="B932" s="125"/>
      <c r="C932" s="125"/>
      <c r="D932" s="125"/>
      <c r="E932" s="125"/>
      <c r="F932" s="125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125"/>
      <c r="V932" s="125"/>
      <c r="W932" s="125"/>
      <c r="X932" s="125"/>
      <c r="Y932" s="125"/>
      <c r="Z932" s="125"/>
      <c r="AA932" s="125"/>
    </row>
    <row r="933" spans="1:27" ht="13.5" customHeight="1" x14ac:dyDescent="0.25">
      <c r="A933" s="125"/>
      <c r="B933" s="125"/>
      <c r="C933" s="125"/>
      <c r="D933" s="125"/>
      <c r="E933" s="125"/>
      <c r="F933" s="125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125"/>
      <c r="V933" s="125"/>
      <c r="W933" s="125"/>
      <c r="X933" s="125"/>
      <c r="Y933" s="125"/>
      <c r="Z933" s="125"/>
      <c r="AA933" s="125"/>
    </row>
    <row r="934" spans="1:27" ht="13.5" customHeight="1" x14ac:dyDescent="0.25">
      <c r="A934" s="125"/>
      <c r="B934" s="125"/>
      <c r="C934" s="125"/>
      <c r="D934" s="125"/>
      <c r="E934" s="125"/>
      <c r="F934" s="125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125"/>
      <c r="V934" s="125"/>
      <c r="W934" s="125"/>
      <c r="X934" s="125"/>
      <c r="Y934" s="125"/>
      <c r="Z934" s="125"/>
      <c r="AA934" s="125"/>
    </row>
    <row r="935" spans="1:27" ht="13.5" customHeight="1" x14ac:dyDescent="0.25">
      <c r="A935" s="125"/>
      <c r="B935" s="125"/>
      <c r="C935" s="125"/>
      <c r="D935" s="125"/>
      <c r="E935" s="125"/>
      <c r="F935" s="125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125"/>
      <c r="V935" s="125"/>
      <c r="W935" s="125"/>
      <c r="X935" s="125"/>
      <c r="Y935" s="125"/>
      <c r="Z935" s="125"/>
      <c r="AA935" s="125"/>
    </row>
    <row r="936" spans="1:27" ht="13.5" customHeight="1" x14ac:dyDescent="0.25">
      <c r="A936" s="125"/>
      <c r="B936" s="125"/>
      <c r="C936" s="125"/>
      <c r="D936" s="125"/>
      <c r="E936" s="125"/>
      <c r="F936" s="125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125"/>
      <c r="V936" s="125"/>
      <c r="W936" s="125"/>
      <c r="X936" s="125"/>
      <c r="Y936" s="125"/>
      <c r="Z936" s="125"/>
      <c r="AA936" s="125"/>
    </row>
    <row r="937" spans="1:27" ht="13.5" customHeight="1" x14ac:dyDescent="0.25">
      <c r="A937" s="125"/>
      <c r="B937" s="125"/>
      <c r="C937" s="125"/>
      <c r="D937" s="125"/>
      <c r="E937" s="125"/>
      <c r="F937" s="125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125"/>
      <c r="V937" s="125"/>
      <c r="W937" s="125"/>
      <c r="X937" s="125"/>
      <c r="Y937" s="125"/>
      <c r="Z937" s="125"/>
      <c r="AA937" s="125"/>
    </row>
    <row r="938" spans="1:27" ht="13.5" customHeight="1" x14ac:dyDescent="0.25">
      <c r="A938" s="125"/>
      <c r="B938" s="125"/>
      <c r="C938" s="125"/>
      <c r="D938" s="125"/>
      <c r="E938" s="125"/>
      <c r="F938" s="125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125"/>
      <c r="V938" s="125"/>
      <c r="W938" s="125"/>
      <c r="X938" s="125"/>
      <c r="Y938" s="125"/>
      <c r="Z938" s="125"/>
      <c r="AA938" s="125"/>
    </row>
    <row r="939" spans="1:27" ht="13.5" customHeight="1" x14ac:dyDescent="0.25">
      <c r="A939" s="125"/>
      <c r="B939" s="125"/>
      <c r="C939" s="125"/>
      <c r="D939" s="125"/>
      <c r="E939" s="125"/>
      <c r="F939" s="125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125"/>
      <c r="V939" s="125"/>
      <c r="W939" s="125"/>
      <c r="X939" s="125"/>
      <c r="Y939" s="125"/>
      <c r="Z939" s="125"/>
      <c r="AA939" s="125"/>
    </row>
    <row r="940" spans="1:27" ht="13.5" customHeight="1" x14ac:dyDescent="0.25">
      <c r="A940" s="125"/>
      <c r="B940" s="125"/>
      <c r="C940" s="125"/>
      <c r="D940" s="125"/>
      <c r="E940" s="125"/>
      <c r="F940" s="125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125"/>
      <c r="V940" s="125"/>
      <c r="W940" s="125"/>
      <c r="X940" s="125"/>
      <c r="Y940" s="125"/>
      <c r="Z940" s="125"/>
      <c r="AA940" s="125"/>
    </row>
    <row r="941" spans="1:27" ht="13.5" customHeight="1" x14ac:dyDescent="0.25">
      <c r="A941" s="125"/>
      <c r="B941" s="125"/>
      <c r="C941" s="125"/>
      <c r="D941" s="125"/>
      <c r="E941" s="125"/>
      <c r="F941" s="125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125"/>
      <c r="V941" s="125"/>
      <c r="W941" s="125"/>
      <c r="X941" s="125"/>
      <c r="Y941" s="125"/>
      <c r="Z941" s="125"/>
      <c r="AA941" s="125"/>
    </row>
    <row r="942" spans="1:27" ht="13.5" customHeight="1" x14ac:dyDescent="0.25">
      <c r="A942" s="125"/>
      <c r="B942" s="125"/>
      <c r="C942" s="125"/>
      <c r="D942" s="125"/>
      <c r="E942" s="125"/>
      <c r="F942" s="125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125"/>
      <c r="V942" s="125"/>
      <c r="W942" s="125"/>
      <c r="X942" s="125"/>
      <c r="Y942" s="125"/>
      <c r="Z942" s="125"/>
      <c r="AA942" s="125"/>
    </row>
    <row r="943" spans="1:27" ht="13.5" customHeight="1" x14ac:dyDescent="0.25">
      <c r="A943" s="125"/>
      <c r="B943" s="125"/>
      <c r="C943" s="125"/>
      <c r="D943" s="125"/>
      <c r="E943" s="125"/>
      <c r="F943" s="125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125"/>
      <c r="V943" s="125"/>
      <c r="W943" s="125"/>
      <c r="X943" s="125"/>
      <c r="Y943" s="125"/>
      <c r="Z943" s="125"/>
      <c r="AA943" s="125"/>
    </row>
    <row r="944" spans="1:27" ht="13.5" customHeight="1" x14ac:dyDescent="0.25">
      <c r="A944" s="125"/>
      <c r="B944" s="125"/>
      <c r="C944" s="125"/>
      <c r="D944" s="125"/>
      <c r="E944" s="125"/>
      <c r="F944" s="125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125"/>
      <c r="V944" s="125"/>
      <c r="W944" s="125"/>
      <c r="X944" s="125"/>
      <c r="Y944" s="125"/>
      <c r="Z944" s="125"/>
      <c r="AA944" s="125"/>
    </row>
    <row r="945" spans="1:27" ht="13.5" customHeight="1" x14ac:dyDescent="0.25">
      <c r="A945" s="125"/>
      <c r="B945" s="125"/>
      <c r="C945" s="125"/>
      <c r="D945" s="125"/>
      <c r="E945" s="125"/>
      <c r="F945" s="125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125"/>
      <c r="V945" s="125"/>
      <c r="W945" s="125"/>
      <c r="X945" s="125"/>
      <c r="Y945" s="125"/>
      <c r="Z945" s="125"/>
      <c r="AA945" s="125"/>
    </row>
    <row r="946" spans="1:27" ht="13.5" customHeight="1" x14ac:dyDescent="0.25">
      <c r="A946" s="125"/>
      <c r="B946" s="125"/>
      <c r="C946" s="125"/>
      <c r="D946" s="125"/>
      <c r="E946" s="125"/>
      <c r="F946" s="125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125"/>
      <c r="V946" s="125"/>
      <c r="W946" s="125"/>
      <c r="X946" s="125"/>
      <c r="Y946" s="125"/>
      <c r="Z946" s="125"/>
      <c r="AA946" s="125"/>
    </row>
    <row r="947" spans="1:27" ht="13.5" customHeight="1" x14ac:dyDescent="0.25">
      <c r="A947" s="125"/>
      <c r="B947" s="125"/>
      <c r="C947" s="125"/>
      <c r="D947" s="125"/>
      <c r="E947" s="125"/>
      <c r="F947" s="125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125"/>
      <c r="V947" s="125"/>
      <c r="W947" s="125"/>
      <c r="X947" s="125"/>
      <c r="Y947" s="125"/>
      <c r="Z947" s="125"/>
      <c r="AA947" s="125"/>
    </row>
    <row r="948" spans="1:27" ht="13.5" customHeight="1" x14ac:dyDescent="0.25">
      <c r="A948" s="125"/>
      <c r="B948" s="125"/>
      <c r="C948" s="125"/>
      <c r="D948" s="125"/>
      <c r="E948" s="125"/>
      <c r="F948" s="125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125"/>
      <c r="V948" s="125"/>
      <c r="W948" s="125"/>
      <c r="X948" s="125"/>
      <c r="Y948" s="125"/>
      <c r="Z948" s="125"/>
      <c r="AA948" s="125"/>
    </row>
    <row r="949" spans="1:27" ht="13.5" customHeight="1" x14ac:dyDescent="0.25">
      <c r="A949" s="125"/>
      <c r="B949" s="125"/>
      <c r="C949" s="125"/>
      <c r="D949" s="125"/>
      <c r="E949" s="125"/>
      <c r="F949" s="125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125"/>
      <c r="V949" s="125"/>
      <c r="W949" s="125"/>
      <c r="X949" s="125"/>
      <c r="Y949" s="125"/>
      <c r="Z949" s="125"/>
      <c r="AA949" s="125"/>
    </row>
    <row r="950" spans="1:27" ht="13.5" customHeight="1" x14ac:dyDescent="0.25">
      <c r="A950" s="125"/>
      <c r="B950" s="125"/>
      <c r="C950" s="125"/>
      <c r="D950" s="125"/>
      <c r="E950" s="125"/>
      <c r="F950" s="125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125"/>
      <c r="V950" s="125"/>
      <c r="W950" s="125"/>
      <c r="X950" s="125"/>
      <c r="Y950" s="125"/>
      <c r="Z950" s="125"/>
      <c r="AA950" s="125"/>
    </row>
    <row r="951" spans="1:27" ht="13.5" customHeight="1" x14ac:dyDescent="0.25">
      <c r="A951" s="125"/>
      <c r="B951" s="125"/>
      <c r="C951" s="125"/>
      <c r="D951" s="125"/>
      <c r="E951" s="125"/>
      <c r="F951" s="125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125"/>
      <c r="V951" s="125"/>
      <c r="W951" s="125"/>
      <c r="X951" s="125"/>
      <c r="Y951" s="125"/>
      <c r="Z951" s="125"/>
      <c r="AA951" s="125"/>
    </row>
    <row r="952" spans="1:27" ht="13.5" customHeight="1" x14ac:dyDescent="0.25">
      <c r="A952" s="125"/>
      <c r="B952" s="125"/>
      <c r="C952" s="125"/>
      <c r="D952" s="125"/>
      <c r="E952" s="125"/>
      <c r="F952" s="125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125"/>
      <c r="V952" s="125"/>
      <c r="W952" s="125"/>
      <c r="X952" s="125"/>
      <c r="Y952" s="125"/>
      <c r="Z952" s="125"/>
      <c r="AA952" s="125"/>
    </row>
    <row r="953" spans="1:27" ht="13.5" customHeight="1" x14ac:dyDescent="0.25">
      <c r="A953" s="125"/>
      <c r="B953" s="125"/>
      <c r="C953" s="125"/>
      <c r="D953" s="125"/>
      <c r="E953" s="125"/>
      <c r="F953" s="125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125"/>
      <c r="V953" s="125"/>
      <c r="W953" s="125"/>
      <c r="X953" s="125"/>
      <c r="Y953" s="125"/>
      <c r="Z953" s="125"/>
      <c r="AA953" s="125"/>
    </row>
    <row r="954" spans="1:27" ht="13.5" customHeight="1" x14ac:dyDescent="0.25">
      <c r="A954" s="125"/>
      <c r="B954" s="125"/>
      <c r="C954" s="125"/>
      <c r="D954" s="125"/>
      <c r="E954" s="125"/>
      <c r="F954" s="125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125"/>
      <c r="V954" s="125"/>
      <c r="W954" s="125"/>
      <c r="X954" s="125"/>
      <c r="Y954" s="125"/>
      <c r="Z954" s="125"/>
      <c r="AA954" s="125"/>
    </row>
    <row r="955" spans="1:27" ht="13.5" customHeight="1" x14ac:dyDescent="0.25">
      <c r="A955" s="125"/>
      <c r="B955" s="125"/>
      <c r="C955" s="125"/>
      <c r="D955" s="125"/>
      <c r="E955" s="125"/>
      <c r="F955" s="125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125"/>
      <c r="V955" s="125"/>
      <c r="W955" s="125"/>
      <c r="X955" s="125"/>
      <c r="Y955" s="125"/>
      <c r="Z955" s="125"/>
      <c r="AA955" s="125"/>
    </row>
    <row r="956" spans="1:27" ht="13.5" customHeight="1" x14ac:dyDescent="0.25">
      <c r="A956" s="125"/>
      <c r="B956" s="125"/>
      <c r="C956" s="125"/>
      <c r="D956" s="125"/>
      <c r="E956" s="125"/>
      <c r="F956" s="125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125"/>
      <c r="V956" s="125"/>
      <c r="W956" s="125"/>
      <c r="X956" s="125"/>
      <c r="Y956" s="125"/>
      <c r="Z956" s="125"/>
      <c r="AA956" s="125"/>
    </row>
    <row r="957" spans="1:27" ht="13.5" customHeight="1" x14ac:dyDescent="0.25">
      <c r="A957" s="125"/>
      <c r="B957" s="125"/>
      <c r="C957" s="125"/>
      <c r="D957" s="125"/>
      <c r="E957" s="125"/>
      <c r="F957" s="125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125"/>
      <c r="V957" s="125"/>
      <c r="W957" s="125"/>
      <c r="X957" s="125"/>
      <c r="Y957" s="125"/>
      <c r="Z957" s="125"/>
      <c r="AA957" s="125"/>
    </row>
    <row r="958" spans="1:27" ht="13.5" customHeight="1" x14ac:dyDescent="0.25">
      <c r="A958" s="125"/>
      <c r="B958" s="125"/>
      <c r="C958" s="125"/>
      <c r="D958" s="125"/>
      <c r="E958" s="125"/>
      <c r="F958" s="125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125"/>
      <c r="V958" s="125"/>
      <c r="W958" s="125"/>
      <c r="X958" s="125"/>
      <c r="Y958" s="125"/>
      <c r="Z958" s="125"/>
      <c r="AA958" s="125"/>
    </row>
    <row r="959" spans="1:27" ht="13.5" customHeight="1" x14ac:dyDescent="0.25">
      <c r="A959" s="125"/>
      <c r="B959" s="125"/>
      <c r="C959" s="125"/>
      <c r="D959" s="125"/>
      <c r="E959" s="125"/>
      <c r="F959" s="125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125"/>
      <c r="V959" s="125"/>
      <c r="W959" s="125"/>
      <c r="X959" s="125"/>
      <c r="Y959" s="125"/>
      <c r="Z959" s="125"/>
      <c r="AA959" s="125"/>
    </row>
    <row r="960" spans="1:27" ht="13.5" customHeight="1" x14ac:dyDescent="0.25">
      <c r="A960" s="125"/>
      <c r="B960" s="125"/>
      <c r="C960" s="125"/>
      <c r="D960" s="125"/>
      <c r="E960" s="125"/>
      <c r="F960" s="125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125"/>
      <c r="V960" s="125"/>
      <c r="W960" s="125"/>
      <c r="X960" s="125"/>
      <c r="Y960" s="125"/>
      <c r="Z960" s="125"/>
      <c r="AA960" s="125"/>
    </row>
    <row r="961" spans="1:27" ht="13.5" customHeight="1" x14ac:dyDescent="0.25">
      <c r="A961" s="125"/>
      <c r="B961" s="125"/>
      <c r="C961" s="125"/>
      <c r="D961" s="125"/>
      <c r="E961" s="125"/>
      <c r="F961" s="125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125"/>
      <c r="V961" s="125"/>
      <c r="W961" s="125"/>
      <c r="X961" s="125"/>
      <c r="Y961" s="125"/>
      <c r="Z961" s="125"/>
      <c r="AA961" s="125"/>
    </row>
    <row r="962" spans="1:27" ht="13.5" customHeight="1" x14ac:dyDescent="0.25">
      <c r="A962" s="125"/>
      <c r="B962" s="125"/>
      <c r="C962" s="125"/>
      <c r="D962" s="125"/>
      <c r="E962" s="125"/>
      <c r="F962" s="125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125"/>
      <c r="V962" s="125"/>
      <c r="W962" s="125"/>
      <c r="X962" s="125"/>
      <c r="Y962" s="125"/>
      <c r="Z962" s="125"/>
      <c r="AA962" s="125"/>
    </row>
    <row r="963" spans="1:27" ht="13.5" customHeight="1" x14ac:dyDescent="0.25">
      <c r="A963" s="125"/>
      <c r="B963" s="125"/>
      <c r="C963" s="125"/>
      <c r="D963" s="125"/>
      <c r="E963" s="125"/>
      <c r="F963" s="125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125"/>
      <c r="V963" s="125"/>
      <c r="W963" s="125"/>
      <c r="X963" s="125"/>
      <c r="Y963" s="125"/>
      <c r="Z963" s="125"/>
      <c r="AA963" s="125"/>
    </row>
    <row r="964" spans="1:27" ht="13.5" customHeight="1" x14ac:dyDescent="0.25">
      <c r="A964" s="125"/>
      <c r="B964" s="125"/>
      <c r="C964" s="125"/>
      <c r="D964" s="125"/>
      <c r="E964" s="125"/>
      <c r="F964" s="125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125"/>
      <c r="V964" s="125"/>
      <c r="W964" s="125"/>
      <c r="X964" s="125"/>
      <c r="Y964" s="125"/>
      <c r="Z964" s="125"/>
      <c r="AA964" s="125"/>
    </row>
    <row r="965" spans="1:27" ht="13.5" customHeight="1" x14ac:dyDescent="0.25">
      <c r="A965" s="125"/>
      <c r="B965" s="125"/>
      <c r="C965" s="125"/>
      <c r="D965" s="125"/>
      <c r="E965" s="125"/>
      <c r="F965" s="125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125"/>
      <c r="V965" s="125"/>
      <c r="W965" s="125"/>
      <c r="X965" s="125"/>
      <c r="Y965" s="125"/>
      <c r="Z965" s="125"/>
      <c r="AA965" s="125"/>
    </row>
    <row r="966" spans="1:27" ht="13.5" customHeight="1" x14ac:dyDescent="0.25">
      <c r="A966" s="125"/>
      <c r="B966" s="125"/>
      <c r="C966" s="125"/>
      <c r="D966" s="125"/>
      <c r="E966" s="125"/>
      <c r="F966" s="125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125"/>
      <c r="V966" s="125"/>
      <c r="W966" s="125"/>
      <c r="X966" s="125"/>
      <c r="Y966" s="125"/>
      <c r="Z966" s="125"/>
      <c r="AA966" s="125"/>
    </row>
    <row r="967" spans="1:27" ht="13.5" customHeight="1" x14ac:dyDescent="0.25">
      <c r="A967" s="125"/>
      <c r="B967" s="125"/>
      <c r="C967" s="125"/>
      <c r="D967" s="125"/>
      <c r="E967" s="125"/>
      <c r="F967" s="125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125"/>
      <c r="V967" s="125"/>
      <c r="W967" s="125"/>
      <c r="X967" s="125"/>
      <c r="Y967" s="125"/>
      <c r="Z967" s="125"/>
      <c r="AA967" s="125"/>
    </row>
    <row r="968" spans="1:27" ht="13.5" customHeight="1" x14ac:dyDescent="0.25">
      <c r="A968" s="125"/>
      <c r="B968" s="125"/>
      <c r="C968" s="125"/>
      <c r="D968" s="125"/>
      <c r="E968" s="125"/>
      <c r="F968" s="125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125"/>
      <c r="V968" s="125"/>
      <c r="W968" s="125"/>
      <c r="X968" s="125"/>
      <c r="Y968" s="125"/>
      <c r="Z968" s="125"/>
      <c r="AA968" s="125"/>
    </row>
    <row r="969" spans="1:27" ht="13.5" customHeight="1" x14ac:dyDescent="0.25">
      <c r="A969" s="125"/>
      <c r="B969" s="125"/>
      <c r="C969" s="125"/>
      <c r="D969" s="125"/>
      <c r="E969" s="125"/>
      <c r="F969" s="125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125"/>
      <c r="V969" s="125"/>
      <c r="W969" s="125"/>
      <c r="X969" s="125"/>
      <c r="Y969" s="125"/>
      <c r="Z969" s="125"/>
      <c r="AA969" s="125"/>
    </row>
    <row r="970" spans="1:27" ht="13.5" customHeight="1" x14ac:dyDescent="0.25">
      <c r="A970" s="125"/>
      <c r="B970" s="125"/>
      <c r="C970" s="125"/>
      <c r="D970" s="125"/>
      <c r="E970" s="125"/>
      <c r="F970" s="125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125"/>
      <c r="V970" s="125"/>
      <c r="W970" s="125"/>
      <c r="X970" s="125"/>
      <c r="Y970" s="125"/>
      <c r="Z970" s="125"/>
      <c r="AA970" s="125"/>
    </row>
    <row r="971" spans="1:27" ht="13.5" customHeight="1" x14ac:dyDescent="0.25">
      <c r="A971" s="125"/>
      <c r="B971" s="125"/>
      <c r="C971" s="125"/>
      <c r="D971" s="125"/>
      <c r="E971" s="125"/>
      <c r="F971" s="125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125"/>
      <c r="V971" s="125"/>
      <c r="W971" s="125"/>
      <c r="X971" s="125"/>
      <c r="Y971" s="125"/>
      <c r="Z971" s="125"/>
      <c r="AA971" s="125"/>
    </row>
    <row r="972" spans="1:27" ht="13.5" customHeight="1" x14ac:dyDescent="0.25">
      <c r="A972" s="125"/>
      <c r="B972" s="125"/>
      <c r="C972" s="125"/>
      <c r="D972" s="125"/>
      <c r="E972" s="125"/>
      <c r="F972" s="125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125"/>
      <c r="V972" s="125"/>
      <c r="W972" s="125"/>
      <c r="X972" s="125"/>
      <c r="Y972" s="125"/>
      <c r="Z972" s="125"/>
      <c r="AA972" s="125"/>
    </row>
    <row r="973" spans="1:27" ht="13.5" customHeight="1" x14ac:dyDescent="0.25">
      <c r="A973" s="125"/>
      <c r="B973" s="125"/>
      <c r="C973" s="125"/>
      <c r="D973" s="125"/>
      <c r="E973" s="125"/>
      <c r="F973" s="125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125"/>
      <c r="V973" s="125"/>
      <c r="W973" s="125"/>
      <c r="X973" s="125"/>
      <c r="Y973" s="125"/>
      <c r="Z973" s="125"/>
      <c r="AA973" s="125"/>
    </row>
    <row r="974" spans="1:27" ht="13.5" customHeight="1" x14ac:dyDescent="0.25">
      <c r="A974" s="125"/>
      <c r="B974" s="125"/>
      <c r="C974" s="125"/>
      <c r="D974" s="125"/>
      <c r="E974" s="125"/>
      <c r="F974" s="125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125"/>
      <c r="V974" s="125"/>
      <c r="W974" s="125"/>
      <c r="X974" s="125"/>
      <c r="Y974" s="125"/>
      <c r="Z974" s="125"/>
      <c r="AA974" s="125"/>
    </row>
    <row r="975" spans="1:27" ht="13.5" customHeight="1" x14ac:dyDescent="0.25">
      <c r="A975" s="125"/>
      <c r="B975" s="125"/>
      <c r="C975" s="125"/>
      <c r="D975" s="125"/>
      <c r="E975" s="125"/>
      <c r="F975" s="125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125"/>
      <c r="V975" s="125"/>
      <c r="W975" s="125"/>
      <c r="X975" s="125"/>
      <c r="Y975" s="125"/>
      <c r="Z975" s="125"/>
      <c r="AA975" s="125"/>
    </row>
    <row r="976" spans="1:27" ht="13.5" customHeight="1" x14ac:dyDescent="0.25">
      <c r="A976" s="125"/>
      <c r="B976" s="125"/>
      <c r="C976" s="125"/>
      <c r="D976" s="125"/>
      <c r="E976" s="125"/>
      <c r="F976" s="125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125"/>
      <c r="V976" s="125"/>
      <c r="W976" s="125"/>
      <c r="X976" s="125"/>
      <c r="Y976" s="125"/>
      <c r="Z976" s="125"/>
      <c r="AA976" s="125"/>
    </row>
    <row r="977" spans="1:27" ht="13.5" customHeight="1" x14ac:dyDescent="0.25">
      <c r="A977" s="125"/>
      <c r="B977" s="125"/>
      <c r="C977" s="125"/>
      <c r="D977" s="125"/>
      <c r="E977" s="125"/>
      <c r="F977" s="125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125"/>
      <c r="V977" s="125"/>
      <c r="W977" s="125"/>
      <c r="X977" s="125"/>
      <c r="Y977" s="125"/>
      <c r="Z977" s="125"/>
      <c r="AA977" s="125"/>
    </row>
    <row r="978" spans="1:27" ht="13.5" customHeight="1" x14ac:dyDescent="0.25">
      <c r="A978" s="125"/>
      <c r="B978" s="125"/>
      <c r="C978" s="125"/>
      <c r="D978" s="125"/>
      <c r="E978" s="125"/>
      <c r="F978" s="125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125"/>
      <c r="V978" s="125"/>
      <c r="W978" s="125"/>
      <c r="X978" s="125"/>
      <c r="Y978" s="125"/>
      <c r="Z978" s="125"/>
      <c r="AA978" s="125"/>
    </row>
    <row r="979" spans="1:27" ht="13.5" customHeight="1" x14ac:dyDescent="0.25">
      <c r="A979" s="125"/>
      <c r="B979" s="125"/>
      <c r="C979" s="125"/>
      <c r="D979" s="125"/>
      <c r="E979" s="125"/>
      <c r="F979" s="125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125"/>
      <c r="V979" s="125"/>
      <c r="W979" s="125"/>
      <c r="X979" s="125"/>
      <c r="Y979" s="125"/>
      <c r="Z979" s="125"/>
      <c r="AA979" s="125"/>
    </row>
    <row r="980" spans="1:27" ht="13.5" customHeight="1" x14ac:dyDescent="0.25">
      <c r="A980" s="125"/>
      <c r="B980" s="125"/>
      <c r="C980" s="125"/>
      <c r="D980" s="125"/>
      <c r="E980" s="125"/>
      <c r="F980" s="125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125"/>
      <c r="V980" s="125"/>
      <c r="W980" s="125"/>
      <c r="X980" s="125"/>
      <c r="Y980" s="125"/>
      <c r="Z980" s="125"/>
      <c r="AA980" s="125"/>
    </row>
    <row r="981" spans="1:27" ht="13.5" customHeight="1" x14ac:dyDescent="0.25">
      <c r="A981" s="125"/>
      <c r="B981" s="125"/>
      <c r="C981" s="125"/>
      <c r="D981" s="125"/>
      <c r="E981" s="125"/>
      <c r="F981" s="125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125"/>
      <c r="V981" s="125"/>
      <c r="W981" s="125"/>
      <c r="X981" s="125"/>
      <c r="Y981" s="125"/>
      <c r="Z981" s="125"/>
      <c r="AA981" s="125"/>
    </row>
    <row r="982" spans="1:27" ht="13.5" customHeight="1" x14ac:dyDescent="0.25">
      <c r="A982" s="125"/>
      <c r="B982" s="125"/>
      <c r="C982" s="125"/>
      <c r="D982" s="125"/>
      <c r="E982" s="125"/>
      <c r="F982" s="125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125"/>
      <c r="V982" s="125"/>
      <c r="W982" s="125"/>
      <c r="X982" s="125"/>
      <c r="Y982" s="125"/>
      <c r="Z982" s="125"/>
      <c r="AA982" s="125"/>
    </row>
    <row r="983" spans="1:27" ht="13.5" customHeight="1" x14ac:dyDescent="0.25">
      <c r="A983" s="125"/>
      <c r="B983" s="125"/>
      <c r="C983" s="125"/>
      <c r="D983" s="125"/>
      <c r="E983" s="125"/>
      <c r="F983" s="125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125"/>
      <c r="V983" s="125"/>
      <c r="W983" s="125"/>
      <c r="X983" s="125"/>
      <c r="Y983" s="125"/>
      <c r="Z983" s="125"/>
      <c r="AA983" s="125"/>
    </row>
    <row r="984" spans="1:27" ht="13.5" customHeight="1" x14ac:dyDescent="0.25">
      <c r="A984" s="125"/>
      <c r="B984" s="125"/>
      <c r="C984" s="125"/>
      <c r="D984" s="125"/>
      <c r="E984" s="125"/>
      <c r="F984" s="125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125"/>
      <c r="V984" s="125"/>
      <c r="W984" s="125"/>
      <c r="X984" s="125"/>
      <c r="Y984" s="125"/>
      <c r="Z984" s="125"/>
      <c r="AA984" s="125"/>
    </row>
    <row r="985" spans="1:27" ht="13.5" customHeight="1" x14ac:dyDescent="0.25">
      <c r="A985" s="125"/>
      <c r="B985" s="125"/>
      <c r="C985" s="125"/>
      <c r="D985" s="125"/>
      <c r="E985" s="125"/>
      <c r="F985" s="125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125"/>
      <c r="V985" s="125"/>
      <c r="W985" s="125"/>
      <c r="X985" s="125"/>
      <c r="Y985" s="125"/>
      <c r="Z985" s="125"/>
      <c r="AA985" s="125"/>
    </row>
    <row r="986" spans="1:27" ht="13.5" customHeight="1" x14ac:dyDescent="0.25">
      <c r="A986" s="125"/>
      <c r="B986" s="125"/>
      <c r="C986" s="125"/>
      <c r="D986" s="125"/>
      <c r="E986" s="125"/>
      <c r="F986" s="125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125"/>
      <c r="V986" s="125"/>
      <c r="W986" s="125"/>
      <c r="X986" s="125"/>
      <c r="Y986" s="125"/>
      <c r="Z986" s="125"/>
      <c r="AA986" s="125"/>
    </row>
    <row r="987" spans="1:27" ht="13.5" customHeight="1" x14ac:dyDescent="0.25">
      <c r="A987" s="125"/>
      <c r="B987" s="125"/>
      <c r="C987" s="125"/>
      <c r="D987" s="125"/>
      <c r="E987" s="125"/>
      <c r="F987" s="125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125"/>
      <c r="V987" s="125"/>
      <c r="W987" s="125"/>
      <c r="X987" s="125"/>
      <c r="Y987" s="125"/>
      <c r="Z987" s="125"/>
      <c r="AA987" s="125"/>
    </row>
    <row r="988" spans="1:27" ht="13.5" customHeight="1" x14ac:dyDescent="0.25">
      <c r="A988" s="125"/>
      <c r="B988" s="125"/>
      <c r="C988" s="125"/>
      <c r="D988" s="125"/>
      <c r="E988" s="125"/>
      <c r="F988" s="125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125"/>
      <c r="V988" s="125"/>
      <c r="W988" s="125"/>
      <c r="X988" s="125"/>
      <c r="Y988" s="125"/>
      <c r="Z988" s="125"/>
      <c r="AA988" s="125"/>
    </row>
    <row r="989" spans="1:27" ht="13.5" customHeight="1" x14ac:dyDescent="0.25">
      <c r="A989" s="125"/>
      <c r="B989" s="125"/>
      <c r="C989" s="125"/>
      <c r="D989" s="125"/>
      <c r="E989" s="125"/>
      <c r="F989" s="125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125"/>
      <c r="V989" s="125"/>
      <c r="W989" s="125"/>
      <c r="X989" s="125"/>
      <c r="Y989" s="125"/>
      <c r="Z989" s="125"/>
      <c r="AA989" s="125"/>
    </row>
    <row r="990" spans="1:27" ht="13.5" customHeight="1" x14ac:dyDescent="0.25">
      <c r="A990" s="125"/>
      <c r="B990" s="125"/>
      <c r="C990" s="125"/>
      <c r="D990" s="125"/>
      <c r="E990" s="125"/>
      <c r="F990" s="125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125"/>
      <c r="V990" s="125"/>
      <c r="W990" s="125"/>
      <c r="X990" s="125"/>
      <c r="Y990" s="125"/>
      <c r="Z990" s="125"/>
      <c r="AA990" s="125"/>
    </row>
    <row r="991" spans="1:27" ht="13.5" customHeight="1" x14ac:dyDescent="0.25">
      <c r="A991" s="125"/>
      <c r="B991" s="125"/>
      <c r="C991" s="125"/>
      <c r="D991" s="125"/>
      <c r="E991" s="125"/>
      <c r="F991" s="125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125"/>
      <c r="V991" s="125"/>
      <c r="W991" s="125"/>
      <c r="X991" s="125"/>
      <c r="Y991" s="125"/>
      <c r="Z991" s="125"/>
      <c r="AA991" s="125"/>
    </row>
    <row r="992" spans="1:27" ht="13.5" customHeight="1" x14ac:dyDescent="0.25">
      <c r="A992" s="125"/>
      <c r="B992" s="125"/>
      <c r="C992" s="125"/>
      <c r="D992" s="125"/>
      <c r="E992" s="125"/>
      <c r="F992" s="125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125"/>
      <c r="V992" s="125"/>
      <c r="W992" s="125"/>
      <c r="X992" s="125"/>
      <c r="Y992" s="125"/>
      <c r="Z992" s="125"/>
      <c r="AA992" s="125"/>
    </row>
    <row r="993" spans="1:27" ht="13.5" customHeight="1" x14ac:dyDescent="0.25">
      <c r="A993" s="125"/>
      <c r="B993" s="125"/>
      <c r="C993" s="125"/>
      <c r="D993" s="125"/>
      <c r="E993" s="125"/>
      <c r="F993" s="125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125"/>
      <c r="V993" s="125"/>
      <c r="W993" s="125"/>
      <c r="X993" s="125"/>
      <c r="Y993" s="125"/>
      <c r="Z993" s="125"/>
      <c r="AA993" s="125"/>
    </row>
    <row r="994" spans="1:27" ht="13.5" customHeight="1" x14ac:dyDescent="0.25">
      <c r="A994" s="125"/>
      <c r="B994" s="125"/>
      <c r="C994" s="125"/>
      <c r="D994" s="125"/>
      <c r="E994" s="125"/>
      <c r="F994" s="125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125"/>
      <c r="V994" s="125"/>
      <c r="W994" s="125"/>
      <c r="X994" s="125"/>
      <c r="Y994" s="125"/>
      <c r="Z994" s="125"/>
      <c r="AA994" s="125"/>
    </row>
    <row r="995" spans="1:27" ht="13.5" customHeight="1" x14ac:dyDescent="0.25">
      <c r="A995" s="125"/>
      <c r="B995" s="125"/>
      <c r="C995" s="125"/>
      <c r="D995" s="125"/>
      <c r="E995" s="125"/>
      <c r="F995" s="125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125"/>
      <c r="V995" s="125"/>
      <c r="W995" s="125"/>
      <c r="X995" s="125"/>
      <c r="Y995" s="125"/>
      <c r="Z995" s="125"/>
      <c r="AA995" s="125"/>
    </row>
    <row r="996" spans="1:27" ht="13.5" customHeight="1" x14ac:dyDescent="0.25">
      <c r="A996" s="125"/>
      <c r="B996" s="125"/>
      <c r="C996" s="125"/>
      <c r="D996" s="125"/>
      <c r="E996" s="125"/>
      <c r="F996" s="125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125"/>
      <c r="V996" s="125"/>
      <c r="W996" s="125"/>
      <c r="X996" s="125"/>
      <c r="Y996" s="125"/>
      <c r="Z996" s="125"/>
      <c r="AA996" s="125"/>
    </row>
    <row r="997" spans="1:27" ht="13.5" customHeight="1" x14ac:dyDescent="0.25">
      <c r="A997" s="125"/>
      <c r="B997" s="125"/>
      <c r="C997" s="125"/>
      <c r="D997" s="125"/>
      <c r="E997" s="125"/>
      <c r="F997" s="125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125"/>
      <c r="V997" s="125"/>
      <c r="W997" s="125"/>
      <c r="X997" s="125"/>
      <c r="Y997" s="125"/>
      <c r="Z997" s="125"/>
      <c r="AA997" s="125"/>
    </row>
    <row r="998" spans="1:27" ht="13.5" customHeight="1" x14ac:dyDescent="0.25">
      <c r="A998" s="125"/>
      <c r="B998" s="125"/>
      <c r="C998" s="125"/>
      <c r="D998" s="125"/>
      <c r="E998" s="125"/>
      <c r="F998" s="125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125"/>
      <c r="V998" s="125"/>
      <c r="W998" s="125"/>
      <c r="X998" s="125"/>
      <c r="Y998" s="125"/>
      <c r="Z998" s="125"/>
      <c r="AA998" s="125"/>
    </row>
  </sheetData>
  <sheetProtection algorithmName="SHA-512" hashValue="/ts6O7LJYd7NjkwMaKx8GhORMTPk93bTnl8pfyMJE+LrS55w9BtsLEXfov3kW0bY+VmEU4GgHeR3fTtQ1Fc/wQ==" saltValue="w5Gek/Wi+cl2KPJoqpcpzQ==" spinCount="100000" sheet="1" objects="1" scenarios="1"/>
  <mergeCells count="23">
    <mergeCell ref="M11:O11"/>
    <mergeCell ref="B12:C12"/>
    <mergeCell ref="B13:C13"/>
    <mergeCell ref="A2:R2"/>
    <mergeCell ref="A3:R3"/>
    <mergeCell ref="B14:C14"/>
    <mergeCell ref="B15:C15"/>
    <mergeCell ref="B30:C30"/>
    <mergeCell ref="B31:C31"/>
    <mergeCell ref="B32:C32"/>
    <mergeCell ref="B16:C16"/>
    <mergeCell ref="B33:C33"/>
    <mergeCell ref="B34:C34"/>
    <mergeCell ref="B42:C42"/>
    <mergeCell ref="A47:M47"/>
    <mergeCell ref="B18:C18"/>
    <mergeCell ref="E18:L18"/>
    <mergeCell ref="M18:P18"/>
    <mergeCell ref="V18:X18"/>
    <mergeCell ref="V23:W23"/>
    <mergeCell ref="Y23:AA26"/>
    <mergeCell ref="B27:C27"/>
    <mergeCell ref="B29:C29"/>
  </mergeCells>
  <dataValidations count="1">
    <dataValidation type="list" allowBlank="1" showErrorMessage="1" sqref="H12" xr:uid="{00000000-0002-0000-0100-000000000000}">
      <formula1>"-,A,B,C,D"</formula1>
    </dataValidation>
  </dataValidations>
  <printOptions horizontalCentered="1" verticalCentered="1"/>
  <pageMargins left="0" right="0" top="0.39370078740157483" bottom="0" header="0" footer="0"/>
  <pageSetup scale="95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B4BEE36-A97D-445B-B232-68CFC006924E}">
          <x14:formula1>
            <xm:f>precision!#REF!</xm:f>
          </x14:formula1>
          <xm:sqref>H15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4"/>
  <sheetViews>
    <sheetView topLeftCell="A25" workbookViewId="0">
      <selection activeCell="C35" sqref="C35"/>
    </sheetView>
  </sheetViews>
  <sheetFormatPr baseColWidth="10" defaultColWidth="12.5703125" defaultRowHeight="15" customHeight="1" x14ac:dyDescent="0.2"/>
  <cols>
    <col min="1" max="1" width="25.42578125" customWidth="1"/>
    <col min="2" max="2" width="9.42578125" customWidth="1"/>
    <col min="3" max="3" width="13.140625" customWidth="1"/>
    <col min="4" max="4" width="13.42578125" customWidth="1"/>
    <col min="5" max="5" width="12.42578125" customWidth="1"/>
    <col min="6" max="6" width="14.42578125" customWidth="1"/>
    <col min="7" max="8" width="12.140625" customWidth="1"/>
    <col min="9" max="9" width="9.85546875" customWidth="1"/>
    <col min="10" max="10" width="14.42578125" customWidth="1"/>
    <col min="11" max="11" width="16" customWidth="1"/>
    <col min="12" max="12" width="12.85546875" customWidth="1"/>
    <col min="13" max="13" width="13.5703125" customWidth="1"/>
    <col min="14" max="14" width="12.140625" customWidth="1"/>
    <col min="15" max="15" width="10.140625" customWidth="1"/>
    <col min="16" max="16" width="14.85546875" customWidth="1"/>
    <col min="17" max="17" width="16" customWidth="1"/>
    <col min="18" max="18" width="12.85546875" customWidth="1"/>
    <col min="19" max="19" width="11.42578125" customWidth="1"/>
    <col min="20" max="20" width="13.85546875" customWidth="1"/>
    <col min="21" max="21" width="10.140625" customWidth="1"/>
    <col min="22" max="22" width="12.42578125" customWidth="1"/>
    <col min="23" max="23" width="16.42578125" customWidth="1"/>
    <col min="24" max="24" width="12.85546875" customWidth="1"/>
    <col min="25" max="25" width="12.42578125" customWidth="1"/>
    <col min="26" max="26" width="12" customWidth="1"/>
  </cols>
  <sheetData>
    <row r="1" spans="1:26" ht="12.75" customHeight="1" x14ac:dyDescent="0.2">
      <c r="A1" s="611"/>
      <c r="B1" s="612"/>
      <c r="C1" s="617" t="s">
        <v>80</v>
      </c>
      <c r="D1" s="618"/>
      <c r="E1" s="618"/>
      <c r="F1" s="618"/>
      <c r="G1" s="618"/>
      <c r="H1" s="612"/>
      <c r="I1" s="46" t="s">
        <v>81</v>
      </c>
      <c r="J1" s="46" t="s">
        <v>82</v>
      </c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spans="1:26" ht="12.75" customHeight="1" x14ac:dyDescent="0.2">
      <c r="A2" s="613"/>
      <c r="B2" s="614"/>
      <c r="C2" s="613"/>
      <c r="D2" s="564"/>
      <c r="E2" s="564"/>
      <c r="F2" s="564"/>
      <c r="G2" s="564"/>
      <c r="H2" s="614"/>
      <c r="I2" s="46" t="s">
        <v>83</v>
      </c>
      <c r="J2" s="48">
        <v>3</v>
      </c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spans="1:26" ht="12.75" customHeight="1" x14ac:dyDescent="0.2">
      <c r="A3" s="613"/>
      <c r="B3" s="614"/>
      <c r="C3" s="613"/>
      <c r="D3" s="564"/>
      <c r="E3" s="564"/>
      <c r="F3" s="564"/>
      <c r="G3" s="564"/>
      <c r="H3" s="614"/>
      <c r="I3" s="46" t="s">
        <v>84</v>
      </c>
      <c r="J3" s="497">
        <v>46146</v>
      </c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spans="1:26" ht="12.75" customHeight="1" x14ac:dyDescent="0.2">
      <c r="A4" s="615"/>
      <c r="B4" s="616"/>
      <c r="C4" s="615"/>
      <c r="D4" s="619"/>
      <c r="E4" s="619"/>
      <c r="F4" s="619"/>
      <c r="G4" s="619"/>
      <c r="H4" s="616"/>
      <c r="I4" s="46" t="s">
        <v>85</v>
      </c>
      <c r="J4" s="46" t="s">
        <v>86</v>
      </c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ht="12.75" customHeight="1" x14ac:dyDescent="0.2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spans="1:26" ht="28.5" customHeight="1" x14ac:dyDescent="0.2">
      <c r="A6" s="49" t="s">
        <v>87</v>
      </c>
      <c r="B6" s="620" t="s">
        <v>34</v>
      </c>
      <c r="C6" s="621"/>
      <c r="D6" s="621"/>
      <c r="E6" s="621"/>
      <c r="F6" s="621"/>
      <c r="G6" s="621"/>
      <c r="H6" s="621"/>
      <c r="I6" s="621"/>
      <c r="J6" s="622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spans="1:26" ht="18" customHeight="1" x14ac:dyDescent="0.2">
      <c r="A7" s="49" t="s">
        <v>88</v>
      </c>
      <c r="B7" s="50" t="s">
        <v>9</v>
      </c>
      <c r="C7" s="51"/>
      <c r="D7" s="51"/>
      <c r="E7" s="51"/>
      <c r="F7" s="52"/>
      <c r="G7" s="52"/>
      <c r="H7" s="52"/>
      <c r="I7" s="52"/>
      <c r="J7" s="53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spans="1:26" ht="18" customHeight="1" x14ac:dyDescent="0.2">
      <c r="A8" s="49" t="s">
        <v>89</v>
      </c>
      <c r="B8" s="54" t="s">
        <v>90</v>
      </c>
      <c r="C8" s="51"/>
      <c r="D8" s="51"/>
      <c r="E8" s="51"/>
      <c r="F8" s="52"/>
      <c r="G8" s="52"/>
      <c r="H8" s="52"/>
      <c r="I8" s="52"/>
      <c r="J8" s="53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spans="1:26" ht="18" customHeight="1" x14ac:dyDescent="0.2">
      <c r="A9" s="55" t="s">
        <v>215</v>
      </c>
      <c r="B9" s="54" t="s">
        <v>91</v>
      </c>
      <c r="C9" s="51"/>
      <c r="D9" s="51"/>
      <c r="E9" s="51"/>
      <c r="F9" s="52"/>
      <c r="G9" s="52"/>
      <c r="H9" s="52"/>
      <c r="I9" s="52"/>
      <c r="J9" s="53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spans="1:26" ht="12.75" customHeight="1" x14ac:dyDescent="0.2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spans="1:26" ht="15" customHeight="1" x14ac:dyDescent="0.2">
      <c r="A11" s="56" t="s">
        <v>214</v>
      </c>
      <c r="B11" s="57"/>
      <c r="C11" s="57"/>
      <c r="D11" s="57"/>
      <c r="E11" s="57"/>
      <c r="F11" s="57"/>
      <c r="G11" s="57"/>
      <c r="H11" s="5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spans="1:26" ht="7.5" customHeight="1" x14ac:dyDescent="0.2">
      <c r="A12" s="56"/>
      <c r="B12" s="57"/>
      <c r="C12" s="57"/>
      <c r="D12" s="57"/>
      <c r="E12" s="57"/>
      <c r="F12" s="57"/>
      <c r="G12" s="57"/>
      <c r="H12" s="5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spans="1:26" ht="15" customHeight="1" x14ac:dyDescent="0.2">
      <c r="A13" s="58" t="s">
        <v>92</v>
      </c>
      <c r="B13" s="57"/>
      <c r="C13" s="57"/>
      <c r="D13" s="58" t="s">
        <v>93</v>
      </c>
      <c r="E13" s="57"/>
      <c r="F13" s="56" t="s">
        <v>94</v>
      </c>
      <c r="G13" s="57"/>
      <c r="H13" s="5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spans="1:26" ht="9" customHeight="1" x14ac:dyDescent="0.2">
      <c r="A14" s="57"/>
      <c r="B14" s="57"/>
      <c r="C14" s="57"/>
      <c r="D14" s="57"/>
      <c r="E14" s="57"/>
      <c r="F14" s="57"/>
      <c r="G14" s="57"/>
      <c r="H14" s="5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spans="1:26" ht="15" customHeight="1" x14ac:dyDescent="0.2">
      <c r="A15" s="59"/>
      <c r="B15" s="57"/>
      <c r="C15" s="57"/>
      <c r="D15" s="57"/>
      <c r="E15" s="57"/>
      <c r="F15" s="57"/>
      <c r="G15" s="57"/>
      <c r="H15" s="5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spans="1:26" ht="15" customHeight="1" x14ac:dyDescent="0.2">
      <c r="A16" s="59" t="s">
        <v>95</v>
      </c>
      <c r="B16" s="57"/>
      <c r="C16" s="57"/>
      <c r="D16" s="57"/>
      <c r="E16" s="57"/>
      <c r="F16" s="57"/>
      <c r="G16" s="57"/>
      <c r="H16" s="5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spans="1:26" ht="11.25" customHeight="1" x14ac:dyDescent="0.2">
      <c r="A17" s="59" t="s">
        <v>96</v>
      </c>
      <c r="B17" s="47"/>
      <c r="C17" s="57"/>
      <c r="D17" s="57"/>
      <c r="E17" s="57"/>
      <c r="F17" s="57"/>
      <c r="G17" s="57"/>
      <c r="H17" s="5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spans="1:26" ht="15" customHeight="1" x14ac:dyDescent="0.2">
      <c r="A18" s="59" t="s">
        <v>97</v>
      </c>
      <c r="B18" s="57"/>
      <c r="C18" s="57"/>
      <c r="D18" s="57"/>
      <c r="E18" s="57"/>
      <c r="F18" s="57"/>
      <c r="G18" s="57"/>
      <c r="H18" s="5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spans="1:26" ht="15" customHeight="1" x14ac:dyDescent="0.2">
      <c r="A19" s="59"/>
      <c r="B19" s="57"/>
      <c r="C19" s="57"/>
      <c r="D19" s="57"/>
      <c r="E19" s="57"/>
      <c r="F19" s="57"/>
      <c r="G19" s="57"/>
      <c r="H19" s="5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spans="1:26" ht="15" customHeight="1" x14ac:dyDescent="0.2">
      <c r="A20" s="58" t="s">
        <v>98</v>
      </c>
      <c r="B20" s="57"/>
      <c r="C20" s="57"/>
      <c r="D20" s="57"/>
      <c r="E20" s="57"/>
      <c r="F20" s="57"/>
      <c r="G20" s="57"/>
      <c r="H20" s="5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spans="1:26" ht="12.75" customHeight="1" x14ac:dyDescent="0.2">
      <c r="A21" s="57"/>
      <c r="B21" s="57"/>
      <c r="C21" s="57"/>
      <c r="D21" s="57"/>
      <c r="E21" s="57"/>
      <c r="F21" s="57"/>
      <c r="G21" s="57"/>
      <c r="H21" s="5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spans="1:26" ht="15" customHeight="1" x14ac:dyDescent="0.2">
      <c r="A22" s="59" t="s">
        <v>99</v>
      </c>
      <c r="B22" s="57"/>
      <c r="C22" s="57"/>
      <c r="D22" s="57"/>
      <c r="E22" s="57"/>
      <c r="F22" s="57"/>
      <c r="G22" s="57"/>
      <c r="H22" s="5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spans="1:26" ht="12.75" customHeight="1" x14ac:dyDescent="0.2">
      <c r="A23" s="57"/>
      <c r="B23" s="57"/>
      <c r="C23" s="57"/>
      <c r="D23" s="57"/>
      <c r="E23" s="57"/>
      <c r="F23" s="57"/>
      <c r="G23" s="57"/>
      <c r="H23" s="5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spans="1:26" ht="21" customHeight="1" x14ac:dyDescent="0.2">
      <c r="A24" s="60" t="s">
        <v>100</v>
      </c>
      <c r="B24" s="61"/>
      <c r="C24" s="61"/>
      <c r="D24" s="62"/>
      <c r="E24" s="61"/>
      <c r="F24" s="61"/>
      <c r="G24" s="61"/>
      <c r="H24" s="61"/>
      <c r="I24" s="63"/>
      <c r="J24" s="63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spans="1:26" ht="37.5" customHeight="1" x14ac:dyDescent="0.2">
      <c r="A25" s="64" t="s">
        <v>101</v>
      </c>
      <c r="B25" s="65" t="s">
        <v>102</v>
      </c>
      <c r="C25" s="64" t="s">
        <v>103</v>
      </c>
      <c r="D25" s="65" t="s">
        <v>104</v>
      </c>
      <c r="E25" s="65" t="s">
        <v>105</v>
      </c>
      <c r="F25" s="65" t="s">
        <v>106</v>
      </c>
      <c r="G25" s="65" t="s">
        <v>107</v>
      </c>
      <c r="H25" s="65" t="s">
        <v>108</v>
      </c>
      <c r="I25" s="45"/>
      <c r="J25" s="66"/>
      <c r="K25" s="66"/>
      <c r="L25" s="66"/>
      <c r="M25" s="66"/>
      <c r="N25" s="66"/>
      <c r="O25" s="45"/>
      <c r="P25" s="66"/>
      <c r="Q25" s="66"/>
      <c r="R25" s="66"/>
      <c r="S25" s="66"/>
      <c r="T25" s="66"/>
      <c r="U25" s="45"/>
      <c r="V25" s="66"/>
      <c r="W25" s="66"/>
      <c r="X25" s="66"/>
      <c r="Y25" s="66"/>
      <c r="Z25" s="66"/>
    </row>
    <row r="26" spans="1:26" ht="21.75" customHeight="1" x14ac:dyDescent="0.2">
      <c r="A26" s="308" t="s">
        <v>109</v>
      </c>
      <c r="B26" s="309"/>
      <c r="C26" s="153" t="e">
        <f>+(C27-C31)/C27*100</f>
        <v>#VALUE!</v>
      </c>
      <c r="D26" s="310" t="s">
        <v>110</v>
      </c>
      <c r="E26" s="310" t="s">
        <v>110</v>
      </c>
      <c r="F26" s="310" t="s">
        <v>110</v>
      </c>
      <c r="G26" s="67" t="s">
        <v>110</v>
      </c>
      <c r="H26" s="67" t="s">
        <v>110</v>
      </c>
      <c r="I26" s="68"/>
      <c r="J26" s="623"/>
      <c r="K26" s="575"/>
      <c r="L26" s="575"/>
      <c r="M26" s="575"/>
      <c r="N26" s="63"/>
      <c r="O26" s="63"/>
      <c r="P26" s="63"/>
      <c r="Q26" s="63"/>
      <c r="R26" s="63"/>
      <c r="S26" s="69"/>
      <c r="T26" s="69"/>
      <c r="U26" s="68"/>
      <c r="V26" s="69"/>
      <c r="W26" s="69"/>
      <c r="X26" s="69"/>
      <c r="Y26" s="69"/>
      <c r="Z26" s="69"/>
    </row>
    <row r="27" spans="1:26" ht="21.75" customHeight="1" x14ac:dyDescent="0.2">
      <c r="A27" s="311" t="s">
        <v>22</v>
      </c>
      <c r="B27" s="312" t="s">
        <v>23</v>
      </c>
      <c r="C27" s="313" t="str">
        <f>+DATOS!M30</f>
        <v/>
      </c>
      <c r="D27" s="314" t="s">
        <v>110</v>
      </c>
      <c r="E27" s="315" t="s">
        <v>110</v>
      </c>
      <c r="F27" s="316" t="e">
        <f>SQRT((F28*F28)+(F29*F29)+(F30*F30))</f>
        <v>#VALUE!</v>
      </c>
      <c r="G27" s="256" t="e">
        <f>100*C31/C27/C27</f>
        <v>#VALUE!</v>
      </c>
      <c r="H27" s="256" t="e">
        <f>+G27*F27</f>
        <v>#VALUE!</v>
      </c>
      <c r="I27" s="70" t="s">
        <v>56</v>
      </c>
      <c r="J27" s="624"/>
      <c r="K27" s="575"/>
      <c r="L27" s="242"/>
      <c r="M27" s="242"/>
      <c r="N27" s="63"/>
      <c r="O27" s="63"/>
      <c r="P27" s="63"/>
      <c r="Q27" s="63"/>
      <c r="R27" s="63"/>
      <c r="S27" s="71"/>
      <c r="T27" s="71"/>
      <c r="U27" s="72"/>
      <c r="V27" s="72"/>
      <c r="W27" s="71"/>
      <c r="X27" s="73"/>
      <c r="Y27" s="71"/>
      <c r="Z27" s="71"/>
    </row>
    <row r="28" spans="1:26" ht="21.75" customHeight="1" x14ac:dyDescent="0.2">
      <c r="A28" s="323" t="s">
        <v>113</v>
      </c>
      <c r="B28" s="317" t="s">
        <v>23</v>
      </c>
      <c r="C28" s="318"/>
      <c r="D28" s="319">
        <f>+balanza!E24</f>
        <v>0</v>
      </c>
      <c r="E28" s="320" t="s">
        <v>114</v>
      </c>
      <c r="F28" s="321">
        <f>+D28</f>
        <v>0</v>
      </c>
      <c r="G28" s="74" t="s">
        <v>110</v>
      </c>
      <c r="H28" s="74" t="s">
        <v>110</v>
      </c>
      <c r="I28" s="75"/>
      <c r="J28" s="243"/>
      <c r="K28" s="244"/>
      <c r="L28" s="245"/>
      <c r="M28" s="246"/>
      <c r="N28" s="63"/>
      <c r="O28" s="63"/>
      <c r="P28" s="63"/>
      <c r="Q28" s="63"/>
      <c r="R28" s="63"/>
      <c r="S28" s="71"/>
      <c r="T28" s="76"/>
      <c r="U28" s="77"/>
      <c r="V28" s="78"/>
      <c r="W28" s="79"/>
      <c r="X28" s="78"/>
      <c r="Y28" s="71"/>
      <c r="Z28" s="76"/>
    </row>
    <row r="29" spans="1:26" ht="21.75" customHeight="1" x14ac:dyDescent="0.2">
      <c r="A29" s="323" t="s">
        <v>115</v>
      </c>
      <c r="B29" s="317" t="s">
        <v>23</v>
      </c>
      <c r="C29" s="318"/>
      <c r="D29" s="319" t="e">
        <f>2*(SQRT(balanza!$C$8+balanza!$D$8*(POWER(C27,2))))</f>
        <v>#VALUE!</v>
      </c>
      <c r="E29" s="320" t="s">
        <v>116</v>
      </c>
      <c r="F29" s="321" t="e">
        <f>+D29/2</f>
        <v>#VALUE!</v>
      </c>
      <c r="G29" s="74" t="s">
        <v>110</v>
      </c>
      <c r="H29" s="74" t="s">
        <v>110</v>
      </c>
      <c r="I29" s="75"/>
      <c r="J29" s="243"/>
      <c r="K29" s="244"/>
      <c r="L29" s="245"/>
      <c r="M29" s="246"/>
      <c r="N29" s="63"/>
      <c r="O29" s="63"/>
      <c r="P29" s="63"/>
      <c r="Q29" s="63"/>
      <c r="R29" s="63"/>
      <c r="S29" s="71"/>
      <c r="T29" s="76"/>
      <c r="U29" s="77"/>
      <c r="V29" s="72"/>
      <c r="W29" s="79"/>
      <c r="X29" s="78"/>
      <c r="Y29" s="71"/>
      <c r="Z29" s="76"/>
    </row>
    <row r="30" spans="1:26" ht="21.75" customHeight="1" x14ac:dyDescent="0.2">
      <c r="A30" s="323" t="s">
        <v>117</v>
      </c>
      <c r="B30" s="317" t="s">
        <v>23</v>
      </c>
      <c r="C30" s="318"/>
      <c r="D30" s="319">
        <f>+balanza!C10</f>
        <v>1</v>
      </c>
      <c r="E30" s="322" t="s">
        <v>118</v>
      </c>
      <c r="F30" s="321">
        <f>+D30/SQRT(3)/2</f>
        <v>0.28867513459481292</v>
      </c>
      <c r="G30" s="74" t="s">
        <v>110</v>
      </c>
      <c r="H30" s="74" t="s">
        <v>110</v>
      </c>
      <c r="I30" s="75"/>
      <c r="J30" s="243"/>
      <c r="K30" s="244"/>
      <c r="L30" s="245"/>
      <c r="M30" s="246"/>
      <c r="N30" s="63"/>
      <c r="O30" s="63"/>
      <c r="P30" s="63"/>
      <c r="Q30" s="63"/>
      <c r="R30" s="63"/>
      <c r="S30" s="71"/>
      <c r="T30" s="76"/>
      <c r="U30" s="77"/>
      <c r="V30" s="72"/>
      <c r="W30" s="70"/>
      <c r="X30" s="78"/>
      <c r="Y30" s="71"/>
      <c r="Z30" s="76"/>
    </row>
    <row r="31" spans="1:26" ht="21.75" customHeight="1" x14ac:dyDescent="0.2">
      <c r="A31" s="311" t="s">
        <v>24</v>
      </c>
      <c r="B31" s="312" t="s">
        <v>23</v>
      </c>
      <c r="C31" s="313" t="str">
        <f>+DATOS!M33</f>
        <v/>
      </c>
      <c r="D31" s="312"/>
      <c r="E31" s="314" t="s">
        <v>110</v>
      </c>
      <c r="F31" s="316" t="e">
        <f>SQRT((F32*F32)+(F33*F33)+(F34*F34))</f>
        <v>#VALUE!</v>
      </c>
      <c r="G31" s="241" t="e">
        <f>100/C27</f>
        <v>#VALUE!</v>
      </c>
      <c r="H31" s="241" t="e">
        <f>+G31*F31</f>
        <v>#VALUE!</v>
      </c>
      <c r="I31" s="70" t="s">
        <v>119</v>
      </c>
      <c r="J31" s="243"/>
      <c r="K31" s="244"/>
      <c r="L31" s="245"/>
      <c r="M31" s="246"/>
      <c r="N31" s="47"/>
      <c r="O31" s="47"/>
      <c r="P31" s="47"/>
      <c r="Q31" s="47"/>
      <c r="R31" s="47"/>
      <c r="S31" s="81"/>
      <c r="T31" s="78"/>
      <c r="U31" s="72"/>
      <c r="V31" s="82"/>
      <c r="W31" s="72"/>
      <c r="X31" s="73"/>
      <c r="Y31" s="81"/>
      <c r="Z31" s="78"/>
    </row>
    <row r="32" spans="1:26" ht="21.75" customHeight="1" x14ac:dyDescent="0.2">
      <c r="A32" s="323" t="s">
        <v>113</v>
      </c>
      <c r="B32" s="317" t="s">
        <v>23</v>
      </c>
      <c r="C32" s="318"/>
      <c r="D32" s="319">
        <f>+balanza!E25</f>
        <v>0</v>
      </c>
      <c r="E32" s="320" t="s">
        <v>114</v>
      </c>
      <c r="F32" s="321">
        <f>+D32</f>
        <v>0</v>
      </c>
      <c r="G32" s="74" t="s">
        <v>110</v>
      </c>
      <c r="H32" s="74" t="s">
        <v>110</v>
      </c>
      <c r="I32" s="77"/>
      <c r="J32" s="240"/>
      <c r="K32" s="247"/>
      <c r="L32" s="248"/>
      <c r="M32" s="246"/>
      <c r="N32" s="76"/>
      <c r="O32" s="77"/>
      <c r="P32" s="78"/>
      <c r="Q32" s="79"/>
      <c r="R32" s="78"/>
      <c r="S32" s="71"/>
      <c r="T32" s="76"/>
      <c r="U32" s="77"/>
      <c r="V32" s="78"/>
      <c r="W32" s="79"/>
      <c r="X32" s="78"/>
      <c r="Y32" s="71"/>
      <c r="Z32" s="76"/>
    </row>
    <row r="33" spans="1:26" ht="21.75" customHeight="1" x14ac:dyDescent="0.2">
      <c r="A33" s="323" t="s">
        <v>115</v>
      </c>
      <c r="B33" s="317" t="s">
        <v>23</v>
      </c>
      <c r="C33" s="318"/>
      <c r="D33" s="319" t="e">
        <f>2*(SQRT(balanza!$C$8+balanza!$D$8*(POWER(C31,2))))</f>
        <v>#VALUE!</v>
      </c>
      <c r="E33" s="320" t="s">
        <v>116</v>
      </c>
      <c r="F33" s="321" t="e">
        <f>+D33/2</f>
        <v>#VALUE!</v>
      </c>
      <c r="G33" s="74" t="s">
        <v>110</v>
      </c>
      <c r="H33" s="74" t="s">
        <v>110</v>
      </c>
      <c r="I33" s="77"/>
      <c r="J33" s="249"/>
      <c r="K33" s="250"/>
      <c r="L33" s="251"/>
      <c r="M33" s="252"/>
      <c r="N33" s="76"/>
      <c r="O33" s="77"/>
      <c r="P33" s="72"/>
      <c r="Q33" s="79"/>
      <c r="R33" s="78"/>
      <c r="S33" s="71"/>
      <c r="T33" s="76"/>
      <c r="U33" s="77"/>
      <c r="V33" s="72"/>
      <c r="W33" s="79"/>
      <c r="X33" s="78"/>
      <c r="Y33" s="71"/>
      <c r="Z33" s="76"/>
    </row>
    <row r="34" spans="1:26" ht="21.75" customHeight="1" x14ac:dyDescent="0.2">
      <c r="A34" s="323" t="s">
        <v>117</v>
      </c>
      <c r="B34" s="317" t="s">
        <v>23</v>
      </c>
      <c r="C34" s="318"/>
      <c r="D34" s="319">
        <f>+balanza!C10</f>
        <v>1</v>
      </c>
      <c r="E34" s="322" t="s">
        <v>118</v>
      </c>
      <c r="F34" s="321">
        <f>+D34/SQRT(3)/2</f>
        <v>0.28867513459481292</v>
      </c>
      <c r="G34" s="74" t="s">
        <v>110</v>
      </c>
      <c r="H34" s="74" t="s">
        <v>110</v>
      </c>
      <c r="I34" s="77"/>
      <c r="J34" s="249"/>
      <c r="K34" s="253"/>
      <c r="L34" s="251"/>
      <c r="M34" s="252"/>
      <c r="N34" s="76"/>
      <c r="O34" s="77"/>
      <c r="P34" s="72"/>
      <c r="Q34" s="70"/>
      <c r="R34" s="78"/>
      <c r="S34" s="71"/>
      <c r="T34" s="76"/>
      <c r="U34" s="77"/>
      <c r="V34" s="72"/>
      <c r="W34" s="70"/>
      <c r="X34" s="78"/>
      <c r="Y34" s="71"/>
      <c r="Z34" s="76"/>
    </row>
    <row r="35" spans="1:26" ht="21.75" customHeight="1" x14ac:dyDescent="0.2">
      <c r="A35" s="257" t="s">
        <v>120</v>
      </c>
      <c r="B35" s="333" t="s">
        <v>26</v>
      </c>
      <c r="C35" s="307">
        <f>+precision!B7</f>
        <v>6.5729999999999997E-2</v>
      </c>
      <c r="D35" s="241"/>
      <c r="E35" s="258" t="s">
        <v>121</v>
      </c>
      <c r="F35" s="307">
        <f>C35/SQRT(1)</f>
        <v>6.5729999999999997E-2</v>
      </c>
      <c r="G35" s="260">
        <v>1</v>
      </c>
      <c r="H35" s="241">
        <f>+F35*G35</f>
        <v>6.5729999999999997E-2</v>
      </c>
      <c r="I35" s="78"/>
      <c r="J35" s="251"/>
      <c r="K35" s="250"/>
      <c r="L35" s="251"/>
      <c r="M35" s="254"/>
      <c r="N35" s="78"/>
      <c r="O35" s="78"/>
      <c r="P35" s="78"/>
      <c r="Q35" s="79"/>
      <c r="R35" s="78"/>
      <c r="S35" s="83"/>
      <c r="T35" s="78"/>
      <c r="U35" s="78"/>
      <c r="V35" s="78"/>
      <c r="W35" s="79"/>
      <c r="X35" s="78"/>
      <c r="Y35" s="83"/>
      <c r="Z35" s="78"/>
    </row>
    <row r="36" spans="1:26" ht="21.75" customHeight="1" x14ac:dyDescent="0.2">
      <c r="A36" s="84" t="s">
        <v>122</v>
      </c>
      <c r="B36" s="85"/>
      <c r="C36" s="86"/>
      <c r="D36" s="86"/>
      <c r="E36" s="87"/>
      <c r="F36" s="86"/>
      <c r="G36" s="334" t="s">
        <v>26</v>
      </c>
      <c r="H36" s="80" t="e">
        <f>SQRT((H27*H27)+(H31*H31)+(H35*H35))</f>
        <v>#VALUE!</v>
      </c>
      <c r="I36" s="72"/>
      <c r="J36" s="249"/>
      <c r="K36" s="250"/>
      <c r="L36" s="249"/>
      <c r="M36" s="255"/>
      <c r="N36" s="72"/>
      <c r="O36" s="72"/>
      <c r="P36" s="72"/>
      <c r="Q36" s="79"/>
      <c r="R36" s="72"/>
      <c r="S36" s="88"/>
      <c r="T36" s="72"/>
      <c r="U36" s="72"/>
      <c r="V36" s="72"/>
      <c r="W36" s="79"/>
      <c r="X36" s="72"/>
      <c r="Y36" s="88"/>
      <c r="Z36" s="72"/>
    </row>
    <row r="37" spans="1:26" ht="21.75" customHeight="1" x14ac:dyDescent="0.2">
      <c r="A37" s="84" t="s">
        <v>123</v>
      </c>
      <c r="B37" s="89"/>
      <c r="C37" s="89"/>
      <c r="D37" s="85"/>
      <c r="E37" s="89"/>
      <c r="F37" s="85"/>
      <c r="G37" s="334" t="s">
        <v>26</v>
      </c>
      <c r="H37" s="330" t="e">
        <f>+H36*2</f>
        <v>#VALUE!</v>
      </c>
      <c r="I37" s="90"/>
      <c r="J37" s="63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spans="1:26" ht="18" customHeight="1" x14ac:dyDescent="0.2">
      <c r="A38" s="47"/>
      <c r="B38" s="47"/>
      <c r="C38" s="47"/>
      <c r="D38" s="63"/>
      <c r="E38" s="63"/>
      <c r="F38" s="63"/>
      <c r="G38" s="63"/>
      <c r="H38" s="78"/>
      <c r="I38" s="63"/>
      <c r="J38" s="63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spans="1:26" ht="21.75" customHeight="1" x14ac:dyDescent="0.2">
      <c r="A39" s="607" t="s">
        <v>216</v>
      </c>
      <c r="B39" s="608"/>
      <c r="C39" s="608"/>
      <c r="D39" s="609"/>
      <c r="E39" s="232"/>
      <c r="F39" s="232"/>
      <c r="G39" s="232"/>
      <c r="H39" s="232"/>
      <c r="I39" s="232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spans="1:26" ht="21.75" customHeight="1" x14ac:dyDescent="0.2">
      <c r="A40" s="610" t="s">
        <v>111</v>
      </c>
      <c r="B40" s="610"/>
      <c r="C40" s="233" t="s">
        <v>112</v>
      </c>
      <c r="D40" s="233" t="s">
        <v>26</v>
      </c>
      <c r="E40" s="232"/>
      <c r="F40" s="232"/>
      <c r="G40" s="232"/>
      <c r="H40" s="232"/>
      <c r="I40" s="232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spans="1:26" ht="21.75" customHeight="1" x14ac:dyDescent="0.2">
      <c r="A41" s="331"/>
      <c r="B41" s="332" t="str">
        <f>+A27</f>
        <v>Masa de la muestra de prueba</v>
      </c>
      <c r="C41" s="261" t="e">
        <f>+H27</f>
        <v>#VALUE!</v>
      </c>
      <c r="D41" s="234" t="e">
        <f>+C41/$C$44</f>
        <v>#VALUE!</v>
      </c>
      <c r="E41" s="232"/>
      <c r="F41" s="232"/>
      <c r="G41" s="232"/>
      <c r="H41" s="232"/>
      <c r="I41" s="232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spans="1:26" ht="21.75" customHeight="1" x14ac:dyDescent="0.2">
      <c r="A42" s="331"/>
      <c r="B42" s="332" t="str">
        <f>+A31</f>
        <v>Masa final de la muestra</v>
      </c>
      <c r="C42" s="261" t="e">
        <f>+H31</f>
        <v>#VALUE!</v>
      </c>
      <c r="D42" s="234" t="e">
        <f>+C42/$C$44</f>
        <v>#VALUE!</v>
      </c>
      <c r="E42" s="232"/>
      <c r="F42" s="232"/>
      <c r="G42" s="232"/>
      <c r="H42" s="232"/>
      <c r="I42" s="232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spans="1:26" ht="21.75" customHeight="1" x14ac:dyDescent="0.2">
      <c r="A43" s="331"/>
      <c r="B43" s="332" t="str">
        <f>+A35</f>
        <v xml:space="preserve">factor de presición </v>
      </c>
      <c r="C43" s="261">
        <f>+H35</f>
        <v>6.5729999999999997E-2</v>
      </c>
      <c r="D43" s="234" t="e">
        <f>+C43/$C$44</f>
        <v>#VALUE!</v>
      </c>
      <c r="E43" s="232"/>
      <c r="F43" s="232"/>
      <c r="G43" s="232"/>
      <c r="H43" s="232"/>
      <c r="I43" s="232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spans="1:26" ht="21.75" customHeight="1" x14ac:dyDescent="0.2">
      <c r="A44" s="235"/>
      <c r="B44" s="236"/>
      <c r="C44" s="237" t="e">
        <f>SUM(C41:C43)</f>
        <v>#VALUE!</v>
      </c>
      <c r="D44" s="238" t="e">
        <f>SUM(D41:D43)</f>
        <v>#VALUE!</v>
      </c>
      <c r="E44" s="239"/>
      <c r="F44" s="239"/>
      <c r="G44" s="239"/>
      <c r="H44" s="239"/>
      <c r="I44" s="239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spans="1:26" ht="21.75" customHeight="1" x14ac:dyDescent="0.2">
      <c r="A45" s="239"/>
      <c r="B45" s="239"/>
      <c r="C45" s="239"/>
      <c r="D45" s="239"/>
      <c r="E45" s="239"/>
      <c r="F45" s="239"/>
      <c r="G45" s="239"/>
      <c r="H45" s="239"/>
      <c r="I45" s="239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spans="1:26" ht="21.75" customHeight="1" x14ac:dyDescent="0.2">
      <c r="A46" s="239"/>
      <c r="B46" s="305"/>
      <c r="C46" s="305"/>
      <c r="D46" s="305"/>
      <c r="E46" s="239"/>
      <c r="F46" s="239"/>
      <c r="G46" s="239"/>
      <c r="H46" s="239"/>
      <c r="I46" s="239"/>
      <c r="J46" s="240"/>
      <c r="K46" s="240"/>
      <c r="L46" s="240"/>
      <c r="M46" s="240"/>
      <c r="N46" s="240"/>
      <c r="O46" s="240"/>
      <c r="P46" s="240"/>
      <c r="Q46" s="240"/>
      <c r="R46" s="240"/>
      <c r="S46" s="240"/>
      <c r="T46" s="240"/>
      <c r="U46" s="240"/>
      <c r="V46" s="240"/>
      <c r="W46" s="240"/>
      <c r="X46" s="240"/>
      <c r="Y46" s="240"/>
      <c r="Z46" s="240"/>
    </row>
    <row r="47" spans="1:26" ht="21.75" customHeight="1" x14ac:dyDescent="0.2">
      <c r="A47" s="498" t="s">
        <v>217</v>
      </c>
      <c r="B47" s="625" t="s">
        <v>218</v>
      </c>
      <c r="C47" s="626"/>
      <c r="D47" s="499"/>
      <c r="E47" s="627" t="s">
        <v>219</v>
      </c>
      <c r="F47" s="627"/>
      <c r="G47" s="628" t="s">
        <v>220</v>
      </c>
      <c r="H47" s="629"/>
      <c r="I47" s="239"/>
      <c r="J47" s="240"/>
      <c r="K47" s="240"/>
      <c r="L47" s="240"/>
      <c r="M47" s="240"/>
      <c r="N47" s="240"/>
      <c r="O47" s="240"/>
      <c r="P47" s="240"/>
      <c r="Q47" s="240"/>
      <c r="R47" s="240"/>
      <c r="S47" s="240"/>
      <c r="T47" s="240"/>
      <c r="U47" s="240"/>
      <c r="V47" s="240"/>
      <c r="W47" s="240"/>
      <c r="X47" s="240"/>
      <c r="Y47" s="240"/>
      <c r="Z47" s="240"/>
    </row>
    <row r="48" spans="1:26" ht="21.75" customHeight="1" x14ac:dyDescent="0.2">
      <c r="A48" s="355"/>
      <c r="B48" s="355"/>
      <c r="C48" s="355"/>
      <c r="D48" s="355"/>
      <c r="E48" s="355"/>
      <c r="F48" s="355"/>
      <c r="G48" s="355"/>
      <c r="H48" s="355"/>
      <c r="I48" s="239"/>
      <c r="J48" s="240"/>
      <c r="K48" s="240"/>
      <c r="L48" s="240"/>
      <c r="M48" s="240"/>
      <c r="N48" s="240"/>
      <c r="O48" s="240"/>
      <c r="P48" s="240"/>
      <c r="Q48" s="240"/>
      <c r="R48" s="240"/>
      <c r="S48" s="240"/>
      <c r="T48" s="240"/>
      <c r="U48" s="240"/>
      <c r="V48" s="240"/>
      <c r="W48" s="240"/>
      <c r="X48" s="240"/>
      <c r="Y48" s="240"/>
      <c r="Z48" s="240"/>
    </row>
    <row r="49" spans="1:26" ht="21.75" customHeight="1" x14ac:dyDescent="0.2">
      <c r="A49" s="500" t="s">
        <v>221</v>
      </c>
      <c r="B49" s="630">
        <v>45414</v>
      </c>
      <c r="C49" s="631"/>
      <c r="D49" s="355"/>
      <c r="E49" s="632" t="s">
        <v>222</v>
      </c>
      <c r="F49" s="632"/>
      <c r="G49" s="630">
        <v>45414</v>
      </c>
      <c r="H49" s="631"/>
      <c r="I49" s="239"/>
      <c r="J49" s="240"/>
      <c r="K49" s="240"/>
      <c r="L49" s="240"/>
      <c r="M49" s="240"/>
      <c r="N49" s="240"/>
      <c r="O49" s="240"/>
      <c r="P49" s="240"/>
      <c r="Q49" s="240"/>
      <c r="R49" s="240"/>
      <c r="S49" s="240"/>
      <c r="T49" s="240"/>
      <c r="U49" s="240"/>
      <c r="V49" s="240"/>
      <c r="W49" s="240"/>
      <c r="X49" s="240"/>
      <c r="Y49" s="240"/>
      <c r="Z49" s="240"/>
    </row>
    <row r="50" spans="1:26" ht="21.75" customHeight="1" x14ac:dyDescent="0.2">
      <c r="A50" s="305"/>
      <c r="B50" s="306"/>
      <c r="C50" s="306"/>
      <c r="D50" s="306"/>
      <c r="E50" s="239"/>
      <c r="F50" s="239"/>
      <c r="G50" s="239"/>
      <c r="H50" s="239"/>
      <c r="I50" s="239"/>
      <c r="J50" s="240"/>
      <c r="K50" s="240"/>
      <c r="L50" s="240"/>
      <c r="M50" s="240"/>
      <c r="N50" s="240"/>
      <c r="O50" s="240"/>
      <c r="P50" s="240"/>
      <c r="Q50" s="240"/>
      <c r="R50" s="240"/>
      <c r="S50" s="240"/>
      <c r="T50" s="240"/>
      <c r="U50" s="240"/>
      <c r="V50" s="240"/>
      <c r="W50" s="240"/>
      <c r="X50" s="240"/>
      <c r="Y50" s="240"/>
      <c r="Z50" s="240"/>
    </row>
    <row r="51" spans="1:26" ht="21.75" customHeight="1" x14ac:dyDescent="0.2">
      <c r="A51" s="239"/>
      <c r="B51" s="306"/>
      <c r="C51" s="306"/>
      <c r="D51" s="306"/>
      <c r="E51" s="239"/>
      <c r="F51" s="239"/>
      <c r="G51" s="239"/>
      <c r="H51" s="239"/>
      <c r="I51" s="239"/>
      <c r="J51" s="240"/>
      <c r="K51" s="240"/>
      <c r="L51" s="240"/>
      <c r="M51" s="240"/>
      <c r="N51" s="240"/>
      <c r="O51" s="240"/>
      <c r="P51" s="240"/>
      <c r="Q51" s="240"/>
      <c r="R51" s="240"/>
      <c r="S51" s="240"/>
      <c r="T51" s="240"/>
      <c r="U51" s="240"/>
      <c r="V51" s="240"/>
      <c r="W51" s="240"/>
      <c r="X51" s="240"/>
      <c r="Y51" s="240"/>
      <c r="Z51" s="240"/>
    </row>
    <row r="52" spans="1:26" ht="21.75" customHeight="1" x14ac:dyDescent="0.2">
      <c r="A52" s="239"/>
      <c r="B52" s="239"/>
      <c r="C52" s="239"/>
      <c r="D52" s="239"/>
      <c r="E52" s="239"/>
      <c r="F52" s="239"/>
      <c r="G52" s="239"/>
      <c r="H52" s="239"/>
      <c r="I52" s="239"/>
      <c r="J52" s="240"/>
      <c r="K52" s="240"/>
      <c r="L52" s="240"/>
      <c r="M52" s="240"/>
      <c r="N52" s="240"/>
      <c r="O52" s="240"/>
      <c r="P52" s="240"/>
      <c r="Q52" s="240"/>
      <c r="R52" s="240"/>
      <c r="S52" s="240"/>
      <c r="T52" s="240"/>
      <c r="U52" s="240"/>
      <c r="V52" s="240"/>
      <c r="W52" s="240"/>
      <c r="X52" s="240"/>
      <c r="Y52" s="240"/>
      <c r="Z52" s="240"/>
    </row>
    <row r="53" spans="1:26" ht="21.75" customHeight="1" x14ac:dyDescent="0.2">
      <c r="A53" s="239"/>
      <c r="B53" s="239"/>
      <c r="C53" s="239"/>
      <c r="D53" s="239"/>
      <c r="E53" s="239"/>
      <c r="F53" s="239"/>
      <c r="G53" s="239"/>
      <c r="H53" s="239"/>
      <c r="I53" s="239"/>
      <c r="J53" s="240"/>
      <c r="K53" s="240"/>
      <c r="L53" s="240"/>
      <c r="M53" s="240"/>
      <c r="N53" s="240"/>
      <c r="O53" s="240"/>
      <c r="P53" s="240"/>
      <c r="Q53" s="240"/>
      <c r="R53" s="240"/>
      <c r="S53" s="240"/>
      <c r="T53" s="240"/>
      <c r="U53" s="240"/>
      <c r="V53" s="240"/>
      <c r="W53" s="240"/>
      <c r="X53" s="240"/>
      <c r="Y53" s="240"/>
      <c r="Z53" s="240"/>
    </row>
    <row r="54" spans="1:26" ht="21.75" customHeight="1" x14ac:dyDescent="0.2">
      <c r="A54" s="239"/>
      <c r="B54" s="239"/>
      <c r="C54" s="239"/>
      <c r="D54" s="239"/>
      <c r="E54" s="239"/>
      <c r="F54" s="239"/>
      <c r="G54" s="239"/>
      <c r="H54" s="239"/>
      <c r="I54" s="239"/>
      <c r="J54" s="240"/>
      <c r="K54" s="240"/>
      <c r="L54" s="240"/>
      <c r="M54" s="240"/>
      <c r="N54" s="240"/>
      <c r="O54" s="240"/>
      <c r="P54" s="240"/>
      <c r="Q54" s="240"/>
      <c r="R54" s="240"/>
      <c r="S54" s="240"/>
      <c r="T54" s="240"/>
      <c r="U54" s="240"/>
      <c r="V54" s="240"/>
      <c r="W54" s="240"/>
      <c r="X54" s="240"/>
      <c r="Y54" s="240"/>
      <c r="Z54" s="240"/>
    </row>
    <row r="55" spans="1:26" ht="21.75" customHeight="1" x14ac:dyDescent="0.2">
      <c r="A55" s="239"/>
      <c r="B55" s="239"/>
      <c r="C55" s="239"/>
      <c r="D55" s="239"/>
      <c r="E55" s="239"/>
      <c r="F55" s="239"/>
      <c r="G55" s="239"/>
      <c r="H55" s="239"/>
      <c r="I55" s="239"/>
      <c r="J55" s="240"/>
      <c r="K55" s="240"/>
      <c r="L55" s="240"/>
      <c r="M55" s="240"/>
      <c r="N55" s="240"/>
      <c r="O55" s="240"/>
      <c r="P55" s="240"/>
      <c r="Q55" s="240"/>
      <c r="R55" s="240"/>
      <c r="S55" s="240"/>
      <c r="T55" s="240"/>
      <c r="U55" s="240"/>
      <c r="V55" s="240"/>
      <c r="W55" s="240"/>
      <c r="X55" s="240"/>
      <c r="Y55" s="240"/>
      <c r="Z55" s="240"/>
    </row>
    <row r="56" spans="1:26" ht="21.75" customHeight="1" x14ac:dyDescent="0.2">
      <c r="A56" s="239"/>
      <c r="B56" s="239"/>
      <c r="C56" s="239"/>
      <c r="D56" s="239"/>
      <c r="E56" s="239"/>
      <c r="F56" s="239"/>
      <c r="G56" s="239"/>
      <c r="H56" s="239"/>
      <c r="I56" s="239"/>
      <c r="J56" s="240"/>
      <c r="K56" s="240"/>
      <c r="L56" s="240"/>
      <c r="M56" s="240"/>
      <c r="N56" s="240"/>
      <c r="O56" s="240"/>
      <c r="P56" s="240"/>
      <c r="Q56" s="240"/>
      <c r="R56" s="240"/>
      <c r="S56" s="240"/>
      <c r="T56" s="240"/>
      <c r="U56" s="240"/>
      <c r="V56" s="240"/>
      <c r="W56" s="240"/>
      <c r="X56" s="240"/>
      <c r="Y56" s="240"/>
      <c r="Z56" s="240"/>
    </row>
    <row r="57" spans="1:26" ht="21.75" customHeight="1" x14ac:dyDescent="0.2">
      <c r="A57" s="239"/>
      <c r="B57" s="239"/>
      <c r="C57" s="239"/>
      <c r="D57" s="239"/>
      <c r="E57" s="239"/>
      <c r="F57" s="239"/>
      <c r="G57" s="239"/>
      <c r="H57" s="239"/>
      <c r="I57" s="239"/>
      <c r="J57" s="240"/>
      <c r="K57" s="240"/>
      <c r="L57" s="240"/>
      <c r="M57" s="240"/>
      <c r="N57" s="240"/>
      <c r="O57" s="240"/>
      <c r="P57" s="240"/>
      <c r="Q57" s="240"/>
      <c r="R57" s="240"/>
      <c r="S57" s="240"/>
      <c r="T57" s="240"/>
      <c r="U57" s="240"/>
      <c r="V57" s="240"/>
      <c r="W57" s="240"/>
      <c r="X57" s="240"/>
      <c r="Y57" s="240"/>
      <c r="Z57" s="240"/>
    </row>
    <row r="58" spans="1:26" ht="21.75" customHeight="1" x14ac:dyDescent="0.2">
      <c r="A58" s="239"/>
      <c r="B58" s="239"/>
      <c r="C58" s="239"/>
      <c r="D58" s="239"/>
      <c r="E58" s="239"/>
      <c r="F58" s="239"/>
      <c r="G58" s="239"/>
      <c r="H58" s="239"/>
      <c r="I58" s="239"/>
      <c r="J58" s="240"/>
      <c r="K58" s="240"/>
      <c r="L58" s="240"/>
      <c r="M58" s="240"/>
      <c r="N58" s="240"/>
      <c r="O58" s="240"/>
      <c r="P58" s="240"/>
      <c r="Q58" s="240"/>
      <c r="R58" s="240"/>
      <c r="S58" s="240"/>
      <c r="T58" s="240"/>
      <c r="U58" s="240"/>
      <c r="V58" s="240"/>
      <c r="W58" s="240"/>
      <c r="X58" s="240"/>
      <c r="Y58" s="240"/>
      <c r="Z58" s="240"/>
    </row>
    <row r="59" spans="1:26" ht="21.75" customHeight="1" x14ac:dyDescent="0.2">
      <c r="A59" s="239"/>
      <c r="B59" s="239"/>
      <c r="C59" s="239"/>
      <c r="D59" s="239"/>
      <c r="E59" s="239"/>
      <c r="F59" s="239"/>
      <c r="G59" s="239"/>
      <c r="H59" s="239"/>
      <c r="I59" s="239"/>
      <c r="J59" s="240"/>
      <c r="K59" s="240"/>
      <c r="L59" s="240"/>
      <c r="M59" s="240"/>
      <c r="N59" s="240"/>
      <c r="O59" s="240"/>
      <c r="P59" s="240"/>
      <c r="Q59" s="240"/>
      <c r="R59" s="240"/>
      <c r="S59" s="240"/>
      <c r="T59" s="240"/>
      <c r="U59" s="240"/>
      <c r="V59" s="240"/>
      <c r="W59" s="240"/>
      <c r="X59" s="240"/>
      <c r="Y59" s="240"/>
      <c r="Z59" s="240"/>
    </row>
    <row r="60" spans="1:26" ht="21.75" customHeight="1" x14ac:dyDescent="0.2">
      <c r="A60" s="239"/>
      <c r="B60" s="239"/>
      <c r="C60" s="239"/>
      <c r="D60" s="239"/>
      <c r="E60" s="239"/>
      <c r="F60" s="239"/>
      <c r="G60" s="239"/>
      <c r="H60" s="239"/>
      <c r="I60" s="239"/>
      <c r="J60" s="240"/>
      <c r="K60" s="240"/>
      <c r="L60" s="240"/>
      <c r="M60" s="240"/>
      <c r="N60" s="240"/>
      <c r="O60" s="240"/>
      <c r="P60" s="240"/>
      <c r="Q60" s="240"/>
      <c r="R60" s="240"/>
      <c r="S60" s="240"/>
      <c r="T60" s="240"/>
      <c r="U60" s="240"/>
      <c r="V60" s="240"/>
      <c r="W60" s="240"/>
      <c r="X60" s="240"/>
      <c r="Y60" s="240"/>
      <c r="Z60" s="240"/>
    </row>
    <row r="61" spans="1:26" ht="21.75" customHeight="1" x14ac:dyDescent="0.2">
      <c r="A61" s="239"/>
      <c r="B61" s="239"/>
      <c r="C61" s="239"/>
      <c r="D61" s="239"/>
      <c r="E61" s="239"/>
      <c r="F61" s="239"/>
      <c r="G61" s="239"/>
      <c r="H61" s="239"/>
      <c r="I61" s="239"/>
      <c r="J61" s="240"/>
      <c r="K61" s="240"/>
      <c r="L61" s="240"/>
      <c r="M61" s="240"/>
      <c r="N61" s="240"/>
      <c r="O61" s="240"/>
      <c r="P61" s="240"/>
      <c r="Q61" s="240"/>
      <c r="R61" s="240"/>
      <c r="S61" s="240"/>
      <c r="T61" s="240"/>
      <c r="U61" s="240"/>
      <c r="V61" s="240"/>
      <c r="W61" s="240"/>
      <c r="X61" s="240"/>
      <c r="Y61" s="240"/>
      <c r="Z61" s="240"/>
    </row>
    <row r="62" spans="1:26" ht="21.75" customHeight="1" x14ac:dyDescent="0.2">
      <c r="A62" s="239"/>
      <c r="B62" s="239"/>
      <c r="C62" s="239"/>
      <c r="D62" s="239"/>
      <c r="E62" s="239"/>
      <c r="F62" s="239"/>
      <c r="G62" s="239"/>
      <c r="H62" s="239"/>
      <c r="I62" s="239"/>
      <c r="J62" s="240"/>
      <c r="K62" s="240"/>
      <c r="L62" s="240"/>
      <c r="M62" s="240"/>
      <c r="N62" s="240"/>
      <c r="O62" s="240"/>
      <c r="P62" s="240"/>
      <c r="Q62" s="240"/>
      <c r="R62" s="240"/>
      <c r="S62" s="240"/>
      <c r="T62" s="240"/>
      <c r="U62" s="240"/>
      <c r="V62" s="240"/>
      <c r="W62" s="240"/>
      <c r="X62" s="240"/>
      <c r="Y62" s="240"/>
      <c r="Z62" s="240"/>
    </row>
    <row r="63" spans="1:26" ht="21.75" customHeight="1" x14ac:dyDescent="0.2">
      <c r="A63" s="239"/>
      <c r="B63" s="239"/>
      <c r="C63" s="239"/>
      <c r="D63" s="239"/>
      <c r="E63" s="239"/>
      <c r="F63" s="239"/>
      <c r="G63" s="239"/>
      <c r="H63" s="239"/>
      <c r="I63" s="239"/>
      <c r="J63" s="240"/>
      <c r="K63" s="240"/>
      <c r="L63" s="240"/>
      <c r="M63" s="240"/>
      <c r="N63" s="240"/>
      <c r="O63" s="240"/>
      <c r="P63" s="240"/>
      <c r="Q63" s="240"/>
      <c r="R63" s="240"/>
      <c r="S63" s="240"/>
      <c r="T63" s="240"/>
      <c r="U63" s="240"/>
      <c r="V63" s="240"/>
      <c r="W63" s="240"/>
      <c r="X63" s="240"/>
      <c r="Y63" s="240"/>
      <c r="Z63" s="240"/>
    </row>
    <row r="64" spans="1:26" ht="21.75" customHeight="1" x14ac:dyDescent="0.2">
      <c r="A64" s="239"/>
      <c r="B64" s="239"/>
      <c r="C64" s="239"/>
      <c r="D64" s="239"/>
      <c r="E64" s="239"/>
      <c r="F64" s="239"/>
      <c r="G64" s="239"/>
      <c r="H64" s="239"/>
      <c r="I64" s="239"/>
      <c r="J64" s="240"/>
      <c r="K64" s="240"/>
      <c r="L64" s="240"/>
      <c r="M64" s="240"/>
      <c r="N64" s="240"/>
      <c r="O64" s="240"/>
      <c r="P64" s="240"/>
      <c r="Q64" s="240"/>
      <c r="R64" s="240"/>
      <c r="S64" s="240"/>
      <c r="T64" s="240"/>
      <c r="U64" s="240"/>
      <c r="V64" s="240"/>
      <c r="W64" s="240"/>
      <c r="X64" s="240"/>
      <c r="Y64" s="240"/>
      <c r="Z64" s="240"/>
    </row>
    <row r="65" spans="1:26" ht="21.75" customHeight="1" x14ac:dyDescent="0.2">
      <c r="A65" s="239"/>
      <c r="B65" s="239"/>
      <c r="C65" s="239"/>
      <c r="D65" s="239"/>
      <c r="E65" s="239"/>
      <c r="F65" s="239"/>
      <c r="G65" s="239"/>
      <c r="H65" s="239"/>
      <c r="I65" s="239"/>
      <c r="J65" s="240"/>
      <c r="K65" s="240"/>
      <c r="L65" s="240"/>
      <c r="M65" s="240"/>
      <c r="N65" s="240"/>
      <c r="O65" s="240"/>
      <c r="P65" s="240"/>
      <c r="Q65" s="240"/>
      <c r="R65" s="240"/>
      <c r="S65" s="240"/>
      <c r="T65" s="240"/>
      <c r="U65" s="240"/>
      <c r="V65" s="240"/>
      <c r="W65" s="240"/>
      <c r="X65" s="240"/>
      <c r="Y65" s="240"/>
      <c r="Z65" s="240"/>
    </row>
    <row r="66" spans="1:26" ht="21.75" customHeight="1" x14ac:dyDescent="0.2">
      <c r="A66" s="239"/>
      <c r="B66" s="239"/>
      <c r="C66" s="239"/>
      <c r="D66" s="239"/>
      <c r="E66" s="239"/>
      <c r="F66" s="239"/>
      <c r="G66" s="239"/>
      <c r="H66" s="239"/>
      <c r="I66" s="239"/>
      <c r="J66" s="240"/>
      <c r="K66" s="240"/>
      <c r="L66" s="240"/>
      <c r="M66" s="240"/>
      <c r="N66" s="240"/>
      <c r="O66" s="240"/>
      <c r="P66" s="240"/>
      <c r="Q66" s="240"/>
      <c r="R66" s="240"/>
      <c r="S66" s="240"/>
      <c r="T66" s="240"/>
      <c r="U66" s="240"/>
      <c r="V66" s="240"/>
      <c r="W66" s="240"/>
      <c r="X66" s="240"/>
      <c r="Y66" s="240"/>
      <c r="Z66" s="240"/>
    </row>
    <row r="67" spans="1:26" ht="21.75" customHeight="1" x14ac:dyDescent="0.2">
      <c r="A67" s="239"/>
      <c r="B67" s="239"/>
      <c r="C67" s="239"/>
      <c r="D67" s="239"/>
      <c r="E67" s="239"/>
      <c r="F67" s="239"/>
      <c r="G67" s="239"/>
      <c r="H67" s="239"/>
      <c r="I67" s="239"/>
      <c r="J67" s="240"/>
      <c r="K67" s="240"/>
      <c r="L67" s="240"/>
      <c r="M67" s="240"/>
      <c r="N67" s="240"/>
      <c r="O67" s="240"/>
      <c r="P67" s="240"/>
      <c r="Q67" s="240"/>
      <c r="R67" s="240"/>
      <c r="S67" s="240"/>
      <c r="T67" s="240"/>
      <c r="U67" s="240"/>
      <c r="V67" s="240"/>
      <c r="W67" s="240"/>
      <c r="X67" s="240"/>
      <c r="Y67" s="240"/>
      <c r="Z67" s="240"/>
    </row>
    <row r="68" spans="1:26" ht="21.75" customHeight="1" x14ac:dyDescent="0.2">
      <c r="A68" s="239"/>
      <c r="B68" s="239"/>
      <c r="C68" s="239"/>
      <c r="D68" s="239"/>
      <c r="E68" s="239"/>
      <c r="F68" s="239"/>
      <c r="G68" s="239"/>
      <c r="H68" s="239"/>
      <c r="I68" s="239"/>
      <c r="J68" s="240"/>
      <c r="K68" s="240"/>
      <c r="L68" s="240"/>
      <c r="M68" s="240"/>
      <c r="N68" s="240"/>
      <c r="O68" s="240"/>
      <c r="P68" s="240"/>
      <c r="Q68" s="240"/>
      <c r="R68" s="240"/>
      <c r="S68" s="240"/>
      <c r="T68" s="240"/>
      <c r="U68" s="240"/>
      <c r="V68" s="240"/>
      <c r="W68" s="240"/>
      <c r="X68" s="240"/>
      <c r="Y68" s="240"/>
      <c r="Z68" s="240"/>
    </row>
    <row r="69" spans="1:26" ht="21.75" customHeight="1" x14ac:dyDescent="0.2">
      <c r="A69" s="239"/>
      <c r="B69" s="239"/>
      <c r="C69" s="239"/>
      <c r="D69" s="239"/>
      <c r="E69" s="239"/>
      <c r="F69" s="239"/>
      <c r="G69" s="239"/>
      <c r="H69" s="239"/>
      <c r="I69" s="239"/>
      <c r="J69" s="240"/>
      <c r="K69" s="240"/>
      <c r="L69" s="240"/>
      <c r="M69" s="240"/>
      <c r="N69" s="240"/>
      <c r="O69" s="240"/>
      <c r="P69" s="240"/>
      <c r="Q69" s="240"/>
      <c r="R69" s="240"/>
      <c r="S69" s="240"/>
      <c r="T69" s="240"/>
      <c r="U69" s="240"/>
      <c r="V69" s="240"/>
      <c r="W69" s="240"/>
      <c r="X69" s="240"/>
      <c r="Y69" s="240"/>
      <c r="Z69" s="240"/>
    </row>
    <row r="70" spans="1:26" ht="21.75" customHeight="1" x14ac:dyDescent="0.2">
      <c r="A70" s="239"/>
      <c r="B70" s="239"/>
      <c r="C70" s="239"/>
      <c r="D70" s="239"/>
      <c r="E70" s="239"/>
      <c r="F70" s="239"/>
      <c r="G70" s="239"/>
      <c r="H70" s="239"/>
      <c r="I70" s="239"/>
      <c r="J70" s="240"/>
      <c r="K70" s="240"/>
      <c r="L70" s="240"/>
      <c r="M70" s="240"/>
      <c r="N70" s="240"/>
      <c r="O70" s="240"/>
      <c r="P70" s="240"/>
      <c r="Q70" s="240"/>
      <c r="R70" s="240"/>
      <c r="S70" s="240"/>
      <c r="T70" s="240"/>
      <c r="U70" s="240"/>
      <c r="V70" s="240"/>
      <c r="W70" s="240"/>
      <c r="X70" s="240"/>
      <c r="Y70" s="240"/>
      <c r="Z70" s="240"/>
    </row>
    <row r="71" spans="1:26" ht="12.75" customHeight="1" x14ac:dyDescent="0.2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spans="1:26" ht="12.75" customHeight="1" x14ac:dyDescent="0.2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spans="1:26" ht="12.75" customHeight="1" x14ac:dyDescent="0.2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spans="1:26" ht="12.75" customHeight="1" x14ac:dyDescent="0.2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spans="1:26" ht="12.75" customHeight="1" x14ac:dyDescent="0.2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spans="1:26" ht="12.75" customHeight="1" x14ac:dyDescent="0.2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spans="1:26" ht="12.75" customHeight="1" x14ac:dyDescent="0.2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spans="1:26" ht="12.75" customHeight="1" x14ac:dyDescent="0.2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spans="1:26" ht="12.75" customHeight="1" x14ac:dyDescent="0.2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spans="1:26" ht="12.75" customHeight="1" x14ac:dyDescent="0.2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spans="1:26" ht="12.75" customHeight="1" x14ac:dyDescent="0.2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spans="1:26" ht="12.75" customHeight="1" x14ac:dyDescent="0.2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spans="1:26" ht="12.75" customHeight="1" x14ac:dyDescent="0.2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spans="1:26" ht="12.75" customHeight="1" x14ac:dyDescent="0.2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spans="1:26" ht="12.75" customHeight="1" x14ac:dyDescent="0.2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spans="1:26" ht="12.75" customHeight="1" x14ac:dyDescent="0.2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spans="1:26" ht="12.75" customHeight="1" x14ac:dyDescent="0.2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spans="1:26" ht="12.75" customHeight="1" x14ac:dyDescent="0.2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spans="1:26" ht="12.75" customHeight="1" x14ac:dyDescent="0.2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spans="1:26" ht="12.75" customHeight="1" x14ac:dyDescent="0.2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spans="1:26" ht="12.75" customHeight="1" x14ac:dyDescent="0.2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spans="1:26" ht="12.75" customHeight="1" x14ac:dyDescent="0.2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spans="1:26" ht="12.75" customHeight="1" x14ac:dyDescent="0.2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spans="1:26" ht="12.75" customHeight="1" x14ac:dyDescent="0.2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spans="1:26" ht="12.75" customHeight="1" x14ac:dyDescent="0.2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spans="1:26" ht="12.75" customHeight="1" x14ac:dyDescent="0.2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spans="1:26" ht="12.75" customHeight="1" x14ac:dyDescent="0.2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spans="1:26" ht="12.75" customHeight="1" x14ac:dyDescent="0.2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spans="1:26" ht="12.75" customHeight="1" x14ac:dyDescent="0.2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spans="1:26" ht="12.75" customHeight="1" x14ac:dyDescent="0.2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spans="1:26" ht="12.75" customHeight="1" x14ac:dyDescent="0.2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spans="1:26" ht="12.75" customHeight="1" x14ac:dyDescent="0.2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spans="1:26" ht="12.75" customHeight="1" x14ac:dyDescent="0.2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spans="1:26" ht="12.75" customHeight="1" x14ac:dyDescent="0.2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spans="1:26" ht="12.75" customHeight="1" x14ac:dyDescent="0.2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spans="1:26" ht="12.75" customHeight="1" x14ac:dyDescent="0.2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spans="1:26" ht="12.75" customHeight="1" x14ac:dyDescent="0.2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spans="1:26" ht="12.75" customHeight="1" x14ac:dyDescent="0.2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spans="1:26" ht="12.75" customHeight="1" x14ac:dyDescent="0.2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spans="1:26" ht="12.75" customHeight="1" x14ac:dyDescent="0.2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spans="1:26" ht="12.75" customHeight="1" x14ac:dyDescent="0.2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spans="1:26" ht="12.75" customHeight="1" x14ac:dyDescent="0.2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spans="1:26" ht="12.75" customHeight="1" x14ac:dyDescent="0.2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spans="1:26" ht="12.75" customHeight="1" x14ac:dyDescent="0.2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spans="1:26" ht="12.75" customHeight="1" x14ac:dyDescent="0.2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spans="1:26" ht="12.75" customHeight="1" x14ac:dyDescent="0.2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spans="1:26" ht="12.75" customHeight="1" x14ac:dyDescent="0.2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spans="1:26" ht="12.75" customHeight="1" x14ac:dyDescent="0.2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spans="1:26" ht="12.75" customHeight="1" x14ac:dyDescent="0.2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spans="1:26" ht="12.75" customHeight="1" x14ac:dyDescent="0.2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spans="1:26" ht="12.75" customHeight="1" x14ac:dyDescent="0.2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spans="1:26" ht="12.75" customHeight="1" x14ac:dyDescent="0.2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spans="1:26" ht="12.75" customHeight="1" x14ac:dyDescent="0.2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spans="1:26" ht="12.75" customHeight="1" x14ac:dyDescent="0.2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spans="1:26" ht="12.75" customHeight="1" x14ac:dyDescent="0.2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spans="1:26" ht="12.75" customHeight="1" x14ac:dyDescent="0.2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spans="1:26" ht="12.75" customHeight="1" x14ac:dyDescent="0.2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spans="1:26" ht="12.75" customHeight="1" x14ac:dyDescent="0.2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spans="1:26" ht="12.75" customHeight="1" x14ac:dyDescent="0.2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spans="1:26" ht="12.75" customHeight="1" x14ac:dyDescent="0.2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spans="1:26" ht="12.75" customHeight="1" x14ac:dyDescent="0.2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spans="1:26" ht="12.75" customHeight="1" x14ac:dyDescent="0.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spans="1:26" ht="12.75" customHeight="1" x14ac:dyDescent="0.2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spans="1:26" ht="12.75" customHeight="1" x14ac:dyDescent="0.2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spans="1:26" ht="12.75" customHeight="1" x14ac:dyDescent="0.2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spans="1:26" ht="12.75" customHeight="1" x14ac:dyDescent="0.2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spans="1:26" ht="12.75" customHeight="1" x14ac:dyDescent="0.2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spans="1:26" ht="12.75" customHeight="1" x14ac:dyDescent="0.2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spans="1:26" ht="12.75" customHeight="1" x14ac:dyDescent="0.2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spans="1:26" ht="12.75" customHeight="1" x14ac:dyDescent="0.2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spans="1:26" ht="12.75" customHeight="1" x14ac:dyDescent="0.2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spans="1:26" ht="12.75" customHeight="1" x14ac:dyDescent="0.2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spans="1:26" ht="12.75" customHeight="1" x14ac:dyDescent="0.2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spans="1:26" ht="12.75" customHeight="1" x14ac:dyDescent="0.2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spans="1:26" ht="12.75" customHeight="1" x14ac:dyDescent="0.2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spans="1:26" ht="12.75" customHeight="1" x14ac:dyDescent="0.2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spans="1:26" ht="12.75" customHeight="1" x14ac:dyDescent="0.2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spans="1:26" ht="12.75" customHeight="1" x14ac:dyDescent="0.2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spans="1:26" ht="12.75" customHeight="1" x14ac:dyDescent="0.2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spans="1:26" ht="12.75" customHeight="1" x14ac:dyDescent="0.2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spans="1:26" ht="12.75" customHeight="1" x14ac:dyDescent="0.2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spans="1:26" ht="12.75" customHeight="1" x14ac:dyDescent="0.2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spans="1:26" ht="12.75" customHeight="1" x14ac:dyDescent="0.2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spans="1:26" ht="12.75" customHeight="1" x14ac:dyDescent="0.2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spans="1:26" ht="12.75" customHeight="1" x14ac:dyDescent="0.2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spans="1:26" ht="12.75" customHeight="1" x14ac:dyDescent="0.2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spans="1:26" ht="12.75" customHeight="1" x14ac:dyDescent="0.2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spans="1:26" ht="12.75" customHeight="1" x14ac:dyDescent="0.2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spans="1:26" ht="12.75" customHeight="1" x14ac:dyDescent="0.2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spans="1:26" ht="12.75" customHeight="1" x14ac:dyDescent="0.2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spans="1:26" ht="12.75" customHeight="1" x14ac:dyDescent="0.2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spans="1:26" ht="12.75" customHeight="1" x14ac:dyDescent="0.2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spans="1:26" ht="12.75" customHeight="1" x14ac:dyDescent="0.2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spans="1:26" ht="12.75" customHeight="1" x14ac:dyDescent="0.2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spans="1:26" ht="12.75" customHeight="1" x14ac:dyDescent="0.2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spans="1:26" ht="12.75" customHeight="1" x14ac:dyDescent="0.2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spans="1:26" ht="12.75" customHeight="1" x14ac:dyDescent="0.2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spans="1:26" ht="12.75" customHeight="1" x14ac:dyDescent="0.2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spans="1:26" ht="12.75" customHeight="1" x14ac:dyDescent="0.2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spans="1:26" ht="12.75" customHeight="1" x14ac:dyDescent="0.2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spans="1:26" ht="12.75" customHeight="1" x14ac:dyDescent="0.2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spans="1:26" ht="12.75" customHeight="1" x14ac:dyDescent="0.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spans="1:26" ht="12.75" customHeight="1" x14ac:dyDescent="0.2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spans="1:26" ht="12.75" customHeight="1" x14ac:dyDescent="0.2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spans="1:26" ht="12.75" customHeight="1" x14ac:dyDescent="0.2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spans="1:26" ht="12.75" customHeight="1" x14ac:dyDescent="0.2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spans="1:26" ht="12.75" customHeight="1" x14ac:dyDescent="0.2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spans="1:26" ht="12.75" customHeight="1" x14ac:dyDescent="0.2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spans="1:26" ht="12.75" customHeight="1" x14ac:dyDescent="0.2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spans="1:26" ht="12.75" customHeight="1" x14ac:dyDescent="0.2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spans="1:26" ht="12.75" customHeight="1" x14ac:dyDescent="0.2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spans="1:26" ht="12.75" customHeight="1" x14ac:dyDescent="0.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spans="1:26" ht="12.75" customHeight="1" x14ac:dyDescent="0.2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spans="1:26" ht="12.75" customHeight="1" x14ac:dyDescent="0.2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spans="1:26" ht="12.75" customHeight="1" x14ac:dyDescent="0.2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spans="1:26" ht="12.75" customHeight="1" x14ac:dyDescent="0.2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spans="1:26" ht="12.75" customHeight="1" x14ac:dyDescent="0.2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spans="1:26" ht="12.75" customHeight="1" x14ac:dyDescent="0.2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spans="1:26" ht="12.75" customHeight="1" x14ac:dyDescent="0.2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spans="1:26" ht="12.75" customHeight="1" x14ac:dyDescent="0.2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spans="1:26" ht="12.75" customHeight="1" x14ac:dyDescent="0.2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spans="1:26" ht="12.75" customHeight="1" x14ac:dyDescent="0.2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spans="1:26" ht="12.75" customHeight="1" x14ac:dyDescent="0.2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spans="1:26" ht="12.75" customHeight="1" x14ac:dyDescent="0.2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spans="1:26" ht="12.75" customHeight="1" x14ac:dyDescent="0.2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spans="1:26" ht="12.75" customHeight="1" x14ac:dyDescent="0.2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spans="1:26" ht="12.75" customHeight="1" x14ac:dyDescent="0.2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spans="1:26" ht="12.75" customHeight="1" x14ac:dyDescent="0.2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spans="1:26" ht="12.75" customHeight="1" x14ac:dyDescent="0.2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spans="1:26" ht="12.75" customHeight="1" x14ac:dyDescent="0.2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spans="1:26" ht="12.75" customHeight="1" x14ac:dyDescent="0.2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spans="1:26" ht="12.75" customHeight="1" x14ac:dyDescent="0.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spans="1:26" ht="12.75" customHeight="1" x14ac:dyDescent="0.2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spans="1:26" ht="12.75" customHeight="1" x14ac:dyDescent="0.2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spans="1:26" ht="12.75" customHeight="1" x14ac:dyDescent="0.2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spans="1:26" ht="12.75" customHeight="1" x14ac:dyDescent="0.2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spans="1:26" ht="12.75" customHeight="1" x14ac:dyDescent="0.2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spans="1:26" ht="12.75" customHeight="1" x14ac:dyDescent="0.2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spans="1:26" ht="12.75" customHeight="1" x14ac:dyDescent="0.2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spans="1:26" ht="12.75" customHeight="1" x14ac:dyDescent="0.2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spans="1:26" ht="12.75" customHeight="1" x14ac:dyDescent="0.2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spans="1:26" ht="12.75" customHeight="1" x14ac:dyDescent="0.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spans="1:26" ht="12.75" customHeight="1" x14ac:dyDescent="0.2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spans="1:26" ht="12.75" customHeight="1" x14ac:dyDescent="0.2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spans="1:26" ht="12.75" customHeight="1" x14ac:dyDescent="0.2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spans="1:26" ht="12.75" customHeight="1" x14ac:dyDescent="0.2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spans="1:26" ht="12.75" customHeight="1" x14ac:dyDescent="0.2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spans="1:26" ht="12.75" customHeight="1" x14ac:dyDescent="0.2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spans="1:26" ht="12.75" customHeight="1" x14ac:dyDescent="0.2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spans="1:26" ht="12.75" customHeight="1" x14ac:dyDescent="0.2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spans="1:26" ht="12.75" customHeight="1" x14ac:dyDescent="0.2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spans="1:26" ht="12.75" customHeight="1" x14ac:dyDescent="0.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spans="1:26" ht="12.75" customHeight="1" x14ac:dyDescent="0.2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spans="1:26" ht="12.75" customHeight="1" x14ac:dyDescent="0.2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spans="1:26" ht="12.75" customHeight="1" x14ac:dyDescent="0.2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spans="1:26" ht="12.75" customHeight="1" x14ac:dyDescent="0.2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spans="1:26" ht="12.75" customHeight="1" x14ac:dyDescent="0.2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spans="1:26" ht="12.75" customHeight="1" x14ac:dyDescent="0.2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spans="1:26" ht="12.75" customHeight="1" x14ac:dyDescent="0.2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spans="1:26" ht="12.75" customHeight="1" x14ac:dyDescent="0.2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spans="1:26" ht="12.75" customHeight="1" x14ac:dyDescent="0.2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spans="1:26" ht="12.75" customHeight="1" x14ac:dyDescent="0.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spans="1:26" ht="12.75" customHeight="1" x14ac:dyDescent="0.2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spans="1:26" ht="12.75" customHeight="1" x14ac:dyDescent="0.2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spans="1:26" ht="12.75" customHeight="1" x14ac:dyDescent="0.2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spans="1:26" ht="12.75" customHeight="1" x14ac:dyDescent="0.2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spans="1:26" ht="12.75" customHeight="1" x14ac:dyDescent="0.2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spans="1:26" ht="12.75" customHeight="1" x14ac:dyDescent="0.2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spans="1:26" ht="12.75" customHeight="1" x14ac:dyDescent="0.2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spans="1:26" ht="12.75" customHeight="1" x14ac:dyDescent="0.2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spans="1:26" ht="12.75" customHeight="1" x14ac:dyDescent="0.2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spans="1:26" ht="12.75" customHeight="1" x14ac:dyDescent="0.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spans="1:26" ht="12.75" customHeight="1" x14ac:dyDescent="0.2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spans="1:26" ht="12.75" customHeight="1" x14ac:dyDescent="0.2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spans="1:26" ht="12.75" customHeight="1" x14ac:dyDescent="0.2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spans="1:26" ht="12.75" customHeight="1" x14ac:dyDescent="0.2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spans="1:26" ht="12.75" customHeight="1" x14ac:dyDescent="0.2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spans="1:26" ht="12.75" customHeight="1" x14ac:dyDescent="0.2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spans="1:26" ht="12.75" customHeight="1" x14ac:dyDescent="0.2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spans="1:26" ht="12.75" customHeight="1" x14ac:dyDescent="0.2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spans="1:26" ht="12.75" customHeight="1" x14ac:dyDescent="0.2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spans="1:26" ht="12.75" customHeight="1" x14ac:dyDescent="0.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spans="1:26" ht="12.75" customHeight="1" x14ac:dyDescent="0.2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spans="1:26" ht="12.75" customHeight="1" x14ac:dyDescent="0.2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spans="1:26" ht="12.75" customHeight="1" x14ac:dyDescent="0.2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spans="1:26" ht="12.75" customHeight="1" x14ac:dyDescent="0.2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spans="1:26" ht="12.75" customHeight="1" x14ac:dyDescent="0.2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spans="1:26" ht="12.75" customHeight="1" x14ac:dyDescent="0.2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spans="1:26" ht="12.75" customHeight="1" x14ac:dyDescent="0.2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spans="1:26" ht="12.75" customHeight="1" x14ac:dyDescent="0.2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spans="1:26" ht="12.75" customHeight="1" x14ac:dyDescent="0.2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spans="1:26" ht="12.75" customHeight="1" x14ac:dyDescent="0.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spans="1:26" ht="12.75" customHeight="1" x14ac:dyDescent="0.2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spans="1:26" ht="12.75" customHeight="1" x14ac:dyDescent="0.2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spans="1:26" ht="12.75" customHeight="1" x14ac:dyDescent="0.2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spans="1:26" ht="12.75" customHeight="1" x14ac:dyDescent="0.2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spans="1:26" ht="12.75" customHeight="1" x14ac:dyDescent="0.2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spans="1:26" ht="12.75" customHeight="1" x14ac:dyDescent="0.2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spans="1:26" ht="12.75" customHeight="1" x14ac:dyDescent="0.2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spans="1:26" ht="12.75" customHeight="1" x14ac:dyDescent="0.2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spans="1:26" ht="12.75" customHeight="1" x14ac:dyDescent="0.2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spans="1:26" ht="12.75" customHeight="1" x14ac:dyDescent="0.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spans="1:26" ht="12.75" customHeight="1" x14ac:dyDescent="0.2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spans="1:26" ht="12.75" customHeight="1" x14ac:dyDescent="0.2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spans="1:26" ht="12.75" customHeight="1" x14ac:dyDescent="0.2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spans="1:26" ht="12.75" customHeight="1" x14ac:dyDescent="0.2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spans="1:26" ht="12.75" customHeight="1" x14ac:dyDescent="0.2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spans="1:26" ht="12.75" customHeight="1" x14ac:dyDescent="0.2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spans="1:26" ht="12.75" customHeight="1" x14ac:dyDescent="0.2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spans="1:26" ht="12.75" customHeight="1" x14ac:dyDescent="0.2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spans="1:26" ht="12.75" customHeight="1" x14ac:dyDescent="0.2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spans="1:26" ht="12.75" customHeight="1" x14ac:dyDescent="0.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spans="1:26" ht="12.75" customHeight="1" x14ac:dyDescent="0.2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spans="1:26" ht="12.75" customHeight="1" x14ac:dyDescent="0.2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spans="1:26" ht="12.75" customHeight="1" x14ac:dyDescent="0.2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spans="1:26" ht="12.75" customHeight="1" x14ac:dyDescent="0.2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spans="1:26" ht="12.75" customHeight="1" x14ac:dyDescent="0.2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spans="1:26" ht="12.75" customHeight="1" x14ac:dyDescent="0.2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spans="1:26" ht="12.75" customHeight="1" x14ac:dyDescent="0.2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spans="1:26" ht="12.75" customHeight="1" x14ac:dyDescent="0.2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spans="1:26" ht="12.75" customHeight="1" x14ac:dyDescent="0.2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spans="1:26" ht="12.75" customHeight="1" x14ac:dyDescent="0.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spans="1:26" ht="12.75" customHeight="1" x14ac:dyDescent="0.2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spans="1:26" ht="12.75" customHeight="1" x14ac:dyDescent="0.2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spans="1:26" ht="12.75" customHeight="1" x14ac:dyDescent="0.2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spans="1:26" ht="12.75" customHeight="1" x14ac:dyDescent="0.2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spans="1:26" ht="12.75" customHeight="1" x14ac:dyDescent="0.2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spans="1:26" ht="12.75" customHeight="1" x14ac:dyDescent="0.2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spans="1:26" ht="12.75" customHeight="1" x14ac:dyDescent="0.2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spans="1:26" ht="12.75" customHeight="1" x14ac:dyDescent="0.2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spans="1:26" ht="12.75" customHeight="1" x14ac:dyDescent="0.2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spans="1:26" ht="12.75" customHeight="1" x14ac:dyDescent="0.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spans="1:26" ht="12.75" customHeight="1" x14ac:dyDescent="0.2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spans="1:26" ht="12.75" customHeight="1" x14ac:dyDescent="0.2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spans="1:26" ht="12.75" customHeight="1" x14ac:dyDescent="0.2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spans="1:26" ht="12.75" customHeight="1" x14ac:dyDescent="0.2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spans="1:26" ht="12.75" customHeight="1" x14ac:dyDescent="0.2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spans="1:26" ht="12.75" customHeight="1" x14ac:dyDescent="0.2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spans="1:26" ht="12.75" customHeight="1" x14ac:dyDescent="0.2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spans="1:26" ht="12.75" customHeight="1" x14ac:dyDescent="0.2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spans="1:26" ht="12.75" customHeight="1" x14ac:dyDescent="0.2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spans="1:26" ht="12.75" customHeight="1" x14ac:dyDescent="0.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spans="1:26" ht="12.75" customHeight="1" x14ac:dyDescent="0.2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spans="1:26" ht="12.75" customHeight="1" x14ac:dyDescent="0.2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spans="1:26" ht="12.75" customHeight="1" x14ac:dyDescent="0.2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spans="1:26" ht="12.75" customHeight="1" x14ac:dyDescent="0.2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spans="1:26" ht="12.75" customHeight="1" x14ac:dyDescent="0.2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spans="1:26" ht="12.75" customHeight="1" x14ac:dyDescent="0.2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spans="1:26" ht="12.75" customHeight="1" x14ac:dyDescent="0.2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spans="1:26" ht="12.75" customHeight="1" x14ac:dyDescent="0.2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spans="1:26" ht="12.75" customHeight="1" x14ac:dyDescent="0.2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spans="1:26" ht="12.75" customHeight="1" x14ac:dyDescent="0.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spans="1:26" ht="12.75" customHeight="1" x14ac:dyDescent="0.2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spans="1:26" ht="12.75" customHeight="1" x14ac:dyDescent="0.2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spans="1:26" ht="12.75" customHeight="1" x14ac:dyDescent="0.2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spans="1:26" ht="12.75" customHeight="1" x14ac:dyDescent="0.2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spans="1:26" ht="12.75" customHeight="1" x14ac:dyDescent="0.2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spans="1:26" ht="12.75" customHeight="1" x14ac:dyDescent="0.2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spans="1:26" ht="12.75" customHeight="1" x14ac:dyDescent="0.2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spans="1:26" ht="12.75" customHeight="1" x14ac:dyDescent="0.2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spans="1:26" ht="12.75" customHeight="1" x14ac:dyDescent="0.2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spans="1:26" ht="12.75" customHeight="1" x14ac:dyDescent="0.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spans="1:26" ht="12.75" customHeight="1" x14ac:dyDescent="0.2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spans="1:26" ht="12.75" customHeight="1" x14ac:dyDescent="0.2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spans="1:26" ht="12.75" customHeight="1" x14ac:dyDescent="0.2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spans="1:26" ht="12.75" customHeight="1" x14ac:dyDescent="0.2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spans="1:26" ht="12.75" customHeight="1" x14ac:dyDescent="0.2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spans="1:26" ht="12.75" customHeight="1" x14ac:dyDescent="0.2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spans="1:26" ht="12.75" customHeight="1" x14ac:dyDescent="0.2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spans="1:26" ht="12.75" customHeight="1" x14ac:dyDescent="0.2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spans="1:26" ht="12.75" customHeight="1" x14ac:dyDescent="0.2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spans="1:26" ht="12.75" customHeight="1" x14ac:dyDescent="0.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spans="1:26" ht="12.75" customHeight="1" x14ac:dyDescent="0.2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spans="1:26" ht="12.75" customHeight="1" x14ac:dyDescent="0.2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spans="1:26" ht="12.75" customHeight="1" x14ac:dyDescent="0.2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spans="1:26" ht="12.75" customHeight="1" x14ac:dyDescent="0.2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spans="1:26" ht="12.75" customHeight="1" x14ac:dyDescent="0.2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spans="1:26" ht="12.75" customHeight="1" x14ac:dyDescent="0.2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spans="1:26" ht="12.75" customHeight="1" x14ac:dyDescent="0.2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spans="1:26" ht="12.75" customHeight="1" x14ac:dyDescent="0.2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spans="1:26" ht="12.75" customHeight="1" x14ac:dyDescent="0.2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spans="1:26" ht="12.75" customHeight="1" x14ac:dyDescent="0.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spans="1:26" ht="12.75" customHeight="1" x14ac:dyDescent="0.2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spans="1:26" ht="12.75" customHeight="1" x14ac:dyDescent="0.2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spans="1:26" ht="12.75" customHeight="1" x14ac:dyDescent="0.2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spans="1:26" ht="12.75" customHeight="1" x14ac:dyDescent="0.2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spans="1:26" ht="12.75" customHeight="1" x14ac:dyDescent="0.2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spans="1:26" ht="12.75" customHeight="1" x14ac:dyDescent="0.2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spans="1:26" ht="12.75" customHeight="1" x14ac:dyDescent="0.2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spans="1:26" ht="12.75" customHeight="1" x14ac:dyDescent="0.2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spans="1:26" ht="12.75" customHeight="1" x14ac:dyDescent="0.2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spans="1:26" ht="12.75" customHeight="1" x14ac:dyDescent="0.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spans="1:26" ht="12.75" customHeight="1" x14ac:dyDescent="0.2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spans="1:26" ht="12.75" customHeight="1" x14ac:dyDescent="0.2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spans="1:26" ht="12.75" customHeight="1" x14ac:dyDescent="0.2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spans="1:26" ht="12.75" customHeight="1" x14ac:dyDescent="0.2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spans="1:26" ht="12.75" customHeight="1" x14ac:dyDescent="0.2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spans="1:26" ht="12.75" customHeight="1" x14ac:dyDescent="0.2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spans="1:26" ht="12.75" customHeight="1" x14ac:dyDescent="0.2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spans="1:26" ht="12.75" customHeight="1" x14ac:dyDescent="0.2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spans="1:26" ht="12.75" customHeight="1" x14ac:dyDescent="0.2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spans="1:26" ht="12.75" customHeight="1" x14ac:dyDescent="0.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spans="1:26" ht="12.75" customHeight="1" x14ac:dyDescent="0.2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spans="1:26" ht="12.75" customHeight="1" x14ac:dyDescent="0.2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spans="1:26" ht="12.75" customHeight="1" x14ac:dyDescent="0.2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spans="1:26" ht="12.75" customHeight="1" x14ac:dyDescent="0.2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spans="1:26" ht="12.75" customHeight="1" x14ac:dyDescent="0.2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spans="1:26" ht="12.75" customHeight="1" x14ac:dyDescent="0.2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spans="1:26" ht="12.75" customHeight="1" x14ac:dyDescent="0.2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spans="1:26" ht="12.75" customHeight="1" x14ac:dyDescent="0.2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spans="1:26" ht="12.75" customHeight="1" x14ac:dyDescent="0.2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spans="1:26" ht="12.75" customHeight="1" x14ac:dyDescent="0.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spans="1:26" ht="12.75" customHeight="1" x14ac:dyDescent="0.2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spans="1:26" ht="12.75" customHeight="1" x14ac:dyDescent="0.2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spans="1:26" ht="12.75" customHeight="1" x14ac:dyDescent="0.2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spans="1:26" ht="12.75" customHeight="1" x14ac:dyDescent="0.2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spans="1:26" ht="12.75" customHeight="1" x14ac:dyDescent="0.2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spans="1:26" ht="12.75" customHeight="1" x14ac:dyDescent="0.2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spans="1:26" ht="12.75" customHeight="1" x14ac:dyDescent="0.2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spans="1:26" ht="12.75" customHeight="1" x14ac:dyDescent="0.2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spans="1:26" ht="12.75" customHeight="1" x14ac:dyDescent="0.2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spans="1:26" ht="12.75" customHeight="1" x14ac:dyDescent="0.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spans="1:26" ht="12.75" customHeight="1" x14ac:dyDescent="0.2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spans="1:26" ht="12.75" customHeight="1" x14ac:dyDescent="0.2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spans="1:26" ht="12.75" customHeight="1" x14ac:dyDescent="0.2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spans="1:26" ht="12.75" customHeight="1" x14ac:dyDescent="0.2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spans="1:26" ht="12.75" customHeight="1" x14ac:dyDescent="0.2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spans="1:26" ht="12.75" customHeight="1" x14ac:dyDescent="0.2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spans="1:26" ht="12.75" customHeight="1" x14ac:dyDescent="0.2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spans="1:26" ht="12.75" customHeight="1" x14ac:dyDescent="0.2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spans="1:26" ht="12.75" customHeight="1" x14ac:dyDescent="0.2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spans="1:26" ht="12.75" customHeight="1" x14ac:dyDescent="0.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spans="1:26" ht="12.75" customHeight="1" x14ac:dyDescent="0.2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spans="1:26" ht="12.75" customHeight="1" x14ac:dyDescent="0.2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spans="1:26" ht="12.75" customHeight="1" x14ac:dyDescent="0.2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spans="1:26" ht="12.75" customHeight="1" x14ac:dyDescent="0.2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spans="1:26" ht="12.75" customHeight="1" x14ac:dyDescent="0.2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spans="1:26" ht="12.75" customHeight="1" x14ac:dyDescent="0.2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spans="1:26" ht="12.75" customHeight="1" x14ac:dyDescent="0.2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spans="1:26" ht="12.75" customHeight="1" x14ac:dyDescent="0.2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spans="1:26" ht="12.75" customHeight="1" x14ac:dyDescent="0.2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spans="1:26" ht="12.75" customHeight="1" x14ac:dyDescent="0.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spans="1:26" ht="12.75" customHeight="1" x14ac:dyDescent="0.2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spans="1:26" ht="12.75" customHeight="1" x14ac:dyDescent="0.2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spans="1:26" ht="12.75" customHeight="1" x14ac:dyDescent="0.2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spans="1:26" ht="12.75" customHeight="1" x14ac:dyDescent="0.2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spans="1:26" ht="12.75" customHeight="1" x14ac:dyDescent="0.2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spans="1:26" ht="12.75" customHeight="1" x14ac:dyDescent="0.2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spans="1:26" ht="12.75" customHeight="1" x14ac:dyDescent="0.2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spans="1:26" ht="12.75" customHeight="1" x14ac:dyDescent="0.2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spans="1:26" ht="12.75" customHeight="1" x14ac:dyDescent="0.2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spans="1:26" ht="12.75" customHeight="1" x14ac:dyDescent="0.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spans="1:26" ht="12.75" customHeight="1" x14ac:dyDescent="0.2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spans="1:26" ht="12.75" customHeight="1" x14ac:dyDescent="0.2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spans="1:26" ht="12.75" customHeight="1" x14ac:dyDescent="0.2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spans="1:26" ht="12.75" customHeight="1" x14ac:dyDescent="0.2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spans="1:26" ht="12.75" customHeight="1" x14ac:dyDescent="0.2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spans="1:26" ht="12.75" customHeight="1" x14ac:dyDescent="0.2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spans="1:26" ht="12.75" customHeight="1" x14ac:dyDescent="0.2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spans="1:26" ht="12.75" customHeight="1" x14ac:dyDescent="0.2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spans="1:26" ht="12.75" customHeight="1" x14ac:dyDescent="0.2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spans="1:26" ht="12.75" customHeight="1" x14ac:dyDescent="0.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spans="1:26" ht="12.75" customHeight="1" x14ac:dyDescent="0.2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spans="1:26" ht="12.75" customHeight="1" x14ac:dyDescent="0.2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spans="1:26" ht="12.75" customHeight="1" x14ac:dyDescent="0.2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spans="1:26" ht="12.75" customHeight="1" x14ac:dyDescent="0.2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spans="1:26" ht="12.75" customHeight="1" x14ac:dyDescent="0.2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spans="1:26" ht="12.75" customHeight="1" x14ac:dyDescent="0.2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spans="1:26" ht="12.75" customHeight="1" x14ac:dyDescent="0.2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spans="1:26" ht="12.75" customHeight="1" x14ac:dyDescent="0.2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spans="1:26" ht="12.75" customHeight="1" x14ac:dyDescent="0.2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spans="1:26" ht="12.75" customHeight="1" x14ac:dyDescent="0.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spans="1:26" ht="12.75" customHeight="1" x14ac:dyDescent="0.2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spans="1:26" ht="12.75" customHeight="1" x14ac:dyDescent="0.2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spans="1:26" ht="12.75" customHeight="1" x14ac:dyDescent="0.2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spans="1:26" ht="12.75" customHeight="1" x14ac:dyDescent="0.2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spans="1:26" ht="12.75" customHeight="1" x14ac:dyDescent="0.2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spans="1:26" ht="12.75" customHeight="1" x14ac:dyDescent="0.2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spans="1:26" ht="12.75" customHeight="1" x14ac:dyDescent="0.2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spans="1:26" ht="12.75" customHeight="1" x14ac:dyDescent="0.2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spans="1:26" ht="12.75" customHeight="1" x14ac:dyDescent="0.2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spans="1:26" ht="12.75" customHeight="1" x14ac:dyDescent="0.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spans="1:26" ht="12.75" customHeight="1" x14ac:dyDescent="0.2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spans="1:26" ht="12.75" customHeight="1" x14ac:dyDescent="0.2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spans="1:26" ht="12.75" customHeight="1" x14ac:dyDescent="0.2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spans="1:26" ht="12.75" customHeight="1" x14ac:dyDescent="0.2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spans="1:26" ht="12.75" customHeight="1" x14ac:dyDescent="0.2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spans="1:26" ht="12.75" customHeight="1" x14ac:dyDescent="0.2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spans="1:26" ht="12.75" customHeight="1" x14ac:dyDescent="0.2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spans="1:26" ht="12.75" customHeight="1" x14ac:dyDescent="0.2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spans="1:26" ht="12.75" customHeight="1" x14ac:dyDescent="0.2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spans="1:26" ht="12.75" customHeight="1" x14ac:dyDescent="0.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spans="1:26" ht="12.75" customHeight="1" x14ac:dyDescent="0.2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spans="1:26" ht="12.75" customHeight="1" x14ac:dyDescent="0.2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spans="1:26" ht="12.75" customHeight="1" x14ac:dyDescent="0.2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spans="1:26" ht="12.75" customHeight="1" x14ac:dyDescent="0.2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spans="1:26" ht="12.75" customHeight="1" x14ac:dyDescent="0.2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spans="1:26" ht="12.75" customHeight="1" x14ac:dyDescent="0.2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spans="1:26" ht="12.75" customHeight="1" x14ac:dyDescent="0.2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spans="1:26" ht="12.75" customHeight="1" x14ac:dyDescent="0.2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spans="1:26" ht="12.75" customHeight="1" x14ac:dyDescent="0.2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spans="1:26" ht="12.75" customHeight="1" x14ac:dyDescent="0.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spans="1:26" ht="12.75" customHeight="1" x14ac:dyDescent="0.2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spans="1:26" ht="12.75" customHeight="1" x14ac:dyDescent="0.2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spans="1:26" ht="12.75" customHeight="1" x14ac:dyDescent="0.2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spans="1:26" ht="12.75" customHeight="1" x14ac:dyDescent="0.2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spans="1:26" ht="12.75" customHeight="1" x14ac:dyDescent="0.2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spans="1:26" ht="12.75" customHeight="1" x14ac:dyDescent="0.2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spans="1:26" ht="12.75" customHeight="1" x14ac:dyDescent="0.2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spans="1:26" ht="12.75" customHeight="1" x14ac:dyDescent="0.2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spans="1:26" ht="12.75" customHeight="1" x14ac:dyDescent="0.2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spans="1:26" ht="12.75" customHeight="1" x14ac:dyDescent="0.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spans="1:26" ht="12.75" customHeight="1" x14ac:dyDescent="0.2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spans="1:26" ht="12.75" customHeight="1" x14ac:dyDescent="0.2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spans="1:26" ht="12.75" customHeight="1" x14ac:dyDescent="0.2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spans="1:26" ht="12.75" customHeight="1" x14ac:dyDescent="0.2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spans="1:26" ht="12.75" customHeight="1" x14ac:dyDescent="0.2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spans="1:26" ht="12.75" customHeight="1" x14ac:dyDescent="0.2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spans="1:26" ht="12.75" customHeight="1" x14ac:dyDescent="0.2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spans="1:26" ht="12.75" customHeight="1" x14ac:dyDescent="0.2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spans="1:26" ht="12.75" customHeight="1" x14ac:dyDescent="0.2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spans="1:26" ht="12.75" customHeight="1" x14ac:dyDescent="0.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spans="1:26" ht="12.75" customHeight="1" x14ac:dyDescent="0.2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spans="1:26" ht="12.75" customHeight="1" x14ac:dyDescent="0.2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spans="1:26" ht="12.75" customHeight="1" x14ac:dyDescent="0.2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spans="1:26" ht="12.75" customHeight="1" x14ac:dyDescent="0.2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spans="1:26" ht="12.75" customHeight="1" x14ac:dyDescent="0.2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spans="1:26" ht="12.75" customHeight="1" x14ac:dyDescent="0.2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spans="1:26" ht="12.75" customHeight="1" x14ac:dyDescent="0.2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spans="1:26" ht="12.75" customHeight="1" x14ac:dyDescent="0.2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spans="1:26" ht="12.75" customHeight="1" x14ac:dyDescent="0.2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spans="1:26" ht="12.75" customHeight="1" x14ac:dyDescent="0.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spans="1:26" ht="12.75" customHeight="1" x14ac:dyDescent="0.2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spans="1:26" ht="12.75" customHeight="1" x14ac:dyDescent="0.2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spans="1:26" ht="12.75" customHeight="1" x14ac:dyDescent="0.2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spans="1:26" ht="12.75" customHeight="1" x14ac:dyDescent="0.2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spans="1:26" ht="12.75" customHeight="1" x14ac:dyDescent="0.2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spans="1:26" ht="12.75" customHeight="1" x14ac:dyDescent="0.2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spans="1:26" ht="12.75" customHeight="1" x14ac:dyDescent="0.2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spans="1:26" ht="12.75" customHeight="1" x14ac:dyDescent="0.2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spans="1:26" ht="12.75" customHeight="1" x14ac:dyDescent="0.2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spans="1:26" ht="12.75" customHeight="1" x14ac:dyDescent="0.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spans="1:26" ht="12.75" customHeight="1" x14ac:dyDescent="0.2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spans="1:26" ht="12.75" customHeight="1" x14ac:dyDescent="0.2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spans="1:26" ht="12.75" customHeight="1" x14ac:dyDescent="0.2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spans="1:26" ht="12.75" customHeight="1" x14ac:dyDescent="0.2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spans="1:26" ht="12.75" customHeight="1" x14ac:dyDescent="0.2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spans="1:26" ht="12.75" customHeight="1" x14ac:dyDescent="0.2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spans="1:26" ht="12.75" customHeight="1" x14ac:dyDescent="0.2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spans="1:26" ht="12.75" customHeight="1" x14ac:dyDescent="0.2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spans="1:26" ht="12.75" customHeight="1" x14ac:dyDescent="0.2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spans="1:26" ht="12.75" customHeight="1" x14ac:dyDescent="0.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spans="1:26" ht="12.75" customHeight="1" x14ac:dyDescent="0.2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spans="1:26" ht="12.75" customHeight="1" x14ac:dyDescent="0.2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spans="1:26" ht="12.75" customHeight="1" x14ac:dyDescent="0.2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spans="1:26" ht="12.75" customHeight="1" x14ac:dyDescent="0.2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spans="1:26" ht="12.75" customHeight="1" x14ac:dyDescent="0.2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spans="1:26" ht="12.75" customHeight="1" x14ac:dyDescent="0.2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spans="1:26" ht="12.75" customHeight="1" x14ac:dyDescent="0.2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spans="1:26" ht="12.75" customHeight="1" x14ac:dyDescent="0.2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spans="1:26" ht="12.75" customHeight="1" x14ac:dyDescent="0.2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spans="1:26" ht="12.75" customHeight="1" x14ac:dyDescent="0.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spans="1:26" ht="12.75" customHeight="1" x14ac:dyDescent="0.2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spans="1:26" ht="12.75" customHeight="1" x14ac:dyDescent="0.2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spans="1:26" ht="12.75" customHeight="1" x14ac:dyDescent="0.2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spans="1:26" ht="12.75" customHeight="1" x14ac:dyDescent="0.2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spans="1:26" ht="12.75" customHeight="1" x14ac:dyDescent="0.2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spans="1:26" ht="12.75" customHeight="1" x14ac:dyDescent="0.2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spans="1:26" ht="12.75" customHeight="1" x14ac:dyDescent="0.2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spans="1:26" ht="12.75" customHeight="1" x14ac:dyDescent="0.2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spans="1:26" ht="12.75" customHeight="1" x14ac:dyDescent="0.2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spans="1:26" ht="12.75" customHeight="1" x14ac:dyDescent="0.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spans="1:26" ht="12.75" customHeight="1" x14ac:dyDescent="0.2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spans="1:26" ht="12.75" customHeight="1" x14ac:dyDescent="0.2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spans="1:26" ht="12.75" customHeight="1" x14ac:dyDescent="0.2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spans="1:26" ht="12.75" customHeight="1" x14ac:dyDescent="0.2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spans="1:26" ht="12.75" customHeight="1" x14ac:dyDescent="0.2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spans="1:26" ht="12.75" customHeight="1" x14ac:dyDescent="0.2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spans="1:26" ht="12.75" customHeight="1" x14ac:dyDescent="0.2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spans="1:26" ht="12.75" customHeight="1" x14ac:dyDescent="0.2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spans="1:26" ht="12.75" customHeight="1" x14ac:dyDescent="0.2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spans="1:26" ht="12.75" customHeight="1" x14ac:dyDescent="0.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spans="1:26" ht="12.75" customHeight="1" x14ac:dyDescent="0.2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spans="1:26" ht="12.75" customHeight="1" x14ac:dyDescent="0.2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spans="1:26" ht="12.75" customHeight="1" x14ac:dyDescent="0.2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spans="1:26" ht="12.75" customHeight="1" x14ac:dyDescent="0.2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spans="1:26" ht="12.75" customHeight="1" x14ac:dyDescent="0.2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spans="1:26" ht="12.75" customHeight="1" x14ac:dyDescent="0.2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spans="1:26" ht="12.75" customHeight="1" x14ac:dyDescent="0.2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spans="1:26" ht="12.75" customHeight="1" x14ac:dyDescent="0.2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spans="1:26" ht="12.75" customHeight="1" x14ac:dyDescent="0.2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spans="1:26" ht="12.75" customHeight="1" x14ac:dyDescent="0.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spans="1:26" ht="12.75" customHeight="1" x14ac:dyDescent="0.2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spans="1:26" ht="12.75" customHeight="1" x14ac:dyDescent="0.2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spans="1:26" ht="12.75" customHeight="1" x14ac:dyDescent="0.2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spans="1:26" ht="12.75" customHeight="1" x14ac:dyDescent="0.2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spans="1:26" ht="12.75" customHeight="1" x14ac:dyDescent="0.2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spans="1:26" ht="12.75" customHeight="1" x14ac:dyDescent="0.2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spans="1:26" ht="12.75" customHeight="1" x14ac:dyDescent="0.2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spans="1:26" ht="12.75" customHeight="1" x14ac:dyDescent="0.2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spans="1:26" ht="12.75" customHeight="1" x14ac:dyDescent="0.2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spans="1:26" ht="12.75" customHeight="1" x14ac:dyDescent="0.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spans="1:26" ht="12.75" customHeight="1" x14ac:dyDescent="0.2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spans="1:26" ht="12.75" customHeight="1" x14ac:dyDescent="0.2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spans="1:26" ht="12.75" customHeight="1" x14ac:dyDescent="0.2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spans="1:26" ht="12.75" customHeight="1" x14ac:dyDescent="0.2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spans="1:26" ht="12.75" customHeight="1" x14ac:dyDescent="0.2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spans="1:26" ht="12.75" customHeight="1" x14ac:dyDescent="0.2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spans="1:26" ht="12.75" customHeight="1" x14ac:dyDescent="0.2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spans="1:26" ht="12.75" customHeight="1" x14ac:dyDescent="0.2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spans="1:26" ht="12.75" customHeight="1" x14ac:dyDescent="0.2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spans="1:26" ht="12.75" customHeight="1" x14ac:dyDescent="0.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spans="1:26" ht="12.75" customHeight="1" x14ac:dyDescent="0.2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spans="1:26" ht="12.75" customHeight="1" x14ac:dyDescent="0.2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spans="1:26" ht="12.75" customHeight="1" x14ac:dyDescent="0.2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spans="1:26" ht="12.75" customHeight="1" x14ac:dyDescent="0.2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spans="1:26" ht="12.75" customHeight="1" x14ac:dyDescent="0.2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spans="1:26" ht="12.75" customHeight="1" x14ac:dyDescent="0.2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spans="1:26" ht="12.75" customHeight="1" x14ac:dyDescent="0.2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spans="1:26" ht="12.75" customHeight="1" x14ac:dyDescent="0.2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spans="1:26" ht="12.75" customHeight="1" x14ac:dyDescent="0.2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spans="1:26" ht="12.75" customHeight="1" x14ac:dyDescent="0.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spans="1:26" ht="12.75" customHeight="1" x14ac:dyDescent="0.2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spans="1:26" ht="12.75" customHeight="1" x14ac:dyDescent="0.2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spans="1:26" ht="12.75" customHeight="1" x14ac:dyDescent="0.2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spans="1:26" ht="12.75" customHeight="1" x14ac:dyDescent="0.2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spans="1:26" ht="12.75" customHeight="1" x14ac:dyDescent="0.2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spans="1:26" ht="12.75" customHeight="1" x14ac:dyDescent="0.2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spans="1:26" ht="12.75" customHeight="1" x14ac:dyDescent="0.2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spans="1:26" ht="12.75" customHeight="1" x14ac:dyDescent="0.2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spans="1:26" ht="12.75" customHeight="1" x14ac:dyDescent="0.2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spans="1:26" ht="12.75" customHeight="1" x14ac:dyDescent="0.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spans="1:26" ht="12.75" customHeight="1" x14ac:dyDescent="0.2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spans="1:26" ht="12.75" customHeight="1" x14ac:dyDescent="0.2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spans="1:26" ht="12.75" customHeight="1" x14ac:dyDescent="0.2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spans="1:26" ht="12.75" customHeight="1" x14ac:dyDescent="0.2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spans="1:26" ht="12.75" customHeight="1" x14ac:dyDescent="0.2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spans="1:26" ht="12.75" customHeight="1" x14ac:dyDescent="0.2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spans="1:26" ht="12.75" customHeight="1" x14ac:dyDescent="0.2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spans="1:26" ht="12.75" customHeight="1" x14ac:dyDescent="0.2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spans="1:26" ht="12.75" customHeight="1" x14ac:dyDescent="0.2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spans="1:26" ht="12.75" customHeight="1" x14ac:dyDescent="0.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spans="1:26" ht="12.75" customHeight="1" x14ac:dyDescent="0.2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spans="1:26" ht="12.75" customHeight="1" x14ac:dyDescent="0.2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spans="1:26" ht="12.75" customHeight="1" x14ac:dyDescent="0.2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spans="1:26" ht="12.75" customHeight="1" x14ac:dyDescent="0.2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spans="1:26" ht="12.75" customHeight="1" x14ac:dyDescent="0.2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spans="1:26" ht="12.75" customHeight="1" x14ac:dyDescent="0.2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spans="1:26" ht="12.75" customHeight="1" x14ac:dyDescent="0.2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spans="1:26" ht="12.75" customHeight="1" x14ac:dyDescent="0.2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spans="1:26" ht="12.75" customHeight="1" x14ac:dyDescent="0.2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spans="1:26" ht="12.75" customHeight="1" x14ac:dyDescent="0.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spans="1:26" ht="12.75" customHeight="1" x14ac:dyDescent="0.2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spans="1:26" ht="12.75" customHeight="1" x14ac:dyDescent="0.2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spans="1:26" ht="12.75" customHeight="1" x14ac:dyDescent="0.2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spans="1:26" ht="12.75" customHeight="1" x14ac:dyDescent="0.2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spans="1:26" ht="12.75" customHeight="1" x14ac:dyDescent="0.2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spans="1:26" ht="12.75" customHeight="1" x14ac:dyDescent="0.2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spans="1:26" ht="12.75" customHeight="1" x14ac:dyDescent="0.2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spans="1:26" ht="12.75" customHeight="1" x14ac:dyDescent="0.2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spans="1:26" ht="12.75" customHeight="1" x14ac:dyDescent="0.2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spans="1:26" ht="12.75" customHeight="1" x14ac:dyDescent="0.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spans="1:26" ht="12.75" customHeight="1" x14ac:dyDescent="0.2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spans="1:26" ht="12.75" customHeight="1" x14ac:dyDescent="0.2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spans="1:26" ht="12.75" customHeight="1" x14ac:dyDescent="0.2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spans="1:26" ht="12.75" customHeight="1" x14ac:dyDescent="0.2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spans="1:26" ht="12.75" customHeight="1" x14ac:dyDescent="0.2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spans="1:26" ht="12.75" customHeight="1" x14ac:dyDescent="0.2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spans="1:26" ht="12.75" customHeight="1" x14ac:dyDescent="0.2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spans="1:26" ht="12.75" customHeight="1" x14ac:dyDescent="0.2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spans="1:26" ht="12.75" customHeight="1" x14ac:dyDescent="0.2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spans="1:26" ht="12.75" customHeight="1" x14ac:dyDescent="0.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spans="1:26" ht="12.75" customHeight="1" x14ac:dyDescent="0.2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spans="1:26" ht="12.75" customHeight="1" x14ac:dyDescent="0.2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spans="1:26" ht="12.75" customHeight="1" x14ac:dyDescent="0.2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spans="1:26" ht="12.75" customHeight="1" x14ac:dyDescent="0.2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spans="1:26" ht="12.75" customHeight="1" x14ac:dyDescent="0.2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spans="1:26" ht="12.75" customHeight="1" x14ac:dyDescent="0.2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spans="1:26" ht="12.75" customHeight="1" x14ac:dyDescent="0.2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spans="1:26" ht="12.75" customHeight="1" x14ac:dyDescent="0.2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spans="1:26" ht="12.75" customHeight="1" x14ac:dyDescent="0.2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spans="1:26" ht="12.75" customHeight="1" x14ac:dyDescent="0.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spans="1:26" ht="12.75" customHeight="1" x14ac:dyDescent="0.2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spans="1:26" ht="12.75" customHeight="1" x14ac:dyDescent="0.2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spans="1:26" ht="12.75" customHeight="1" x14ac:dyDescent="0.2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spans="1:26" ht="12.75" customHeight="1" x14ac:dyDescent="0.2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spans="1:26" ht="12.75" customHeight="1" x14ac:dyDescent="0.2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spans="1:26" ht="12.75" customHeight="1" x14ac:dyDescent="0.2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spans="1:26" ht="12.75" customHeight="1" x14ac:dyDescent="0.2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spans="1:26" ht="12.75" customHeight="1" x14ac:dyDescent="0.2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spans="1:26" ht="12.75" customHeight="1" x14ac:dyDescent="0.2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spans="1:26" ht="12.75" customHeight="1" x14ac:dyDescent="0.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spans="1:26" ht="12.75" customHeight="1" x14ac:dyDescent="0.2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spans="1:26" ht="12.75" customHeight="1" x14ac:dyDescent="0.2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spans="1:26" ht="12.75" customHeight="1" x14ac:dyDescent="0.2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spans="1:26" ht="12.75" customHeight="1" x14ac:dyDescent="0.2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spans="1:26" ht="12.75" customHeight="1" x14ac:dyDescent="0.2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spans="1:26" ht="12.75" customHeight="1" x14ac:dyDescent="0.2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spans="1:26" ht="12.75" customHeight="1" x14ac:dyDescent="0.2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spans="1:26" ht="12.75" customHeight="1" x14ac:dyDescent="0.2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spans="1:26" ht="12.75" customHeight="1" x14ac:dyDescent="0.2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spans="1:26" ht="12.75" customHeight="1" x14ac:dyDescent="0.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spans="1:26" ht="12.75" customHeight="1" x14ac:dyDescent="0.2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spans="1:26" ht="12.75" customHeight="1" x14ac:dyDescent="0.2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spans="1:26" ht="12.75" customHeight="1" x14ac:dyDescent="0.2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spans="1:26" ht="12.75" customHeight="1" x14ac:dyDescent="0.2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spans="1:26" ht="12.75" customHeight="1" x14ac:dyDescent="0.2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spans="1:26" ht="12.75" customHeight="1" x14ac:dyDescent="0.2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spans="1:26" ht="12.75" customHeight="1" x14ac:dyDescent="0.2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spans="1:26" ht="12.75" customHeight="1" x14ac:dyDescent="0.2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spans="1:26" ht="12.75" customHeight="1" x14ac:dyDescent="0.2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spans="1:26" ht="12.75" customHeight="1" x14ac:dyDescent="0.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spans="1:26" ht="12.75" customHeight="1" x14ac:dyDescent="0.2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spans="1:26" ht="12.75" customHeight="1" x14ac:dyDescent="0.2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spans="1:26" ht="12.75" customHeight="1" x14ac:dyDescent="0.2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spans="1:26" ht="12.75" customHeight="1" x14ac:dyDescent="0.2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spans="1:26" ht="12.75" customHeight="1" x14ac:dyDescent="0.2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spans="1:26" ht="12.75" customHeight="1" x14ac:dyDescent="0.2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spans="1:26" ht="12.75" customHeight="1" x14ac:dyDescent="0.2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spans="1:26" ht="12.75" customHeight="1" x14ac:dyDescent="0.2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spans="1:26" ht="12.75" customHeight="1" x14ac:dyDescent="0.2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spans="1:26" ht="12.75" customHeight="1" x14ac:dyDescent="0.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spans="1:26" ht="12.75" customHeight="1" x14ac:dyDescent="0.2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spans="1:26" ht="12.75" customHeight="1" x14ac:dyDescent="0.2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spans="1:26" ht="12.75" customHeight="1" x14ac:dyDescent="0.2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spans="1:26" ht="12.75" customHeight="1" x14ac:dyDescent="0.2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spans="1:26" ht="12.75" customHeight="1" x14ac:dyDescent="0.2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spans="1:26" ht="12.75" customHeight="1" x14ac:dyDescent="0.2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spans="1:26" ht="12.75" customHeight="1" x14ac:dyDescent="0.2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spans="1:26" ht="12.75" customHeight="1" x14ac:dyDescent="0.2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spans="1:26" ht="12.75" customHeight="1" x14ac:dyDescent="0.2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spans="1:26" ht="12.75" customHeight="1" x14ac:dyDescent="0.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spans="1:26" ht="12.75" customHeight="1" x14ac:dyDescent="0.2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spans="1:26" ht="12.75" customHeight="1" x14ac:dyDescent="0.2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spans="1:26" ht="12.75" customHeight="1" x14ac:dyDescent="0.2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spans="1:26" ht="12.75" customHeight="1" x14ac:dyDescent="0.2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spans="1:26" ht="12.75" customHeight="1" x14ac:dyDescent="0.2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spans="1:26" ht="12.75" customHeight="1" x14ac:dyDescent="0.2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spans="1:26" ht="12.75" customHeight="1" x14ac:dyDescent="0.2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spans="1:26" ht="12.75" customHeight="1" x14ac:dyDescent="0.2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spans="1:26" ht="12.75" customHeight="1" x14ac:dyDescent="0.2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spans="1:26" ht="12.75" customHeight="1" x14ac:dyDescent="0.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spans="1:26" ht="12.75" customHeight="1" x14ac:dyDescent="0.2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spans="1:26" ht="12.75" customHeight="1" x14ac:dyDescent="0.2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spans="1:26" ht="12.75" customHeight="1" x14ac:dyDescent="0.2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spans="1:26" ht="12.75" customHeight="1" x14ac:dyDescent="0.2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spans="1:26" ht="12.75" customHeight="1" x14ac:dyDescent="0.2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spans="1:26" ht="12.75" customHeight="1" x14ac:dyDescent="0.2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spans="1:26" ht="12.75" customHeight="1" x14ac:dyDescent="0.2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spans="1:26" ht="12.75" customHeight="1" x14ac:dyDescent="0.2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spans="1:26" ht="12.75" customHeight="1" x14ac:dyDescent="0.2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spans="1:26" ht="12.75" customHeight="1" x14ac:dyDescent="0.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spans="1:26" ht="12.75" customHeight="1" x14ac:dyDescent="0.2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spans="1:26" ht="12.75" customHeight="1" x14ac:dyDescent="0.2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spans="1:26" ht="12.75" customHeight="1" x14ac:dyDescent="0.2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spans="1:26" ht="12.75" customHeight="1" x14ac:dyDescent="0.2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spans="1:26" ht="12.75" customHeight="1" x14ac:dyDescent="0.2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spans="1:26" ht="12.75" customHeight="1" x14ac:dyDescent="0.2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spans="1:26" ht="12.75" customHeight="1" x14ac:dyDescent="0.2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spans="1:26" ht="12.75" customHeight="1" x14ac:dyDescent="0.2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spans="1:26" ht="12.75" customHeight="1" x14ac:dyDescent="0.2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spans="1:26" ht="12.75" customHeight="1" x14ac:dyDescent="0.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spans="1:26" ht="12.75" customHeight="1" x14ac:dyDescent="0.2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spans="1:26" ht="12.75" customHeight="1" x14ac:dyDescent="0.2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spans="1:26" ht="12.75" customHeight="1" x14ac:dyDescent="0.2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spans="1:26" ht="12.75" customHeight="1" x14ac:dyDescent="0.2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spans="1:26" ht="12.75" customHeight="1" x14ac:dyDescent="0.2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spans="1:26" ht="12.75" customHeight="1" x14ac:dyDescent="0.2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spans="1:26" ht="12.75" customHeight="1" x14ac:dyDescent="0.2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spans="1:26" ht="12.75" customHeight="1" x14ac:dyDescent="0.2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spans="1:26" ht="12.75" customHeight="1" x14ac:dyDescent="0.2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spans="1:26" ht="12.75" customHeight="1" x14ac:dyDescent="0.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spans="1:26" ht="12.75" customHeight="1" x14ac:dyDescent="0.2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spans="1:26" ht="12.75" customHeight="1" x14ac:dyDescent="0.2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spans="1:26" ht="12.75" customHeight="1" x14ac:dyDescent="0.2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spans="1:26" ht="12.75" customHeight="1" x14ac:dyDescent="0.2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spans="1:26" ht="12.75" customHeight="1" x14ac:dyDescent="0.2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spans="1:26" ht="12.75" customHeight="1" x14ac:dyDescent="0.2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spans="1:26" ht="12.75" customHeight="1" x14ac:dyDescent="0.2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spans="1:26" ht="12.75" customHeight="1" x14ac:dyDescent="0.2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spans="1:26" ht="12.75" customHeight="1" x14ac:dyDescent="0.2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spans="1:26" ht="12.75" customHeight="1" x14ac:dyDescent="0.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spans="1:26" ht="12.75" customHeight="1" x14ac:dyDescent="0.2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spans="1:26" ht="12.75" customHeight="1" x14ac:dyDescent="0.2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spans="1:26" ht="12.75" customHeight="1" x14ac:dyDescent="0.2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spans="1:26" ht="12.75" customHeight="1" x14ac:dyDescent="0.2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spans="1:26" ht="12.75" customHeight="1" x14ac:dyDescent="0.2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spans="1:26" ht="12.75" customHeight="1" x14ac:dyDescent="0.2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spans="1:26" ht="12.75" customHeight="1" x14ac:dyDescent="0.2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spans="1:26" ht="12.75" customHeight="1" x14ac:dyDescent="0.2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spans="1:26" ht="12.75" customHeight="1" x14ac:dyDescent="0.2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spans="1:26" ht="12.75" customHeight="1" x14ac:dyDescent="0.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spans="1:26" ht="12.75" customHeight="1" x14ac:dyDescent="0.2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spans="1:26" ht="12.75" customHeight="1" x14ac:dyDescent="0.2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spans="1:26" ht="12.75" customHeight="1" x14ac:dyDescent="0.2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spans="1:26" ht="12.75" customHeight="1" x14ac:dyDescent="0.2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spans="1:26" ht="12.75" customHeight="1" x14ac:dyDescent="0.2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spans="1:26" ht="12.75" customHeight="1" x14ac:dyDescent="0.2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spans="1:26" ht="12.75" customHeight="1" x14ac:dyDescent="0.2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spans="1:26" ht="12.75" customHeight="1" x14ac:dyDescent="0.2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spans="1:26" ht="12.75" customHeight="1" x14ac:dyDescent="0.2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spans="1:26" ht="12.75" customHeight="1" x14ac:dyDescent="0.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spans="1:26" ht="12.75" customHeight="1" x14ac:dyDescent="0.2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spans="1:26" ht="12.75" customHeight="1" x14ac:dyDescent="0.2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spans="1:26" ht="12.75" customHeight="1" x14ac:dyDescent="0.2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spans="1:26" ht="12.75" customHeight="1" x14ac:dyDescent="0.2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spans="1:26" ht="12.75" customHeight="1" x14ac:dyDescent="0.2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spans="1:26" ht="12.75" customHeight="1" x14ac:dyDescent="0.2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spans="1:26" ht="12.75" customHeight="1" x14ac:dyDescent="0.2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spans="1:26" ht="12.75" customHeight="1" x14ac:dyDescent="0.2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spans="1:26" ht="12.75" customHeight="1" x14ac:dyDescent="0.2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spans="1:26" ht="12.75" customHeight="1" x14ac:dyDescent="0.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spans="1:26" ht="12.75" customHeight="1" x14ac:dyDescent="0.2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spans="1:26" ht="12.75" customHeight="1" x14ac:dyDescent="0.2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spans="1:26" ht="12.75" customHeight="1" x14ac:dyDescent="0.2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spans="1:26" ht="12.75" customHeight="1" x14ac:dyDescent="0.2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spans="1:26" ht="12.75" customHeight="1" x14ac:dyDescent="0.2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spans="1:26" ht="12.75" customHeight="1" x14ac:dyDescent="0.2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spans="1:26" ht="12.75" customHeight="1" x14ac:dyDescent="0.2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spans="1:26" ht="12.75" customHeight="1" x14ac:dyDescent="0.2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spans="1:26" ht="12.75" customHeight="1" x14ac:dyDescent="0.2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spans="1:26" ht="12.75" customHeight="1" x14ac:dyDescent="0.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spans="1:26" ht="12.75" customHeight="1" x14ac:dyDescent="0.2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spans="1:26" ht="12.75" customHeight="1" x14ac:dyDescent="0.2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spans="1:26" ht="12.75" customHeight="1" x14ac:dyDescent="0.2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spans="1:26" ht="12.75" customHeight="1" x14ac:dyDescent="0.2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spans="1:26" ht="12.75" customHeight="1" x14ac:dyDescent="0.2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spans="1:26" ht="12.75" customHeight="1" x14ac:dyDescent="0.2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spans="1:26" ht="12.75" customHeight="1" x14ac:dyDescent="0.2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spans="1:26" ht="12.75" customHeight="1" x14ac:dyDescent="0.2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spans="1:26" ht="12.75" customHeight="1" x14ac:dyDescent="0.2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spans="1:26" ht="12.75" customHeight="1" x14ac:dyDescent="0.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spans="1:26" ht="12.75" customHeight="1" x14ac:dyDescent="0.2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spans="1:26" ht="12.75" customHeight="1" x14ac:dyDescent="0.2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spans="1:26" ht="12.75" customHeight="1" x14ac:dyDescent="0.2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spans="1:26" ht="12.75" customHeight="1" x14ac:dyDescent="0.2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spans="1:26" ht="12.75" customHeight="1" x14ac:dyDescent="0.2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spans="1:26" ht="12.75" customHeight="1" x14ac:dyDescent="0.2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spans="1:26" ht="12.75" customHeight="1" x14ac:dyDescent="0.2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spans="1:26" ht="12.75" customHeight="1" x14ac:dyDescent="0.2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spans="1:26" ht="12.75" customHeight="1" x14ac:dyDescent="0.2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spans="1:26" ht="12.75" customHeight="1" x14ac:dyDescent="0.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spans="1:26" ht="12.75" customHeight="1" x14ac:dyDescent="0.2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spans="1:26" ht="12.75" customHeight="1" x14ac:dyDescent="0.2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spans="1:26" ht="12.75" customHeight="1" x14ac:dyDescent="0.2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spans="1:26" ht="12.75" customHeight="1" x14ac:dyDescent="0.2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spans="1:26" ht="12.75" customHeight="1" x14ac:dyDescent="0.2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spans="1:26" ht="12.75" customHeight="1" x14ac:dyDescent="0.2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spans="1:26" ht="12.75" customHeight="1" x14ac:dyDescent="0.2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spans="1:26" ht="12.75" customHeight="1" x14ac:dyDescent="0.2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spans="1:26" ht="12.75" customHeight="1" x14ac:dyDescent="0.2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spans="1:26" ht="12.75" customHeight="1" x14ac:dyDescent="0.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spans="1:26" ht="12.75" customHeight="1" x14ac:dyDescent="0.2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spans="1:26" ht="12.75" customHeight="1" x14ac:dyDescent="0.2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spans="1:26" ht="12.75" customHeight="1" x14ac:dyDescent="0.2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spans="1:26" ht="12.75" customHeight="1" x14ac:dyDescent="0.2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spans="1:26" ht="12.75" customHeight="1" x14ac:dyDescent="0.2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spans="1:26" ht="12.75" customHeight="1" x14ac:dyDescent="0.2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spans="1:26" ht="12.75" customHeight="1" x14ac:dyDescent="0.2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spans="1:26" ht="12.75" customHeight="1" x14ac:dyDescent="0.2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spans="1:26" ht="12.75" customHeight="1" x14ac:dyDescent="0.2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spans="1:26" ht="12.75" customHeight="1" x14ac:dyDescent="0.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spans="1:26" ht="12.75" customHeight="1" x14ac:dyDescent="0.2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spans="1:26" ht="12.75" customHeight="1" x14ac:dyDescent="0.2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spans="1:26" ht="12.75" customHeight="1" x14ac:dyDescent="0.2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spans="1:26" ht="12.75" customHeight="1" x14ac:dyDescent="0.2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spans="1:26" ht="12.75" customHeight="1" x14ac:dyDescent="0.2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spans="1:26" ht="12.75" customHeight="1" x14ac:dyDescent="0.2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spans="1:26" ht="12.75" customHeight="1" x14ac:dyDescent="0.2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spans="1:26" ht="12.75" customHeight="1" x14ac:dyDescent="0.2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spans="1:26" ht="12.75" customHeight="1" x14ac:dyDescent="0.2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spans="1:26" ht="12.75" customHeight="1" x14ac:dyDescent="0.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spans="1:26" ht="12.75" customHeight="1" x14ac:dyDescent="0.2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spans="1:26" ht="12.75" customHeight="1" x14ac:dyDescent="0.2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spans="1:26" ht="12.75" customHeight="1" x14ac:dyDescent="0.2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spans="1:26" ht="12.75" customHeight="1" x14ac:dyDescent="0.2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spans="1:26" ht="12.75" customHeight="1" x14ac:dyDescent="0.2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spans="1:26" ht="12.75" customHeight="1" x14ac:dyDescent="0.2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spans="1:26" ht="12.75" customHeight="1" x14ac:dyDescent="0.2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spans="1:26" ht="12.75" customHeight="1" x14ac:dyDescent="0.2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spans="1:26" ht="12.75" customHeight="1" x14ac:dyDescent="0.2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spans="1:26" ht="12.75" customHeight="1" x14ac:dyDescent="0.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spans="1:26" ht="12.75" customHeight="1" x14ac:dyDescent="0.2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spans="1:26" ht="12.75" customHeight="1" x14ac:dyDescent="0.2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spans="1:26" ht="12.75" customHeight="1" x14ac:dyDescent="0.2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spans="1:26" ht="12.75" customHeight="1" x14ac:dyDescent="0.2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spans="1:26" ht="12.75" customHeight="1" x14ac:dyDescent="0.2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spans="1:26" ht="12.75" customHeight="1" x14ac:dyDescent="0.2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spans="1:26" ht="12.75" customHeight="1" x14ac:dyDescent="0.2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spans="1:26" ht="12.75" customHeight="1" x14ac:dyDescent="0.2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spans="1:26" ht="12.75" customHeight="1" x14ac:dyDescent="0.2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spans="1:26" ht="12.75" customHeight="1" x14ac:dyDescent="0.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spans="1:26" ht="12.75" customHeight="1" x14ac:dyDescent="0.2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spans="1:26" ht="12.75" customHeight="1" x14ac:dyDescent="0.2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spans="1:26" ht="12.75" customHeight="1" x14ac:dyDescent="0.2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spans="1:26" ht="12.75" customHeight="1" x14ac:dyDescent="0.2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spans="1:26" ht="12.75" customHeight="1" x14ac:dyDescent="0.2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spans="1:26" ht="12.75" customHeight="1" x14ac:dyDescent="0.2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spans="1:26" ht="12.75" customHeight="1" x14ac:dyDescent="0.2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spans="1:26" ht="12.75" customHeight="1" x14ac:dyDescent="0.2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spans="1:26" ht="12.75" customHeight="1" x14ac:dyDescent="0.2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spans="1:26" ht="12.75" customHeight="1" x14ac:dyDescent="0.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spans="1:26" ht="12.75" customHeight="1" x14ac:dyDescent="0.2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spans="1:26" ht="12.75" customHeight="1" x14ac:dyDescent="0.2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spans="1:26" ht="12.75" customHeight="1" x14ac:dyDescent="0.2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spans="1:26" ht="12.75" customHeight="1" x14ac:dyDescent="0.2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spans="1:26" ht="12.75" customHeight="1" x14ac:dyDescent="0.2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spans="1:26" ht="12.75" customHeight="1" x14ac:dyDescent="0.2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spans="1:26" ht="12.75" customHeight="1" x14ac:dyDescent="0.2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spans="1:26" ht="12.75" customHeight="1" x14ac:dyDescent="0.2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spans="1:26" ht="12.75" customHeight="1" x14ac:dyDescent="0.2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spans="1:26" ht="12.75" customHeight="1" x14ac:dyDescent="0.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spans="1:26" ht="12.75" customHeight="1" x14ac:dyDescent="0.2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spans="1:26" ht="12.75" customHeight="1" x14ac:dyDescent="0.2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spans="1:26" ht="12.75" customHeight="1" x14ac:dyDescent="0.2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spans="1:26" ht="12.75" customHeight="1" x14ac:dyDescent="0.2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spans="1:26" ht="12.75" customHeight="1" x14ac:dyDescent="0.2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spans="1:26" ht="12.75" customHeight="1" x14ac:dyDescent="0.2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spans="1:26" ht="12.75" customHeight="1" x14ac:dyDescent="0.2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spans="1:26" ht="12.75" customHeight="1" x14ac:dyDescent="0.2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spans="1:26" ht="12.75" customHeight="1" x14ac:dyDescent="0.2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spans="1:26" ht="12.75" customHeight="1" x14ac:dyDescent="0.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spans="1:26" ht="12.75" customHeight="1" x14ac:dyDescent="0.2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spans="1:26" ht="12.75" customHeight="1" x14ac:dyDescent="0.2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spans="1:26" ht="12.75" customHeight="1" x14ac:dyDescent="0.2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spans="1:26" ht="12.75" customHeight="1" x14ac:dyDescent="0.2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spans="1:26" ht="12.75" customHeight="1" x14ac:dyDescent="0.2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spans="1:26" ht="12.75" customHeight="1" x14ac:dyDescent="0.2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spans="1:26" ht="12.75" customHeight="1" x14ac:dyDescent="0.2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spans="1:26" ht="12.75" customHeight="1" x14ac:dyDescent="0.2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spans="1:26" ht="12.75" customHeight="1" x14ac:dyDescent="0.2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spans="1:26" ht="12.75" customHeight="1" x14ac:dyDescent="0.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spans="1:26" ht="12.75" customHeight="1" x14ac:dyDescent="0.2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spans="1:26" ht="12.75" customHeight="1" x14ac:dyDescent="0.2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spans="1:26" ht="12.75" customHeight="1" x14ac:dyDescent="0.2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spans="1:26" ht="12.75" customHeight="1" x14ac:dyDescent="0.2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spans="1:26" ht="12.75" customHeight="1" x14ac:dyDescent="0.2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spans="1:26" ht="12.75" customHeight="1" x14ac:dyDescent="0.2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spans="1:26" ht="12.75" customHeight="1" x14ac:dyDescent="0.2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spans="1:26" ht="12.75" customHeight="1" x14ac:dyDescent="0.2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spans="1:26" ht="12.75" customHeight="1" x14ac:dyDescent="0.2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spans="1:26" ht="12.75" customHeight="1" x14ac:dyDescent="0.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spans="1:26" ht="12.75" customHeight="1" x14ac:dyDescent="0.2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spans="1:26" ht="12.75" customHeight="1" x14ac:dyDescent="0.2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spans="1:26" ht="12.75" customHeight="1" x14ac:dyDescent="0.2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spans="1:26" ht="12.75" customHeight="1" x14ac:dyDescent="0.2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spans="1:26" ht="12.75" customHeight="1" x14ac:dyDescent="0.2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spans="1:26" ht="12.75" customHeight="1" x14ac:dyDescent="0.2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spans="1:26" ht="12.75" customHeight="1" x14ac:dyDescent="0.2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spans="1:26" ht="12.75" customHeight="1" x14ac:dyDescent="0.2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spans="1:26" ht="12.75" customHeight="1" x14ac:dyDescent="0.2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spans="1:26" ht="12.75" customHeight="1" x14ac:dyDescent="0.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spans="1:26" ht="12.75" customHeight="1" x14ac:dyDescent="0.2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spans="1:26" ht="12.75" customHeight="1" x14ac:dyDescent="0.2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spans="1:26" ht="12.75" customHeight="1" x14ac:dyDescent="0.2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spans="1:26" ht="12.75" customHeight="1" x14ac:dyDescent="0.2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spans="1:26" ht="12.75" customHeight="1" x14ac:dyDescent="0.2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spans="1:26" ht="12.75" customHeight="1" x14ac:dyDescent="0.2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spans="1:26" ht="12.75" customHeight="1" x14ac:dyDescent="0.2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spans="1:26" ht="12.75" customHeight="1" x14ac:dyDescent="0.2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spans="1:26" ht="12.75" customHeight="1" x14ac:dyDescent="0.2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spans="1:26" ht="12.75" customHeight="1" x14ac:dyDescent="0.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spans="1:26" ht="12.75" customHeight="1" x14ac:dyDescent="0.2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spans="1:26" ht="12.75" customHeight="1" x14ac:dyDescent="0.2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spans="1:26" ht="12.75" customHeight="1" x14ac:dyDescent="0.2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spans="1:26" ht="12.75" customHeight="1" x14ac:dyDescent="0.2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spans="1:26" ht="12.75" customHeight="1" x14ac:dyDescent="0.2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spans="1:26" ht="12.75" customHeight="1" x14ac:dyDescent="0.2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spans="1:26" ht="12.75" customHeight="1" x14ac:dyDescent="0.2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spans="1:26" ht="12.75" customHeight="1" x14ac:dyDescent="0.2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spans="1:26" ht="12.75" customHeight="1" x14ac:dyDescent="0.2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spans="1:26" ht="12.75" customHeight="1" x14ac:dyDescent="0.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spans="1:26" ht="12.75" customHeight="1" x14ac:dyDescent="0.2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spans="1:26" ht="12.75" customHeight="1" x14ac:dyDescent="0.2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spans="1:26" ht="12.75" customHeight="1" x14ac:dyDescent="0.2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spans="1:26" ht="12.75" customHeight="1" x14ac:dyDescent="0.2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spans="1:26" ht="12.75" customHeight="1" x14ac:dyDescent="0.2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spans="1:26" ht="12.75" customHeight="1" x14ac:dyDescent="0.2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spans="1:26" ht="12.75" customHeight="1" x14ac:dyDescent="0.2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spans="1:26" ht="12.75" customHeight="1" x14ac:dyDescent="0.2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spans="1:26" ht="12.75" customHeight="1" x14ac:dyDescent="0.2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spans="1:26" ht="12.75" customHeight="1" x14ac:dyDescent="0.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spans="1:26" ht="12.75" customHeight="1" x14ac:dyDescent="0.2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spans="1:26" ht="12.75" customHeight="1" x14ac:dyDescent="0.2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spans="1:26" ht="12.75" customHeight="1" x14ac:dyDescent="0.2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spans="1:26" ht="12.75" customHeight="1" x14ac:dyDescent="0.2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spans="1:26" ht="12.75" customHeight="1" x14ac:dyDescent="0.2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spans="1:26" ht="12.75" customHeight="1" x14ac:dyDescent="0.2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spans="1:26" ht="12.75" customHeight="1" x14ac:dyDescent="0.2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spans="1:26" ht="12.75" customHeight="1" x14ac:dyDescent="0.2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spans="1:26" ht="12.75" customHeight="1" x14ac:dyDescent="0.2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spans="1:26" ht="12.75" customHeight="1" x14ac:dyDescent="0.2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spans="1:26" ht="12.75" customHeight="1" x14ac:dyDescent="0.2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spans="1:26" ht="12.75" customHeight="1" x14ac:dyDescent="0.2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spans="1:26" ht="12.75" customHeight="1" x14ac:dyDescent="0.2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spans="1:26" ht="12.75" customHeight="1" x14ac:dyDescent="0.2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spans="1:26" ht="12.75" customHeight="1" x14ac:dyDescent="0.2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spans="1:26" ht="12.75" customHeight="1" x14ac:dyDescent="0.2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spans="1:26" ht="12.75" customHeight="1" x14ac:dyDescent="0.2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spans="1:26" ht="12.75" customHeight="1" x14ac:dyDescent="0.2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spans="1:26" ht="12.75" customHeight="1" x14ac:dyDescent="0.2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spans="1:26" ht="12.75" customHeight="1" x14ac:dyDescent="0.2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spans="1:26" ht="12.75" customHeight="1" x14ac:dyDescent="0.2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spans="1:26" ht="12.75" customHeight="1" x14ac:dyDescent="0.2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spans="1:26" ht="12.75" customHeight="1" x14ac:dyDescent="0.2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spans="1:26" ht="12.75" customHeight="1" x14ac:dyDescent="0.2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spans="1:26" ht="12.75" customHeight="1" x14ac:dyDescent="0.2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spans="1:26" ht="12.75" customHeight="1" x14ac:dyDescent="0.2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spans="1:26" ht="12.75" customHeight="1" x14ac:dyDescent="0.2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spans="1:26" ht="12.75" customHeight="1" x14ac:dyDescent="0.2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spans="1:26" ht="12.75" customHeight="1" x14ac:dyDescent="0.2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spans="1:26" ht="12.75" customHeight="1" x14ac:dyDescent="0.2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spans="1:26" ht="12.75" customHeight="1" x14ac:dyDescent="0.2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spans="1:26" ht="12.75" customHeight="1" x14ac:dyDescent="0.2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spans="1:26" ht="12.75" customHeight="1" x14ac:dyDescent="0.2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spans="1:26" ht="12.75" customHeight="1" x14ac:dyDescent="0.2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spans="1:26" ht="12.75" customHeight="1" x14ac:dyDescent="0.2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spans="1:26" ht="12.75" customHeight="1" x14ac:dyDescent="0.2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spans="1:26" ht="12.75" customHeight="1" x14ac:dyDescent="0.2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spans="1:26" ht="12.75" customHeight="1" x14ac:dyDescent="0.2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spans="1:26" ht="12.75" customHeight="1" x14ac:dyDescent="0.2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spans="1:26" ht="12.75" customHeight="1" x14ac:dyDescent="0.2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spans="1:26" ht="12.75" customHeight="1" x14ac:dyDescent="0.2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spans="1:26" ht="12.75" customHeight="1" x14ac:dyDescent="0.2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</sheetData>
  <sheetProtection algorithmName="SHA-512" hashValue="hc4RqM0cJyoJrX1B3HvKBOn956AzlNkmIDaS/9FCgFK5UWWqhyw6VODXF/n4x9WJIqqrBJdOmev6U2KOLi7peQ==" saltValue="6Y8doRXwYC7hzoMl1hJnUg==" spinCount="100000" sheet="1" objects="1" scenarios="1"/>
  <mergeCells count="13">
    <mergeCell ref="B47:C47"/>
    <mergeCell ref="E47:F47"/>
    <mergeCell ref="G47:H47"/>
    <mergeCell ref="B49:C49"/>
    <mergeCell ref="E49:F49"/>
    <mergeCell ref="G49:H49"/>
    <mergeCell ref="A39:D39"/>
    <mergeCell ref="A40:B40"/>
    <mergeCell ref="A1:B4"/>
    <mergeCell ref="C1:H4"/>
    <mergeCell ref="B6:J6"/>
    <mergeCell ref="J26:M26"/>
    <mergeCell ref="J27:K27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75"/>
  <sheetViews>
    <sheetView workbookViewId="0">
      <selection activeCell="G31" sqref="G31"/>
    </sheetView>
  </sheetViews>
  <sheetFormatPr baseColWidth="10" defaultColWidth="12.5703125" defaultRowHeight="15" customHeight="1" x14ac:dyDescent="0.2"/>
  <cols>
    <col min="1" max="1" width="3.7109375" customWidth="1"/>
    <col min="2" max="2" width="10.5703125" customWidth="1"/>
    <col min="3" max="3" width="14.85546875" customWidth="1"/>
    <col min="4" max="10" width="10.5703125" customWidth="1"/>
    <col min="11" max="11" width="5.28515625" customWidth="1"/>
    <col min="12" max="26" width="10.5703125" customWidth="1"/>
  </cols>
  <sheetData>
    <row r="1" spans="1:11" ht="12.75" customHeight="1" x14ac:dyDescent="0.2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1" ht="12.75" customHeight="1" x14ac:dyDescent="0.2">
      <c r="A2" s="47"/>
      <c r="B2" s="633" t="s">
        <v>124</v>
      </c>
      <c r="C2" s="634"/>
      <c r="D2" s="634"/>
      <c r="E2" s="634"/>
      <c r="F2" s="634"/>
      <c r="G2" s="575"/>
      <c r="H2" s="47"/>
      <c r="I2" s="47"/>
      <c r="J2" s="47"/>
      <c r="K2" s="47"/>
    </row>
    <row r="3" spans="1:11" ht="12.75" customHeight="1" x14ac:dyDescent="0.2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</row>
    <row r="4" spans="1:11" ht="12.75" customHeight="1" x14ac:dyDescent="0.2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</row>
    <row r="5" spans="1:11" ht="12.75" customHeight="1" x14ac:dyDescent="0.2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</row>
    <row r="6" spans="1:11" ht="12.75" customHeight="1" x14ac:dyDescent="0.2">
      <c r="A6" s="47"/>
      <c r="B6" s="47"/>
      <c r="C6" s="47"/>
      <c r="D6" s="47"/>
      <c r="E6" s="47"/>
      <c r="F6" s="47"/>
      <c r="G6" s="47"/>
      <c r="H6" s="47"/>
      <c r="I6" s="635"/>
      <c r="J6" s="575"/>
      <c r="K6" s="47"/>
    </row>
    <row r="7" spans="1:11" ht="12.75" customHeight="1" x14ac:dyDescent="0.2">
      <c r="A7" s="47"/>
      <c r="B7" s="91" t="s">
        <v>37</v>
      </c>
      <c r="C7" s="350">
        <v>-1.4899999999999999E-6</v>
      </c>
      <c r="D7" s="47"/>
      <c r="E7" s="47"/>
      <c r="F7" s="47"/>
      <c r="G7" s="47"/>
      <c r="H7" s="47"/>
      <c r="I7" s="92"/>
      <c r="J7" s="92"/>
      <c r="K7" s="47"/>
    </row>
    <row r="8" spans="1:11" ht="12.75" customHeight="1" x14ac:dyDescent="0.2">
      <c r="A8" s="47"/>
      <c r="B8" s="93" t="s">
        <v>125</v>
      </c>
      <c r="C8" s="351">
        <v>1.1399999999999999</v>
      </c>
      <c r="D8" s="352">
        <v>2.4800000000000002E-10</v>
      </c>
      <c r="E8" s="47"/>
      <c r="F8" s="47"/>
      <c r="G8" s="47"/>
      <c r="H8" s="47"/>
      <c r="I8" s="47"/>
      <c r="J8" s="47"/>
      <c r="K8" s="47"/>
    </row>
    <row r="9" spans="1:11" ht="12.75" customHeight="1" x14ac:dyDescent="0.2">
      <c r="A9" s="47"/>
      <c r="B9" s="93" t="s">
        <v>126</v>
      </c>
      <c r="C9" s="353" t="s">
        <v>223</v>
      </c>
      <c r="D9" s="94"/>
      <c r="E9" s="47"/>
      <c r="F9" s="92" t="s">
        <v>23</v>
      </c>
      <c r="G9" s="47"/>
      <c r="H9" s="47"/>
      <c r="I9" s="47"/>
      <c r="J9" s="47"/>
      <c r="K9" s="47"/>
    </row>
    <row r="10" spans="1:11" ht="12.75" customHeight="1" x14ac:dyDescent="0.2">
      <c r="A10" s="47"/>
      <c r="B10" s="93" t="s">
        <v>127</v>
      </c>
      <c r="C10" s="94">
        <v>1</v>
      </c>
      <c r="D10" s="94" t="s">
        <v>23</v>
      </c>
      <c r="E10" s="47"/>
      <c r="F10" s="47"/>
      <c r="G10" s="47"/>
      <c r="H10" s="47"/>
      <c r="I10" s="47"/>
      <c r="J10" s="47"/>
      <c r="K10" s="47"/>
    </row>
    <row r="11" spans="1:11" ht="12.75" customHeight="1" x14ac:dyDescent="0.2">
      <c r="A11" s="47"/>
      <c r="B11" s="93" t="s">
        <v>128</v>
      </c>
      <c r="C11" s="94" t="s">
        <v>39</v>
      </c>
      <c r="D11" s="47"/>
      <c r="E11" s="47"/>
      <c r="F11" s="47"/>
      <c r="G11" s="47"/>
      <c r="H11" s="47"/>
      <c r="I11" s="47"/>
      <c r="J11" s="47"/>
      <c r="K11" s="47"/>
    </row>
    <row r="12" spans="1:11" ht="12.75" customHeight="1" x14ac:dyDescent="0.2">
      <c r="A12" s="47"/>
      <c r="B12" s="354" t="s">
        <v>40</v>
      </c>
      <c r="C12" s="355"/>
      <c r="D12" s="501">
        <v>46160</v>
      </c>
      <c r="E12" s="47"/>
      <c r="F12" s="47"/>
      <c r="G12" s="47"/>
      <c r="H12" s="47"/>
      <c r="I12" s="47"/>
      <c r="J12" s="47"/>
      <c r="K12" s="47"/>
    </row>
    <row r="13" spans="1:11" ht="12.75" customHeight="1" x14ac:dyDescent="0.2">
      <c r="A13" s="47"/>
      <c r="B13" s="95" t="s">
        <v>67</v>
      </c>
      <c r="C13" s="298" t="s">
        <v>129</v>
      </c>
      <c r="D13" s="299">
        <v>500</v>
      </c>
      <c r="E13" s="299">
        <v>1000</v>
      </c>
      <c r="F13" s="299">
        <v>5000</v>
      </c>
      <c r="G13" s="299">
        <v>10000</v>
      </c>
      <c r="H13" s="299">
        <v>15000</v>
      </c>
      <c r="I13" s="96">
        <v>20000</v>
      </c>
      <c r="J13" s="96"/>
      <c r="K13" s="47"/>
    </row>
    <row r="14" spans="1:11" ht="12.75" customHeight="1" x14ac:dyDescent="0.2">
      <c r="A14" s="47"/>
      <c r="B14" s="381"/>
      <c r="C14" s="349"/>
      <c r="D14" s="329"/>
      <c r="E14" s="329"/>
      <c r="F14" s="329"/>
      <c r="G14" s="329"/>
      <c r="H14" s="329"/>
      <c r="I14" s="329"/>
      <c r="J14" s="97"/>
      <c r="K14" s="47"/>
    </row>
    <row r="15" spans="1:11" ht="12.75" customHeight="1" x14ac:dyDescent="0.2">
      <c r="A15" s="47"/>
      <c r="B15" s="111"/>
      <c r="C15" s="349"/>
      <c r="D15" s="329"/>
      <c r="E15" s="329"/>
      <c r="F15" s="329"/>
      <c r="G15" s="329"/>
      <c r="H15" s="329"/>
      <c r="I15" s="97"/>
      <c r="J15" s="97"/>
      <c r="K15" s="47"/>
    </row>
    <row r="16" spans="1:11" ht="12.75" customHeight="1" x14ac:dyDescent="0.2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</row>
    <row r="17" spans="1:11" ht="12.75" customHeight="1" x14ac:dyDescent="0.2">
      <c r="A17" s="47"/>
      <c r="B17" s="98"/>
      <c r="C17" s="99" t="s">
        <v>130</v>
      </c>
      <c r="D17" s="100">
        <v>0</v>
      </c>
      <c r="E17" s="100">
        <v>0</v>
      </c>
      <c r="F17" s="100">
        <v>0</v>
      </c>
      <c r="G17" s="100">
        <v>0</v>
      </c>
      <c r="H17" s="100">
        <v>0</v>
      </c>
      <c r="I17" s="100">
        <v>0</v>
      </c>
      <c r="J17" s="100"/>
      <c r="K17" s="47"/>
    </row>
    <row r="18" spans="1:11" ht="12.75" customHeight="1" x14ac:dyDescent="0.2">
      <c r="A18" s="47"/>
      <c r="B18" s="92"/>
      <c r="C18" s="93"/>
      <c r="D18" s="101"/>
      <c r="E18" s="101"/>
      <c r="F18" s="101"/>
      <c r="G18" s="101"/>
      <c r="H18" s="101"/>
      <c r="I18" s="101"/>
      <c r="J18" s="101"/>
      <c r="K18" s="47"/>
    </row>
    <row r="19" spans="1:11" ht="12.75" customHeight="1" x14ac:dyDescent="0.2">
      <c r="A19" s="47"/>
      <c r="B19" s="102" t="s">
        <v>131</v>
      </c>
      <c r="C19" s="102"/>
      <c r="D19" s="102"/>
      <c r="E19" s="102"/>
      <c r="F19" s="47"/>
      <c r="G19" s="47"/>
      <c r="H19" s="47"/>
      <c r="I19" s="47"/>
      <c r="J19" s="47"/>
      <c r="K19" s="47"/>
    </row>
    <row r="20" spans="1:11" ht="12.75" customHeight="1" x14ac:dyDescent="0.2">
      <c r="A20" s="47"/>
      <c r="B20" s="47"/>
      <c r="C20" s="47"/>
      <c r="D20" s="96">
        <f>+D13</f>
        <v>500</v>
      </c>
      <c r="E20" s="96">
        <f>+E13</f>
        <v>1000</v>
      </c>
      <c r="F20" s="96">
        <f>+F13</f>
        <v>5000</v>
      </c>
      <c r="G20" s="96">
        <f>+G13</f>
        <v>10000</v>
      </c>
      <c r="H20" s="96">
        <f>+H13</f>
        <v>15000</v>
      </c>
      <c r="I20" s="96">
        <v>20000</v>
      </c>
      <c r="J20" s="96"/>
      <c r="K20" s="47"/>
    </row>
    <row r="21" spans="1:11" ht="12.75" customHeight="1" x14ac:dyDescent="0.2">
      <c r="A21" s="47"/>
      <c r="B21" s="47"/>
      <c r="C21" s="47"/>
      <c r="D21" s="100">
        <f t="shared" ref="D21:I21" si="0">D17</f>
        <v>0</v>
      </c>
      <c r="E21" s="100">
        <f t="shared" si="0"/>
        <v>0</v>
      </c>
      <c r="F21" s="100">
        <f t="shared" si="0"/>
        <v>0</v>
      </c>
      <c r="G21" s="100">
        <f t="shared" si="0"/>
        <v>0</v>
      </c>
      <c r="H21" s="100">
        <f t="shared" si="0"/>
        <v>0</v>
      </c>
      <c r="I21" s="100">
        <f t="shared" si="0"/>
        <v>0</v>
      </c>
      <c r="J21" s="100"/>
      <c r="K21" s="47"/>
    </row>
    <row r="22" spans="1:11" ht="12.75" customHeight="1" x14ac:dyDescent="0.2">
      <c r="A22" s="47"/>
      <c r="B22" s="56"/>
      <c r="C22" s="56"/>
      <c r="D22" s="47"/>
      <c r="E22" s="47"/>
      <c r="F22" s="47"/>
      <c r="G22" s="47"/>
      <c r="H22" s="47"/>
      <c r="I22" s="47"/>
      <c r="J22" s="47"/>
      <c r="K22" s="47"/>
    </row>
    <row r="23" spans="1:11" ht="12.75" customHeight="1" x14ac:dyDescent="0.2">
      <c r="A23" s="47"/>
      <c r="B23" s="103" t="s">
        <v>132</v>
      </c>
      <c r="C23" s="56"/>
      <c r="D23" s="47"/>
      <c r="E23" s="47"/>
      <c r="F23" s="47"/>
      <c r="G23" s="47"/>
      <c r="H23" s="47"/>
      <c r="I23" s="47"/>
      <c r="J23" s="47"/>
      <c r="K23" s="47"/>
    </row>
    <row r="24" spans="1:11" ht="27" customHeight="1" x14ac:dyDescent="0.2">
      <c r="A24" s="47"/>
      <c r="B24" s="636" t="s">
        <v>22</v>
      </c>
      <c r="C24" s="622"/>
      <c r="D24" s="104" t="str">
        <f>+DATOS!$M$30</f>
        <v/>
      </c>
      <c r="E24" s="105">
        <f>IF(D24&lt;=$D$20,$D$21,IF(AND(D24&gt;$D$20,D24&lt;=$E$20),$E$21,IF(AND(D24&gt;$E$20,D24&lt;=$F$20),$F$21,IF(AND(D24&gt;$F$20,D24&lt;=$G$20),$G$21,IF(AND(D24&gt;$G$20,D24&lt;=$H$20),$H$21,$H$21)))))</f>
        <v>0</v>
      </c>
      <c r="F24" s="47"/>
      <c r="G24" s="47"/>
      <c r="H24" s="47"/>
      <c r="I24" s="47"/>
      <c r="J24" s="47"/>
      <c r="K24" s="47"/>
    </row>
    <row r="25" spans="1:11" ht="30.75" customHeight="1" x14ac:dyDescent="0.2">
      <c r="B25" s="620" t="s">
        <v>77</v>
      </c>
      <c r="C25" s="622"/>
      <c r="D25" s="106" t="str">
        <f>+DATOS!$M$33</f>
        <v/>
      </c>
      <c r="E25" s="105">
        <f>IF(D25&lt;=$D$20,$D$21,IF(AND(D25&gt;$D$20,D25&lt;=$E$20),$E$21,IF(AND(D25&gt;$E$20,D25&lt;=$F$20),$F$21,IF(AND(D25&gt;$F$20,D25&lt;=$G$20),$G$21,IF(AND(D25&gt;$G$20,D25&lt;=$H$20),$H$21,$H$21)))))</f>
        <v>0</v>
      </c>
      <c r="F25" s="47"/>
      <c r="G25" s="47"/>
      <c r="H25" s="47"/>
      <c r="I25" s="47"/>
      <c r="J25" s="47"/>
      <c r="K25" s="47"/>
    </row>
    <row r="26" spans="1:11" ht="12.75" customHeight="1" x14ac:dyDescent="0.2">
      <c r="F26" s="47"/>
      <c r="G26" s="47"/>
      <c r="H26" s="47"/>
      <c r="I26" s="47"/>
      <c r="J26" s="47"/>
      <c r="K26" s="47"/>
    </row>
    <row r="27" spans="1:11" ht="12.75" customHeight="1" x14ac:dyDescent="0.2">
      <c r="F27" s="47"/>
      <c r="G27" s="47"/>
      <c r="H27" s="47"/>
      <c r="I27" s="47"/>
      <c r="J27" s="47"/>
      <c r="K27" s="47"/>
    </row>
    <row r="28" spans="1:11" ht="12.75" customHeight="1" x14ac:dyDescent="0.2"/>
    <row r="29" spans="1:11" ht="12.75" customHeight="1" x14ac:dyDescent="0.2"/>
    <row r="30" spans="1:11" ht="12.75" customHeight="1" x14ac:dyDescent="0.2"/>
    <row r="31" spans="1:11" ht="12.75" customHeight="1" x14ac:dyDescent="0.2"/>
    <row r="32" spans="1:11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</sheetData>
  <sheetProtection algorithmName="SHA-512" hashValue="meuaozn4P+rHhY2z/E0bmsMhCiWhlC/pzewG7vq20g3oOF+YmUKqsn0vmFLgqbgQDjOjUqINkfstxL11nv4RuQ==" saltValue="tSPVPowFqIqwTyMQLtYT0w==" spinCount="100000" sheet="1" objects="1" scenarios="1"/>
  <mergeCells count="4">
    <mergeCell ref="B2:G2"/>
    <mergeCell ref="I6:J6"/>
    <mergeCell ref="B24:C24"/>
    <mergeCell ref="B25:C25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75"/>
  <sheetViews>
    <sheetView workbookViewId="0">
      <selection activeCell="E28" sqref="E28"/>
    </sheetView>
  </sheetViews>
  <sheetFormatPr baseColWidth="10" defaultColWidth="12.5703125" defaultRowHeight="15" customHeight="1" x14ac:dyDescent="0.2"/>
  <cols>
    <col min="1" max="1" width="24" style="503" customWidth="1"/>
    <col min="2" max="26" width="10.5703125" style="503" customWidth="1"/>
    <col min="27" max="16384" width="12.5703125" style="503"/>
  </cols>
  <sheetData>
    <row r="1" spans="1:5" ht="12.75" customHeight="1" x14ac:dyDescent="0.2">
      <c r="A1" s="47"/>
      <c r="B1" s="47"/>
      <c r="C1" s="240"/>
      <c r="D1" s="240"/>
      <c r="E1" s="47"/>
    </row>
    <row r="2" spans="1:5" ht="12.75" customHeight="1" x14ac:dyDescent="0.25">
      <c r="A2" s="107"/>
      <c r="B2" s="47"/>
      <c r="C2" s="240"/>
      <c r="D2" s="240"/>
      <c r="E2" s="47"/>
    </row>
    <row r="3" spans="1:5" ht="12.75" customHeight="1" x14ac:dyDescent="0.2">
      <c r="A3" s="108" t="s">
        <v>226</v>
      </c>
      <c r="B3" s="47"/>
      <c r="C3" s="240"/>
      <c r="D3" s="240"/>
      <c r="E3" s="47"/>
    </row>
    <row r="4" spans="1:5" ht="12.75" customHeight="1" x14ac:dyDescent="0.2">
      <c r="A4" s="108" t="s">
        <v>133</v>
      </c>
      <c r="B4" s="109">
        <v>46167</v>
      </c>
      <c r="C4" s="335"/>
      <c r="D4" s="303"/>
      <c r="E4" s="47"/>
    </row>
    <row r="5" spans="1:5" ht="12.75" customHeight="1" x14ac:dyDescent="0.2">
      <c r="A5" s="108"/>
      <c r="B5" s="110"/>
      <c r="C5" s="304"/>
      <c r="D5" s="304"/>
      <c r="E5" s="47"/>
    </row>
    <row r="6" spans="1:5" ht="12.75" customHeight="1" x14ac:dyDescent="0.25">
      <c r="A6" s="107" t="s">
        <v>134</v>
      </c>
      <c r="B6" s="47"/>
      <c r="C6" s="240"/>
      <c r="D6" s="240"/>
      <c r="E6" s="47"/>
    </row>
    <row r="7" spans="1:5" ht="12.75" customHeight="1" x14ac:dyDescent="0.2">
      <c r="A7" s="502" t="s">
        <v>224</v>
      </c>
      <c r="B7" s="637">
        <v>6.5729999999999997E-2</v>
      </c>
      <c r="C7" s="637"/>
      <c r="D7" s="637"/>
    </row>
    <row r="8" spans="1:5" ht="12.75" customHeight="1" x14ac:dyDescent="0.2">
      <c r="A8" s="502" t="s">
        <v>225</v>
      </c>
      <c r="B8" s="638">
        <v>6.6189999999999999E-2</v>
      </c>
      <c r="C8" s="638"/>
      <c r="D8" s="638"/>
    </row>
    <row r="9" spans="1:5" ht="12.75" customHeight="1" x14ac:dyDescent="0.2"/>
    <row r="10" spans="1:5" ht="12.75" customHeight="1" x14ac:dyDescent="0.2"/>
    <row r="11" spans="1:5" ht="12.75" customHeight="1" x14ac:dyDescent="0.2"/>
    <row r="12" spans="1:5" ht="12.75" customHeight="1" x14ac:dyDescent="0.2"/>
    <row r="13" spans="1:5" ht="12.75" customHeight="1" x14ac:dyDescent="0.2"/>
    <row r="14" spans="1:5" ht="12.75" customHeight="1" x14ac:dyDescent="0.2"/>
    <row r="15" spans="1:5" ht="12.75" customHeight="1" x14ac:dyDescent="0.2"/>
    <row r="16" spans="1:5" ht="12.75" customHeight="1" x14ac:dyDescent="0.2"/>
    <row r="17" s="503" customFormat="1" ht="12.75" customHeight="1" x14ac:dyDescent="0.2"/>
    <row r="18" s="503" customFormat="1" ht="12.75" customHeight="1" x14ac:dyDescent="0.2"/>
    <row r="19" s="503" customFormat="1" ht="12.75" customHeight="1" x14ac:dyDescent="0.2"/>
    <row r="20" s="503" customFormat="1" ht="12.75" customHeight="1" x14ac:dyDescent="0.2"/>
    <row r="21" s="503" customFormat="1" ht="12.75" customHeight="1" x14ac:dyDescent="0.2"/>
    <row r="22" s="503" customFormat="1" ht="12.75" customHeight="1" x14ac:dyDescent="0.2"/>
    <row r="23" s="503" customFormat="1" ht="12.75" customHeight="1" x14ac:dyDescent="0.2"/>
    <row r="24" s="503" customFormat="1" ht="12.75" customHeight="1" x14ac:dyDescent="0.2"/>
    <row r="25" s="503" customFormat="1" ht="12.75" customHeight="1" x14ac:dyDescent="0.2"/>
    <row r="26" s="503" customFormat="1" ht="12.75" customHeight="1" x14ac:dyDescent="0.2"/>
    <row r="27" s="503" customFormat="1" ht="12.75" customHeight="1" x14ac:dyDescent="0.2"/>
    <row r="28" s="503" customFormat="1" ht="12.75" customHeight="1" x14ac:dyDescent="0.2"/>
    <row r="29" s="503" customFormat="1" ht="12.75" customHeight="1" x14ac:dyDescent="0.2"/>
    <row r="30" s="503" customFormat="1" ht="12.75" customHeight="1" x14ac:dyDescent="0.2"/>
    <row r="31" s="503" customFormat="1" ht="12.75" customHeight="1" x14ac:dyDescent="0.2"/>
    <row r="32" s="503" customFormat="1" ht="12.75" customHeight="1" x14ac:dyDescent="0.2"/>
    <row r="33" s="503" customFormat="1" ht="12.75" customHeight="1" x14ac:dyDescent="0.2"/>
    <row r="34" s="503" customFormat="1" ht="12.75" customHeight="1" x14ac:dyDescent="0.2"/>
    <row r="35" s="503" customFormat="1" ht="12.75" customHeight="1" x14ac:dyDescent="0.2"/>
    <row r="36" s="503" customFormat="1" ht="12.75" customHeight="1" x14ac:dyDescent="0.2"/>
    <row r="37" s="503" customFormat="1" ht="12.75" customHeight="1" x14ac:dyDescent="0.2"/>
    <row r="38" s="503" customFormat="1" ht="12.75" customHeight="1" x14ac:dyDescent="0.2"/>
    <row r="39" s="503" customFormat="1" ht="12.75" customHeight="1" x14ac:dyDescent="0.2"/>
    <row r="40" s="503" customFormat="1" ht="12.75" customHeight="1" x14ac:dyDescent="0.2"/>
    <row r="41" s="503" customFormat="1" ht="12.75" customHeight="1" x14ac:dyDescent="0.2"/>
    <row r="42" s="503" customFormat="1" ht="12.75" customHeight="1" x14ac:dyDescent="0.2"/>
    <row r="43" s="503" customFormat="1" ht="12.75" customHeight="1" x14ac:dyDescent="0.2"/>
    <row r="44" s="503" customFormat="1" ht="12.75" customHeight="1" x14ac:dyDescent="0.2"/>
    <row r="45" s="503" customFormat="1" ht="12.75" customHeight="1" x14ac:dyDescent="0.2"/>
    <row r="46" s="503" customFormat="1" ht="12.75" customHeight="1" x14ac:dyDescent="0.2"/>
    <row r="47" s="503" customFormat="1" ht="12.75" customHeight="1" x14ac:dyDescent="0.2"/>
    <row r="48" s="503" customFormat="1" ht="12.75" customHeight="1" x14ac:dyDescent="0.2"/>
    <row r="49" s="503" customFormat="1" ht="12.75" customHeight="1" x14ac:dyDescent="0.2"/>
    <row r="50" s="503" customFormat="1" ht="12.75" customHeight="1" x14ac:dyDescent="0.2"/>
    <row r="51" s="503" customFormat="1" ht="12.75" customHeight="1" x14ac:dyDescent="0.2"/>
    <row r="52" s="503" customFormat="1" ht="12.75" customHeight="1" x14ac:dyDescent="0.2"/>
    <row r="53" s="503" customFormat="1" ht="12.75" customHeight="1" x14ac:dyDescent="0.2"/>
    <row r="54" s="503" customFormat="1" ht="12.75" customHeight="1" x14ac:dyDescent="0.2"/>
    <row r="55" s="503" customFormat="1" ht="12.75" customHeight="1" x14ac:dyDescent="0.2"/>
    <row r="56" s="503" customFormat="1" ht="12.75" customHeight="1" x14ac:dyDescent="0.2"/>
    <row r="57" s="503" customFormat="1" ht="12.75" customHeight="1" x14ac:dyDescent="0.2"/>
    <row r="58" s="503" customFormat="1" ht="12.75" customHeight="1" x14ac:dyDescent="0.2"/>
    <row r="59" s="503" customFormat="1" ht="12.75" customHeight="1" x14ac:dyDescent="0.2"/>
    <row r="60" s="503" customFormat="1" ht="12.75" customHeight="1" x14ac:dyDescent="0.2"/>
    <row r="61" s="503" customFormat="1" ht="12.75" customHeight="1" x14ac:dyDescent="0.2"/>
    <row r="62" s="503" customFormat="1" ht="12.75" customHeight="1" x14ac:dyDescent="0.2"/>
    <row r="63" s="503" customFormat="1" ht="12.75" customHeight="1" x14ac:dyDescent="0.2"/>
    <row r="64" s="503" customFormat="1" ht="12.75" customHeight="1" x14ac:dyDescent="0.2"/>
    <row r="65" s="503" customFormat="1" ht="12.75" customHeight="1" x14ac:dyDescent="0.2"/>
    <row r="66" s="503" customFormat="1" ht="12.75" customHeight="1" x14ac:dyDescent="0.2"/>
    <row r="67" s="503" customFormat="1" ht="12.75" customHeight="1" x14ac:dyDescent="0.2"/>
    <row r="68" s="503" customFormat="1" ht="12.75" customHeight="1" x14ac:dyDescent="0.2"/>
    <row r="69" s="503" customFormat="1" ht="12.75" customHeight="1" x14ac:dyDescent="0.2"/>
    <row r="70" s="503" customFormat="1" ht="12.75" customHeight="1" x14ac:dyDescent="0.2"/>
    <row r="71" s="503" customFormat="1" ht="12.75" customHeight="1" x14ac:dyDescent="0.2"/>
    <row r="72" s="503" customFormat="1" ht="12.75" customHeight="1" x14ac:dyDescent="0.2"/>
    <row r="73" s="503" customFormat="1" ht="12.75" customHeight="1" x14ac:dyDescent="0.2"/>
    <row r="74" s="503" customFormat="1" ht="12.75" customHeight="1" x14ac:dyDescent="0.2"/>
    <row r="75" s="503" customFormat="1" ht="12.75" customHeight="1" x14ac:dyDescent="0.2"/>
    <row r="76" s="503" customFormat="1" ht="12.75" customHeight="1" x14ac:dyDescent="0.2"/>
    <row r="77" s="503" customFormat="1" ht="12.75" customHeight="1" x14ac:dyDescent="0.2"/>
    <row r="78" s="503" customFormat="1" ht="12.75" customHeight="1" x14ac:dyDescent="0.2"/>
    <row r="79" s="503" customFormat="1" ht="12.75" customHeight="1" x14ac:dyDescent="0.2"/>
    <row r="80" s="503" customFormat="1" ht="12.75" customHeight="1" x14ac:dyDescent="0.2"/>
    <row r="81" s="503" customFormat="1" ht="12.75" customHeight="1" x14ac:dyDescent="0.2"/>
    <row r="82" s="503" customFormat="1" ht="12.75" customHeight="1" x14ac:dyDescent="0.2"/>
    <row r="83" s="503" customFormat="1" ht="12.75" customHeight="1" x14ac:dyDescent="0.2"/>
    <row r="84" s="503" customFormat="1" ht="12.75" customHeight="1" x14ac:dyDescent="0.2"/>
    <row r="85" s="503" customFormat="1" ht="12.75" customHeight="1" x14ac:dyDescent="0.2"/>
    <row r="86" s="503" customFormat="1" ht="12.75" customHeight="1" x14ac:dyDescent="0.2"/>
    <row r="87" s="503" customFormat="1" ht="12.75" customHeight="1" x14ac:dyDescent="0.2"/>
    <row r="88" s="503" customFormat="1" ht="12.75" customHeight="1" x14ac:dyDescent="0.2"/>
    <row r="89" s="503" customFormat="1" ht="12.75" customHeight="1" x14ac:dyDescent="0.2"/>
    <row r="90" s="503" customFormat="1" ht="12.75" customHeight="1" x14ac:dyDescent="0.2"/>
    <row r="91" s="503" customFormat="1" ht="12.75" customHeight="1" x14ac:dyDescent="0.2"/>
    <row r="92" s="503" customFormat="1" ht="12.75" customHeight="1" x14ac:dyDescent="0.2"/>
    <row r="93" s="503" customFormat="1" ht="12.75" customHeight="1" x14ac:dyDescent="0.2"/>
    <row r="94" s="503" customFormat="1" ht="12.75" customHeight="1" x14ac:dyDescent="0.2"/>
    <row r="95" s="503" customFormat="1" ht="12.75" customHeight="1" x14ac:dyDescent="0.2"/>
    <row r="96" s="503" customFormat="1" ht="12.75" customHeight="1" x14ac:dyDescent="0.2"/>
    <row r="97" s="503" customFormat="1" ht="12.75" customHeight="1" x14ac:dyDescent="0.2"/>
    <row r="98" s="503" customFormat="1" ht="12.75" customHeight="1" x14ac:dyDescent="0.2"/>
    <row r="99" s="503" customFormat="1" ht="12.75" customHeight="1" x14ac:dyDescent="0.2"/>
    <row r="100" s="503" customFormat="1" ht="12.75" customHeight="1" x14ac:dyDescent="0.2"/>
    <row r="101" s="503" customFormat="1" ht="12.75" customHeight="1" x14ac:dyDescent="0.2"/>
    <row r="102" s="503" customFormat="1" ht="12.75" customHeight="1" x14ac:dyDescent="0.2"/>
    <row r="103" s="503" customFormat="1" ht="12.75" customHeight="1" x14ac:dyDescent="0.2"/>
    <row r="104" s="503" customFormat="1" ht="12.75" customHeight="1" x14ac:dyDescent="0.2"/>
    <row r="105" s="503" customFormat="1" ht="12.75" customHeight="1" x14ac:dyDescent="0.2"/>
    <row r="106" s="503" customFormat="1" ht="12.75" customHeight="1" x14ac:dyDescent="0.2"/>
    <row r="107" s="503" customFormat="1" ht="12.75" customHeight="1" x14ac:dyDescent="0.2"/>
    <row r="108" s="503" customFormat="1" ht="12.75" customHeight="1" x14ac:dyDescent="0.2"/>
    <row r="109" s="503" customFormat="1" ht="12.75" customHeight="1" x14ac:dyDescent="0.2"/>
    <row r="110" s="503" customFormat="1" ht="12.75" customHeight="1" x14ac:dyDescent="0.2"/>
    <row r="111" s="503" customFormat="1" ht="12.75" customHeight="1" x14ac:dyDescent="0.2"/>
    <row r="112" s="503" customFormat="1" ht="12.75" customHeight="1" x14ac:dyDescent="0.2"/>
    <row r="113" s="503" customFormat="1" ht="12.75" customHeight="1" x14ac:dyDescent="0.2"/>
    <row r="114" s="503" customFormat="1" ht="12.75" customHeight="1" x14ac:dyDescent="0.2"/>
    <row r="115" s="503" customFormat="1" ht="12.75" customHeight="1" x14ac:dyDescent="0.2"/>
    <row r="116" s="503" customFormat="1" ht="12.75" customHeight="1" x14ac:dyDescent="0.2"/>
    <row r="117" s="503" customFormat="1" ht="12.75" customHeight="1" x14ac:dyDescent="0.2"/>
    <row r="118" s="503" customFormat="1" ht="12.75" customHeight="1" x14ac:dyDescent="0.2"/>
    <row r="119" s="503" customFormat="1" ht="12.75" customHeight="1" x14ac:dyDescent="0.2"/>
    <row r="120" s="503" customFormat="1" ht="12.75" customHeight="1" x14ac:dyDescent="0.2"/>
    <row r="121" s="503" customFormat="1" ht="12.75" customHeight="1" x14ac:dyDescent="0.2"/>
    <row r="122" s="503" customFormat="1" ht="12.75" customHeight="1" x14ac:dyDescent="0.2"/>
    <row r="123" s="503" customFormat="1" ht="12.75" customHeight="1" x14ac:dyDescent="0.2"/>
    <row r="124" s="503" customFormat="1" ht="12.75" customHeight="1" x14ac:dyDescent="0.2"/>
    <row r="125" s="503" customFormat="1" ht="12.75" customHeight="1" x14ac:dyDescent="0.2"/>
    <row r="126" s="503" customFormat="1" ht="12.75" customHeight="1" x14ac:dyDescent="0.2"/>
    <row r="127" s="503" customFormat="1" ht="12.75" customHeight="1" x14ac:dyDescent="0.2"/>
    <row r="128" s="503" customFormat="1" ht="12.75" customHeight="1" x14ac:dyDescent="0.2"/>
    <row r="129" s="503" customFormat="1" ht="12.75" customHeight="1" x14ac:dyDescent="0.2"/>
    <row r="130" s="503" customFormat="1" ht="12.75" customHeight="1" x14ac:dyDescent="0.2"/>
    <row r="131" s="503" customFormat="1" ht="12.75" customHeight="1" x14ac:dyDescent="0.2"/>
    <row r="132" s="503" customFormat="1" ht="12.75" customHeight="1" x14ac:dyDescent="0.2"/>
    <row r="133" s="503" customFormat="1" ht="12.75" customHeight="1" x14ac:dyDescent="0.2"/>
    <row r="134" s="503" customFormat="1" ht="12.75" customHeight="1" x14ac:dyDescent="0.2"/>
    <row r="135" s="503" customFormat="1" ht="12.75" customHeight="1" x14ac:dyDescent="0.2"/>
    <row r="136" s="503" customFormat="1" ht="12.75" customHeight="1" x14ac:dyDescent="0.2"/>
    <row r="137" s="503" customFormat="1" ht="12.75" customHeight="1" x14ac:dyDescent="0.2"/>
    <row r="138" s="503" customFormat="1" ht="12.75" customHeight="1" x14ac:dyDescent="0.2"/>
    <row r="139" s="503" customFormat="1" ht="12.75" customHeight="1" x14ac:dyDescent="0.2"/>
    <row r="140" s="503" customFormat="1" ht="12.75" customHeight="1" x14ac:dyDescent="0.2"/>
    <row r="141" s="503" customFormat="1" ht="12.75" customHeight="1" x14ac:dyDescent="0.2"/>
    <row r="142" s="503" customFormat="1" ht="12.75" customHeight="1" x14ac:dyDescent="0.2"/>
    <row r="143" s="503" customFormat="1" ht="12.75" customHeight="1" x14ac:dyDescent="0.2"/>
    <row r="144" s="503" customFormat="1" ht="12.75" customHeight="1" x14ac:dyDescent="0.2"/>
    <row r="145" s="503" customFormat="1" ht="12.75" customHeight="1" x14ac:dyDescent="0.2"/>
    <row r="146" s="503" customFormat="1" ht="12.75" customHeight="1" x14ac:dyDescent="0.2"/>
    <row r="147" s="503" customFormat="1" ht="12.75" customHeight="1" x14ac:dyDescent="0.2"/>
    <row r="148" s="503" customFormat="1" ht="12.75" customHeight="1" x14ac:dyDescent="0.2"/>
    <row r="149" s="503" customFormat="1" ht="12.75" customHeight="1" x14ac:dyDescent="0.2"/>
    <row r="150" s="503" customFormat="1" ht="12.75" customHeight="1" x14ac:dyDescent="0.2"/>
    <row r="151" s="503" customFormat="1" ht="12.75" customHeight="1" x14ac:dyDescent="0.2"/>
    <row r="152" s="503" customFormat="1" ht="12.75" customHeight="1" x14ac:dyDescent="0.2"/>
    <row r="153" s="503" customFormat="1" ht="12.75" customHeight="1" x14ac:dyDescent="0.2"/>
    <row r="154" s="503" customFormat="1" ht="12.75" customHeight="1" x14ac:dyDescent="0.2"/>
    <row r="155" s="503" customFormat="1" ht="12.75" customHeight="1" x14ac:dyDescent="0.2"/>
    <row r="156" s="503" customFormat="1" ht="12.75" customHeight="1" x14ac:dyDescent="0.2"/>
    <row r="157" s="503" customFormat="1" ht="12.75" customHeight="1" x14ac:dyDescent="0.2"/>
    <row r="158" s="503" customFormat="1" ht="12.75" customHeight="1" x14ac:dyDescent="0.2"/>
    <row r="159" s="503" customFormat="1" ht="12.75" customHeight="1" x14ac:dyDescent="0.2"/>
    <row r="160" s="503" customFormat="1" ht="12.75" customHeight="1" x14ac:dyDescent="0.2"/>
    <row r="161" s="503" customFormat="1" ht="12.75" customHeight="1" x14ac:dyDescent="0.2"/>
    <row r="162" s="503" customFormat="1" ht="12.75" customHeight="1" x14ac:dyDescent="0.2"/>
    <row r="163" s="503" customFormat="1" ht="12.75" customHeight="1" x14ac:dyDescent="0.2"/>
    <row r="164" s="503" customFormat="1" ht="12.75" customHeight="1" x14ac:dyDescent="0.2"/>
    <row r="165" s="503" customFormat="1" ht="12.75" customHeight="1" x14ac:dyDescent="0.2"/>
    <row r="166" s="503" customFormat="1" ht="12.75" customHeight="1" x14ac:dyDescent="0.2"/>
    <row r="167" s="503" customFormat="1" ht="12.75" customHeight="1" x14ac:dyDescent="0.2"/>
    <row r="168" s="503" customFormat="1" ht="12.75" customHeight="1" x14ac:dyDescent="0.2"/>
    <row r="169" s="503" customFormat="1" ht="12.75" customHeight="1" x14ac:dyDescent="0.2"/>
    <row r="170" s="503" customFormat="1" ht="12.75" customHeight="1" x14ac:dyDescent="0.2"/>
    <row r="171" s="503" customFormat="1" ht="12.75" customHeight="1" x14ac:dyDescent="0.2"/>
    <row r="172" s="503" customFormat="1" ht="12.75" customHeight="1" x14ac:dyDescent="0.2"/>
    <row r="173" s="503" customFormat="1" ht="12.75" customHeight="1" x14ac:dyDescent="0.2"/>
    <row r="174" s="503" customFormat="1" ht="12.75" customHeight="1" x14ac:dyDescent="0.2"/>
    <row r="175" s="503" customFormat="1" ht="12.75" customHeight="1" x14ac:dyDescent="0.2"/>
    <row r="176" s="503" customFormat="1" ht="12.75" customHeight="1" x14ac:dyDescent="0.2"/>
    <row r="177" s="503" customFormat="1" ht="12.75" customHeight="1" x14ac:dyDescent="0.2"/>
    <row r="178" s="503" customFormat="1" ht="12.75" customHeight="1" x14ac:dyDescent="0.2"/>
    <row r="179" s="503" customFormat="1" ht="12.75" customHeight="1" x14ac:dyDescent="0.2"/>
    <row r="180" s="503" customFormat="1" ht="12.75" customHeight="1" x14ac:dyDescent="0.2"/>
    <row r="181" s="503" customFormat="1" ht="12.75" customHeight="1" x14ac:dyDescent="0.2"/>
    <row r="182" s="503" customFormat="1" ht="12.75" customHeight="1" x14ac:dyDescent="0.2"/>
    <row r="183" s="503" customFormat="1" ht="12.75" customHeight="1" x14ac:dyDescent="0.2"/>
    <row r="184" s="503" customFormat="1" ht="12.75" customHeight="1" x14ac:dyDescent="0.2"/>
    <row r="185" s="503" customFormat="1" ht="12.75" customHeight="1" x14ac:dyDescent="0.2"/>
    <row r="186" s="503" customFormat="1" ht="12.75" customHeight="1" x14ac:dyDescent="0.2"/>
    <row r="187" s="503" customFormat="1" ht="12.75" customHeight="1" x14ac:dyDescent="0.2"/>
    <row r="188" s="503" customFormat="1" ht="12.75" customHeight="1" x14ac:dyDescent="0.2"/>
    <row r="189" s="503" customFormat="1" ht="12.75" customHeight="1" x14ac:dyDescent="0.2"/>
    <row r="190" s="503" customFormat="1" ht="12.75" customHeight="1" x14ac:dyDescent="0.2"/>
    <row r="191" s="503" customFormat="1" ht="12.75" customHeight="1" x14ac:dyDescent="0.2"/>
    <row r="192" s="503" customFormat="1" ht="12.75" customHeight="1" x14ac:dyDescent="0.2"/>
    <row r="193" s="503" customFormat="1" ht="12.75" customHeight="1" x14ac:dyDescent="0.2"/>
    <row r="194" s="503" customFormat="1" ht="12.75" customHeight="1" x14ac:dyDescent="0.2"/>
    <row r="195" s="503" customFormat="1" ht="12.75" customHeight="1" x14ac:dyDescent="0.2"/>
    <row r="196" s="503" customFormat="1" ht="12.75" customHeight="1" x14ac:dyDescent="0.2"/>
    <row r="197" s="503" customFormat="1" ht="12.75" customHeight="1" x14ac:dyDescent="0.2"/>
    <row r="198" s="503" customFormat="1" ht="12.75" customHeight="1" x14ac:dyDescent="0.2"/>
    <row r="199" s="503" customFormat="1" ht="12.75" customHeight="1" x14ac:dyDescent="0.2"/>
    <row r="200" s="503" customFormat="1" ht="12.75" customHeight="1" x14ac:dyDescent="0.2"/>
    <row r="201" s="503" customFormat="1" ht="12.75" customHeight="1" x14ac:dyDescent="0.2"/>
    <row r="202" s="503" customFormat="1" ht="12.75" customHeight="1" x14ac:dyDescent="0.2"/>
    <row r="203" s="503" customFormat="1" ht="12.75" customHeight="1" x14ac:dyDescent="0.2"/>
    <row r="204" s="503" customFormat="1" ht="12.75" customHeight="1" x14ac:dyDescent="0.2"/>
    <row r="205" s="503" customFormat="1" ht="12.75" customHeight="1" x14ac:dyDescent="0.2"/>
    <row r="206" s="503" customFormat="1" ht="12.75" customHeight="1" x14ac:dyDescent="0.2"/>
    <row r="207" s="503" customFormat="1" ht="12.75" customHeight="1" x14ac:dyDescent="0.2"/>
    <row r="208" s="503" customFormat="1" ht="12.75" customHeight="1" x14ac:dyDescent="0.2"/>
    <row r="209" s="503" customFormat="1" ht="12.75" customHeight="1" x14ac:dyDescent="0.2"/>
    <row r="210" s="503" customFormat="1" ht="12.75" customHeight="1" x14ac:dyDescent="0.2"/>
    <row r="211" s="503" customFormat="1" ht="12.75" customHeight="1" x14ac:dyDescent="0.2"/>
    <row r="212" s="503" customFormat="1" ht="12.75" customHeight="1" x14ac:dyDescent="0.2"/>
    <row r="213" s="503" customFormat="1" ht="12.75" customHeight="1" x14ac:dyDescent="0.2"/>
    <row r="214" s="503" customFormat="1" ht="12.75" customHeight="1" x14ac:dyDescent="0.2"/>
    <row r="215" s="503" customFormat="1" ht="12.75" customHeight="1" x14ac:dyDescent="0.2"/>
    <row r="216" s="503" customFormat="1" ht="12.75" customHeight="1" x14ac:dyDescent="0.2"/>
    <row r="217" s="503" customFormat="1" ht="12.75" customHeight="1" x14ac:dyDescent="0.2"/>
    <row r="218" s="503" customFormat="1" ht="12.75" customHeight="1" x14ac:dyDescent="0.2"/>
    <row r="219" s="503" customFormat="1" ht="12.75" customHeight="1" x14ac:dyDescent="0.2"/>
    <row r="220" s="503" customFormat="1" ht="12.75" customHeight="1" x14ac:dyDescent="0.2"/>
    <row r="221" s="503" customFormat="1" ht="12.75" customHeight="1" x14ac:dyDescent="0.2"/>
    <row r="222" s="503" customFormat="1" ht="12.75" customHeight="1" x14ac:dyDescent="0.2"/>
    <row r="223" s="503" customFormat="1" ht="12.75" customHeight="1" x14ac:dyDescent="0.2"/>
    <row r="224" s="503" customFormat="1" ht="12.75" customHeight="1" x14ac:dyDescent="0.2"/>
    <row r="225" s="503" customFormat="1" ht="12.75" customHeight="1" x14ac:dyDescent="0.2"/>
    <row r="226" s="503" customFormat="1" ht="12.75" customHeight="1" x14ac:dyDescent="0.2"/>
    <row r="227" s="503" customFormat="1" ht="12.75" customHeight="1" x14ac:dyDescent="0.2"/>
    <row r="228" s="503" customFormat="1" ht="12.75" customHeight="1" x14ac:dyDescent="0.2"/>
    <row r="229" s="503" customFormat="1" ht="12.75" customHeight="1" x14ac:dyDescent="0.2"/>
    <row r="230" s="503" customFormat="1" ht="12.75" customHeight="1" x14ac:dyDescent="0.2"/>
    <row r="231" s="503" customFormat="1" ht="12.75" customHeight="1" x14ac:dyDescent="0.2"/>
    <row r="232" s="503" customFormat="1" ht="12.75" customHeight="1" x14ac:dyDescent="0.2"/>
    <row r="233" s="503" customFormat="1" ht="12.75" customHeight="1" x14ac:dyDescent="0.2"/>
    <row r="234" s="503" customFormat="1" ht="12.75" customHeight="1" x14ac:dyDescent="0.2"/>
    <row r="235" s="503" customFormat="1" ht="12.75" customHeight="1" x14ac:dyDescent="0.2"/>
    <row r="236" s="503" customFormat="1" ht="12.75" customHeight="1" x14ac:dyDescent="0.2"/>
    <row r="237" s="503" customFormat="1" ht="12.75" customHeight="1" x14ac:dyDescent="0.2"/>
    <row r="238" s="503" customFormat="1" ht="12.75" customHeight="1" x14ac:dyDescent="0.2"/>
    <row r="239" s="503" customFormat="1" ht="12.75" customHeight="1" x14ac:dyDescent="0.2"/>
    <row r="240" s="503" customFormat="1" ht="12.75" customHeight="1" x14ac:dyDescent="0.2"/>
    <row r="241" s="503" customFormat="1" ht="12.75" customHeight="1" x14ac:dyDescent="0.2"/>
    <row r="242" s="503" customFormat="1" ht="12.75" customHeight="1" x14ac:dyDescent="0.2"/>
    <row r="243" s="503" customFormat="1" ht="12.75" customHeight="1" x14ac:dyDescent="0.2"/>
    <row r="244" s="503" customFormat="1" ht="12.75" customHeight="1" x14ac:dyDescent="0.2"/>
    <row r="245" s="503" customFormat="1" ht="12.75" customHeight="1" x14ac:dyDescent="0.2"/>
    <row r="246" s="503" customFormat="1" ht="12.75" customHeight="1" x14ac:dyDescent="0.2"/>
    <row r="247" s="503" customFormat="1" ht="12.75" customHeight="1" x14ac:dyDescent="0.2"/>
    <row r="248" s="503" customFormat="1" ht="12.75" customHeight="1" x14ac:dyDescent="0.2"/>
    <row r="249" s="503" customFormat="1" ht="12.75" customHeight="1" x14ac:dyDescent="0.2"/>
    <row r="250" s="503" customFormat="1" ht="12.75" customHeight="1" x14ac:dyDescent="0.2"/>
    <row r="251" s="503" customFormat="1" ht="12.75" customHeight="1" x14ac:dyDescent="0.2"/>
    <row r="252" s="503" customFormat="1" ht="12.75" customHeight="1" x14ac:dyDescent="0.2"/>
    <row r="253" s="503" customFormat="1" ht="12.75" customHeight="1" x14ac:dyDescent="0.2"/>
    <row r="254" s="503" customFormat="1" ht="12.75" customHeight="1" x14ac:dyDescent="0.2"/>
    <row r="255" s="503" customFormat="1" ht="12.75" customHeight="1" x14ac:dyDescent="0.2"/>
    <row r="256" s="503" customFormat="1" ht="12.75" customHeight="1" x14ac:dyDescent="0.2"/>
    <row r="257" s="503" customFormat="1" ht="12.75" customHeight="1" x14ac:dyDescent="0.2"/>
    <row r="258" s="503" customFormat="1" ht="12.75" customHeight="1" x14ac:dyDescent="0.2"/>
    <row r="259" s="503" customFormat="1" ht="12.75" customHeight="1" x14ac:dyDescent="0.2"/>
    <row r="260" s="503" customFormat="1" ht="12.75" customHeight="1" x14ac:dyDescent="0.2"/>
    <row r="261" s="503" customFormat="1" ht="12.75" customHeight="1" x14ac:dyDescent="0.2"/>
    <row r="262" s="503" customFormat="1" ht="12.75" customHeight="1" x14ac:dyDescent="0.2"/>
    <row r="263" s="503" customFormat="1" ht="12.75" customHeight="1" x14ac:dyDescent="0.2"/>
    <row r="264" s="503" customFormat="1" ht="12.75" customHeight="1" x14ac:dyDescent="0.2"/>
    <row r="265" s="503" customFormat="1" ht="12.75" customHeight="1" x14ac:dyDescent="0.2"/>
    <row r="266" s="503" customFormat="1" ht="12.75" customHeight="1" x14ac:dyDescent="0.2"/>
    <row r="267" s="503" customFormat="1" ht="12.75" customHeight="1" x14ac:dyDescent="0.2"/>
    <row r="268" s="503" customFormat="1" ht="12.75" customHeight="1" x14ac:dyDescent="0.2"/>
    <row r="269" s="503" customFormat="1" ht="12.75" customHeight="1" x14ac:dyDescent="0.2"/>
    <row r="270" s="503" customFormat="1" ht="12.75" customHeight="1" x14ac:dyDescent="0.2"/>
    <row r="271" s="503" customFormat="1" ht="12.75" customHeight="1" x14ac:dyDescent="0.2"/>
    <row r="272" s="503" customFormat="1" ht="12.75" customHeight="1" x14ac:dyDescent="0.2"/>
    <row r="273" s="503" customFormat="1" ht="12.75" customHeight="1" x14ac:dyDescent="0.2"/>
    <row r="274" s="503" customFormat="1" ht="12.75" customHeight="1" x14ac:dyDescent="0.2"/>
    <row r="275" s="503" customFormat="1" ht="12.75" customHeight="1" x14ac:dyDescent="0.2"/>
    <row r="276" s="503" customFormat="1" ht="12.75" customHeight="1" x14ac:dyDescent="0.2"/>
    <row r="277" s="503" customFormat="1" ht="12.75" customHeight="1" x14ac:dyDescent="0.2"/>
    <row r="278" s="503" customFormat="1" ht="12.75" customHeight="1" x14ac:dyDescent="0.2"/>
    <row r="279" s="503" customFormat="1" ht="12.75" customHeight="1" x14ac:dyDescent="0.2"/>
    <row r="280" s="503" customFormat="1" ht="12.75" customHeight="1" x14ac:dyDescent="0.2"/>
    <row r="281" s="503" customFormat="1" ht="12.75" customHeight="1" x14ac:dyDescent="0.2"/>
    <row r="282" s="503" customFormat="1" ht="12.75" customHeight="1" x14ac:dyDescent="0.2"/>
    <row r="283" s="503" customFormat="1" ht="12.75" customHeight="1" x14ac:dyDescent="0.2"/>
    <row r="284" s="503" customFormat="1" ht="12.75" customHeight="1" x14ac:dyDescent="0.2"/>
    <row r="285" s="503" customFormat="1" ht="12.75" customHeight="1" x14ac:dyDescent="0.2"/>
    <row r="286" s="503" customFormat="1" ht="12.75" customHeight="1" x14ac:dyDescent="0.2"/>
    <row r="287" s="503" customFormat="1" ht="12.75" customHeight="1" x14ac:dyDescent="0.2"/>
    <row r="288" s="503" customFormat="1" ht="12.75" customHeight="1" x14ac:dyDescent="0.2"/>
    <row r="289" s="503" customFormat="1" ht="12.75" customHeight="1" x14ac:dyDescent="0.2"/>
    <row r="290" s="503" customFormat="1" ht="12.75" customHeight="1" x14ac:dyDescent="0.2"/>
    <row r="291" s="503" customFormat="1" ht="12.75" customHeight="1" x14ac:dyDescent="0.2"/>
    <row r="292" s="503" customFormat="1" ht="12.75" customHeight="1" x14ac:dyDescent="0.2"/>
    <row r="293" s="503" customFormat="1" ht="12.75" customHeight="1" x14ac:dyDescent="0.2"/>
    <row r="294" s="503" customFormat="1" ht="12.75" customHeight="1" x14ac:dyDescent="0.2"/>
    <row r="295" s="503" customFormat="1" ht="12.75" customHeight="1" x14ac:dyDescent="0.2"/>
    <row r="296" s="503" customFormat="1" ht="12.75" customHeight="1" x14ac:dyDescent="0.2"/>
    <row r="297" s="503" customFormat="1" ht="12.75" customHeight="1" x14ac:dyDescent="0.2"/>
    <row r="298" s="503" customFormat="1" ht="12.75" customHeight="1" x14ac:dyDescent="0.2"/>
    <row r="299" s="503" customFormat="1" ht="12.75" customHeight="1" x14ac:dyDescent="0.2"/>
    <row r="300" s="503" customFormat="1" ht="12.75" customHeight="1" x14ac:dyDescent="0.2"/>
    <row r="301" s="503" customFormat="1" ht="12.75" customHeight="1" x14ac:dyDescent="0.2"/>
    <row r="302" s="503" customFormat="1" ht="12.75" customHeight="1" x14ac:dyDescent="0.2"/>
    <row r="303" s="503" customFormat="1" ht="12.75" customHeight="1" x14ac:dyDescent="0.2"/>
    <row r="304" s="503" customFormat="1" ht="12.75" customHeight="1" x14ac:dyDescent="0.2"/>
    <row r="305" s="503" customFormat="1" ht="12.75" customHeight="1" x14ac:dyDescent="0.2"/>
    <row r="306" s="503" customFormat="1" ht="12.75" customHeight="1" x14ac:dyDescent="0.2"/>
    <row r="307" s="503" customFormat="1" ht="12.75" customHeight="1" x14ac:dyDescent="0.2"/>
    <row r="308" s="503" customFormat="1" ht="12.75" customHeight="1" x14ac:dyDescent="0.2"/>
    <row r="309" s="503" customFormat="1" ht="12.75" customHeight="1" x14ac:dyDescent="0.2"/>
    <row r="310" s="503" customFormat="1" ht="12.75" customHeight="1" x14ac:dyDescent="0.2"/>
    <row r="311" s="503" customFormat="1" ht="12.75" customHeight="1" x14ac:dyDescent="0.2"/>
    <row r="312" s="503" customFormat="1" ht="12.75" customHeight="1" x14ac:dyDescent="0.2"/>
    <row r="313" s="503" customFormat="1" ht="12.75" customHeight="1" x14ac:dyDescent="0.2"/>
    <row r="314" s="503" customFormat="1" ht="12.75" customHeight="1" x14ac:dyDescent="0.2"/>
    <row r="315" s="503" customFormat="1" ht="12.75" customHeight="1" x14ac:dyDescent="0.2"/>
    <row r="316" s="503" customFormat="1" ht="12.75" customHeight="1" x14ac:dyDescent="0.2"/>
    <row r="317" s="503" customFormat="1" ht="12.75" customHeight="1" x14ac:dyDescent="0.2"/>
    <row r="318" s="503" customFormat="1" ht="12.75" customHeight="1" x14ac:dyDescent="0.2"/>
    <row r="319" s="503" customFormat="1" ht="12.75" customHeight="1" x14ac:dyDescent="0.2"/>
    <row r="320" s="503" customFormat="1" ht="12.75" customHeight="1" x14ac:dyDescent="0.2"/>
    <row r="321" s="503" customFormat="1" ht="12.75" customHeight="1" x14ac:dyDescent="0.2"/>
    <row r="322" s="503" customFormat="1" ht="12.75" customHeight="1" x14ac:dyDescent="0.2"/>
    <row r="323" s="503" customFormat="1" ht="12.75" customHeight="1" x14ac:dyDescent="0.2"/>
    <row r="324" s="503" customFormat="1" ht="12.75" customHeight="1" x14ac:dyDescent="0.2"/>
    <row r="325" s="503" customFormat="1" ht="12.75" customHeight="1" x14ac:dyDescent="0.2"/>
    <row r="326" s="503" customFormat="1" ht="12.75" customHeight="1" x14ac:dyDescent="0.2"/>
    <row r="327" s="503" customFormat="1" ht="12.75" customHeight="1" x14ac:dyDescent="0.2"/>
    <row r="328" s="503" customFormat="1" ht="12.75" customHeight="1" x14ac:dyDescent="0.2"/>
    <row r="329" s="503" customFormat="1" ht="12.75" customHeight="1" x14ac:dyDescent="0.2"/>
    <row r="330" s="503" customFormat="1" ht="12.75" customHeight="1" x14ac:dyDescent="0.2"/>
    <row r="331" s="503" customFormat="1" ht="12.75" customHeight="1" x14ac:dyDescent="0.2"/>
    <row r="332" s="503" customFormat="1" ht="12.75" customHeight="1" x14ac:dyDescent="0.2"/>
    <row r="333" s="503" customFormat="1" ht="12.75" customHeight="1" x14ac:dyDescent="0.2"/>
    <row r="334" s="503" customFormat="1" ht="12.75" customHeight="1" x14ac:dyDescent="0.2"/>
    <row r="335" s="503" customFormat="1" ht="12.75" customHeight="1" x14ac:dyDescent="0.2"/>
    <row r="336" s="503" customFormat="1" ht="12.75" customHeight="1" x14ac:dyDescent="0.2"/>
    <row r="337" s="503" customFormat="1" ht="12.75" customHeight="1" x14ac:dyDescent="0.2"/>
    <row r="338" s="503" customFormat="1" ht="12.75" customHeight="1" x14ac:dyDescent="0.2"/>
    <row r="339" s="503" customFormat="1" ht="12.75" customHeight="1" x14ac:dyDescent="0.2"/>
    <row r="340" s="503" customFormat="1" ht="12.75" customHeight="1" x14ac:dyDescent="0.2"/>
    <row r="341" s="503" customFormat="1" ht="12.75" customHeight="1" x14ac:dyDescent="0.2"/>
    <row r="342" s="503" customFormat="1" ht="12.75" customHeight="1" x14ac:dyDescent="0.2"/>
    <row r="343" s="503" customFormat="1" ht="12.75" customHeight="1" x14ac:dyDescent="0.2"/>
    <row r="344" s="503" customFormat="1" ht="12.75" customHeight="1" x14ac:dyDescent="0.2"/>
    <row r="345" s="503" customFormat="1" ht="12.75" customHeight="1" x14ac:dyDescent="0.2"/>
    <row r="346" s="503" customFormat="1" ht="12.75" customHeight="1" x14ac:dyDescent="0.2"/>
    <row r="347" s="503" customFormat="1" ht="12.75" customHeight="1" x14ac:dyDescent="0.2"/>
    <row r="348" s="503" customFormat="1" ht="12.75" customHeight="1" x14ac:dyDescent="0.2"/>
    <row r="349" s="503" customFormat="1" ht="12.75" customHeight="1" x14ac:dyDescent="0.2"/>
    <row r="350" s="503" customFormat="1" ht="12.75" customHeight="1" x14ac:dyDescent="0.2"/>
    <row r="351" s="503" customFormat="1" ht="12.75" customHeight="1" x14ac:dyDescent="0.2"/>
    <row r="352" s="503" customFormat="1" ht="12.75" customHeight="1" x14ac:dyDescent="0.2"/>
    <row r="353" s="503" customFormat="1" ht="12.75" customHeight="1" x14ac:dyDescent="0.2"/>
    <row r="354" s="503" customFormat="1" ht="12.75" customHeight="1" x14ac:dyDescent="0.2"/>
    <row r="355" s="503" customFormat="1" ht="12.75" customHeight="1" x14ac:dyDescent="0.2"/>
    <row r="356" s="503" customFormat="1" ht="12.75" customHeight="1" x14ac:dyDescent="0.2"/>
    <row r="357" s="503" customFormat="1" ht="12.75" customHeight="1" x14ac:dyDescent="0.2"/>
    <row r="358" s="503" customFormat="1" ht="12.75" customHeight="1" x14ac:dyDescent="0.2"/>
    <row r="359" s="503" customFormat="1" ht="12.75" customHeight="1" x14ac:dyDescent="0.2"/>
    <row r="360" s="503" customFormat="1" ht="12.75" customHeight="1" x14ac:dyDescent="0.2"/>
    <row r="361" s="503" customFormat="1" ht="12.75" customHeight="1" x14ac:dyDescent="0.2"/>
    <row r="362" s="503" customFormat="1" ht="12.75" customHeight="1" x14ac:dyDescent="0.2"/>
    <row r="363" s="503" customFormat="1" ht="12.75" customHeight="1" x14ac:dyDescent="0.2"/>
    <row r="364" s="503" customFormat="1" ht="12.75" customHeight="1" x14ac:dyDescent="0.2"/>
    <row r="365" s="503" customFormat="1" ht="12.75" customHeight="1" x14ac:dyDescent="0.2"/>
    <row r="366" s="503" customFormat="1" ht="12.75" customHeight="1" x14ac:dyDescent="0.2"/>
    <row r="367" s="503" customFormat="1" ht="12.75" customHeight="1" x14ac:dyDescent="0.2"/>
    <row r="368" s="503" customFormat="1" ht="12.75" customHeight="1" x14ac:dyDescent="0.2"/>
    <row r="369" s="503" customFormat="1" ht="12.75" customHeight="1" x14ac:dyDescent="0.2"/>
    <row r="370" s="503" customFormat="1" ht="12.75" customHeight="1" x14ac:dyDescent="0.2"/>
    <row r="371" s="503" customFormat="1" ht="12.75" customHeight="1" x14ac:dyDescent="0.2"/>
    <row r="372" s="503" customFormat="1" ht="12.75" customHeight="1" x14ac:dyDescent="0.2"/>
    <row r="373" s="503" customFormat="1" ht="12.75" customHeight="1" x14ac:dyDescent="0.2"/>
    <row r="374" s="503" customFormat="1" ht="12.75" customHeight="1" x14ac:dyDescent="0.2"/>
    <row r="375" s="503" customFormat="1" ht="12.75" customHeight="1" x14ac:dyDescent="0.2"/>
    <row r="376" s="503" customFormat="1" ht="12.75" customHeight="1" x14ac:dyDescent="0.2"/>
    <row r="377" s="503" customFormat="1" ht="12.75" customHeight="1" x14ac:dyDescent="0.2"/>
    <row r="378" s="503" customFormat="1" ht="12.75" customHeight="1" x14ac:dyDescent="0.2"/>
    <row r="379" s="503" customFormat="1" ht="12.75" customHeight="1" x14ac:dyDescent="0.2"/>
    <row r="380" s="503" customFormat="1" ht="12.75" customHeight="1" x14ac:dyDescent="0.2"/>
    <row r="381" s="503" customFormat="1" ht="12.75" customHeight="1" x14ac:dyDescent="0.2"/>
    <row r="382" s="503" customFormat="1" ht="12.75" customHeight="1" x14ac:dyDescent="0.2"/>
    <row r="383" s="503" customFormat="1" ht="12.75" customHeight="1" x14ac:dyDescent="0.2"/>
    <row r="384" s="503" customFormat="1" ht="12.75" customHeight="1" x14ac:dyDescent="0.2"/>
    <row r="385" s="503" customFormat="1" ht="12.75" customHeight="1" x14ac:dyDescent="0.2"/>
    <row r="386" s="503" customFormat="1" ht="12.75" customHeight="1" x14ac:dyDescent="0.2"/>
    <row r="387" s="503" customFormat="1" ht="12.75" customHeight="1" x14ac:dyDescent="0.2"/>
    <row r="388" s="503" customFormat="1" ht="12.75" customHeight="1" x14ac:dyDescent="0.2"/>
    <row r="389" s="503" customFormat="1" ht="12.75" customHeight="1" x14ac:dyDescent="0.2"/>
    <row r="390" s="503" customFormat="1" ht="12.75" customHeight="1" x14ac:dyDescent="0.2"/>
    <row r="391" s="503" customFormat="1" ht="12.75" customHeight="1" x14ac:dyDescent="0.2"/>
    <row r="392" s="503" customFormat="1" ht="12.75" customHeight="1" x14ac:dyDescent="0.2"/>
    <row r="393" s="503" customFormat="1" ht="12.75" customHeight="1" x14ac:dyDescent="0.2"/>
    <row r="394" s="503" customFormat="1" ht="12.75" customHeight="1" x14ac:dyDescent="0.2"/>
    <row r="395" s="503" customFormat="1" ht="12.75" customHeight="1" x14ac:dyDescent="0.2"/>
    <row r="396" s="503" customFormat="1" ht="12.75" customHeight="1" x14ac:dyDescent="0.2"/>
    <row r="397" s="503" customFormat="1" ht="12.75" customHeight="1" x14ac:dyDescent="0.2"/>
    <row r="398" s="503" customFormat="1" ht="12.75" customHeight="1" x14ac:dyDescent="0.2"/>
    <row r="399" s="503" customFormat="1" ht="12.75" customHeight="1" x14ac:dyDescent="0.2"/>
    <row r="400" s="503" customFormat="1" ht="12.75" customHeight="1" x14ac:dyDescent="0.2"/>
    <row r="401" s="503" customFormat="1" ht="12.75" customHeight="1" x14ac:dyDescent="0.2"/>
    <row r="402" s="503" customFormat="1" ht="12.75" customHeight="1" x14ac:dyDescent="0.2"/>
    <row r="403" s="503" customFormat="1" ht="12.75" customHeight="1" x14ac:dyDescent="0.2"/>
    <row r="404" s="503" customFormat="1" ht="12.75" customHeight="1" x14ac:dyDescent="0.2"/>
    <row r="405" s="503" customFormat="1" ht="12.75" customHeight="1" x14ac:dyDescent="0.2"/>
    <row r="406" s="503" customFormat="1" ht="12.75" customHeight="1" x14ac:dyDescent="0.2"/>
    <row r="407" s="503" customFormat="1" ht="12.75" customHeight="1" x14ac:dyDescent="0.2"/>
    <row r="408" s="503" customFormat="1" ht="12.75" customHeight="1" x14ac:dyDescent="0.2"/>
    <row r="409" s="503" customFormat="1" ht="12.75" customHeight="1" x14ac:dyDescent="0.2"/>
    <row r="410" s="503" customFormat="1" ht="12.75" customHeight="1" x14ac:dyDescent="0.2"/>
    <row r="411" s="503" customFormat="1" ht="12.75" customHeight="1" x14ac:dyDescent="0.2"/>
    <row r="412" s="503" customFormat="1" ht="12.75" customHeight="1" x14ac:dyDescent="0.2"/>
    <row r="413" s="503" customFormat="1" ht="12.75" customHeight="1" x14ac:dyDescent="0.2"/>
    <row r="414" s="503" customFormat="1" ht="12.75" customHeight="1" x14ac:dyDescent="0.2"/>
    <row r="415" s="503" customFormat="1" ht="12.75" customHeight="1" x14ac:dyDescent="0.2"/>
    <row r="416" s="503" customFormat="1" ht="12.75" customHeight="1" x14ac:dyDescent="0.2"/>
    <row r="417" s="503" customFormat="1" ht="12.75" customHeight="1" x14ac:dyDescent="0.2"/>
    <row r="418" s="503" customFormat="1" ht="12.75" customHeight="1" x14ac:dyDescent="0.2"/>
    <row r="419" s="503" customFormat="1" ht="12.75" customHeight="1" x14ac:dyDescent="0.2"/>
    <row r="420" s="503" customFormat="1" ht="12.75" customHeight="1" x14ac:dyDescent="0.2"/>
    <row r="421" s="503" customFormat="1" ht="12.75" customHeight="1" x14ac:dyDescent="0.2"/>
    <row r="422" s="503" customFormat="1" ht="12.75" customHeight="1" x14ac:dyDescent="0.2"/>
    <row r="423" s="503" customFormat="1" ht="12.75" customHeight="1" x14ac:dyDescent="0.2"/>
    <row r="424" s="503" customFormat="1" ht="12.75" customHeight="1" x14ac:dyDescent="0.2"/>
    <row r="425" s="503" customFormat="1" ht="12.75" customHeight="1" x14ac:dyDescent="0.2"/>
    <row r="426" s="503" customFormat="1" ht="12.75" customHeight="1" x14ac:dyDescent="0.2"/>
    <row r="427" s="503" customFormat="1" ht="12.75" customHeight="1" x14ac:dyDescent="0.2"/>
    <row r="428" s="503" customFormat="1" ht="12.75" customHeight="1" x14ac:dyDescent="0.2"/>
    <row r="429" s="503" customFormat="1" ht="12.75" customHeight="1" x14ac:dyDescent="0.2"/>
    <row r="430" s="503" customFormat="1" ht="12.75" customHeight="1" x14ac:dyDescent="0.2"/>
    <row r="431" s="503" customFormat="1" ht="12.75" customHeight="1" x14ac:dyDescent="0.2"/>
    <row r="432" s="503" customFormat="1" ht="12.75" customHeight="1" x14ac:dyDescent="0.2"/>
    <row r="433" s="503" customFormat="1" ht="12.75" customHeight="1" x14ac:dyDescent="0.2"/>
    <row r="434" s="503" customFormat="1" ht="12.75" customHeight="1" x14ac:dyDescent="0.2"/>
    <row r="435" s="503" customFormat="1" ht="12.75" customHeight="1" x14ac:dyDescent="0.2"/>
    <row r="436" s="503" customFormat="1" ht="12.75" customHeight="1" x14ac:dyDescent="0.2"/>
    <row r="437" s="503" customFormat="1" ht="12.75" customHeight="1" x14ac:dyDescent="0.2"/>
    <row r="438" s="503" customFormat="1" ht="12.75" customHeight="1" x14ac:dyDescent="0.2"/>
    <row r="439" s="503" customFormat="1" ht="12.75" customHeight="1" x14ac:dyDescent="0.2"/>
    <row r="440" s="503" customFormat="1" ht="12.75" customHeight="1" x14ac:dyDescent="0.2"/>
    <row r="441" s="503" customFormat="1" ht="12.75" customHeight="1" x14ac:dyDescent="0.2"/>
    <row r="442" s="503" customFormat="1" ht="12.75" customHeight="1" x14ac:dyDescent="0.2"/>
    <row r="443" s="503" customFormat="1" ht="12.75" customHeight="1" x14ac:dyDescent="0.2"/>
    <row r="444" s="503" customFormat="1" ht="12.75" customHeight="1" x14ac:dyDescent="0.2"/>
    <row r="445" s="503" customFormat="1" ht="12.75" customHeight="1" x14ac:dyDescent="0.2"/>
    <row r="446" s="503" customFormat="1" ht="12.75" customHeight="1" x14ac:dyDescent="0.2"/>
    <row r="447" s="503" customFormat="1" ht="12.75" customHeight="1" x14ac:dyDescent="0.2"/>
    <row r="448" s="503" customFormat="1" ht="12.75" customHeight="1" x14ac:dyDescent="0.2"/>
    <row r="449" s="503" customFormat="1" ht="12.75" customHeight="1" x14ac:dyDescent="0.2"/>
    <row r="450" s="503" customFormat="1" ht="12.75" customHeight="1" x14ac:dyDescent="0.2"/>
    <row r="451" s="503" customFormat="1" ht="12.75" customHeight="1" x14ac:dyDescent="0.2"/>
    <row r="452" s="503" customFormat="1" ht="12.75" customHeight="1" x14ac:dyDescent="0.2"/>
    <row r="453" s="503" customFormat="1" ht="12.75" customHeight="1" x14ac:dyDescent="0.2"/>
    <row r="454" s="503" customFormat="1" ht="12.75" customHeight="1" x14ac:dyDescent="0.2"/>
    <row r="455" s="503" customFormat="1" ht="12.75" customHeight="1" x14ac:dyDescent="0.2"/>
    <row r="456" s="503" customFormat="1" ht="12.75" customHeight="1" x14ac:dyDescent="0.2"/>
    <row r="457" s="503" customFormat="1" ht="12.75" customHeight="1" x14ac:dyDescent="0.2"/>
    <row r="458" s="503" customFormat="1" ht="12.75" customHeight="1" x14ac:dyDescent="0.2"/>
    <row r="459" s="503" customFormat="1" ht="12.75" customHeight="1" x14ac:dyDescent="0.2"/>
    <row r="460" s="503" customFormat="1" ht="12.75" customHeight="1" x14ac:dyDescent="0.2"/>
    <row r="461" s="503" customFormat="1" ht="12.75" customHeight="1" x14ac:dyDescent="0.2"/>
    <row r="462" s="503" customFormat="1" ht="12.75" customHeight="1" x14ac:dyDescent="0.2"/>
    <row r="463" s="503" customFormat="1" ht="12.75" customHeight="1" x14ac:dyDescent="0.2"/>
    <row r="464" s="503" customFormat="1" ht="12.75" customHeight="1" x14ac:dyDescent="0.2"/>
    <row r="465" s="503" customFormat="1" ht="12.75" customHeight="1" x14ac:dyDescent="0.2"/>
    <row r="466" s="503" customFormat="1" ht="12.75" customHeight="1" x14ac:dyDescent="0.2"/>
    <row r="467" s="503" customFormat="1" ht="12.75" customHeight="1" x14ac:dyDescent="0.2"/>
    <row r="468" s="503" customFormat="1" ht="12.75" customHeight="1" x14ac:dyDescent="0.2"/>
    <row r="469" s="503" customFormat="1" ht="12.75" customHeight="1" x14ac:dyDescent="0.2"/>
    <row r="470" s="503" customFormat="1" ht="12.75" customHeight="1" x14ac:dyDescent="0.2"/>
    <row r="471" s="503" customFormat="1" ht="12.75" customHeight="1" x14ac:dyDescent="0.2"/>
    <row r="472" s="503" customFormat="1" ht="12.75" customHeight="1" x14ac:dyDescent="0.2"/>
    <row r="473" s="503" customFormat="1" ht="12.75" customHeight="1" x14ac:dyDescent="0.2"/>
    <row r="474" s="503" customFormat="1" ht="12.75" customHeight="1" x14ac:dyDescent="0.2"/>
    <row r="475" s="503" customFormat="1" ht="12.75" customHeight="1" x14ac:dyDescent="0.2"/>
    <row r="476" s="503" customFormat="1" ht="12.75" customHeight="1" x14ac:dyDescent="0.2"/>
    <row r="477" s="503" customFormat="1" ht="12.75" customHeight="1" x14ac:dyDescent="0.2"/>
    <row r="478" s="503" customFormat="1" ht="12.75" customHeight="1" x14ac:dyDescent="0.2"/>
    <row r="479" s="503" customFormat="1" ht="12.75" customHeight="1" x14ac:dyDescent="0.2"/>
    <row r="480" s="503" customFormat="1" ht="12.75" customHeight="1" x14ac:dyDescent="0.2"/>
    <row r="481" s="503" customFormat="1" ht="12.75" customHeight="1" x14ac:dyDescent="0.2"/>
    <row r="482" s="503" customFormat="1" ht="12.75" customHeight="1" x14ac:dyDescent="0.2"/>
    <row r="483" s="503" customFormat="1" ht="12.75" customHeight="1" x14ac:dyDescent="0.2"/>
    <row r="484" s="503" customFormat="1" ht="12.75" customHeight="1" x14ac:dyDescent="0.2"/>
    <row r="485" s="503" customFormat="1" ht="12.75" customHeight="1" x14ac:dyDescent="0.2"/>
    <row r="486" s="503" customFormat="1" ht="12.75" customHeight="1" x14ac:dyDescent="0.2"/>
    <row r="487" s="503" customFormat="1" ht="12.75" customHeight="1" x14ac:dyDescent="0.2"/>
    <row r="488" s="503" customFormat="1" ht="12.75" customHeight="1" x14ac:dyDescent="0.2"/>
    <row r="489" s="503" customFormat="1" ht="12.75" customHeight="1" x14ac:dyDescent="0.2"/>
    <row r="490" s="503" customFormat="1" ht="12.75" customHeight="1" x14ac:dyDescent="0.2"/>
    <row r="491" s="503" customFormat="1" ht="12.75" customHeight="1" x14ac:dyDescent="0.2"/>
    <row r="492" s="503" customFormat="1" ht="12.75" customHeight="1" x14ac:dyDescent="0.2"/>
    <row r="493" s="503" customFormat="1" ht="12.75" customHeight="1" x14ac:dyDescent="0.2"/>
    <row r="494" s="503" customFormat="1" ht="12.75" customHeight="1" x14ac:dyDescent="0.2"/>
    <row r="495" s="503" customFormat="1" ht="12.75" customHeight="1" x14ac:dyDescent="0.2"/>
    <row r="496" s="503" customFormat="1" ht="12.75" customHeight="1" x14ac:dyDescent="0.2"/>
    <row r="497" s="503" customFormat="1" ht="12.75" customHeight="1" x14ac:dyDescent="0.2"/>
    <row r="498" s="503" customFormat="1" ht="12.75" customHeight="1" x14ac:dyDescent="0.2"/>
    <row r="499" s="503" customFormat="1" ht="12.75" customHeight="1" x14ac:dyDescent="0.2"/>
    <row r="500" s="503" customFormat="1" ht="12.75" customHeight="1" x14ac:dyDescent="0.2"/>
    <row r="501" s="503" customFormat="1" ht="12.75" customHeight="1" x14ac:dyDescent="0.2"/>
    <row r="502" s="503" customFormat="1" ht="12.75" customHeight="1" x14ac:dyDescent="0.2"/>
    <row r="503" s="503" customFormat="1" ht="12.75" customHeight="1" x14ac:dyDescent="0.2"/>
    <row r="504" s="503" customFormat="1" ht="12.75" customHeight="1" x14ac:dyDescent="0.2"/>
    <row r="505" s="503" customFormat="1" ht="12.75" customHeight="1" x14ac:dyDescent="0.2"/>
    <row r="506" s="503" customFormat="1" ht="12.75" customHeight="1" x14ac:dyDescent="0.2"/>
    <row r="507" s="503" customFormat="1" ht="12.75" customHeight="1" x14ac:dyDescent="0.2"/>
    <row r="508" s="503" customFormat="1" ht="12.75" customHeight="1" x14ac:dyDescent="0.2"/>
    <row r="509" s="503" customFormat="1" ht="12.75" customHeight="1" x14ac:dyDescent="0.2"/>
    <row r="510" s="503" customFormat="1" ht="12.75" customHeight="1" x14ac:dyDescent="0.2"/>
    <row r="511" s="503" customFormat="1" ht="12.75" customHeight="1" x14ac:dyDescent="0.2"/>
    <row r="512" s="503" customFormat="1" ht="12.75" customHeight="1" x14ac:dyDescent="0.2"/>
    <row r="513" s="503" customFormat="1" ht="12.75" customHeight="1" x14ac:dyDescent="0.2"/>
    <row r="514" s="503" customFormat="1" ht="12.75" customHeight="1" x14ac:dyDescent="0.2"/>
    <row r="515" s="503" customFormat="1" ht="12.75" customHeight="1" x14ac:dyDescent="0.2"/>
    <row r="516" s="503" customFormat="1" ht="12.75" customHeight="1" x14ac:dyDescent="0.2"/>
    <row r="517" s="503" customFormat="1" ht="12.75" customHeight="1" x14ac:dyDescent="0.2"/>
    <row r="518" s="503" customFormat="1" ht="12.75" customHeight="1" x14ac:dyDescent="0.2"/>
    <row r="519" s="503" customFormat="1" ht="12.75" customHeight="1" x14ac:dyDescent="0.2"/>
    <row r="520" s="503" customFormat="1" ht="12.75" customHeight="1" x14ac:dyDescent="0.2"/>
    <row r="521" s="503" customFormat="1" ht="12.75" customHeight="1" x14ac:dyDescent="0.2"/>
    <row r="522" s="503" customFormat="1" ht="12.75" customHeight="1" x14ac:dyDescent="0.2"/>
    <row r="523" s="503" customFormat="1" ht="12.75" customHeight="1" x14ac:dyDescent="0.2"/>
    <row r="524" s="503" customFormat="1" ht="12.75" customHeight="1" x14ac:dyDescent="0.2"/>
    <row r="525" s="503" customFormat="1" ht="12.75" customHeight="1" x14ac:dyDescent="0.2"/>
    <row r="526" s="503" customFormat="1" ht="12.75" customHeight="1" x14ac:dyDescent="0.2"/>
    <row r="527" s="503" customFormat="1" ht="12.75" customHeight="1" x14ac:dyDescent="0.2"/>
    <row r="528" s="503" customFormat="1" ht="12.75" customHeight="1" x14ac:dyDescent="0.2"/>
    <row r="529" s="503" customFormat="1" ht="12.75" customHeight="1" x14ac:dyDescent="0.2"/>
    <row r="530" s="503" customFormat="1" ht="12.75" customHeight="1" x14ac:dyDescent="0.2"/>
    <row r="531" s="503" customFormat="1" ht="12.75" customHeight="1" x14ac:dyDescent="0.2"/>
    <row r="532" s="503" customFormat="1" ht="12.75" customHeight="1" x14ac:dyDescent="0.2"/>
    <row r="533" s="503" customFormat="1" ht="12.75" customHeight="1" x14ac:dyDescent="0.2"/>
    <row r="534" s="503" customFormat="1" ht="12.75" customHeight="1" x14ac:dyDescent="0.2"/>
    <row r="535" s="503" customFormat="1" ht="12.75" customHeight="1" x14ac:dyDescent="0.2"/>
    <row r="536" s="503" customFormat="1" ht="12.75" customHeight="1" x14ac:dyDescent="0.2"/>
    <row r="537" s="503" customFormat="1" ht="12.75" customHeight="1" x14ac:dyDescent="0.2"/>
    <row r="538" s="503" customFormat="1" ht="12.75" customHeight="1" x14ac:dyDescent="0.2"/>
    <row r="539" s="503" customFormat="1" ht="12.75" customHeight="1" x14ac:dyDescent="0.2"/>
    <row r="540" s="503" customFormat="1" ht="12.75" customHeight="1" x14ac:dyDescent="0.2"/>
    <row r="541" s="503" customFormat="1" ht="12.75" customHeight="1" x14ac:dyDescent="0.2"/>
    <row r="542" s="503" customFormat="1" ht="12.75" customHeight="1" x14ac:dyDescent="0.2"/>
    <row r="543" s="503" customFormat="1" ht="12.75" customHeight="1" x14ac:dyDescent="0.2"/>
    <row r="544" s="503" customFormat="1" ht="12.75" customHeight="1" x14ac:dyDescent="0.2"/>
    <row r="545" s="503" customFormat="1" ht="12.75" customHeight="1" x14ac:dyDescent="0.2"/>
    <row r="546" s="503" customFormat="1" ht="12.75" customHeight="1" x14ac:dyDescent="0.2"/>
    <row r="547" s="503" customFormat="1" ht="12.75" customHeight="1" x14ac:dyDescent="0.2"/>
    <row r="548" s="503" customFormat="1" ht="12.75" customHeight="1" x14ac:dyDescent="0.2"/>
    <row r="549" s="503" customFormat="1" ht="12.75" customHeight="1" x14ac:dyDescent="0.2"/>
    <row r="550" s="503" customFormat="1" ht="12.75" customHeight="1" x14ac:dyDescent="0.2"/>
    <row r="551" s="503" customFormat="1" ht="12.75" customHeight="1" x14ac:dyDescent="0.2"/>
    <row r="552" s="503" customFormat="1" ht="12.75" customHeight="1" x14ac:dyDescent="0.2"/>
    <row r="553" s="503" customFormat="1" ht="12.75" customHeight="1" x14ac:dyDescent="0.2"/>
    <row r="554" s="503" customFormat="1" ht="12.75" customHeight="1" x14ac:dyDescent="0.2"/>
    <row r="555" s="503" customFormat="1" ht="12.75" customHeight="1" x14ac:dyDescent="0.2"/>
    <row r="556" s="503" customFormat="1" ht="12.75" customHeight="1" x14ac:dyDescent="0.2"/>
    <row r="557" s="503" customFormat="1" ht="12.75" customHeight="1" x14ac:dyDescent="0.2"/>
    <row r="558" s="503" customFormat="1" ht="12.75" customHeight="1" x14ac:dyDescent="0.2"/>
    <row r="559" s="503" customFormat="1" ht="12.75" customHeight="1" x14ac:dyDescent="0.2"/>
    <row r="560" s="503" customFormat="1" ht="12.75" customHeight="1" x14ac:dyDescent="0.2"/>
    <row r="561" s="503" customFormat="1" ht="12.75" customHeight="1" x14ac:dyDescent="0.2"/>
    <row r="562" s="503" customFormat="1" ht="12.75" customHeight="1" x14ac:dyDescent="0.2"/>
    <row r="563" s="503" customFormat="1" ht="12.75" customHeight="1" x14ac:dyDescent="0.2"/>
    <row r="564" s="503" customFormat="1" ht="12.75" customHeight="1" x14ac:dyDescent="0.2"/>
    <row r="565" s="503" customFormat="1" ht="12.75" customHeight="1" x14ac:dyDescent="0.2"/>
    <row r="566" s="503" customFormat="1" ht="12.75" customHeight="1" x14ac:dyDescent="0.2"/>
    <row r="567" s="503" customFormat="1" ht="12.75" customHeight="1" x14ac:dyDescent="0.2"/>
    <row r="568" s="503" customFormat="1" ht="12.75" customHeight="1" x14ac:dyDescent="0.2"/>
    <row r="569" s="503" customFormat="1" ht="12.75" customHeight="1" x14ac:dyDescent="0.2"/>
    <row r="570" s="503" customFormat="1" ht="12.75" customHeight="1" x14ac:dyDescent="0.2"/>
    <row r="571" s="503" customFormat="1" ht="12.75" customHeight="1" x14ac:dyDescent="0.2"/>
    <row r="572" s="503" customFormat="1" ht="12.75" customHeight="1" x14ac:dyDescent="0.2"/>
    <row r="573" s="503" customFormat="1" ht="12.75" customHeight="1" x14ac:dyDescent="0.2"/>
    <row r="574" s="503" customFormat="1" ht="12.75" customHeight="1" x14ac:dyDescent="0.2"/>
    <row r="575" s="503" customFormat="1" ht="12.75" customHeight="1" x14ac:dyDescent="0.2"/>
    <row r="576" s="503" customFormat="1" ht="12.75" customHeight="1" x14ac:dyDescent="0.2"/>
    <row r="577" s="503" customFormat="1" ht="12.75" customHeight="1" x14ac:dyDescent="0.2"/>
    <row r="578" s="503" customFormat="1" ht="12.75" customHeight="1" x14ac:dyDescent="0.2"/>
    <row r="579" s="503" customFormat="1" ht="12.75" customHeight="1" x14ac:dyDescent="0.2"/>
    <row r="580" s="503" customFormat="1" ht="12.75" customHeight="1" x14ac:dyDescent="0.2"/>
    <row r="581" s="503" customFormat="1" ht="12.75" customHeight="1" x14ac:dyDescent="0.2"/>
    <row r="582" s="503" customFormat="1" ht="12.75" customHeight="1" x14ac:dyDescent="0.2"/>
    <row r="583" s="503" customFormat="1" ht="12.75" customHeight="1" x14ac:dyDescent="0.2"/>
    <row r="584" s="503" customFormat="1" ht="12.75" customHeight="1" x14ac:dyDescent="0.2"/>
    <row r="585" s="503" customFormat="1" ht="12.75" customHeight="1" x14ac:dyDescent="0.2"/>
    <row r="586" s="503" customFormat="1" ht="12.75" customHeight="1" x14ac:dyDescent="0.2"/>
    <row r="587" s="503" customFormat="1" ht="12.75" customHeight="1" x14ac:dyDescent="0.2"/>
    <row r="588" s="503" customFormat="1" ht="12.75" customHeight="1" x14ac:dyDescent="0.2"/>
    <row r="589" s="503" customFormat="1" ht="12.75" customHeight="1" x14ac:dyDescent="0.2"/>
    <row r="590" s="503" customFormat="1" ht="12.75" customHeight="1" x14ac:dyDescent="0.2"/>
    <row r="591" s="503" customFormat="1" ht="12.75" customHeight="1" x14ac:dyDescent="0.2"/>
    <row r="592" s="503" customFormat="1" ht="12.75" customHeight="1" x14ac:dyDescent="0.2"/>
    <row r="593" s="503" customFormat="1" ht="12.75" customHeight="1" x14ac:dyDescent="0.2"/>
    <row r="594" s="503" customFormat="1" ht="12.75" customHeight="1" x14ac:dyDescent="0.2"/>
    <row r="595" s="503" customFormat="1" ht="12.75" customHeight="1" x14ac:dyDescent="0.2"/>
    <row r="596" s="503" customFormat="1" ht="12.75" customHeight="1" x14ac:dyDescent="0.2"/>
    <row r="597" s="503" customFormat="1" ht="12.75" customHeight="1" x14ac:dyDescent="0.2"/>
    <row r="598" s="503" customFormat="1" ht="12.75" customHeight="1" x14ac:dyDescent="0.2"/>
    <row r="599" s="503" customFormat="1" ht="12.75" customHeight="1" x14ac:dyDescent="0.2"/>
    <row r="600" s="503" customFormat="1" ht="12.75" customHeight="1" x14ac:dyDescent="0.2"/>
    <row r="601" s="503" customFormat="1" ht="12.75" customHeight="1" x14ac:dyDescent="0.2"/>
    <row r="602" s="503" customFormat="1" ht="12.75" customHeight="1" x14ac:dyDescent="0.2"/>
    <row r="603" s="503" customFormat="1" ht="12.75" customHeight="1" x14ac:dyDescent="0.2"/>
    <row r="604" s="503" customFormat="1" ht="12.75" customHeight="1" x14ac:dyDescent="0.2"/>
    <row r="605" s="503" customFormat="1" ht="12.75" customHeight="1" x14ac:dyDescent="0.2"/>
    <row r="606" s="503" customFormat="1" ht="12.75" customHeight="1" x14ac:dyDescent="0.2"/>
    <row r="607" s="503" customFormat="1" ht="12.75" customHeight="1" x14ac:dyDescent="0.2"/>
    <row r="608" s="503" customFormat="1" ht="12.75" customHeight="1" x14ac:dyDescent="0.2"/>
    <row r="609" s="503" customFormat="1" ht="12.75" customHeight="1" x14ac:dyDescent="0.2"/>
    <row r="610" s="503" customFormat="1" ht="12.75" customHeight="1" x14ac:dyDescent="0.2"/>
    <row r="611" s="503" customFormat="1" ht="12.75" customHeight="1" x14ac:dyDescent="0.2"/>
    <row r="612" s="503" customFormat="1" ht="12.75" customHeight="1" x14ac:dyDescent="0.2"/>
    <row r="613" s="503" customFormat="1" ht="12.75" customHeight="1" x14ac:dyDescent="0.2"/>
    <row r="614" s="503" customFormat="1" ht="12.75" customHeight="1" x14ac:dyDescent="0.2"/>
    <row r="615" s="503" customFormat="1" ht="12.75" customHeight="1" x14ac:dyDescent="0.2"/>
    <row r="616" s="503" customFormat="1" ht="12.75" customHeight="1" x14ac:dyDescent="0.2"/>
    <row r="617" s="503" customFormat="1" ht="12.75" customHeight="1" x14ac:dyDescent="0.2"/>
    <row r="618" s="503" customFormat="1" ht="12.75" customHeight="1" x14ac:dyDescent="0.2"/>
    <row r="619" s="503" customFormat="1" ht="12.75" customHeight="1" x14ac:dyDescent="0.2"/>
    <row r="620" s="503" customFormat="1" ht="12.75" customHeight="1" x14ac:dyDescent="0.2"/>
    <row r="621" s="503" customFormat="1" ht="12.75" customHeight="1" x14ac:dyDescent="0.2"/>
    <row r="622" s="503" customFormat="1" ht="12.75" customHeight="1" x14ac:dyDescent="0.2"/>
    <row r="623" s="503" customFormat="1" ht="12.75" customHeight="1" x14ac:dyDescent="0.2"/>
    <row r="624" s="503" customFormat="1" ht="12.75" customHeight="1" x14ac:dyDescent="0.2"/>
    <row r="625" s="503" customFormat="1" ht="12.75" customHeight="1" x14ac:dyDescent="0.2"/>
    <row r="626" s="503" customFormat="1" ht="12.75" customHeight="1" x14ac:dyDescent="0.2"/>
    <row r="627" s="503" customFormat="1" ht="12.75" customHeight="1" x14ac:dyDescent="0.2"/>
    <row r="628" s="503" customFormat="1" ht="12.75" customHeight="1" x14ac:dyDescent="0.2"/>
    <row r="629" s="503" customFormat="1" ht="12.75" customHeight="1" x14ac:dyDescent="0.2"/>
    <row r="630" s="503" customFormat="1" ht="12.75" customHeight="1" x14ac:dyDescent="0.2"/>
    <row r="631" s="503" customFormat="1" ht="12.75" customHeight="1" x14ac:dyDescent="0.2"/>
    <row r="632" s="503" customFormat="1" ht="12.75" customHeight="1" x14ac:dyDescent="0.2"/>
    <row r="633" s="503" customFormat="1" ht="12.75" customHeight="1" x14ac:dyDescent="0.2"/>
    <row r="634" s="503" customFormat="1" ht="12.75" customHeight="1" x14ac:dyDescent="0.2"/>
    <row r="635" s="503" customFormat="1" ht="12.75" customHeight="1" x14ac:dyDescent="0.2"/>
    <row r="636" s="503" customFormat="1" ht="12.75" customHeight="1" x14ac:dyDescent="0.2"/>
    <row r="637" s="503" customFormat="1" ht="12.75" customHeight="1" x14ac:dyDescent="0.2"/>
    <row r="638" s="503" customFormat="1" ht="12.75" customHeight="1" x14ac:dyDescent="0.2"/>
    <row r="639" s="503" customFormat="1" ht="12.75" customHeight="1" x14ac:dyDescent="0.2"/>
    <row r="640" s="503" customFormat="1" ht="12.75" customHeight="1" x14ac:dyDescent="0.2"/>
    <row r="641" s="503" customFormat="1" ht="12.75" customHeight="1" x14ac:dyDescent="0.2"/>
    <row r="642" s="503" customFormat="1" ht="12.75" customHeight="1" x14ac:dyDescent="0.2"/>
    <row r="643" s="503" customFormat="1" ht="12.75" customHeight="1" x14ac:dyDescent="0.2"/>
    <row r="644" s="503" customFormat="1" ht="12.75" customHeight="1" x14ac:dyDescent="0.2"/>
    <row r="645" s="503" customFormat="1" ht="12.75" customHeight="1" x14ac:dyDescent="0.2"/>
    <row r="646" s="503" customFormat="1" ht="12.75" customHeight="1" x14ac:dyDescent="0.2"/>
    <row r="647" s="503" customFormat="1" ht="12.75" customHeight="1" x14ac:dyDescent="0.2"/>
    <row r="648" s="503" customFormat="1" ht="12.75" customHeight="1" x14ac:dyDescent="0.2"/>
    <row r="649" s="503" customFormat="1" ht="12.75" customHeight="1" x14ac:dyDescent="0.2"/>
    <row r="650" s="503" customFormat="1" ht="12.75" customHeight="1" x14ac:dyDescent="0.2"/>
    <row r="651" s="503" customFormat="1" ht="12.75" customHeight="1" x14ac:dyDescent="0.2"/>
    <row r="652" s="503" customFormat="1" ht="12.75" customHeight="1" x14ac:dyDescent="0.2"/>
    <row r="653" s="503" customFormat="1" ht="12.75" customHeight="1" x14ac:dyDescent="0.2"/>
    <row r="654" s="503" customFormat="1" ht="12.75" customHeight="1" x14ac:dyDescent="0.2"/>
    <row r="655" s="503" customFormat="1" ht="12.75" customHeight="1" x14ac:dyDescent="0.2"/>
    <row r="656" s="503" customFormat="1" ht="12.75" customHeight="1" x14ac:dyDescent="0.2"/>
    <row r="657" s="503" customFormat="1" ht="12.75" customHeight="1" x14ac:dyDescent="0.2"/>
    <row r="658" s="503" customFormat="1" ht="12.75" customHeight="1" x14ac:dyDescent="0.2"/>
    <row r="659" s="503" customFormat="1" ht="12.75" customHeight="1" x14ac:dyDescent="0.2"/>
    <row r="660" s="503" customFormat="1" ht="12.75" customHeight="1" x14ac:dyDescent="0.2"/>
    <row r="661" s="503" customFormat="1" ht="12.75" customHeight="1" x14ac:dyDescent="0.2"/>
    <row r="662" s="503" customFormat="1" ht="12.75" customHeight="1" x14ac:dyDescent="0.2"/>
    <row r="663" s="503" customFormat="1" ht="12.75" customHeight="1" x14ac:dyDescent="0.2"/>
    <row r="664" s="503" customFormat="1" ht="12.75" customHeight="1" x14ac:dyDescent="0.2"/>
    <row r="665" s="503" customFormat="1" ht="12.75" customHeight="1" x14ac:dyDescent="0.2"/>
    <row r="666" s="503" customFormat="1" ht="12.75" customHeight="1" x14ac:dyDescent="0.2"/>
    <row r="667" s="503" customFormat="1" ht="12.75" customHeight="1" x14ac:dyDescent="0.2"/>
    <row r="668" s="503" customFormat="1" ht="12.75" customHeight="1" x14ac:dyDescent="0.2"/>
    <row r="669" s="503" customFormat="1" ht="12.75" customHeight="1" x14ac:dyDescent="0.2"/>
    <row r="670" s="503" customFormat="1" ht="12.75" customHeight="1" x14ac:dyDescent="0.2"/>
    <row r="671" s="503" customFormat="1" ht="12.75" customHeight="1" x14ac:dyDescent="0.2"/>
    <row r="672" s="503" customFormat="1" ht="12.75" customHeight="1" x14ac:dyDescent="0.2"/>
    <row r="673" s="503" customFormat="1" ht="12.75" customHeight="1" x14ac:dyDescent="0.2"/>
    <row r="674" s="503" customFormat="1" ht="12.75" customHeight="1" x14ac:dyDescent="0.2"/>
    <row r="675" s="503" customFormat="1" ht="12.75" customHeight="1" x14ac:dyDescent="0.2"/>
    <row r="676" s="503" customFormat="1" ht="12.75" customHeight="1" x14ac:dyDescent="0.2"/>
    <row r="677" s="503" customFormat="1" ht="12.75" customHeight="1" x14ac:dyDescent="0.2"/>
    <row r="678" s="503" customFormat="1" ht="12.75" customHeight="1" x14ac:dyDescent="0.2"/>
    <row r="679" s="503" customFormat="1" ht="12.75" customHeight="1" x14ac:dyDescent="0.2"/>
    <row r="680" s="503" customFormat="1" ht="12.75" customHeight="1" x14ac:dyDescent="0.2"/>
    <row r="681" s="503" customFormat="1" ht="12.75" customHeight="1" x14ac:dyDescent="0.2"/>
    <row r="682" s="503" customFormat="1" ht="12.75" customHeight="1" x14ac:dyDescent="0.2"/>
    <row r="683" s="503" customFormat="1" ht="12.75" customHeight="1" x14ac:dyDescent="0.2"/>
    <row r="684" s="503" customFormat="1" ht="12.75" customHeight="1" x14ac:dyDescent="0.2"/>
    <row r="685" s="503" customFormat="1" ht="12.75" customHeight="1" x14ac:dyDescent="0.2"/>
    <row r="686" s="503" customFormat="1" ht="12.75" customHeight="1" x14ac:dyDescent="0.2"/>
    <row r="687" s="503" customFormat="1" ht="12.75" customHeight="1" x14ac:dyDescent="0.2"/>
    <row r="688" s="503" customFormat="1" ht="12.75" customHeight="1" x14ac:dyDescent="0.2"/>
    <row r="689" s="503" customFormat="1" ht="12.75" customHeight="1" x14ac:dyDescent="0.2"/>
    <row r="690" s="503" customFormat="1" ht="12.75" customHeight="1" x14ac:dyDescent="0.2"/>
    <row r="691" s="503" customFormat="1" ht="12.75" customHeight="1" x14ac:dyDescent="0.2"/>
    <row r="692" s="503" customFormat="1" ht="12.75" customHeight="1" x14ac:dyDescent="0.2"/>
    <row r="693" s="503" customFormat="1" ht="12.75" customHeight="1" x14ac:dyDescent="0.2"/>
    <row r="694" s="503" customFormat="1" ht="12.75" customHeight="1" x14ac:dyDescent="0.2"/>
    <row r="695" s="503" customFormat="1" ht="12.75" customHeight="1" x14ac:dyDescent="0.2"/>
    <row r="696" s="503" customFormat="1" ht="12.75" customHeight="1" x14ac:dyDescent="0.2"/>
    <row r="697" s="503" customFormat="1" ht="12.75" customHeight="1" x14ac:dyDescent="0.2"/>
    <row r="698" s="503" customFormat="1" ht="12.75" customHeight="1" x14ac:dyDescent="0.2"/>
    <row r="699" s="503" customFormat="1" ht="12.75" customHeight="1" x14ac:dyDescent="0.2"/>
    <row r="700" s="503" customFormat="1" ht="12.75" customHeight="1" x14ac:dyDescent="0.2"/>
    <row r="701" s="503" customFormat="1" ht="12.75" customHeight="1" x14ac:dyDescent="0.2"/>
    <row r="702" s="503" customFormat="1" ht="12.75" customHeight="1" x14ac:dyDescent="0.2"/>
    <row r="703" s="503" customFormat="1" ht="12.75" customHeight="1" x14ac:dyDescent="0.2"/>
    <row r="704" s="503" customFormat="1" ht="12.75" customHeight="1" x14ac:dyDescent="0.2"/>
    <row r="705" s="503" customFormat="1" ht="12.75" customHeight="1" x14ac:dyDescent="0.2"/>
    <row r="706" s="503" customFormat="1" ht="12.75" customHeight="1" x14ac:dyDescent="0.2"/>
    <row r="707" s="503" customFormat="1" ht="12.75" customHeight="1" x14ac:dyDescent="0.2"/>
    <row r="708" s="503" customFormat="1" ht="12.75" customHeight="1" x14ac:dyDescent="0.2"/>
    <row r="709" s="503" customFormat="1" ht="12.75" customHeight="1" x14ac:dyDescent="0.2"/>
    <row r="710" s="503" customFormat="1" ht="12.75" customHeight="1" x14ac:dyDescent="0.2"/>
    <row r="711" s="503" customFormat="1" ht="12.75" customHeight="1" x14ac:dyDescent="0.2"/>
    <row r="712" s="503" customFormat="1" ht="12.75" customHeight="1" x14ac:dyDescent="0.2"/>
    <row r="713" s="503" customFormat="1" ht="12.75" customHeight="1" x14ac:dyDescent="0.2"/>
    <row r="714" s="503" customFormat="1" ht="12.75" customHeight="1" x14ac:dyDescent="0.2"/>
    <row r="715" s="503" customFormat="1" ht="12.75" customHeight="1" x14ac:dyDescent="0.2"/>
    <row r="716" s="503" customFormat="1" ht="12.75" customHeight="1" x14ac:dyDescent="0.2"/>
    <row r="717" s="503" customFormat="1" ht="12.75" customHeight="1" x14ac:dyDescent="0.2"/>
    <row r="718" s="503" customFormat="1" ht="12.75" customHeight="1" x14ac:dyDescent="0.2"/>
    <row r="719" s="503" customFormat="1" ht="12.75" customHeight="1" x14ac:dyDescent="0.2"/>
    <row r="720" s="503" customFormat="1" ht="12.75" customHeight="1" x14ac:dyDescent="0.2"/>
    <row r="721" s="503" customFormat="1" ht="12.75" customHeight="1" x14ac:dyDescent="0.2"/>
    <row r="722" s="503" customFormat="1" ht="12.75" customHeight="1" x14ac:dyDescent="0.2"/>
    <row r="723" s="503" customFormat="1" ht="12.75" customHeight="1" x14ac:dyDescent="0.2"/>
    <row r="724" s="503" customFormat="1" ht="12.75" customHeight="1" x14ac:dyDescent="0.2"/>
    <row r="725" s="503" customFormat="1" ht="12.75" customHeight="1" x14ac:dyDescent="0.2"/>
    <row r="726" s="503" customFormat="1" ht="12.75" customHeight="1" x14ac:dyDescent="0.2"/>
    <row r="727" s="503" customFormat="1" ht="12.75" customHeight="1" x14ac:dyDescent="0.2"/>
    <row r="728" s="503" customFormat="1" ht="12.75" customHeight="1" x14ac:dyDescent="0.2"/>
    <row r="729" s="503" customFormat="1" ht="12.75" customHeight="1" x14ac:dyDescent="0.2"/>
    <row r="730" s="503" customFormat="1" ht="12.75" customHeight="1" x14ac:dyDescent="0.2"/>
    <row r="731" s="503" customFormat="1" ht="12.75" customHeight="1" x14ac:dyDescent="0.2"/>
    <row r="732" s="503" customFormat="1" ht="12.75" customHeight="1" x14ac:dyDescent="0.2"/>
    <row r="733" s="503" customFormat="1" ht="12.75" customHeight="1" x14ac:dyDescent="0.2"/>
    <row r="734" s="503" customFormat="1" ht="12.75" customHeight="1" x14ac:dyDescent="0.2"/>
    <row r="735" s="503" customFormat="1" ht="12.75" customHeight="1" x14ac:dyDescent="0.2"/>
    <row r="736" s="503" customFormat="1" ht="12.75" customHeight="1" x14ac:dyDescent="0.2"/>
    <row r="737" s="503" customFormat="1" ht="12.75" customHeight="1" x14ac:dyDescent="0.2"/>
    <row r="738" s="503" customFormat="1" ht="12.75" customHeight="1" x14ac:dyDescent="0.2"/>
    <row r="739" s="503" customFormat="1" ht="12.75" customHeight="1" x14ac:dyDescent="0.2"/>
    <row r="740" s="503" customFormat="1" ht="12.75" customHeight="1" x14ac:dyDescent="0.2"/>
    <row r="741" s="503" customFormat="1" ht="12.75" customHeight="1" x14ac:dyDescent="0.2"/>
    <row r="742" s="503" customFormat="1" ht="12.75" customHeight="1" x14ac:dyDescent="0.2"/>
    <row r="743" s="503" customFormat="1" ht="12.75" customHeight="1" x14ac:dyDescent="0.2"/>
    <row r="744" s="503" customFormat="1" ht="12.75" customHeight="1" x14ac:dyDescent="0.2"/>
    <row r="745" s="503" customFormat="1" ht="12.75" customHeight="1" x14ac:dyDescent="0.2"/>
    <row r="746" s="503" customFormat="1" ht="12.75" customHeight="1" x14ac:dyDescent="0.2"/>
    <row r="747" s="503" customFormat="1" ht="12.75" customHeight="1" x14ac:dyDescent="0.2"/>
    <row r="748" s="503" customFormat="1" ht="12.75" customHeight="1" x14ac:dyDescent="0.2"/>
    <row r="749" s="503" customFormat="1" ht="12.75" customHeight="1" x14ac:dyDescent="0.2"/>
    <row r="750" s="503" customFormat="1" ht="12.75" customHeight="1" x14ac:dyDescent="0.2"/>
    <row r="751" s="503" customFormat="1" ht="12.75" customHeight="1" x14ac:dyDescent="0.2"/>
    <row r="752" s="503" customFormat="1" ht="12.75" customHeight="1" x14ac:dyDescent="0.2"/>
    <row r="753" s="503" customFormat="1" ht="12.75" customHeight="1" x14ac:dyDescent="0.2"/>
    <row r="754" s="503" customFormat="1" ht="12.75" customHeight="1" x14ac:dyDescent="0.2"/>
    <row r="755" s="503" customFormat="1" ht="12.75" customHeight="1" x14ac:dyDescent="0.2"/>
    <row r="756" s="503" customFormat="1" ht="12.75" customHeight="1" x14ac:dyDescent="0.2"/>
    <row r="757" s="503" customFormat="1" ht="12.75" customHeight="1" x14ac:dyDescent="0.2"/>
    <row r="758" s="503" customFormat="1" ht="12.75" customHeight="1" x14ac:dyDescent="0.2"/>
    <row r="759" s="503" customFormat="1" ht="12.75" customHeight="1" x14ac:dyDescent="0.2"/>
    <row r="760" s="503" customFormat="1" ht="12.75" customHeight="1" x14ac:dyDescent="0.2"/>
    <row r="761" s="503" customFormat="1" ht="12.75" customHeight="1" x14ac:dyDescent="0.2"/>
    <row r="762" s="503" customFormat="1" ht="12.75" customHeight="1" x14ac:dyDescent="0.2"/>
    <row r="763" s="503" customFormat="1" ht="12.75" customHeight="1" x14ac:dyDescent="0.2"/>
    <row r="764" s="503" customFormat="1" ht="12.75" customHeight="1" x14ac:dyDescent="0.2"/>
    <row r="765" s="503" customFormat="1" ht="12.75" customHeight="1" x14ac:dyDescent="0.2"/>
    <row r="766" s="503" customFormat="1" ht="12.75" customHeight="1" x14ac:dyDescent="0.2"/>
    <row r="767" s="503" customFormat="1" ht="12.75" customHeight="1" x14ac:dyDescent="0.2"/>
    <row r="768" s="503" customFormat="1" ht="12.75" customHeight="1" x14ac:dyDescent="0.2"/>
    <row r="769" s="503" customFormat="1" ht="12.75" customHeight="1" x14ac:dyDescent="0.2"/>
    <row r="770" s="503" customFormat="1" ht="12.75" customHeight="1" x14ac:dyDescent="0.2"/>
    <row r="771" s="503" customFormat="1" ht="12.75" customHeight="1" x14ac:dyDescent="0.2"/>
    <row r="772" s="503" customFormat="1" ht="12.75" customHeight="1" x14ac:dyDescent="0.2"/>
    <row r="773" s="503" customFormat="1" ht="12.75" customHeight="1" x14ac:dyDescent="0.2"/>
    <row r="774" s="503" customFormat="1" ht="12.75" customHeight="1" x14ac:dyDescent="0.2"/>
    <row r="775" s="503" customFormat="1" ht="12.75" customHeight="1" x14ac:dyDescent="0.2"/>
    <row r="776" s="503" customFormat="1" ht="12.75" customHeight="1" x14ac:dyDescent="0.2"/>
    <row r="777" s="503" customFormat="1" ht="12.75" customHeight="1" x14ac:dyDescent="0.2"/>
    <row r="778" s="503" customFormat="1" ht="12.75" customHeight="1" x14ac:dyDescent="0.2"/>
    <row r="779" s="503" customFormat="1" ht="12.75" customHeight="1" x14ac:dyDescent="0.2"/>
    <row r="780" s="503" customFormat="1" ht="12.75" customHeight="1" x14ac:dyDescent="0.2"/>
    <row r="781" s="503" customFormat="1" ht="12.75" customHeight="1" x14ac:dyDescent="0.2"/>
    <row r="782" s="503" customFormat="1" ht="12.75" customHeight="1" x14ac:dyDescent="0.2"/>
    <row r="783" s="503" customFormat="1" ht="12.75" customHeight="1" x14ac:dyDescent="0.2"/>
    <row r="784" s="503" customFormat="1" ht="12.75" customHeight="1" x14ac:dyDescent="0.2"/>
    <row r="785" s="503" customFormat="1" ht="12.75" customHeight="1" x14ac:dyDescent="0.2"/>
    <row r="786" s="503" customFormat="1" ht="12.75" customHeight="1" x14ac:dyDescent="0.2"/>
    <row r="787" s="503" customFormat="1" ht="12.75" customHeight="1" x14ac:dyDescent="0.2"/>
    <row r="788" s="503" customFormat="1" ht="12.75" customHeight="1" x14ac:dyDescent="0.2"/>
    <row r="789" s="503" customFormat="1" ht="12.75" customHeight="1" x14ac:dyDescent="0.2"/>
    <row r="790" s="503" customFormat="1" ht="12.75" customHeight="1" x14ac:dyDescent="0.2"/>
    <row r="791" s="503" customFormat="1" ht="12.75" customHeight="1" x14ac:dyDescent="0.2"/>
    <row r="792" s="503" customFormat="1" ht="12.75" customHeight="1" x14ac:dyDescent="0.2"/>
    <row r="793" s="503" customFormat="1" ht="12.75" customHeight="1" x14ac:dyDescent="0.2"/>
    <row r="794" s="503" customFormat="1" ht="12.75" customHeight="1" x14ac:dyDescent="0.2"/>
    <row r="795" s="503" customFormat="1" ht="12.75" customHeight="1" x14ac:dyDescent="0.2"/>
    <row r="796" s="503" customFormat="1" ht="12.75" customHeight="1" x14ac:dyDescent="0.2"/>
    <row r="797" s="503" customFormat="1" ht="12.75" customHeight="1" x14ac:dyDescent="0.2"/>
    <row r="798" s="503" customFormat="1" ht="12.75" customHeight="1" x14ac:dyDescent="0.2"/>
    <row r="799" s="503" customFormat="1" ht="12.75" customHeight="1" x14ac:dyDescent="0.2"/>
    <row r="800" s="503" customFormat="1" ht="12.75" customHeight="1" x14ac:dyDescent="0.2"/>
    <row r="801" s="503" customFormat="1" ht="12.75" customHeight="1" x14ac:dyDescent="0.2"/>
    <row r="802" s="503" customFormat="1" ht="12.75" customHeight="1" x14ac:dyDescent="0.2"/>
    <row r="803" s="503" customFormat="1" ht="12.75" customHeight="1" x14ac:dyDescent="0.2"/>
    <row r="804" s="503" customFormat="1" ht="12.75" customHeight="1" x14ac:dyDescent="0.2"/>
    <row r="805" s="503" customFormat="1" ht="12.75" customHeight="1" x14ac:dyDescent="0.2"/>
    <row r="806" s="503" customFormat="1" ht="12.75" customHeight="1" x14ac:dyDescent="0.2"/>
    <row r="807" s="503" customFormat="1" ht="12.75" customHeight="1" x14ac:dyDescent="0.2"/>
    <row r="808" s="503" customFormat="1" ht="12.75" customHeight="1" x14ac:dyDescent="0.2"/>
    <row r="809" s="503" customFormat="1" ht="12.75" customHeight="1" x14ac:dyDescent="0.2"/>
    <row r="810" s="503" customFormat="1" ht="12.75" customHeight="1" x14ac:dyDescent="0.2"/>
    <row r="811" s="503" customFormat="1" ht="12.75" customHeight="1" x14ac:dyDescent="0.2"/>
    <row r="812" s="503" customFormat="1" ht="12.75" customHeight="1" x14ac:dyDescent="0.2"/>
    <row r="813" s="503" customFormat="1" ht="12.75" customHeight="1" x14ac:dyDescent="0.2"/>
    <row r="814" s="503" customFormat="1" ht="12.75" customHeight="1" x14ac:dyDescent="0.2"/>
    <row r="815" s="503" customFormat="1" ht="12.75" customHeight="1" x14ac:dyDescent="0.2"/>
    <row r="816" s="503" customFormat="1" ht="12.75" customHeight="1" x14ac:dyDescent="0.2"/>
    <row r="817" s="503" customFormat="1" ht="12.75" customHeight="1" x14ac:dyDescent="0.2"/>
    <row r="818" s="503" customFormat="1" ht="12.75" customHeight="1" x14ac:dyDescent="0.2"/>
    <row r="819" s="503" customFormat="1" ht="12.75" customHeight="1" x14ac:dyDescent="0.2"/>
    <row r="820" s="503" customFormat="1" ht="12.75" customHeight="1" x14ac:dyDescent="0.2"/>
    <row r="821" s="503" customFormat="1" ht="12.75" customHeight="1" x14ac:dyDescent="0.2"/>
    <row r="822" s="503" customFormat="1" ht="12.75" customHeight="1" x14ac:dyDescent="0.2"/>
    <row r="823" s="503" customFormat="1" ht="12.75" customHeight="1" x14ac:dyDescent="0.2"/>
    <row r="824" s="503" customFormat="1" ht="12.75" customHeight="1" x14ac:dyDescent="0.2"/>
    <row r="825" s="503" customFormat="1" ht="12.75" customHeight="1" x14ac:dyDescent="0.2"/>
    <row r="826" s="503" customFormat="1" ht="12.75" customHeight="1" x14ac:dyDescent="0.2"/>
    <row r="827" s="503" customFormat="1" ht="12.75" customHeight="1" x14ac:dyDescent="0.2"/>
    <row r="828" s="503" customFormat="1" ht="12.75" customHeight="1" x14ac:dyDescent="0.2"/>
    <row r="829" s="503" customFormat="1" ht="12.75" customHeight="1" x14ac:dyDescent="0.2"/>
    <row r="830" s="503" customFormat="1" ht="12.75" customHeight="1" x14ac:dyDescent="0.2"/>
    <row r="831" s="503" customFormat="1" ht="12.75" customHeight="1" x14ac:dyDescent="0.2"/>
    <row r="832" s="503" customFormat="1" ht="12.75" customHeight="1" x14ac:dyDescent="0.2"/>
    <row r="833" s="503" customFormat="1" ht="12.75" customHeight="1" x14ac:dyDescent="0.2"/>
    <row r="834" s="503" customFormat="1" ht="12.75" customHeight="1" x14ac:dyDescent="0.2"/>
    <row r="835" s="503" customFormat="1" ht="12.75" customHeight="1" x14ac:dyDescent="0.2"/>
    <row r="836" s="503" customFormat="1" ht="12.75" customHeight="1" x14ac:dyDescent="0.2"/>
    <row r="837" s="503" customFormat="1" ht="12.75" customHeight="1" x14ac:dyDescent="0.2"/>
    <row r="838" s="503" customFormat="1" ht="12.75" customHeight="1" x14ac:dyDescent="0.2"/>
    <row r="839" s="503" customFormat="1" ht="12.75" customHeight="1" x14ac:dyDescent="0.2"/>
    <row r="840" s="503" customFormat="1" ht="12.75" customHeight="1" x14ac:dyDescent="0.2"/>
    <row r="841" s="503" customFormat="1" ht="12.75" customHeight="1" x14ac:dyDescent="0.2"/>
    <row r="842" s="503" customFormat="1" ht="12.75" customHeight="1" x14ac:dyDescent="0.2"/>
    <row r="843" s="503" customFormat="1" ht="12.75" customHeight="1" x14ac:dyDescent="0.2"/>
    <row r="844" s="503" customFormat="1" ht="12.75" customHeight="1" x14ac:dyDescent="0.2"/>
    <row r="845" s="503" customFormat="1" ht="12.75" customHeight="1" x14ac:dyDescent="0.2"/>
    <row r="846" s="503" customFormat="1" ht="12.75" customHeight="1" x14ac:dyDescent="0.2"/>
    <row r="847" s="503" customFormat="1" ht="12.75" customHeight="1" x14ac:dyDescent="0.2"/>
    <row r="848" s="503" customFormat="1" ht="12.75" customHeight="1" x14ac:dyDescent="0.2"/>
    <row r="849" s="503" customFormat="1" ht="12.75" customHeight="1" x14ac:dyDescent="0.2"/>
    <row r="850" s="503" customFormat="1" ht="12.75" customHeight="1" x14ac:dyDescent="0.2"/>
    <row r="851" s="503" customFormat="1" ht="12.75" customHeight="1" x14ac:dyDescent="0.2"/>
    <row r="852" s="503" customFormat="1" ht="12.75" customHeight="1" x14ac:dyDescent="0.2"/>
    <row r="853" s="503" customFormat="1" ht="12.75" customHeight="1" x14ac:dyDescent="0.2"/>
    <row r="854" s="503" customFormat="1" ht="12.75" customHeight="1" x14ac:dyDescent="0.2"/>
    <row r="855" s="503" customFormat="1" ht="12.75" customHeight="1" x14ac:dyDescent="0.2"/>
    <row r="856" s="503" customFormat="1" ht="12.75" customHeight="1" x14ac:dyDescent="0.2"/>
    <row r="857" s="503" customFormat="1" ht="12.75" customHeight="1" x14ac:dyDescent="0.2"/>
    <row r="858" s="503" customFormat="1" ht="12.75" customHeight="1" x14ac:dyDescent="0.2"/>
    <row r="859" s="503" customFormat="1" ht="12.75" customHeight="1" x14ac:dyDescent="0.2"/>
    <row r="860" s="503" customFormat="1" ht="12.75" customHeight="1" x14ac:dyDescent="0.2"/>
    <row r="861" s="503" customFormat="1" ht="12.75" customHeight="1" x14ac:dyDescent="0.2"/>
    <row r="862" s="503" customFormat="1" ht="12.75" customHeight="1" x14ac:dyDescent="0.2"/>
    <row r="863" s="503" customFormat="1" ht="12.75" customHeight="1" x14ac:dyDescent="0.2"/>
    <row r="864" s="503" customFormat="1" ht="12.75" customHeight="1" x14ac:dyDescent="0.2"/>
    <row r="865" s="503" customFormat="1" ht="12.75" customHeight="1" x14ac:dyDescent="0.2"/>
    <row r="866" s="503" customFormat="1" ht="12.75" customHeight="1" x14ac:dyDescent="0.2"/>
    <row r="867" s="503" customFormat="1" ht="12.75" customHeight="1" x14ac:dyDescent="0.2"/>
    <row r="868" s="503" customFormat="1" ht="12.75" customHeight="1" x14ac:dyDescent="0.2"/>
    <row r="869" s="503" customFormat="1" ht="12.75" customHeight="1" x14ac:dyDescent="0.2"/>
    <row r="870" s="503" customFormat="1" ht="12.75" customHeight="1" x14ac:dyDescent="0.2"/>
    <row r="871" s="503" customFormat="1" ht="12.75" customHeight="1" x14ac:dyDescent="0.2"/>
    <row r="872" s="503" customFormat="1" ht="12.75" customHeight="1" x14ac:dyDescent="0.2"/>
    <row r="873" s="503" customFormat="1" ht="12.75" customHeight="1" x14ac:dyDescent="0.2"/>
    <row r="874" s="503" customFormat="1" ht="12.75" customHeight="1" x14ac:dyDescent="0.2"/>
    <row r="875" s="503" customFormat="1" ht="12.75" customHeight="1" x14ac:dyDescent="0.2"/>
    <row r="876" s="503" customFormat="1" ht="12.75" customHeight="1" x14ac:dyDescent="0.2"/>
    <row r="877" s="503" customFormat="1" ht="12.75" customHeight="1" x14ac:dyDescent="0.2"/>
    <row r="878" s="503" customFormat="1" ht="12.75" customHeight="1" x14ac:dyDescent="0.2"/>
    <row r="879" s="503" customFormat="1" ht="12.75" customHeight="1" x14ac:dyDescent="0.2"/>
    <row r="880" s="503" customFormat="1" ht="12.75" customHeight="1" x14ac:dyDescent="0.2"/>
    <row r="881" s="503" customFormat="1" ht="12.75" customHeight="1" x14ac:dyDescent="0.2"/>
    <row r="882" s="503" customFormat="1" ht="12.75" customHeight="1" x14ac:dyDescent="0.2"/>
    <row r="883" s="503" customFormat="1" ht="12.75" customHeight="1" x14ac:dyDescent="0.2"/>
    <row r="884" s="503" customFormat="1" ht="12.75" customHeight="1" x14ac:dyDescent="0.2"/>
    <row r="885" s="503" customFormat="1" ht="12.75" customHeight="1" x14ac:dyDescent="0.2"/>
    <row r="886" s="503" customFormat="1" ht="12.75" customHeight="1" x14ac:dyDescent="0.2"/>
    <row r="887" s="503" customFormat="1" ht="12.75" customHeight="1" x14ac:dyDescent="0.2"/>
    <row r="888" s="503" customFormat="1" ht="12.75" customHeight="1" x14ac:dyDescent="0.2"/>
    <row r="889" s="503" customFormat="1" ht="12.75" customHeight="1" x14ac:dyDescent="0.2"/>
    <row r="890" s="503" customFormat="1" ht="12.75" customHeight="1" x14ac:dyDescent="0.2"/>
    <row r="891" s="503" customFormat="1" ht="12.75" customHeight="1" x14ac:dyDescent="0.2"/>
    <row r="892" s="503" customFormat="1" ht="12.75" customHeight="1" x14ac:dyDescent="0.2"/>
    <row r="893" s="503" customFormat="1" ht="12.75" customHeight="1" x14ac:dyDescent="0.2"/>
    <row r="894" s="503" customFormat="1" ht="12.75" customHeight="1" x14ac:dyDescent="0.2"/>
    <row r="895" s="503" customFormat="1" ht="12.75" customHeight="1" x14ac:dyDescent="0.2"/>
    <row r="896" s="503" customFormat="1" ht="12.75" customHeight="1" x14ac:dyDescent="0.2"/>
    <row r="897" s="503" customFormat="1" ht="12.75" customHeight="1" x14ac:dyDescent="0.2"/>
    <row r="898" s="503" customFormat="1" ht="12.75" customHeight="1" x14ac:dyDescent="0.2"/>
    <row r="899" s="503" customFormat="1" ht="12.75" customHeight="1" x14ac:dyDescent="0.2"/>
    <row r="900" s="503" customFormat="1" ht="12.75" customHeight="1" x14ac:dyDescent="0.2"/>
    <row r="901" s="503" customFormat="1" ht="12.75" customHeight="1" x14ac:dyDescent="0.2"/>
    <row r="902" s="503" customFormat="1" ht="12.75" customHeight="1" x14ac:dyDescent="0.2"/>
    <row r="903" s="503" customFormat="1" ht="12.75" customHeight="1" x14ac:dyDescent="0.2"/>
    <row r="904" s="503" customFormat="1" ht="12.75" customHeight="1" x14ac:dyDescent="0.2"/>
    <row r="905" s="503" customFormat="1" ht="12.75" customHeight="1" x14ac:dyDescent="0.2"/>
    <row r="906" s="503" customFormat="1" ht="12.75" customHeight="1" x14ac:dyDescent="0.2"/>
    <row r="907" s="503" customFormat="1" ht="12.75" customHeight="1" x14ac:dyDescent="0.2"/>
    <row r="908" s="503" customFormat="1" ht="12.75" customHeight="1" x14ac:dyDescent="0.2"/>
    <row r="909" s="503" customFormat="1" ht="12.75" customHeight="1" x14ac:dyDescent="0.2"/>
    <row r="910" s="503" customFormat="1" ht="12.75" customHeight="1" x14ac:dyDescent="0.2"/>
    <row r="911" s="503" customFormat="1" ht="12.75" customHeight="1" x14ac:dyDescent="0.2"/>
    <row r="912" s="503" customFormat="1" ht="12.75" customHeight="1" x14ac:dyDescent="0.2"/>
    <row r="913" s="503" customFormat="1" ht="12.75" customHeight="1" x14ac:dyDescent="0.2"/>
    <row r="914" s="503" customFormat="1" ht="12.75" customHeight="1" x14ac:dyDescent="0.2"/>
    <row r="915" s="503" customFormat="1" ht="12.75" customHeight="1" x14ac:dyDescent="0.2"/>
    <row r="916" s="503" customFormat="1" ht="12.75" customHeight="1" x14ac:dyDescent="0.2"/>
    <row r="917" s="503" customFormat="1" ht="12.75" customHeight="1" x14ac:dyDescent="0.2"/>
    <row r="918" s="503" customFormat="1" ht="12.75" customHeight="1" x14ac:dyDescent="0.2"/>
    <row r="919" s="503" customFormat="1" ht="12.75" customHeight="1" x14ac:dyDescent="0.2"/>
    <row r="920" s="503" customFormat="1" ht="12.75" customHeight="1" x14ac:dyDescent="0.2"/>
    <row r="921" s="503" customFormat="1" ht="12.75" customHeight="1" x14ac:dyDescent="0.2"/>
    <row r="922" s="503" customFormat="1" ht="12.75" customHeight="1" x14ac:dyDescent="0.2"/>
    <row r="923" s="503" customFormat="1" ht="12.75" customHeight="1" x14ac:dyDescent="0.2"/>
    <row r="924" s="503" customFormat="1" ht="12.75" customHeight="1" x14ac:dyDescent="0.2"/>
    <row r="925" s="503" customFormat="1" ht="12.75" customHeight="1" x14ac:dyDescent="0.2"/>
    <row r="926" s="503" customFormat="1" ht="12.75" customHeight="1" x14ac:dyDescent="0.2"/>
    <row r="927" s="503" customFormat="1" ht="12.75" customHeight="1" x14ac:dyDescent="0.2"/>
    <row r="928" s="503" customFormat="1" ht="12.75" customHeight="1" x14ac:dyDescent="0.2"/>
    <row r="929" s="503" customFormat="1" ht="12.75" customHeight="1" x14ac:dyDescent="0.2"/>
    <row r="930" s="503" customFormat="1" ht="12.75" customHeight="1" x14ac:dyDescent="0.2"/>
    <row r="931" s="503" customFormat="1" ht="12.75" customHeight="1" x14ac:dyDescent="0.2"/>
    <row r="932" s="503" customFormat="1" ht="12.75" customHeight="1" x14ac:dyDescent="0.2"/>
    <row r="933" s="503" customFormat="1" ht="12.75" customHeight="1" x14ac:dyDescent="0.2"/>
    <row r="934" s="503" customFormat="1" ht="12.75" customHeight="1" x14ac:dyDescent="0.2"/>
    <row r="935" s="503" customFormat="1" ht="12.75" customHeight="1" x14ac:dyDescent="0.2"/>
    <row r="936" s="503" customFormat="1" ht="12.75" customHeight="1" x14ac:dyDescent="0.2"/>
    <row r="937" s="503" customFormat="1" ht="12.75" customHeight="1" x14ac:dyDescent="0.2"/>
    <row r="938" s="503" customFormat="1" ht="12.75" customHeight="1" x14ac:dyDescent="0.2"/>
    <row r="939" s="503" customFormat="1" ht="12.75" customHeight="1" x14ac:dyDescent="0.2"/>
    <row r="940" s="503" customFormat="1" ht="12.75" customHeight="1" x14ac:dyDescent="0.2"/>
    <row r="941" s="503" customFormat="1" ht="12.75" customHeight="1" x14ac:dyDescent="0.2"/>
    <row r="942" s="503" customFormat="1" ht="12.75" customHeight="1" x14ac:dyDescent="0.2"/>
    <row r="943" s="503" customFormat="1" ht="12.75" customHeight="1" x14ac:dyDescent="0.2"/>
    <row r="944" s="503" customFormat="1" ht="12.75" customHeight="1" x14ac:dyDescent="0.2"/>
    <row r="945" s="503" customFormat="1" ht="12.75" customHeight="1" x14ac:dyDescent="0.2"/>
    <row r="946" s="503" customFormat="1" ht="12.75" customHeight="1" x14ac:dyDescent="0.2"/>
    <row r="947" s="503" customFormat="1" ht="12.75" customHeight="1" x14ac:dyDescent="0.2"/>
    <row r="948" s="503" customFormat="1" ht="12.75" customHeight="1" x14ac:dyDescent="0.2"/>
    <row r="949" s="503" customFormat="1" ht="12.75" customHeight="1" x14ac:dyDescent="0.2"/>
    <row r="950" s="503" customFormat="1" ht="12.75" customHeight="1" x14ac:dyDescent="0.2"/>
    <row r="951" s="503" customFormat="1" ht="12.75" customHeight="1" x14ac:dyDescent="0.2"/>
    <row r="952" s="503" customFormat="1" ht="12.75" customHeight="1" x14ac:dyDescent="0.2"/>
    <row r="953" s="503" customFormat="1" ht="12.75" customHeight="1" x14ac:dyDescent="0.2"/>
    <row r="954" s="503" customFormat="1" ht="12.75" customHeight="1" x14ac:dyDescent="0.2"/>
    <row r="955" s="503" customFormat="1" ht="12.75" customHeight="1" x14ac:dyDescent="0.2"/>
    <row r="956" s="503" customFormat="1" ht="12.75" customHeight="1" x14ac:dyDescent="0.2"/>
    <row r="957" s="503" customFormat="1" ht="12.75" customHeight="1" x14ac:dyDescent="0.2"/>
    <row r="958" s="503" customFormat="1" ht="12.75" customHeight="1" x14ac:dyDescent="0.2"/>
    <row r="959" s="503" customFormat="1" ht="12.75" customHeight="1" x14ac:dyDescent="0.2"/>
    <row r="960" s="503" customFormat="1" ht="12.75" customHeight="1" x14ac:dyDescent="0.2"/>
    <row r="961" s="503" customFormat="1" ht="12.75" customHeight="1" x14ac:dyDescent="0.2"/>
    <row r="962" s="503" customFormat="1" ht="12.75" customHeight="1" x14ac:dyDescent="0.2"/>
    <row r="963" s="503" customFormat="1" ht="12.75" customHeight="1" x14ac:dyDescent="0.2"/>
    <row r="964" s="503" customFormat="1" ht="12.75" customHeight="1" x14ac:dyDescent="0.2"/>
    <row r="965" s="503" customFormat="1" ht="12.75" customHeight="1" x14ac:dyDescent="0.2"/>
    <row r="966" s="503" customFormat="1" ht="12.75" customHeight="1" x14ac:dyDescent="0.2"/>
    <row r="967" s="503" customFormat="1" ht="12.75" customHeight="1" x14ac:dyDescent="0.2"/>
    <row r="968" s="503" customFormat="1" ht="12.75" customHeight="1" x14ac:dyDescent="0.2"/>
    <row r="969" s="503" customFormat="1" ht="12.75" customHeight="1" x14ac:dyDescent="0.2"/>
    <row r="970" s="503" customFormat="1" ht="12.75" customHeight="1" x14ac:dyDescent="0.2"/>
    <row r="971" s="503" customFormat="1" ht="12.75" customHeight="1" x14ac:dyDescent="0.2"/>
    <row r="972" s="503" customFormat="1" ht="12.75" customHeight="1" x14ac:dyDescent="0.2"/>
    <row r="973" s="503" customFormat="1" ht="12.75" customHeight="1" x14ac:dyDescent="0.2"/>
    <row r="974" s="503" customFormat="1" ht="12.75" customHeight="1" x14ac:dyDescent="0.2"/>
    <row r="975" s="503" customFormat="1" ht="12.75" customHeight="1" x14ac:dyDescent="0.2"/>
  </sheetData>
  <sheetProtection algorithmName="SHA-512" hashValue="Gq2OCdUC8IflKyhDQltce8KisRREceJ7Jlss2YWcED5zrh1tZOgGjWa/OXpFMvCDlABILeNNNgcqtJenujEN7w==" saltValue="ERzFmFzEUjuOdEtE9lROmg==" spinCount="100000" sheet="1" objects="1" scenarios="1"/>
  <mergeCells count="2">
    <mergeCell ref="B7:D7"/>
    <mergeCell ref="B8:D8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00"/>
  <sheetViews>
    <sheetView workbookViewId="0"/>
  </sheetViews>
  <sheetFormatPr baseColWidth="10" defaultColWidth="12.5703125" defaultRowHeight="15" customHeight="1" x14ac:dyDescent="0.2"/>
  <cols>
    <col min="1" max="2" width="10.42578125" customWidth="1"/>
    <col min="3" max="3" width="18.42578125" customWidth="1"/>
    <col min="4" max="4" width="20" customWidth="1"/>
    <col min="5" max="5" width="10.5703125" customWidth="1"/>
    <col min="6" max="6" width="12.42578125" customWidth="1"/>
    <col min="7" max="10" width="10.5703125" customWidth="1"/>
    <col min="11" max="11" width="17.5703125" customWidth="1"/>
    <col min="12" max="12" width="12.42578125" customWidth="1"/>
    <col min="13" max="13" width="15.42578125" customWidth="1"/>
    <col min="14" max="26" width="10.5703125" customWidth="1"/>
  </cols>
  <sheetData>
    <row r="1" spans="1:13" ht="12.75" customHeight="1" x14ac:dyDescent="0.2"/>
    <row r="2" spans="1:13" ht="18.75" customHeight="1" x14ac:dyDescent="0.2">
      <c r="A2" s="639" t="s">
        <v>135</v>
      </c>
      <c r="B2" s="622"/>
      <c r="C2" s="112" t="s">
        <v>136</v>
      </c>
      <c r="D2" s="113" t="s">
        <v>137</v>
      </c>
      <c r="E2" s="113" t="s">
        <v>138</v>
      </c>
      <c r="F2" s="113" t="s">
        <v>139</v>
      </c>
      <c r="G2" s="113" t="s">
        <v>140</v>
      </c>
      <c r="H2" s="113" t="s">
        <v>141</v>
      </c>
      <c r="I2" s="113" t="s">
        <v>142</v>
      </c>
      <c r="J2" s="113" t="s">
        <v>143</v>
      </c>
      <c r="K2" s="113" t="s">
        <v>144</v>
      </c>
      <c r="L2" s="113" t="s">
        <v>145</v>
      </c>
      <c r="M2" s="113" t="s">
        <v>146</v>
      </c>
    </row>
    <row r="3" spans="1:13" ht="18.75" customHeight="1" x14ac:dyDescent="0.2">
      <c r="A3" s="114">
        <v>4400</v>
      </c>
      <c r="B3" s="115">
        <f>+A3+1</f>
        <v>4401</v>
      </c>
      <c r="C3" s="116" t="str">
        <f t="shared" ref="C3:C8" si="0">A3&amp;"-"&amp;B3</f>
        <v>4400-4401</v>
      </c>
      <c r="D3" s="114" t="s">
        <v>147</v>
      </c>
      <c r="E3" s="114">
        <v>350</v>
      </c>
      <c r="F3" s="117">
        <v>42347</v>
      </c>
      <c r="G3" s="115">
        <v>7</v>
      </c>
      <c r="H3" s="118">
        <v>15.05</v>
      </c>
      <c r="I3" s="114">
        <v>49900</v>
      </c>
      <c r="J3" s="119">
        <f t="shared" ref="J3:J8" si="1">H3*H3*PI()/4</f>
        <v>177.89464750493056</v>
      </c>
      <c r="K3" s="120">
        <f t="shared" ref="K3:K8" si="2">I3/J3</f>
        <v>280.50309944607505</v>
      </c>
      <c r="L3" s="121">
        <f t="shared" ref="L3:L8" si="3">+K3/E3</f>
        <v>0.80143742698878584</v>
      </c>
      <c r="M3" s="122" t="s">
        <v>148</v>
      </c>
    </row>
    <row r="4" spans="1:13" ht="18.75" customHeight="1" x14ac:dyDescent="0.2">
      <c r="A4" s="115"/>
      <c r="B4" s="115"/>
      <c r="C4" s="123" t="str">
        <f t="shared" si="0"/>
        <v>-</v>
      </c>
      <c r="D4" s="115"/>
      <c r="E4" s="114">
        <v>350</v>
      </c>
      <c r="F4" s="115"/>
      <c r="G4" s="115">
        <v>7</v>
      </c>
      <c r="H4" s="118">
        <v>15.06</v>
      </c>
      <c r="I4" s="114">
        <v>50310</v>
      </c>
      <c r="J4" s="119">
        <f t="shared" si="1"/>
        <v>178.1311308919295</v>
      </c>
      <c r="K4" s="120">
        <f t="shared" si="2"/>
        <v>282.43238421094742</v>
      </c>
      <c r="L4" s="121">
        <f t="shared" si="3"/>
        <v>0.80694966917413546</v>
      </c>
      <c r="M4" s="122" t="s">
        <v>149</v>
      </c>
    </row>
    <row r="5" spans="1:13" ht="18.75" customHeight="1" x14ac:dyDescent="0.2">
      <c r="A5" s="115">
        <f>+B3+1</f>
        <v>4402</v>
      </c>
      <c r="B5" s="115">
        <f>+A5+1</f>
        <v>4403</v>
      </c>
      <c r="C5" s="123" t="str">
        <f t="shared" si="0"/>
        <v>4402-4403</v>
      </c>
      <c r="D5" s="115"/>
      <c r="E5" s="114">
        <v>350</v>
      </c>
      <c r="F5" s="115"/>
      <c r="G5" s="115">
        <v>14</v>
      </c>
      <c r="H5" s="118">
        <v>15.04</v>
      </c>
      <c r="I5" s="114">
        <v>56450</v>
      </c>
      <c r="J5" s="119">
        <f t="shared" si="1"/>
        <v>177.65832119756422</v>
      </c>
      <c r="K5" s="120">
        <f t="shared" si="2"/>
        <v>317.74475644867209</v>
      </c>
      <c r="L5" s="121">
        <f t="shared" si="3"/>
        <v>0.9078421612819203</v>
      </c>
      <c r="M5" s="122" t="s">
        <v>149</v>
      </c>
    </row>
    <row r="6" spans="1:13" ht="18.75" customHeight="1" x14ac:dyDescent="0.2">
      <c r="A6" s="115"/>
      <c r="B6" s="115"/>
      <c r="C6" s="123" t="str">
        <f t="shared" si="0"/>
        <v>-</v>
      </c>
      <c r="D6" s="115"/>
      <c r="E6" s="114">
        <v>350</v>
      </c>
      <c r="F6" s="115"/>
      <c r="G6" s="115">
        <v>14</v>
      </c>
      <c r="H6" s="118">
        <v>15</v>
      </c>
      <c r="I6" s="114">
        <v>59630</v>
      </c>
      <c r="J6" s="119">
        <f t="shared" si="1"/>
        <v>176.71458676442586</v>
      </c>
      <c r="K6" s="120">
        <f t="shared" si="2"/>
        <v>337.43677356692336</v>
      </c>
      <c r="L6" s="121">
        <f t="shared" si="3"/>
        <v>0.96410506733406676</v>
      </c>
      <c r="M6" s="122" t="s">
        <v>149</v>
      </c>
    </row>
    <row r="7" spans="1:13" ht="18.75" customHeight="1" x14ac:dyDescent="0.2">
      <c r="A7" s="115">
        <f>+B5+1</f>
        <v>4404</v>
      </c>
      <c r="B7" s="115">
        <f>+A7+1</f>
        <v>4405</v>
      </c>
      <c r="C7" s="123" t="str">
        <f t="shared" si="0"/>
        <v>4404-4405</v>
      </c>
      <c r="D7" s="115"/>
      <c r="E7" s="114">
        <v>350</v>
      </c>
      <c r="F7" s="115"/>
      <c r="G7" s="115">
        <v>28</v>
      </c>
      <c r="H7" s="118">
        <v>15.11</v>
      </c>
      <c r="I7" s="114">
        <v>65310</v>
      </c>
      <c r="J7" s="119">
        <f t="shared" si="1"/>
        <v>179.31590402141455</v>
      </c>
      <c r="K7" s="120">
        <f t="shared" si="2"/>
        <v>364.21755424549764</v>
      </c>
      <c r="L7" s="121">
        <f t="shared" si="3"/>
        <v>1.0406215835585646</v>
      </c>
      <c r="M7" s="122" t="s">
        <v>149</v>
      </c>
    </row>
    <row r="8" spans="1:13" ht="18.75" customHeight="1" x14ac:dyDescent="0.2">
      <c r="A8" s="115"/>
      <c r="B8" s="115"/>
      <c r="C8" s="123" t="str">
        <f t="shared" si="0"/>
        <v>-</v>
      </c>
      <c r="D8" s="115"/>
      <c r="E8" s="114">
        <v>350</v>
      </c>
      <c r="F8" s="115"/>
      <c r="G8" s="115">
        <v>28</v>
      </c>
      <c r="H8" s="118">
        <v>15.05</v>
      </c>
      <c r="I8" s="114">
        <v>64730</v>
      </c>
      <c r="J8" s="119">
        <f t="shared" si="1"/>
        <v>177.89464750493056</v>
      </c>
      <c r="K8" s="120">
        <f t="shared" si="2"/>
        <v>363.86704663616104</v>
      </c>
      <c r="L8" s="121">
        <f t="shared" si="3"/>
        <v>1.0396201332461743</v>
      </c>
      <c r="M8" s="122" t="s">
        <v>148</v>
      </c>
    </row>
    <row r="10" spans="1:13" ht="12.75" customHeight="1" x14ac:dyDescent="0.2"/>
    <row r="11" spans="1:13" ht="12.75" customHeight="1" x14ac:dyDescent="0.2"/>
    <row r="12" spans="1:13" ht="12.75" customHeight="1" x14ac:dyDescent="0.2"/>
    <row r="13" spans="1:13" ht="12.75" customHeight="1" x14ac:dyDescent="0.2"/>
    <row r="14" spans="1:13" ht="12.75" customHeight="1" x14ac:dyDescent="0.2"/>
    <row r="15" spans="1:13" ht="12.75" customHeight="1" x14ac:dyDescent="0.2"/>
    <row r="16" spans="1:13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1">
    <mergeCell ref="A2:B2"/>
  </mergeCell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FORMATO</vt:lpstr>
      <vt:lpstr>INFORME</vt:lpstr>
      <vt:lpstr>DATOS</vt:lpstr>
      <vt:lpstr>incertidumbre</vt:lpstr>
      <vt:lpstr>balanza</vt:lpstr>
      <vt:lpstr>precision</vt:lpstr>
      <vt:lpstr>Hoja1</vt:lpstr>
      <vt:lpstr>FORMATO!Área_de_impresión</vt:lpstr>
      <vt:lpstr>INFORME!Área_de_impresión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Pacahuala A.</dc:creator>
  <cp:lastModifiedBy>Jazmin Grandez</cp:lastModifiedBy>
  <cp:lastPrinted>2026-06-13T17:38:55Z</cp:lastPrinted>
  <dcterms:created xsi:type="dcterms:W3CDTF">1999-11-07T15:11:55Z</dcterms:created>
  <dcterms:modified xsi:type="dcterms:W3CDTF">2026-06-24T15:05:26Z</dcterms:modified>
</cp:coreProperties>
</file>