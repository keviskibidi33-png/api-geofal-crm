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41" firstSheet="0" activeTab="1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PLA. Y ALAR.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INCERTIDUMBRE" sheetId="4" state="visible" r:id="rId4"/>
    <sheet xmlns:r="http://schemas.openxmlformats.org/officeDocument/2006/relationships" name="BALANZA" sheetId="5" state="visible" r:id="rId5"/>
    <sheet xmlns:r="http://schemas.openxmlformats.org/officeDocument/2006/relationships" name="PRECISION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_CC2">[1]Sucs!$L$6</definedName>
    <definedName name="CC">[2]Sucs!$L$6</definedName>
    <definedName name="CM">[3]BGA!$H$9</definedName>
    <definedName name="CU">[2]Sucs!$L$5</definedName>
    <definedName name="IP">[2]Sucs!$L$4</definedName>
    <definedName name="Ll">[2]Sucs!$L$3</definedName>
    <definedName name="MORA">[3]BGA!$H$13</definedName>
    <definedName name="N_10">[2]Sucs!$C$5</definedName>
    <definedName name="N_200">[2]Sucs!$C$3</definedName>
    <definedName name="N_40">[2]Sucs!$C$4</definedName>
    <definedName name="TABLA">#REF!</definedName>
    <definedName name="_xlnm.Print_Area" localSheetId="0">'FORMATO'!$A$1:$S$56</definedName>
    <definedName name="_xlnm.Print_Area" localSheetId="1">'PLA. Y ALAR.'!$A$1:$N$50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0.0"/>
    <numFmt numFmtId="165" formatCode="dd\-mmm\-yyyy"/>
    <numFmt numFmtId="166" formatCode="0.000"/>
    <numFmt numFmtId="167" formatCode="dd\-mm\-yy;@"/>
    <numFmt numFmtId="168" formatCode="&quot;0&quot;0"/>
    <numFmt numFmtId="169" formatCode="0.0000"/>
    <numFmt numFmtId="170" formatCode="0.0E+00"/>
    <numFmt numFmtId="171" formatCode="0.0%"/>
    <numFmt numFmtId="172" formatCode="0.00000"/>
    <numFmt numFmtId="173" formatCode="yyyy\-mm\-dd;@"/>
    <numFmt numFmtId="174" formatCode="000\-\ &quot;26&quot;"/>
    <numFmt numFmtId="175" formatCode="000&quot;-20 AG07&quot;"/>
    <numFmt numFmtId="176" formatCode="0.00\ &quot;%&quot;"/>
    <numFmt numFmtId="177" formatCode="&quot;CERTIFICADO N°&quot;000&quot;-20 AG07&quot;"/>
    <numFmt numFmtId="178" formatCode="000\-\ &quot;20&quot;"/>
    <numFmt numFmtId="179" formatCode="000\-&quot;AG-26&quot;"/>
    <numFmt numFmtId="180" formatCode="&quot;INFORME DE ENSAYO N°&quot;000&quot;-26 AG34&quot;"/>
    <numFmt numFmtId="181" formatCode="0.00000000"/>
    <numFmt numFmtId="182" formatCode="0.0000000"/>
    <numFmt numFmtId="183" formatCode="0.000000"/>
  </numFmts>
  <fonts count="61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12"/>
      <sz val="10"/>
      <u val="single"/>
    </font>
    <font>
      <name val="Times New Roman"/>
      <family val="1"/>
      <b val="1"/>
      <sz val="11"/>
    </font>
    <font>
      <name val="Times New Roman"/>
      <family val="1"/>
      <sz val="11"/>
    </font>
    <font>
      <name val="Times New Roman"/>
      <family val="1"/>
      <b val="1"/>
      <sz val="10"/>
    </font>
    <font>
      <name val="Times New Roman"/>
      <family val="1"/>
      <sz val="10"/>
    </font>
    <font>
      <name val="Times New Roman"/>
      <family val="1"/>
      <sz val="9"/>
    </font>
    <font>
      <name val="Arial"/>
      <family val="2"/>
      <sz val="8"/>
    </font>
    <font>
      <name val="Times New Roman"/>
      <family val="1"/>
      <b val="1"/>
      <sz val="11"/>
      <u val="single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8"/>
      <u val="single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Times New Roman"/>
      <family val="1"/>
      <b val="1"/>
      <i val="1"/>
      <sz val="11"/>
      <u val="single"/>
    </font>
    <font>
      <name val="Arial"/>
      <family val="2"/>
      <color indexed="9"/>
      <sz val="8"/>
    </font>
    <font>
      <name val="Arial"/>
      <family val="2"/>
      <b val="1"/>
      <color indexed="9"/>
      <sz val="8"/>
    </font>
    <font>
      <name val="Arial"/>
      <family val="2"/>
      <b val="1"/>
      <i val="1"/>
      <color theme="1"/>
      <sz val="9"/>
      <u val="single"/>
    </font>
    <font>
      <name val="Arial"/>
      <family val="2"/>
      <color theme="1"/>
      <sz val="9"/>
    </font>
    <font>
      <name val="Arial"/>
      <family val="2"/>
      <b val="1"/>
      <sz val="9"/>
      <u val="single"/>
    </font>
    <font>
      <name val="Arial"/>
      <family val="2"/>
      <b val="1"/>
      <sz val="10"/>
      <u val="single"/>
    </font>
    <font>
      <name val="Arial"/>
      <family val="2"/>
      <color theme="1"/>
      <sz val="8"/>
    </font>
    <font>
      <name val="Arial"/>
      <family val="2"/>
      <b val="1"/>
      <sz val="11"/>
    </font>
    <font>
      <name val="Arial"/>
      <family val="2"/>
      <color rgb="FF0000FF"/>
      <sz val="9"/>
    </font>
    <font>
      <name val="Arial"/>
      <family val="2"/>
      <sz val="9"/>
      <u val="single"/>
    </font>
    <font>
      <name val="Arial"/>
      <family val="2"/>
      <color rgb="FF0000FF"/>
      <sz val="10"/>
    </font>
    <font>
      <name val="Arial"/>
      <family val="2"/>
      <color theme="1"/>
      <sz val="10"/>
    </font>
    <font>
      <name val="Arial"/>
      <family val="2"/>
      <i val="1"/>
      <sz val="9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u val="single"/>
    </font>
    <font>
      <name val="Arial"/>
      <family val="2"/>
      <b val="1"/>
      <color theme="1"/>
      <sz val="11"/>
      <u val="single"/>
    </font>
    <font>
      <name val="Arial"/>
      <family val="2"/>
      <b val="1"/>
      <color theme="1"/>
      <sz val="11"/>
    </font>
    <font>
      <name val="Arial"/>
      <family val="2"/>
      <b val="1"/>
      <color rgb="FFFF0000"/>
      <sz val="11"/>
    </font>
    <font>
      <name val="Cambria"/>
      <family val="1"/>
      <b val="1"/>
      <color theme="1"/>
      <sz val="9"/>
    </font>
    <font>
      <name val="Arial"/>
      <family val="2"/>
      <i val="1"/>
      <color theme="1"/>
      <sz val="10"/>
    </font>
    <font>
      <name val="Arial"/>
      <family val="2"/>
      <i val="1"/>
      <color theme="1"/>
      <sz val="10"/>
      <vertAlign val="subscript"/>
    </font>
    <font>
      <name val="Cambria"/>
      <family val="1"/>
      <color theme="1"/>
      <sz val="9"/>
    </font>
    <font>
      <name val="Arial"/>
      <family val="2"/>
      <b val="1"/>
      <color theme="1"/>
      <sz val="9"/>
    </font>
    <font>
      <name val="Cambria"/>
      <family val="1"/>
      <b val="1"/>
      <sz val="9"/>
      <scheme val="major"/>
    </font>
    <font>
      <name val="Cambria"/>
      <family val="1"/>
      <sz val="9"/>
      <scheme val="major"/>
    </font>
    <font>
      <name val="Arial"/>
      <family val="2"/>
      <b val="1"/>
      <color theme="1"/>
      <sz val="10"/>
      <u val="single"/>
    </font>
    <font>
      <name val="Calibri"/>
      <family val="2"/>
      <color theme="1"/>
      <sz val="9"/>
    </font>
    <font>
      <name val="Arial"/>
      <family val="2"/>
      <color rgb="FFFF0000"/>
      <sz val="9"/>
    </font>
    <font>
      <name val="Times New Roman"/>
      <family val="1"/>
      <b val="1"/>
      <sz val="9"/>
    </font>
    <font>
      <name val="Arial Narrow"/>
      <family val="2"/>
      <b val="1"/>
      <i val="1"/>
      <sz val="8"/>
    </font>
    <font>
      <name val="Arial"/>
      <family val="2"/>
      <i val="1"/>
      <sz val="8"/>
    </font>
    <font>
      <name val="Arial"/>
      <family val="2"/>
      <b val="1"/>
      <i val="1"/>
      <sz val="8"/>
    </font>
    <font>
      <name val="Arial"/>
      <family val="2"/>
      <sz val="7.7"/>
    </font>
    <font>
      <name val="Arial"/>
      <family val="2"/>
      <b val="1"/>
      <sz val="7.7"/>
    </font>
    <font>
      <name val="Arial Narrow"/>
      <family val="2"/>
      <sz val="10"/>
    </font>
    <font>
      <name val="Arial"/>
      <family val="2"/>
      <color theme="0"/>
      <sz val="8"/>
    </font>
    <font>
      <name val="Arial"/>
      <family val="2"/>
      <sz val="7"/>
    </font>
    <font>
      <name val="Arial"/>
      <family val="2"/>
      <b val="1"/>
      <color theme="0"/>
      <sz val="8"/>
    </font>
    <font>
      <name val="Arial"/>
      <family val="2"/>
      <i val="1"/>
      <sz val="8"/>
      <u val="single"/>
    </font>
    <font>
      <name val="Arial"/>
      <family val="2"/>
      <color theme="1"/>
      <sz val="7"/>
    </font>
    <font>
      <name val="Arial"/>
      <family val="2"/>
      <sz val="10"/>
      <vertAlign val="subscript"/>
    </font>
    <font>
      <name val="Arial"/>
      <family val="2"/>
      <sz val="10"/>
      <vertAlign val="superscript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"/>
        <bgColor rgb="FFDAEEF3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"/>
        <bgColor theme="0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 applyAlignment="1" applyProtection="1">
      <alignment vertical="top"/>
      <protection locked="0" hidden="0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</cellStyleXfs>
  <cellXfs count="666">
    <xf numFmtId="0" fontId="0" fillId="0" borderId="0" pivotButton="0" quotePrefix="0" xfId="0"/>
    <xf numFmtId="0" fontId="5" fillId="0" borderId="0" applyProtection="1" pivotButton="0" quotePrefix="0" xfId="0">
      <protection locked="1" hidden="1"/>
    </xf>
    <xf numFmtId="0" fontId="7" fillId="0" borderId="0" applyProtection="1" pivotButton="0" quotePrefix="0" xfId="0">
      <protection locked="1" hidden="1"/>
    </xf>
    <xf numFmtId="0" fontId="5" fillId="0" borderId="13" applyProtection="1" pivotButton="0" quotePrefix="0" xfId="0">
      <protection locked="1" hidden="1"/>
    </xf>
    <xf numFmtId="0" fontId="6" fillId="0" borderId="0" applyAlignment="1" applyProtection="1" pivotButton="0" quotePrefix="0" xfId="0">
      <alignment vertical="center"/>
      <protection locked="1" hidden="1"/>
    </xf>
    <xf numFmtId="0" fontId="11" fillId="0" borderId="0" applyAlignment="1" pivotButton="0" quotePrefix="0" xfId="1">
      <alignment vertical="center" wrapText="1"/>
    </xf>
    <xf numFmtId="0" fontId="4" fillId="0" borderId="0" applyAlignment="1" pivotButton="0" quotePrefix="0" xfId="0">
      <alignment vertical="center"/>
    </xf>
    <xf numFmtId="0" fontId="12" fillId="0" borderId="0" applyAlignment="1" pivotButton="0" quotePrefix="0" xfId="3">
      <alignment vertical="center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3">
      <alignment horizontal="right" vertical="center"/>
    </xf>
    <xf numFmtId="17" fontId="9" fillId="0" borderId="3" applyAlignment="1" pivotButton="0" quotePrefix="0" xfId="0">
      <alignment vertical="center"/>
    </xf>
    <xf numFmtId="0" fontId="9" fillId="0" borderId="12" applyAlignment="1" pivotButton="0" quotePrefix="0" xfId="3">
      <alignment vertical="center"/>
    </xf>
    <xf numFmtId="0" fontId="9" fillId="0" borderId="0" applyAlignment="1" pivotButton="0" quotePrefix="0" xfId="3">
      <alignment horizontal="right" vertical="center"/>
    </xf>
    <xf numFmtId="0" fontId="15" fillId="0" borderId="0" applyAlignment="1" pivotButton="0" quotePrefix="0" xfId="3">
      <alignment vertical="center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5">
      <alignment vertical="center"/>
    </xf>
    <xf numFmtId="0" fontId="9" fillId="0" borderId="0" applyAlignment="1" pivotButton="0" quotePrefix="0" xfId="5">
      <alignment horizontal="center" vertical="center"/>
    </xf>
    <xf numFmtId="0" fontId="17" fillId="0" borderId="0" applyAlignment="1" pivotButton="0" quotePrefix="0" xfId="5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20" fillId="0" borderId="0" applyAlignment="1" pivotButton="0" quotePrefix="1" xfId="6">
      <alignment horizontal="left" vertical="center"/>
    </xf>
    <xf numFmtId="0" fontId="9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vertical="center"/>
    </xf>
    <xf numFmtId="0" fontId="11" fillId="0" borderId="0" pivotButton="0" quotePrefix="0" xfId="4"/>
    <xf numFmtId="0" fontId="5" fillId="0" borderId="0" applyAlignment="1" pivotButton="0" quotePrefix="0" xfId="0">
      <alignment horizontal="center" vertical="center"/>
    </xf>
    <xf numFmtId="0" fontId="19" fillId="0" borderId="0" applyAlignment="1" pivotButton="0" quotePrefix="0" xfId="6">
      <alignment horizontal="right" vertical="center"/>
    </xf>
    <xf numFmtId="0" fontId="9" fillId="0" borderId="0" applyAlignment="1" applyProtection="1" pivotButton="0" quotePrefix="0" xfId="0">
      <alignment vertical="center"/>
      <protection locked="0" hidden="0"/>
    </xf>
    <xf numFmtId="0" fontId="23" fillId="0" borderId="0" applyAlignment="1" pivotButton="0" quotePrefix="0" xfId="6">
      <alignment horizontal="left" vertical="center"/>
    </xf>
    <xf numFmtId="0" fontId="9" fillId="0" borderId="0" applyAlignment="1" pivotButton="0" quotePrefix="0" xfId="3">
      <alignment vertical="center"/>
    </xf>
    <xf numFmtId="0" fontId="11" fillId="0" borderId="0" applyProtection="1" pivotButton="0" quotePrefix="0" xfId="0">
      <protection locked="1" hidden="1"/>
    </xf>
    <xf numFmtId="1" fontId="11" fillId="0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  <xf numFmtId="165" fontId="5" fillId="0" borderId="0" applyAlignment="1" pivotButton="0" quotePrefix="0" xfId="0">
      <alignment horizontal="left"/>
    </xf>
    <xf numFmtId="0" fontId="7" fillId="0" borderId="3" pivotButton="0" quotePrefix="0" xfId="0"/>
    <xf numFmtId="0" fontId="5" fillId="0" borderId="3" pivotButton="0" quotePrefix="0" xfId="0"/>
    <xf numFmtId="0" fontId="5" fillId="0" borderId="5" pivotButton="0" quotePrefix="0" xfId="0"/>
    <xf numFmtId="0" fontId="5" fillId="0" borderId="13" pivotButton="0" quotePrefix="0" xfId="0"/>
    <xf numFmtId="12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22" fillId="0" borderId="0" pivotButton="0" quotePrefix="0" xfId="0"/>
    <xf numFmtId="10" fontId="12" fillId="0" borderId="0" applyAlignment="1" pivotButton="0" quotePrefix="0" xfId="5">
      <alignment horizontal="center" vertical="center"/>
    </xf>
    <xf numFmtId="164" fontId="18" fillId="0" borderId="0" applyAlignment="1" pivotButton="0" quotePrefix="0" xfId="5">
      <alignment horizontal="center" vertical="top"/>
    </xf>
    <xf numFmtId="0" fontId="1" fillId="0" borderId="14" applyAlignment="1" applyProtection="1" pivotButton="0" quotePrefix="0" xfId="0">
      <alignment vertical="center"/>
      <protection locked="0" hidden="0"/>
    </xf>
    <xf numFmtId="0" fontId="5" fillId="0" borderId="0" applyProtection="1" pivotButton="0" quotePrefix="0" xfId="0">
      <protection locked="0" hidden="0"/>
    </xf>
    <xf numFmtId="167" fontId="9" fillId="0" borderId="0" applyAlignment="1" applyProtection="1" pivotButton="0" quotePrefix="0" xfId="0">
      <alignment horizontal="left" vertical="center"/>
      <protection locked="0" hidden="0"/>
    </xf>
    <xf numFmtId="0" fontId="5" fillId="0" borderId="4" pivotButton="0" quotePrefix="0" xfId="0"/>
    <xf numFmtId="167" fontId="9" fillId="0" borderId="0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3">
      <alignment vertical="center"/>
      <protection locked="0" hidden="0"/>
    </xf>
    <xf numFmtId="0" fontId="11" fillId="0" borderId="0" applyProtection="1" pivotButton="0" quotePrefix="0" xfId="0">
      <protection locked="0" hidden="0"/>
    </xf>
    <xf numFmtId="0" fontId="15" fillId="0" borderId="0" applyAlignment="1" applyProtection="1" pivotButton="0" quotePrefix="0" xfId="3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1" hidden="1"/>
    </xf>
    <xf numFmtId="0" fontId="26" fillId="0" borderId="0" applyAlignment="1" applyProtection="1" pivotButton="0" quotePrefix="0" xfId="0">
      <alignment vertical="center"/>
      <protection locked="1" hidden="1"/>
    </xf>
    <xf numFmtId="0" fontId="11" fillId="0" borderId="12" applyAlignment="1" applyProtection="1" pivotButton="0" quotePrefix="0" xfId="0">
      <alignment vertical="center"/>
      <protection locked="1" hidden="1"/>
    </xf>
    <xf numFmtId="1" fontId="11" fillId="0" borderId="1" applyAlignment="1" applyProtection="1" pivotButton="0" quotePrefix="0" xfId="0">
      <alignment horizontal="center" vertical="center"/>
      <protection locked="1" hidden="1"/>
    </xf>
    <xf numFmtId="0" fontId="10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9" fillId="0" borderId="20" applyAlignment="1" pivotButton="0" quotePrefix="0" xfId="0">
      <alignment horizontal="center" vertical="center" wrapText="1"/>
    </xf>
    <xf numFmtId="0" fontId="11" fillId="2" borderId="1" applyAlignment="1" applyProtection="1" pivotButton="0" quotePrefix="0" xfId="0">
      <alignment horizontal="center" vertical="center"/>
      <protection locked="1" hidden="1"/>
    </xf>
    <xf numFmtId="0" fontId="9" fillId="0" borderId="9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/>
    </xf>
    <xf numFmtId="1" fontId="11" fillId="0" borderId="24" applyAlignment="1" pivotButton="0" quotePrefix="0" xfId="0">
      <alignment horizontal="center" vertical="center"/>
    </xf>
    <xf numFmtId="1" fontId="11" fillId="0" borderId="8" applyAlignment="1" pivotButton="0" quotePrefix="0" xfId="0">
      <alignment horizontal="center" vertical="center"/>
    </xf>
    <xf numFmtId="164" fontId="11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1" fontId="15" fillId="0" borderId="1" applyAlignment="1" pivotButton="0" quotePrefix="0" xfId="0">
      <alignment horizontal="center" vertical="center"/>
    </xf>
    <xf numFmtId="1" fontId="15" fillId="0" borderId="0" applyAlignment="1" pivotButton="0" quotePrefix="0" xfId="0">
      <alignment horizontal="center" vertical="center"/>
    </xf>
    <xf numFmtId="1" fontId="11" fillId="0" borderId="0" applyAlignment="1" pivotButton="0" quotePrefix="0" xfId="0">
      <alignment vertical="center"/>
    </xf>
    <xf numFmtId="0" fontId="11" fillId="0" borderId="0" pivotButton="0" quotePrefix="0" xfId="0"/>
    <xf numFmtId="167" fontId="9" fillId="0" borderId="13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/>
      <protection locked="1" hidden="1"/>
    </xf>
    <xf numFmtId="2" fontId="11" fillId="0" borderId="0" applyProtection="1" pivotButton="0" quotePrefix="0" xfId="0">
      <protection locked="1" hidden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/>
    </xf>
    <xf numFmtId="0" fontId="11" fillId="0" borderId="15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164" fontId="11" fillId="2" borderId="1" applyAlignment="1" pivotButton="0" quotePrefix="0" xfId="0">
      <alignment horizontal="center" vertical="center"/>
    </xf>
    <xf numFmtId="1" fontId="25" fillId="3" borderId="1" applyAlignment="1" applyProtection="1" pivotButton="0" quotePrefix="0" xfId="0">
      <alignment horizontal="center" vertical="center"/>
      <protection locked="0" hidden="0"/>
    </xf>
    <xf numFmtId="164" fontId="11" fillId="0" borderId="9" applyAlignment="1" pivotButton="0" quotePrefix="0" xfId="0">
      <alignment horizontal="center" vertical="center"/>
    </xf>
    <xf numFmtId="9" fontId="11" fillId="0" borderId="1" applyAlignment="1" pivotButton="0" quotePrefix="0" xfId="0">
      <alignment horizontal="center" vertical="center"/>
    </xf>
    <xf numFmtId="1" fontId="25" fillId="3" borderId="22" applyAlignment="1" applyProtection="1" pivotButton="0" quotePrefix="0" xfId="0">
      <alignment horizontal="center" vertical="center"/>
      <protection locked="0" hidden="0"/>
    </xf>
    <xf numFmtId="1" fontId="25" fillId="3" borderId="8" applyAlignment="1" applyProtection="1" pivotButton="0" quotePrefix="0" xfId="0">
      <alignment horizontal="center" vertical="center"/>
      <protection locked="0" hidden="0"/>
    </xf>
    <xf numFmtId="1" fontId="11" fillId="0" borderId="22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3" fontId="11" fillId="0" borderId="1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 wrapText="1"/>
    </xf>
    <xf numFmtId="164" fontId="11" fillId="0" borderId="0" applyAlignment="1" pivotButton="0" quotePrefix="0" xfId="0">
      <alignment horizontal="center" vertical="center"/>
    </xf>
    <xf numFmtId="0" fontId="28" fillId="4" borderId="29" applyAlignment="1" pivotButton="0" quotePrefix="0" xfId="0">
      <alignment horizontal="center" vertical="center"/>
    </xf>
    <xf numFmtId="0" fontId="28" fillId="4" borderId="0" pivotButton="0" quotePrefix="0" xfId="0"/>
    <xf numFmtId="168" fontId="28" fillId="4" borderId="29" applyAlignment="1" pivotButton="0" quotePrefix="0" xfId="0">
      <alignment horizontal="center" vertical="center"/>
    </xf>
    <xf numFmtId="0" fontId="32" fillId="4" borderId="0" applyAlignment="1" pivotButton="0" quotePrefix="0" xfId="0">
      <alignment vertical="center"/>
    </xf>
    <xf numFmtId="0" fontId="28" fillId="4" borderId="0" applyAlignment="1" pivotButton="0" quotePrefix="0" xfId="0">
      <alignment vertical="center"/>
    </xf>
    <xf numFmtId="0" fontId="33" fillId="4" borderId="0" applyAlignment="1" pivotButton="0" quotePrefix="0" xfId="0">
      <alignment vertical="center"/>
    </xf>
    <xf numFmtId="0" fontId="28" fillId="4" borderId="0" applyAlignment="1" pivotButton="0" quotePrefix="0" xfId="0">
      <alignment horizontal="left" vertical="center"/>
    </xf>
    <xf numFmtId="0" fontId="34" fillId="4" borderId="0" applyAlignment="1" pivotButton="0" quotePrefix="0" xfId="0">
      <alignment horizontal="left" vertical="center"/>
    </xf>
    <xf numFmtId="0" fontId="35" fillId="4" borderId="0" applyAlignment="1" pivotButton="0" quotePrefix="0" xfId="0">
      <alignment vertical="center" wrapText="1"/>
    </xf>
    <xf numFmtId="0" fontId="36" fillId="4" borderId="0" applyAlignment="1" pivotButton="0" quotePrefix="0" xfId="0">
      <alignment vertical="center" wrapText="1"/>
    </xf>
    <xf numFmtId="0" fontId="37" fillId="4" borderId="0" applyAlignment="1" pivotButton="0" quotePrefix="0" xfId="0">
      <alignment vertical="center" wrapText="1"/>
    </xf>
    <xf numFmtId="2" fontId="20" fillId="4" borderId="0" applyAlignment="1" pivotButton="0" quotePrefix="0" xfId="0">
      <alignment horizontal="center" vertical="center"/>
    </xf>
    <xf numFmtId="0" fontId="20" fillId="4" borderId="0" pivotButton="0" quotePrefix="0" xfId="0"/>
    <xf numFmtId="169" fontId="20" fillId="4" borderId="0" applyAlignment="1" pivotButton="0" quotePrefix="0" xfId="0">
      <alignment horizontal="center" vertical="center"/>
    </xf>
    <xf numFmtId="2" fontId="20" fillId="4" borderId="0" applyAlignment="1" pivotButton="0" quotePrefix="0" xfId="0">
      <alignment vertical="center"/>
    </xf>
    <xf numFmtId="169" fontId="20" fillId="6" borderId="29" applyAlignment="1" pivotButton="0" quotePrefix="0" xfId="0">
      <alignment horizontal="center" vertical="center"/>
    </xf>
    <xf numFmtId="0" fontId="20" fillId="6" borderId="29" applyAlignment="1" pivotButton="0" quotePrefix="0" xfId="0">
      <alignment horizontal="center"/>
    </xf>
    <xf numFmtId="2" fontId="20" fillId="6" borderId="29" applyAlignment="1" pivotButton="0" quotePrefix="0" xfId="0">
      <alignment vertical="center"/>
    </xf>
    <xf numFmtId="169" fontId="40" fillId="6" borderId="29" applyAlignment="1" pivotButton="0" quotePrefix="0" xfId="0">
      <alignment horizontal="center" vertical="center" wrapText="1"/>
    </xf>
    <xf numFmtId="2" fontId="41" fillId="4" borderId="35" applyAlignment="1" pivotButton="0" quotePrefix="0" xfId="0">
      <alignment vertical="center"/>
    </xf>
    <xf numFmtId="0" fontId="20" fillId="4" borderId="36" pivotButton="0" quotePrefix="0" xfId="0"/>
    <xf numFmtId="2" fontId="20" fillId="4" borderId="36" applyAlignment="1" pivotButton="0" quotePrefix="0" xfId="0">
      <alignment vertical="center"/>
    </xf>
    <xf numFmtId="0" fontId="28" fillId="4" borderId="37" applyAlignment="1" pivotButton="0" quotePrefix="0" xfId="0">
      <alignment horizontal="center"/>
    </xf>
    <xf numFmtId="2" fontId="20" fillId="0" borderId="29" applyAlignment="1" pivotButton="0" quotePrefix="0" xfId="0">
      <alignment horizontal="center" vertical="center"/>
    </xf>
    <xf numFmtId="2" fontId="41" fillId="4" borderId="36" applyAlignment="1" pivotButton="0" quotePrefix="0" xfId="0">
      <alignment vertical="center"/>
    </xf>
    <xf numFmtId="2" fontId="41" fillId="4" borderId="37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 wrapText="1"/>
    </xf>
    <xf numFmtId="170" fontId="11" fillId="2" borderId="1" applyAlignment="1" applyProtection="1" pivotButton="0" quotePrefix="0" xfId="4">
      <alignment horizontal="center" vertical="center"/>
      <protection locked="1" hidden="1"/>
    </xf>
    <xf numFmtId="171" fontId="43" fillId="4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32" fillId="4" borderId="0" pivotButton="0" quotePrefix="0" xfId="0"/>
    <xf numFmtId="0" fontId="32" fillId="4" borderId="29" applyAlignment="1" pivotButton="0" quotePrefix="0" xfId="0">
      <alignment horizontal="center" vertical="center"/>
    </xf>
    <xf numFmtId="0" fontId="32" fillId="4" borderId="29" applyAlignment="1" pivotButton="0" quotePrefix="0" xfId="0">
      <alignment horizontal="center"/>
    </xf>
    <xf numFmtId="164" fontId="27" fillId="4" borderId="29" applyAlignment="1" pivotButton="0" quotePrefix="0" xfId="0">
      <alignment horizontal="center"/>
    </xf>
    <xf numFmtId="172" fontId="28" fillId="4" borderId="29" applyAlignment="1" pivotButton="0" quotePrefix="0" xfId="0">
      <alignment horizontal="center"/>
    </xf>
    <xf numFmtId="172" fontId="28" fillId="4" borderId="0" applyAlignment="1" pivotButton="0" quotePrefix="0" xfId="0">
      <alignment horizontal="center"/>
    </xf>
    <xf numFmtId="0" fontId="44" fillId="4" borderId="0" pivotButton="0" quotePrefix="0" xfId="0"/>
    <xf numFmtId="169" fontId="28" fillId="4" borderId="29" applyAlignment="1" pivotButton="0" quotePrefix="0" xfId="0">
      <alignment horizontal="center" vertical="center"/>
    </xf>
    <xf numFmtId="0" fontId="11" fillId="7" borderId="9" applyAlignment="1" pivotButton="0" quotePrefix="0" xfId="0">
      <alignment horizontal="left" vertical="top" wrapText="1"/>
    </xf>
    <xf numFmtId="14" fontId="11" fillId="0" borderId="0" applyAlignment="1" applyProtection="1" pivotButton="0" quotePrefix="0" xfId="0">
      <alignment horizontal="center" vertical="center"/>
      <protection locked="1" hidden="1"/>
    </xf>
    <xf numFmtId="0" fontId="11" fillId="0" borderId="1" applyAlignment="1" applyProtection="1" pivotButton="0" quotePrefix="0" xfId="0">
      <alignment horizontal="left" vertical="top" wrapText="1"/>
      <protection locked="1" hidden="1"/>
    </xf>
    <xf numFmtId="0" fontId="25" fillId="0" borderId="1" applyAlignment="1" applyProtection="1" pivotButton="0" quotePrefix="0" xfId="0">
      <alignment horizontal="center" vertical="center"/>
      <protection locked="1" hidden="1"/>
    </xf>
    <xf numFmtId="0" fontId="11" fillId="7" borderId="9" applyAlignment="1" pivotButton="0" quotePrefix="0" xfId="0">
      <alignment vertical="center"/>
    </xf>
    <xf numFmtId="0" fontId="11" fillId="0" borderId="9" applyAlignment="1" pivotButton="0" quotePrefix="0" xfId="0">
      <alignment vertical="center"/>
    </xf>
    <xf numFmtId="0" fontId="11" fillId="0" borderId="15" applyProtection="1" pivotButton="0" quotePrefix="0" xfId="0">
      <protection locked="1" hidden="1"/>
    </xf>
    <xf numFmtId="0" fontId="11" fillId="0" borderId="8" applyProtection="1" pivotButton="0" quotePrefix="0" xfId="0">
      <protection locked="1" hidden="1"/>
    </xf>
    <xf numFmtId="0" fontId="11" fillId="0" borderId="9" applyProtection="1" pivotButton="0" quotePrefix="0" xfId="0">
      <protection locked="1" hidden="1"/>
    </xf>
    <xf numFmtId="0" fontId="11" fillId="4" borderId="29" pivotButton="0" quotePrefix="0" xfId="0"/>
    <xf numFmtId="0" fontId="11" fillId="4" borderId="29" applyAlignment="1" pivotButton="0" quotePrefix="1" xfId="0">
      <alignment horizontal="center" vertical="center" wrapText="1"/>
    </xf>
    <xf numFmtId="0" fontId="11" fillId="6" borderId="29" applyAlignment="1" pivotButton="0" quotePrefix="0" xfId="0">
      <alignment horizontal="center" vertical="center"/>
    </xf>
    <xf numFmtId="1" fontId="11" fillId="6" borderId="29" applyAlignment="1" pivotButton="0" quotePrefix="0" xfId="0">
      <alignment horizontal="center" vertical="center"/>
    </xf>
    <xf numFmtId="2" fontId="11" fillId="6" borderId="29" applyAlignment="1" pivotButton="0" quotePrefix="1" xfId="0">
      <alignment horizontal="center" vertical="center"/>
    </xf>
    <xf numFmtId="166" fontId="11" fillId="6" borderId="29" applyAlignment="1" pivotButton="0" quotePrefix="0" xfId="0">
      <alignment horizontal="center" vertical="center" wrapText="1"/>
    </xf>
    <xf numFmtId="11" fontId="11" fillId="6" borderId="29" applyAlignment="1" pivotButton="0" quotePrefix="0" xfId="0">
      <alignment horizontal="center" vertical="center"/>
    </xf>
    <xf numFmtId="169" fontId="11" fillId="6" borderId="29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/>
    </xf>
    <xf numFmtId="0" fontId="11" fillId="0" borderId="29" pivotButton="0" quotePrefix="0" xfId="0"/>
    <xf numFmtId="166" fontId="11" fillId="0" borderId="29" applyAlignment="1" pivotButton="0" quotePrefix="0" xfId="0">
      <alignment horizontal="center" vertical="center"/>
    </xf>
    <xf numFmtId="2" fontId="11" fillId="0" borderId="29" applyAlignment="1" pivotButton="0" quotePrefix="0" xfId="0">
      <alignment vertical="center"/>
    </xf>
    <xf numFmtId="169" fontId="11" fillId="0" borderId="29" applyAlignment="1" pivotButton="0" quotePrefix="0" xfId="0">
      <alignment horizontal="center" vertical="center"/>
    </xf>
    <xf numFmtId="169" fontId="11" fillId="0" borderId="29" applyAlignment="1" pivotButton="0" quotePrefix="1" xfId="0">
      <alignment horizontal="center" vertical="center" wrapText="1"/>
    </xf>
    <xf numFmtId="2" fontId="11" fillId="0" borderId="29" applyAlignment="1" pivotButton="0" quotePrefix="0" xfId="0">
      <alignment horizontal="left" vertical="center"/>
    </xf>
    <xf numFmtId="1" fontId="9" fillId="6" borderId="29" applyAlignment="1" pivotButton="0" quotePrefix="0" xfId="0">
      <alignment horizontal="center" vertical="center"/>
    </xf>
    <xf numFmtId="169" fontId="11" fillId="6" borderId="29" applyAlignment="1" pivotButton="0" quotePrefix="0" xfId="0">
      <alignment horizontal="center" vertical="center"/>
    </xf>
    <xf numFmtId="0" fontId="2" fillId="4" borderId="35" applyAlignment="1" pivotButton="0" quotePrefix="0" xfId="0">
      <alignment vertical="center"/>
    </xf>
    <xf numFmtId="0" fontId="2" fillId="4" borderId="35" applyAlignment="1" pivotButton="0" quotePrefix="0" xfId="0">
      <alignment vertical="center" wrapText="1"/>
    </xf>
    <xf numFmtId="0" fontId="11" fillId="0" borderId="0" applyAlignment="1" applyProtection="1" pivotButton="0" quotePrefix="0" xfId="0">
      <alignment horizontal="center" vertical="center"/>
      <protection locked="1" hidden="1"/>
    </xf>
    <xf numFmtId="0" fontId="9" fillId="0" borderId="23" applyAlignment="1" pivotButton="0" quotePrefix="0" xfId="0">
      <alignment vertical="center" wrapText="1"/>
    </xf>
    <xf numFmtId="2" fontId="11" fillId="0" borderId="2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2" fontId="11" fillId="0" borderId="9" applyAlignment="1" pivotButton="0" quotePrefix="0" xfId="0">
      <alignment horizontal="center" vertical="center"/>
    </xf>
    <xf numFmtId="0" fontId="11" fillId="0" borderId="0" applyAlignment="1" pivotButton="0" quotePrefix="0" xfId="3">
      <alignment vertical="center"/>
    </xf>
    <xf numFmtId="2" fontId="11" fillId="0" borderId="1" applyAlignment="1" applyProtection="1" pivotButton="0" quotePrefix="0" xfId="0">
      <alignment horizontal="center" vertical="center"/>
      <protection locked="1" hidden="1"/>
    </xf>
    <xf numFmtId="2" fontId="5" fillId="0" borderId="1" applyProtection="1" pivotButton="0" quotePrefix="0" xfId="0">
      <protection locked="1" hidden="1"/>
    </xf>
    <xf numFmtId="0" fontId="11" fillId="0" borderId="15" applyAlignment="1" pivotButton="0" quotePrefix="0" xfId="0">
      <alignment vertical="center"/>
    </xf>
    <xf numFmtId="2" fontId="11" fillId="4" borderId="29" applyAlignment="1" pivotButton="0" quotePrefix="0" xfId="0">
      <alignment horizontal="center" vertical="center"/>
    </xf>
    <xf numFmtId="0" fontId="0" fillId="2" borderId="0" pivotButton="0" quotePrefix="0" xfId="0"/>
    <xf numFmtId="164" fontId="11" fillId="0" borderId="11" applyAlignment="1" pivotButton="0" quotePrefix="0" xfId="0">
      <alignment horizontal="center" vertical="center"/>
    </xf>
    <xf numFmtId="1" fontId="11" fillId="0" borderId="11" applyAlignment="1" pivotButton="0" quotePrefix="0" xfId="0">
      <alignment horizontal="center" vertical="center"/>
    </xf>
    <xf numFmtId="1" fontId="11" fillId="0" borderId="0" applyAlignment="1" pivotButton="0" quotePrefix="0" xfId="0">
      <alignment horizontal="center" vertical="center"/>
    </xf>
    <xf numFmtId="164" fontId="25" fillId="3" borderId="1" applyAlignment="1" applyProtection="1" pivotButton="0" quotePrefix="0" xfId="0">
      <alignment horizontal="center" vertical="center"/>
      <protection locked="0" hidden="0"/>
    </xf>
    <xf numFmtId="0" fontId="25" fillId="3" borderId="1" applyAlignment="1" applyProtection="1" pivotButton="0" quotePrefix="0" xfId="0">
      <alignment horizontal="center" vertical="center"/>
      <protection locked="1" hidden="1"/>
    </xf>
    <xf numFmtId="2" fontId="25" fillId="3" borderId="1" applyAlignment="1" applyProtection="1" pivotButton="0" quotePrefix="0" xfId="0">
      <alignment horizontal="center" vertical="center"/>
      <protection locked="1" hidden="1"/>
    </xf>
    <xf numFmtId="0" fontId="15" fillId="0" borderId="9" applyAlignment="1" pivotButton="0" quotePrefix="0" xfId="0">
      <alignment horizontal="center" vertical="center"/>
    </xf>
    <xf numFmtId="0" fontId="1" fillId="2" borderId="0" applyAlignment="1" pivotButton="0" quotePrefix="0" xfId="4">
      <alignment horizontal="left"/>
    </xf>
    <xf numFmtId="0" fontId="1" fillId="2" borderId="0" applyAlignment="1" pivotButton="0" quotePrefix="1" xfId="4">
      <alignment horizontal="left"/>
    </xf>
    <xf numFmtId="0" fontId="2" fillId="2" borderId="1" applyAlignment="1" pivotButton="0" quotePrefix="0" xfId="4">
      <alignment horizontal="center"/>
    </xf>
    <xf numFmtId="167" fontId="27" fillId="2" borderId="1" applyAlignment="1" applyProtection="1" pivotButton="0" quotePrefix="0" xfId="4">
      <alignment horizontal="center" vertical="center"/>
      <protection locked="0" hidden="0"/>
    </xf>
    <xf numFmtId="164" fontId="27" fillId="2" borderId="1" applyAlignment="1" applyProtection="1" pivotButton="0" quotePrefix="0" xfId="4">
      <alignment horizontal="center"/>
      <protection locked="0" hidden="0"/>
    </xf>
    <xf numFmtId="0" fontId="2" fillId="2" borderId="1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/>
    </xf>
    <xf numFmtId="0" fontId="28" fillId="5" borderId="38" applyAlignment="1" pivotButton="0" quotePrefix="0" xfId="0">
      <alignment horizontal="center" vertical="center"/>
    </xf>
    <xf numFmtId="0" fontId="28" fillId="5" borderId="38" applyAlignment="1" pivotButton="0" quotePrefix="0" xfId="0">
      <alignment horizontal="center" vertical="center" wrapText="1"/>
    </xf>
    <xf numFmtId="0" fontId="9" fillId="0" borderId="38" applyAlignment="1" pivotButton="0" quotePrefix="0" xfId="0">
      <alignment vertical="center" wrapText="1"/>
    </xf>
    <xf numFmtId="0" fontId="11" fillId="0" borderId="38" applyAlignment="1" pivotButton="0" quotePrefix="0" xfId="0">
      <alignment horizontal="center" vertical="center"/>
    </xf>
    <xf numFmtId="2" fontId="11" fillId="0" borderId="38" applyAlignment="1" pivotButton="0" quotePrefix="0" xfId="0">
      <alignment horizontal="left" vertical="center"/>
    </xf>
    <xf numFmtId="0" fontId="11" fillId="0" borderId="38" pivotButton="0" quotePrefix="0" xfId="0"/>
    <xf numFmtId="166" fontId="11" fillId="0" borderId="38" applyAlignment="1" pivotButton="0" quotePrefix="0" xfId="0">
      <alignment horizontal="center" vertical="center"/>
    </xf>
    <xf numFmtId="169" fontId="11" fillId="0" borderId="38" applyAlignment="1" pivotButton="0" quotePrefix="0" xfId="0">
      <alignment horizontal="center" vertical="center"/>
    </xf>
    <xf numFmtId="169" fontId="11" fillId="0" borderId="38" applyAlignment="1" pivotButton="0" quotePrefix="1" xfId="0">
      <alignment horizontal="center" vertical="center" wrapText="1"/>
    </xf>
    <xf numFmtId="0" fontId="28" fillId="5" borderId="43" applyAlignment="1" pivotButton="0" quotePrefix="0" xfId="0">
      <alignment horizontal="center" vertical="center"/>
    </xf>
    <xf numFmtId="0" fontId="28" fillId="5" borderId="44" applyAlignment="1" pivotButton="0" quotePrefix="0" xfId="0">
      <alignment horizontal="center" vertical="center" wrapText="1"/>
    </xf>
    <xf numFmtId="0" fontId="0" fillId="2" borderId="45" pivotButton="0" quotePrefix="0" xfId="0"/>
    <xf numFmtId="0" fontId="11" fillId="4" borderId="46" applyAlignment="1" pivotButton="0" quotePrefix="1" xfId="0">
      <alignment horizontal="center" vertical="center" wrapText="1"/>
    </xf>
    <xf numFmtId="0" fontId="15" fillId="6" borderId="47" applyAlignment="1" pivotButton="0" quotePrefix="0" xfId="0">
      <alignment vertical="center" wrapText="1"/>
    </xf>
    <xf numFmtId="169" fontId="11" fillId="6" borderId="46" applyAlignment="1" pivotButton="0" quotePrefix="0" xfId="0">
      <alignment horizontal="center" vertical="center" wrapText="1"/>
    </xf>
    <xf numFmtId="0" fontId="9" fillId="0" borderId="47" applyAlignment="1" pivotButton="0" quotePrefix="0" xfId="0">
      <alignment vertical="center" wrapText="1"/>
    </xf>
    <xf numFmtId="169" fontId="11" fillId="0" borderId="46" applyAlignment="1" pivotButton="0" quotePrefix="1" xfId="0">
      <alignment horizontal="center" vertical="center" wrapText="1"/>
    </xf>
    <xf numFmtId="169" fontId="11" fillId="6" borderId="46" applyAlignment="1" pivotButton="0" quotePrefix="0" xfId="0">
      <alignment horizontal="center" vertical="center"/>
    </xf>
    <xf numFmtId="0" fontId="9" fillId="0" borderId="48" applyAlignment="1" pivotButton="0" quotePrefix="0" xfId="0">
      <alignment vertical="center" wrapText="1"/>
    </xf>
    <xf numFmtId="0" fontId="11" fillId="0" borderId="49" applyAlignment="1" pivotButton="0" quotePrefix="0" xfId="0">
      <alignment horizontal="center" vertical="center"/>
    </xf>
    <xf numFmtId="2" fontId="11" fillId="0" borderId="49" applyAlignment="1" pivotButton="0" quotePrefix="0" xfId="0">
      <alignment horizontal="left" vertical="center"/>
    </xf>
    <xf numFmtId="0" fontId="11" fillId="0" borderId="49" pivotButton="0" quotePrefix="0" xfId="0"/>
    <xf numFmtId="166" fontId="11" fillId="0" borderId="49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49" applyAlignment="1" pivotButton="0" quotePrefix="1" xfId="0">
      <alignment horizontal="center" vertical="center" wrapText="1"/>
    </xf>
    <xf numFmtId="169" fontId="11" fillId="0" borderId="50" applyAlignment="1" pivotButton="0" quotePrefix="1" xfId="0">
      <alignment horizontal="center" vertical="center" wrapText="1"/>
    </xf>
    <xf numFmtId="2" fontId="11" fillId="4" borderId="47" applyAlignment="1" pivotButton="0" quotePrefix="0" xfId="0">
      <alignment horizontal="center" vertical="center"/>
    </xf>
    <xf numFmtId="1" fontId="11" fillId="6" borderId="47" applyAlignment="1" pivotButton="0" quotePrefix="0" xfId="0">
      <alignment horizontal="center" vertical="center"/>
    </xf>
    <xf numFmtId="0" fontId="11" fillId="0" borderId="47" pivotButton="0" quotePrefix="0" xfId="0"/>
    <xf numFmtId="1" fontId="9" fillId="6" borderId="47" applyAlignment="1" pivotButton="0" quotePrefix="0" xfId="0">
      <alignment horizontal="center" vertical="center"/>
    </xf>
    <xf numFmtId="0" fontId="11" fillId="0" borderId="48" pivotButton="0" quotePrefix="0" xfId="0"/>
    <xf numFmtId="0" fontId="15" fillId="8" borderId="29" applyAlignment="1" pivotButton="0" quotePrefix="0" xfId="0">
      <alignment vertical="center" wrapText="1"/>
    </xf>
    <xf numFmtId="11" fontId="11" fillId="6" borderId="46" applyAlignment="1" pivotButton="0" quotePrefix="0" xfId="0">
      <alignment horizontal="center" vertical="center" wrapText="1"/>
    </xf>
    <xf numFmtId="0" fontId="11" fillId="2" borderId="1" applyAlignment="1" applyProtection="1" pivotButton="0" quotePrefix="0" xfId="4">
      <alignment horizontal="left" vertical="center"/>
      <protection locked="1" hidden="1"/>
    </xf>
    <xf numFmtId="0" fontId="0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170" fontId="11" fillId="2" borderId="1" applyAlignment="1" pivotButton="0" quotePrefix="0" xfId="0">
      <alignment horizontal="center"/>
    </xf>
    <xf numFmtId="169" fontId="0" fillId="2" borderId="1" applyAlignment="1" pivotButton="0" quotePrefix="0" xfId="0">
      <alignment horizontal="center"/>
    </xf>
    <xf numFmtId="0" fontId="11" fillId="2" borderId="0" pivotButton="0" quotePrefix="0" xfId="0"/>
    <xf numFmtId="166" fontId="11" fillId="2" borderId="0" applyAlignment="1" pivotButton="0" quotePrefix="0" xfId="0">
      <alignment horizontal="center" vertical="center"/>
    </xf>
    <xf numFmtId="169" fontId="11" fillId="2" borderId="0" applyAlignment="1" pivotButton="0" quotePrefix="0" xfId="0">
      <alignment horizontal="center" vertical="center"/>
    </xf>
    <xf numFmtId="169" fontId="11" fillId="2" borderId="0" applyAlignment="1" pivotButton="0" quotePrefix="1" xfId="0">
      <alignment horizontal="center" vertical="center" wrapText="1"/>
    </xf>
    <xf numFmtId="2" fontId="20" fillId="4" borderId="29" applyAlignment="1" pivotButton="0" quotePrefix="0" xfId="0">
      <alignment horizontal="center" vertical="center"/>
    </xf>
    <xf numFmtId="0" fontId="45" fillId="4" borderId="0" pivotButton="0" quotePrefix="0" xfId="0"/>
    <xf numFmtId="15" fontId="20" fillId="4" borderId="29" applyAlignment="1" pivotButton="0" quotePrefix="0" xfId="0">
      <alignment horizontal="center"/>
    </xf>
    <xf numFmtId="17" fontId="46" fillId="4" borderId="0" applyAlignment="1" pivotButton="0" quotePrefix="0" xfId="0">
      <alignment horizontal="center"/>
    </xf>
    <xf numFmtId="169" fontId="28" fillId="4" borderId="29" applyAlignment="1" pivotButton="0" quotePrefix="0" xfId="0">
      <alignment horizontal="center"/>
    </xf>
    <xf numFmtId="0" fontId="22" fillId="2" borderId="0" pivotButton="0" quotePrefix="0" xfId="0"/>
    <xf numFmtId="0" fontId="15" fillId="2" borderId="1" applyAlignment="1" pivotButton="0" quotePrefix="0" xfId="0">
      <alignment vertical="center" wrapText="1"/>
    </xf>
    <xf numFmtId="0" fontId="15" fillId="2" borderId="1" applyAlignment="1" pivotButton="0" quotePrefix="0" xfId="0">
      <alignment horizontal="center" vertical="center" wrapText="1"/>
    </xf>
    <xf numFmtId="0" fontId="11" fillId="2" borderId="9" applyAlignment="1" pivotButton="0" quotePrefix="0" xfId="0">
      <alignment horizontal="center" vertical="center"/>
    </xf>
    <xf numFmtId="2" fontId="0" fillId="2" borderId="1" pivotButton="0" quotePrefix="0" xfId="0"/>
    <xf numFmtId="3" fontId="0" fillId="2" borderId="1" pivotButton="0" quotePrefix="0" xfId="0"/>
    <xf numFmtId="0" fontId="28" fillId="4" borderId="38" applyAlignment="1" pivotButton="0" quotePrefix="0" xfId="0">
      <alignment horizontal="center"/>
    </xf>
    <xf numFmtId="0" fontId="32" fillId="4" borderId="38" pivotButton="0" quotePrefix="0" xfId="0"/>
    <xf numFmtId="169" fontId="28" fillId="4" borderId="38" applyAlignment="1" pivotButton="0" quotePrefix="0" xfId="0">
      <alignment horizontal="center"/>
    </xf>
    <xf numFmtId="0" fontId="28" fillId="4" borderId="1" pivotButton="0" quotePrefix="0" xfId="0"/>
    <xf numFmtId="0" fontId="27" fillId="4" borderId="1" applyAlignment="1" pivotButton="0" quotePrefix="0" xfId="0">
      <alignment horizontal="center"/>
    </xf>
    <xf numFmtId="11" fontId="1" fillId="2" borderId="0" applyAlignment="1" pivotButton="0" quotePrefix="0" xfId="4">
      <alignment horizontal="center"/>
    </xf>
    <xf numFmtId="0" fontId="1" fillId="2" borderId="0" pivotButton="0" quotePrefix="0" xfId="4"/>
    <xf numFmtId="0" fontId="3" fillId="0" borderId="0" applyProtection="1" pivotButton="0" quotePrefix="0" xfId="1">
      <protection locked="1" hidden="1"/>
    </xf>
    <xf numFmtId="0" fontId="27" fillId="2" borderId="1" applyAlignment="1" applyProtection="1" pivotButton="0" quotePrefix="0" xfId="4">
      <alignment horizontal="center" vertical="center"/>
      <protection locked="0" hidden="0"/>
    </xf>
    <xf numFmtId="173" fontId="9" fillId="0" borderId="0" applyAlignment="1" applyProtection="1" pivotButton="0" quotePrefix="0" xfId="0">
      <alignment horizontal="left" vertical="center"/>
      <protection locked="0" hidden="0"/>
    </xf>
    <xf numFmtId="174" fontId="9" fillId="0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4">
      <alignment horizontal="left"/>
    </xf>
    <xf numFmtId="0" fontId="2" fillId="2" borderId="0" pivotButton="0" quotePrefix="0" xfId="4"/>
    <xf numFmtId="173" fontId="1" fillId="2" borderId="0" applyAlignment="1" pivotButton="0" quotePrefix="0" xfId="4">
      <alignment horizontal="center" vertical="center"/>
    </xf>
    <xf numFmtId="0" fontId="1" fillId="7" borderId="0" applyAlignment="1" pivotButton="0" quotePrefix="0" xfId="4">
      <alignment vertical="center"/>
    </xf>
    <xf numFmtId="0" fontId="1" fillId="7" borderId="0" applyAlignment="1" pivotButton="0" quotePrefix="1" xfId="4">
      <alignment vertical="center"/>
    </xf>
    <xf numFmtId="0" fontId="1" fillId="0" borderId="0" pivotButton="0" quotePrefix="0" xfId="4"/>
    <xf numFmtId="0" fontId="47" fillId="7" borderId="0" applyAlignment="1" pivotButton="0" quotePrefix="0" xfId="4">
      <alignment vertical="center"/>
    </xf>
    <xf numFmtId="0" fontId="10" fillId="7" borderId="0" applyAlignment="1" pivotButton="0" quotePrefix="0" xfId="4">
      <alignment horizontal="center" vertical="center"/>
    </xf>
    <xf numFmtId="0" fontId="12" fillId="7" borderId="0" applyAlignment="1" pivotButton="0" quotePrefix="0" xfId="3">
      <alignment vertical="center"/>
    </xf>
    <xf numFmtId="0" fontId="12" fillId="7" borderId="9" applyAlignment="1" pivotButton="0" quotePrefix="0" xfId="3">
      <alignment vertical="center"/>
    </xf>
    <xf numFmtId="0" fontId="12" fillId="7" borderId="15" applyAlignment="1" pivotButton="0" quotePrefix="0" xfId="3">
      <alignment vertical="center"/>
    </xf>
    <xf numFmtId="0" fontId="12" fillId="7" borderId="8" applyAlignment="1" pivotButton="0" quotePrefix="0" xfId="3">
      <alignment vertical="center"/>
    </xf>
    <xf numFmtId="0" fontId="9" fillId="7" borderId="0" applyAlignment="1" pivotButton="0" quotePrefix="0" xfId="4">
      <alignment vertical="center" wrapText="1"/>
    </xf>
    <xf numFmtId="0" fontId="12" fillId="7" borderId="0" applyAlignment="1" pivotButton="0" quotePrefix="0" xfId="3">
      <alignment horizontal="right" vertical="center"/>
    </xf>
    <xf numFmtId="175" fontId="9" fillId="7" borderId="0" applyAlignment="1" pivotButton="0" quotePrefix="0" xfId="4">
      <alignment horizontal="left" vertical="center"/>
    </xf>
    <xf numFmtId="0" fontId="2" fillId="7" borderId="3" applyAlignment="1" pivotButton="0" quotePrefix="0" xfId="4">
      <alignment horizontal="center" vertical="center" wrapText="1"/>
    </xf>
    <xf numFmtId="0" fontId="2" fillId="7" borderId="0" applyAlignment="1" pivotButton="0" quotePrefix="0" xfId="4">
      <alignment horizontal="center" vertical="center" wrapText="1"/>
    </xf>
    <xf numFmtId="0" fontId="11" fillId="7" borderId="9" applyAlignment="1" pivotButton="0" quotePrefix="0" xfId="4">
      <alignment vertical="center"/>
    </xf>
    <xf numFmtId="0" fontId="2" fillId="7" borderId="8" applyAlignment="1" pivotButton="0" quotePrefix="0" xfId="4">
      <alignment horizontal="center" vertical="center" wrapText="1"/>
    </xf>
    <xf numFmtId="0" fontId="2" fillId="7" borderId="1" applyAlignment="1" pivotButton="0" quotePrefix="0" xfId="4">
      <alignment horizontal="center" vertical="center" wrapText="1"/>
    </xf>
    <xf numFmtId="0" fontId="9" fillId="7" borderId="9" applyAlignment="1" pivotButton="0" quotePrefix="1" xfId="4">
      <alignment horizontal="left" vertical="center" wrapText="1" indent="1"/>
    </xf>
    <xf numFmtId="0" fontId="2" fillId="7" borderId="8" applyAlignment="1" pivotButton="0" quotePrefix="0" xfId="4">
      <alignment vertical="center" wrapText="1"/>
    </xf>
    <xf numFmtId="0" fontId="2" fillId="7" borderId="1" applyAlignment="1" pivotButton="0" quotePrefix="0" xfId="4">
      <alignment vertical="center" wrapText="1"/>
    </xf>
    <xf numFmtId="0" fontId="9" fillId="7" borderId="9" applyAlignment="1" pivotButton="0" quotePrefix="0" xfId="4">
      <alignment horizontal="center" vertical="center" wrapText="1"/>
    </xf>
    <xf numFmtId="0" fontId="48" fillId="7" borderId="0" applyAlignment="1" pivotButton="0" quotePrefix="0" xfId="4">
      <alignment vertical="center"/>
    </xf>
    <xf numFmtId="0" fontId="2" fillId="7" borderId="0" applyAlignment="1" pivotButton="0" quotePrefix="0" xfId="4">
      <alignment vertical="center" wrapText="1"/>
    </xf>
    <xf numFmtId="0" fontId="2" fillId="7" borderId="2" applyAlignment="1" pivotButton="0" quotePrefix="0" xfId="4">
      <alignment vertical="center" wrapText="1"/>
    </xf>
    <xf numFmtId="0" fontId="49" fillId="7" borderId="0" applyAlignment="1" pivotButton="0" quotePrefix="0" xfId="4">
      <alignment vertical="center"/>
    </xf>
    <xf numFmtId="0" fontId="1" fillId="7" borderId="12" applyAlignment="1" pivotButton="0" quotePrefix="0" xfId="4">
      <alignment vertical="center"/>
    </xf>
    <xf numFmtId="0" fontId="12" fillId="2" borderId="15" applyAlignment="1" pivotButton="0" quotePrefix="0" xfId="4">
      <alignment vertical="center" wrapText="1"/>
    </xf>
    <xf numFmtId="0" fontId="1" fillId="7" borderId="8" applyAlignment="1" pivotButton="0" quotePrefix="0" xfId="4">
      <alignment vertical="center"/>
    </xf>
    <xf numFmtId="0" fontId="11" fillId="7" borderId="15" applyAlignment="1" pivotButton="0" quotePrefix="0" xfId="4">
      <alignment vertical="center"/>
    </xf>
    <xf numFmtId="0" fontId="11" fillId="7" borderId="8" applyAlignment="1" pivotButton="0" quotePrefix="0" xfId="4">
      <alignment vertical="center"/>
    </xf>
    <xf numFmtId="0" fontId="9" fillId="7" borderId="1" applyAlignment="1" pivotButton="0" quotePrefix="0" xfId="4">
      <alignment horizontal="center" vertical="center" wrapText="1"/>
    </xf>
    <xf numFmtId="0" fontId="53" fillId="7" borderId="0" applyAlignment="1" pivotButton="0" quotePrefix="0" xfId="4">
      <alignment horizontal="center" vertical="center"/>
    </xf>
    <xf numFmtId="0" fontId="9" fillId="7" borderId="9" applyAlignment="1" pivotButton="0" quotePrefix="0" xfId="4">
      <alignment horizontal="center" vertical="center"/>
    </xf>
    <xf numFmtId="0" fontId="11" fillId="0" borderId="1" applyAlignment="1" pivotButton="0" quotePrefix="0" xfId="4">
      <alignment horizontal="center" vertical="center"/>
    </xf>
    <xf numFmtId="0" fontId="1" fillId="0" borderId="1" applyAlignment="1" pivotButton="0" quotePrefix="0" xfId="4">
      <alignment vertical="center"/>
    </xf>
    <xf numFmtId="0" fontId="15" fillId="7" borderId="9" applyAlignment="1" pivotButton="0" quotePrefix="0" xfId="4">
      <alignment horizontal="center" vertical="center"/>
    </xf>
    <xf numFmtId="0" fontId="15" fillId="7" borderId="8" applyAlignment="1" pivotButton="0" quotePrefix="0" xfId="4">
      <alignment vertical="center"/>
    </xf>
    <xf numFmtId="0" fontId="1" fillId="0" borderId="0" applyAlignment="1" pivotButton="0" quotePrefix="0" xfId="4">
      <alignment vertical="center"/>
    </xf>
    <xf numFmtId="0" fontId="49" fillId="7" borderId="3" applyAlignment="1" pivotButton="0" quotePrefix="0" xfId="4">
      <alignment vertical="center"/>
    </xf>
    <xf numFmtId="164" fontId="15" fillId="7" borderId="0" applyAlignment="1" pivotButton="0" quotePrefix="0" xfId="4">
      <alignment horizontal="center" vertical="center"/>
    </xf>
    <xf numFmtId="0" fontId="11" fillId="7" borderId="0" applyAlignment="1" pivotButton="0" quotePrefix="0" xfId="4">
      <alignment vertical="center"/>
    </xf>
    <xf numFmtId="0" fontId="11" fillId="7" borderId="0" applyAlignment="1" pivotButton="0" quotePrefix="0" xfId="4">
      <alignment horizontal="center" vertical="center"/>
    </xf>
    <xf numFmtId="0" fontId="11" fillId="2" borderId="0" applyAlignment="1" pivotButton="0" quotePrefix="0" xfId="4">
      <alignment vertical="center"/>
    </xf>
    <xf numFmtId="164" fontId="54" fillId="7" borderId="0" applyAlignment="1" pivotButton="0" quotePrefix="0" xfId="4">
      <alignment horizontal="center" vertical="center"/>
    </xf>
    <xf numFmtId="0" fontId="15" fillId="7" borderId="0" applyAlignment="1" pivotButton="0" quotePrefix="0" xfId="4">
      <alignment vertical="center" wrapText="1"/>
    </xf>
    <xf numFmtId="176" fontId="11" fillId="7" borderId="0" applyAlignment="1" pivotButton="0" quotePrefix="0" xfId="4">
      <alignment vertical="center"/>
    </xf>
    <xf numFmtId="0" fontId="15" fillId="7" borderId="6" applyAlignment="1" pivotButton="0" quotePrefix="0" xfId="4">
      <alignment vertical="top"/>
    </xf>
    <xf numFmtId="0" fontId="15" fillId="7" borderId="2" applyAlignment="1" pivotButton="0" quotePrefix="0" xfId="4">
      <alignment vertical="top"/>
    </xf>
    <xf numFmtId="0" fontId="1" fillId="7" borderId="2" applyAlignment="1" pivotButton="0" quotePrefix="0" xfId="4">
      <alignment vertical="center"/>
    </xf>
    <xf numFmtId="0" fontId="54" fillId="7" borderId="0" applyAlignment="1" pivotButton="0" quotePrefix="0" xfId="4">
      <alignment horizontal="center" vertical="center"/>
    </xf>
    <xf numFmtId="0" fontId="9" fillId="7" borderId="0" applyAlignment="1" pivotButton="0" quotePrefix="0" xfId="4">
      <alignment vertical="center"/>
    </xf>
    <xf numFmtId="0" fontId="12" fillId="2" borderId="0" applyAlignment="1" pivotButton="0" quotePrefix="0" xfId="4">
      <alignment vertical="center"/>
    </xf>
    <xf numFmtId="164" fontId="56" fillId="7" borderId="0" applyAlignment="1" pivotButton="0" quotePrefix="0" xfId="4">
      <alignment horizontal="center" vertical="center"/>
    </xf>
    <xf numFmtId="0" fontId="1" fillId="7" borderId="0" applyAlignment="1" pivotButton="0" quotePrefix="0" xfId="4">
      <alignment horizontal="center" vertical="center"/>
    </xf>
    <xf numFmtId="0" fontId="2" fillId="0" borderId="0" applyAlignment="1" applyProtection="1" pivotButton="0" quotePrefix="0" xfId="4">
      <alignment horizontal="right"/>
      <protection locked="1" hidden="1"/>
    </xf>
    <xf numFmtId="0" fontId="1" fillId="7" borderId="14" applyAlignment="1" pivotButton="0" quotePrefix="0" xfId="4">
      <alignment vertical="center"/>
    </xf>
    <xf numFmtId="0" fontId="1" fillId="7" borderId="14" applyAlignment="1" pivotButton="0" quotePrefix="0" xfId="4">
      <alignment horizontal="center" vertical="center"/>
    </xf>
    <xf numFmtId="0" fontId="1" fillId="2" borderId="0" applyAlignment="1" pivotButton="0" quotePrefix="0" xfId="4">
      <alignment vertical="center"/>
    </xf>
    <xf numFmtId="0" fontId="9" fillId="2" borderId="0" applyAlignment="1" applyProtection="1" pivotButton="0" quotePrefix="0" xfId="4">
      <alignment vertical="center"/>
      <protection locked="1" hidden="1"/>
    </xf>
    <xf numFmtId="0" fontId="12" fillId="2" borderId="0" applyAlignment="1" pivotButton="0" quotePrefix="0" xfId="3">
      <alignment horizontal="right" vertical="center"/>
    </xf>
    <xf numFmtId="0" fontId="1" fillId="0" borderId="10" applyAlignment="1" pivotButton="0" quotePrefix="0" xfId="0">
      <alignment horizontal="left" indent="1"/>
    </xf>
    <xf numFmtId="0" fontId="1" fillId="0" borderId="16" applyAlignment="1" pivotButton="0" quotePrefix="0" xfId="0">
      <alignment horizontal="left" indent="1"/>
    </xf>
    <xf numFmtId="0" fontId="2" fillId="2" borderId="0" applyAlignment="1" pivotButton="0" quotePrefix="0" xfId="0">
      <alignment horizontal="right"/>
    </xf>
    <xf numFmtId="0" fontId="0" fillId="0" borderId="16" applyAlignment="1" pivotButton="0" quotePrefix="0" xfId="0">
      <alignment horizontal="left" indent="1"/>
    </xf>
    <xf numFmtId="16" fontId="0" fillId="0" borderId="16" applyAlignment="1" pivotButton="0" quotePrefix="0" xfId="0">
      <alignment horizontal="left" indent="1"/>
    </xf>
    <xf numFmtId="0" fontId="9" fillId="0" borderId="16" applyAlignment="1" pivotButton="0" quotePrefix="0" xfId="3">
      <alignment horizontal="left" vertical="center" indent="1"/>
    </xf>
    <xf numFmtId="0" fontId="9" fillId="0" borderId="11" applyAlignment="1" pivotButton="0" quotePrefix="0" xfId="3">
      <alignment horizontal="left" vertical="center" indent="1"/>
    </xf>
    <xf numFmtId="0" fontId="12" fillId="0" borderId="0" applyAlignment="1" pivotButton="0" quotePrefix="0" xfId="3">
      <alignment horizontal="right" vertical="center" wrapText="1"/>
    </xf>
    <xf numFmtId="0" fontId="9" fillId="0" borderId="0" applyAlignment="1" pivotButton="0" quotePrefix="0" xfId="3">
      <alignment horizontal="left" vertical="center"/>
    </xf>
    <xf numFmtId="0" fontId="44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" fillId="2" borderId="0" applyAlignment="1" pivotButton="0" quotePrefix="0" xfId="4">
      <alignment horizontal="center" vertical="center"/>
    </xf>
    <xf numFmtId="173" fontId="28" fillId="4" borderId="29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1" fillId="7" borderId="0" applyAlignment="1" pivotButton="0" quotePrefix="0" xfId="4">
      <alignment horizontal="center" vertical="center" wrapText="1"/>
    </xf>
    <xf numFmtId="0" fontId="15" fillId="0" borderId="1" applyAlignment="1" applyProtection="1" pivotButton="0" quotePrefix="0" xfId="4">
      <alignment horizontal="center" vertical="center" wrapText="1"/>
      <protection locked="1" hidden="1"/>
    </xf>
    <xf numFmtId="0" fontId="9" fillId="0" borderId="1" applyAlignment="1" applyProtection="1" pivotButton="0" quotePrefix="0" xfId="4">
      <alignment horizontal="center" vertical="center" wrapText="1"/>
      <protection locked="1" hidden="1"/>
    </xf>
    <xf numFmtId="0" fontId="11" fillId="7" borderId="9" applyAlignment="1" pivotButton="0" quotePrefix="0" xfId="4">
      <alignment horizontal="center" vertical="center"/>
    </xf>
    <xf numFmtId="0" fontId="11" fillId="7" borderId="8" applyAlignment="1" pivotButton="0" quotePrefix="0" xfId="4">
      <alignment horizontal="center" vertical="center"/>
    </xf>
    <xf numFmtId="0" fontId="11" fillId="7" borderId="1" applyAlignment="1" pivotButton="0" quotePrefix="0" xfId="4">
      <alignment horizontal="center" vertical="center"/>
    </xf>
    <xf numFmtId="0" fontId="11" fillId="0" borderId="1" applyAlignment="1" applyProtection="1" pivotButton="0" quotePrefix="0" xfId="4">
      <alignment horizontal="center" vertical="center" wrapText="1"/>
      <protection locked="1" hidden="1"/>
    </xf>
    <xf numFmtId="0" fontId="1" fillId="7" borderId="1" applyAlignment="1" pivotButton="0" quotePrefix="0" xfId="4">
      <alignment horizontal="center" vertical="center"/>
    </xf>
    <xf numFmtId="164" fontId="58" fillId="0" borderId="1" applyAlignment="1" pivotButton="0" quotePrefix="0" xfId="4">
      <alignment horizontal="center" vertical="center"/>
    </xf>
    <xf numFmtId="164" fontId="55" fillId="0" borderId="1" applyAlignment="1" pivotButton="0" quotePrefix="0" xfId="4">
      <alignment horizontal="center" vertical="center"/>
    </xf>
    <xf numFmtId="164" fontId="23" fillId="0" borderId="1" applyAlignment="1" pivotButton="0" quotePrefix="0" xfId="4">
      <alignment horizontal="center" vertical="center"/>
    </xf>
    <xf numFmtId="0" fontId="1" fillId="0" borderId="1" applyAlignment="1" pivotButton="0" quotePrefix="0" xfId="4">
      <alignment horizontal="center" vertical="center"/>
    </xf>
    <xf numFmtId="0" fontId="15" fillId="7" borderId="9" applyAlignment="1" pivotButton="0" quotePrefix="0" xfId="4">
      <alignment horizontal="center" vertical="center"/>
    </xf>
    <xf numFmtId="0" fontId="15" fillId="7" borderId="15" applyAlignment="1" pivotButton="0" quotePrefix="0" xfId="4">
      <alignment horizontal="center" vertical="center"/>
    </xf>
    <xf numFmtId="0" fontId="15" fillId="7" borderId="8" applyAlignment="1" pivotButton="0" quotePrefix="0" xfId="4">
      <alignment horizontal="center" vertical="center"/>
    </xf>
    <xf numFmtId="0" fontId="11" fillId="7" borderId="10" applyAlignment="1" pivotButton="0" quotePrefix="0" xfId="4">
      <alignment horizontal="center" vertical="center" wrapText="1"/>
    </xf>
    <xf numFmtId="0" fontId="11" fillId="7" borderId="11" applyAlignment="1" pivotButton="0" quotePrefix="0" xfId="4">
      <alignment horizontal="center" vertical="center" wrapText="1"/>
    </xf>
    <xf numFmtId="0" fontId="12" fillId="2" borderId="1" applyAlignment="1" pivotButton="0" quotePrefix="0" xfId="4">
      <alignment horizontal="center" vertical="center" wrapText="1"/>
    </xf>
    <xf numFmtId="0" fontId="9" fillId="0" borderId="1" applyAlignment="1" pivotButton="0" quotePrefix="0" xfId="7">
      <alignment horizontal="center" vertical="center" wrapText="1"/>
    </xf>
    <xf numFmtId="0" fontId="9" fillId="0" borderId="9" applyAlignment="1" pivotButton="0" quotePrefix="0" xfId="7">
      <alignment horizontal="center" vertical="center" wrapText="1"/>
    </xf>
    <xf numFmtId="0" fontId="9" fillId="0" borderId="8" applyAlignment="1" pivotButton="0" quotePrefix="0" xfId="7">
      <alignment horizontal="center" vertical="center" wrapText="1"/>
    </xf>
    <xf numFmtId="0" fontId="9" fillId="0" borderId="0" applyAlignment="1" pivotButton="0" quotePrefix="0" xfId="7">
      <alignment horizontal="center" vertical="center" wrapText="1"/>
    </xf>
    <xf numFmtId="0" fontId="23" fillId="0" borderId="9" applyAlignment="1" pivotButton="0" quotePrefix="0" xfId="4">
      <alignment horizontal="center" vertical="center"/>
    </xf>
    <xf numFmtId="0" fontId="23" fillId="0" borderId="8" applyAlignment="1" pivotButton="0" quotePrefix="0" xfId="4">
      <alignment horizontal="center" vertical="center"/>
    </xf>
    <xf numFmtId="164" fontId="54" fillId="0" borderId="9" applyAlignment="1" pivotButton="0" quotePrefix="0" xfId="4">
      <alignment horizontal="center" vertical="center"/>
    </xf>
    <xf numFmtId="164" fontId="54" fillId="0" borderId="8" applyAlignment="1" pivotButton="0" quotePrefix="0" xfId="4">
      <alignment horizontal="center" vertical="center"/>
    </xf>
    <xf numFmtId="0" fontId="9" fillId="0" borderId="1" applyAlignment="1" pivotButton="0" quotePrefix="0" xfId="4">
      <alignment horizontal="center" vertical="center"/>
    </xf>
    <xf numFmtId="0" fontId="9" fillId="7" borderId="1" applyAlignment="1" pivotButton="0" quotePrefix="0" xfId="4">
      <alignment horizontal="center" vertical="center"/>
    </xf>
    <xf numFmtId="0" fontId="15" fillId="7" borderId="4" applyAlignment="1" pivotButton="0" quotePrefix="0" xfId="4">
      <alignment horizontal="center" vertical="top"/>
    </xf>
    <xf numFmtId="0" fontId="15" fillId="7" borderId="3" applyAlignment="1" pivotButton="0" quotePrefix="0" xfId="4">
      <alignment horizontal="center" vertical="top"/>
    </xf>
    <xf numFmtId="0" fontId="15" fillId="7" borderId="5" applyAlignment="1" pivotButton="0" quotePrefix="0" xfId="4">
      <alignment horizontal="center" vertical="top"/>
    </xf>
    <xf numFmtId="0" fontId="1" fillId="7" borderId="9" applyAlignment="1" pivotButton="0" quotePrefix="0" xfId="4">
      <alignment horizontal="center" vertical="center"/>
    </xf>
    <xf numFmtId="0" fontId="1" fillId="7" borderId="8" applyAlignment="1" pivotButton="0" quotePrefix="0" xfId="4">
      <alignment horizontal="center" vertical="center"/>
    </xf>
    <xf numFmtId="0" fontId="15" fillId="7" borderId="1" applyAlignment="1" pivotButton="0" quotePrefix="0" xfId="4">
      <alignment horizontal="center" vertical="center"/>
    </xf>
    <xf numFmtId="0" fontId="9" fillId="7" borderId="4" applyAlignment="1" pivotButton="0" quotePrefix="0" xfId="4">
      <alignment horizontal="center" vertical="center"/>
    </xf>
    <xf numFmtId="0" fontId="9" fillId="7" borderId="5" applyAlignment="1" pivotButton="0" quotePrefix="0" xfId="4">
      <alignment horizontal="center" vertical="center"/>
    </xf>
    <xf numFmtId="0" fontId="9" fillId="7" borderId="6" applyAlignment="1" pivotButton="0" quotePrefix="0" xfId="4">
      <alignment horizontal="center" vertical="center"/>
    </xf>
    <xf numFmtId="0" fontId="9" fillId="7" borderId="7" applyAlignment="1" pivotButton="0" quotePrefix="0" xfId="4">
      <alignment horizontal="center" vertical="center"/>
    </xf>
    <xf numFmtId="0" fontId="9" fillId="7" borderId="1" applyAlignment="1" pivotButton="0" quotePrefix="0" xfId="4">
      <alignment horizontal="center" vertical="center" wrapText="1"/>
    </xf>
    <xf numFmtId="0" fontId="51" fillId="7" borderId="1" applyAlignment="1" pivotButton="0" quotePrefix="0" xfId="4">
      <alignment horizontal="center" vertical="center" wrapText="1"/>
    </xf>
    <xf numFmtId="0" fontId="12" fillId="2" borderId="4" applyAlignment="1" pivotButton="0" quotePrefix="0" xfId="3">
      <alignment horizontal="center" vertical="center" wrapText="1"/>
    </xf>
    <xf numFmtId="0" fontId="12" fillId="2" borderId="5" applyAlignment="1" pivotButton="0" quotePrefix="0" xfId="3">
      <alignment horizontal="center" vertical="center" wrapText="1"/>
    </xf>
    <xf numFmtId="0" fontId="12" fillId="2" borderId="6" applyAlignment="1" pivotButton="0" quotePrefix="0" xfId="3">
      <alignment horizontal="center" vertical="center" wrapText="1"/>
    </xf>
    <xf numFmtId="0" fontId="12" fillId="2" borderId="7" applyAlignment="1" pivotButton="0" quotePrefix="0" xfId="3">
      <alignment horizontal="center" vertical="center" wrapText="1"/>
    </xf>
    <xf numFmtId="0" fontId="12" fillId="2" borderId="9" applyAlignment="1" pivotButton="0" quotePrefix="0" xfId="4">
      <alignment horizontal="center" vertical="center" wrapText="1"/>
    </xf>
    <xf numFmtId="0" fontId="12" fillId="2" borderId="15" applyAlignment="1" pivotButton="0" quotePrefix="0" xfId="4">
      <alignment horizontal="center" vertical="center" wrapText="1"/>
    </xf>
    <xf numFmtId="0" fontId="12" fillId="2" borderId="8" applyAlignment="1" pivotButton="0" quotePrefix="0" xfId="4">
      <alignment horizontal="center" vertical="center" wrapText="1"/>
    </xf>
    <xf numFmtId="0" fontId="12" fillId="2" borderId="4" applyAlignment="1" pivotButton="0" quotePrefix="0" xfId="4">
      <alignment horizontal="center" vertical="center" wrapText="1"/>
    </xf>
    <xf numFmtId="0" fontId="12" fillId="2" borderId="3" applyAlignment="1" pivotButton="0" quotePrefix="0" xfId="4">
      <alignment horizontal="center" vertical="center" wrapText="1"/>
    </xf>
    <xf numFmtId="0" fontId="12" fillId="2" borderId="5" applyAlignment="1" pivotButton="0" quotePrefix="0" xfId="4">
      <alignment horizontal="center" vertical="center" wrapText="1"/>
    </xf>
    <xf numFmtId="0" fontId="12" fillId="2" borderId="6" applyAlignment="1" pivotButton="0" quotePrefix="0" xfId="4">
      <alignment horizontal="center" vertical="center" wrapText="1"/>
    </xf>
    <xf numFmtId="0" fontId="12" fillId="2" borderId="2" applyAlignment="1" pivotButton="0" quotePrefix="0" xfId="4">
      <alignment horizontal="center" vertical="center" wrapText="1"/>
    </xf>
    <xf numFmtId="0" fontId="12" fillId="2" borderId="7" applyAlignment="1" pivotButton="0" quotePrefix="0" xfId="4">
      <alignment horizontal="center" vertical="center" wrapText="1"/>
    </xf>
    <xf numFmtId="0" fontId="47" fillId="7" borderId="51" applyAlignment="1" applyProtection="1" pivotButton="0" quotePrefix="0" xfId="4">
      <alignment horizontal="center" vertical="center"/>
      <protection locked="0" hidden="0"/>
    </xf>
    <xf numFmtId="0" fontId="47" fillId="7" borderId="52" applyAlignment="1" applyProtection="1" pivotButton="0" quotePrefix="0" xfId="4">
      <alignment horizontal="center" vertical="center"/>
      <protection locked="0" hidden="0"/>
    </xf>
    <xf numFmtId="0" fontId="47" fillId="7" borderId="53" applyAlignment="1" applyProtection="1" pivotButton="0" quotePrefix="0" xfId="4">
      <alignment horizontal="center" vertical="center"/>
      <protection locked="0" hidden="0"/>
    </xf>
    <xf numFmtId="0" fontId="47" fillId="7" borderId="54" applyAlignment="1" applyProtection="1" pivotButton="0" quotePrefix="0" xfId="4">
      <alignment horizontal="center" vertical="center"/>
      <protection locked="0" hidden="0"/>
    </xf>
    <xf numFmtId="0" fontId="47" fillId="7" borderId="0" applyAlignment="1" applyProtection="1" pivotButton="0" quotePrefix="0" xfId="4">
      <alignment horizontal="center" vertical="center"/>
      <protection locked="0" hidden="0"/>
    </xf>
    <xf numFmtId="0" fontId="47" fillId="7" borderId="39" applyAlignment="1" applyProtection="1" pivotButton="0" quotePrefix="0" xfId="4">
      <alignment horizontal="center" vertical="center"/>
      <protection locked="0" hidden="0"/>
    </xf>
    <xf numFmtId="0" fontId="47" fillId="7" borderId="55" applyAlignment="1" applyProtection="1" pivotButton="0" quotePrefix="0" xfId="4">
      <alignment horizontal="center" vertical="center"/>
      <protection locked="0" hidden="0"/>
    </xf>
    <xf numFmtId="0" fontId="47" fillId="7" borderId="56" applyAlignment="1" applyProtection="1" pivotButton="0" quotePrefix="0" xfId="4">
      <alignment horizontal="center" vertical="center"/>
      <protection locked="0" hidden="0"/>
    </xf>
    <xf numFmtId="0" fontId="47" fillId="7" borderId="57" applyAlignment="1" applyProtection="1" pivotButton="0" quotePrefix="0" xfId="4">
      <alignment horizontal="center" vertical="center"/>
      <protection locked="0" hidden="0"/>
    </xf>
    <xf numFmtId="0" fontId="14" fillId="7" borderId="0" applyAlignment="1" pivotButton="0" quotePrefix="0" xfId="4">
      <alignment horizontal="center" vertical="center"/>
    </xf>
    <xf numFmtId="177" fontId="14" fillId="0" borderId="0" applyAlignment="1" applyProtection="1" pivotButton="0" quotePrefix="0" xfId="4">
      <alignment horizontal="center"/>
      <protection locked="1" hidden="1"/>
    </xf>
    <xf numFmtId="0" fontId="12" fillId="7" borderId="1" applyAlignment="1" pivotButton="0" quotePrefix="0" xfId="3">
      <alignment horizontal="center" vertical="center"/>
    </xf>
    <xf numFmtId="0" fontId="12" fillId="7" borderId="9" applyAlignment="1" pivotButton="0" quotePrefix="0" xfId="3">
      <alignment horizontal="center" vertical="center"/>
    </xf>
    <xf numFmtId="0" fontId="12" fillId="7" borderId="15" applyAlignment="1" pivotButton="0" quotePrefix="0" xfId="3">
      <alignment horizontal="center" vertical="center"/>
    </xf>
    <xf numFmtId="0" fontId="12" fillId="7" borderId="8" applyAlignment="1" pivotButton="0" quotePrefix="0" xfId="3">
      <alignment horizontal="center" vertical="center"/>
    </xf>
    <xf numFmtId="178" fontId="9" fillId="7" borderId="9" applyAlignment="1" pivotButton="0" quotePrefix="0" xfId="4">
      <alignment horizontal="center" vertical="center"/>
    </xf>
    <xf numFmtId="178" fontId="9" fillId="7" borderId="15" applyAlignment="1" pivotButton="0" quotePrefix="0" xfId="4">
      <alignment horizontal="center" vertical="center"/>
    </xf>
    <xf numFmtId="178" fontId="9" fillId="7" borderId="8" applyAlignment="1" pivotButton="0" quotePrefix="0" xfId="4">
      <alignment horizontal="center" vertical="center"/>
    </xf>
    <xf numFmtId="0" fontId="2" fillId="7" borderId="4" applyAlignment="1" pivotButton="0" quotePrefix="0" xfId="4">
      <alignment horizontal="center" vertical="center" wrapText="1"/>
    </xf>
    <xf numFmtId="0" fontId="2" fillId="7" borderId="3" applyAlignment="1" pivotButton="0" quotePrefix="0" xfId="4">
      <alignment horizontal="center" vertical="center" wrapText="1"/>
    </xf>
    <xf numFmtId="0" fontId="2" fillId="7" borderId="5" applyAlignment="1" pivotButton="0" quotePrefix="0" xfId="4">
      <alignment horizontal="center" vertical="center" wrapText="1"/>
    </xf>
    <xf numFmtId="0" fontId="2" fillId="7" borderId="6" applyAlignment="1" pivotButton="0" quotePrefix="0" xfId="4">
      <alignment horizontal="center" vertical="center" wrapText="1"/>
    </xf>
    <xf numFmtId="0" fontId="2" fillId="7" borderId="2" applyAlignment="1" pivotButton="0" quotePrefix="0" xfId="4">
      <alignment horizontal="center" vertical="center" wrapText="1"/>
    </xf>
    <xf numFmtId="0" fontId="2" fillId="7" borderId="7" applyAlignment="1" pivotButton="0" quotePrefix="0" xfId="4">
      <alignment horizontal="center" vertical="center" wrapText="1"/>
    </xf>
    <xf numFmtId="0" fontId="15" fillId="7" borderId="9" applyAlignment="1" pivotButton="0" quotePrefix="0" xfId="4">
      <alignment horizontal="center" vertical="center" wrapText="1"/>
    </xf>
    <xf numFmtId="0" fontId="15" fillId="7" borderId="15" applyAlignment="1" pivotButton="0" quotePrefix="0" xfId="4">
      <alignment horizontal="center" vertical="center" wrapText="1"/>
    </xf>
    <xf numFmtId="0" fontId="15" fillId="7" borderId="8" applyAlignment="1" pivotButton="0" quotePrefix="0" xfId="4">
      <alignment horizontal="center" vertical="center" wrapText="1"/>
    </xf>
    <xf numFmtId="0" fontId="20" fillId="0" borderId="0" applyAlignment="1" pivotButton="0" quotePrefix="1" xfId="6">
      <alignment horizontal="left" vertical="center" wrapText="1"/>
    </xf>
    <xf numFmtId="1" fontId="11" fillId="0" borderId="1" applyAlignment="1" pivotButton="0" quotePrefix="0" xfId="0">
      <alignment horizontal="center" vertical="center"/>
    </xf>
    <xf numFmtId="1" fontId="11" fillId="0" borderId="9" applyAlignment="1" pivotButton="0" quotePrefix="0" xfId="0">
      <alignment horizontal="center" vertical="center"/>
    </xf>
    <xf numFmtId="1" fontId="11" fillId="0" borderId="8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4" applyAlignment="1" pivotButton="0" quotePrefix="0" xfId="3">
      <alignment horizontal="center" vertical="center" wrapText="1"/>
    </xf>
    <xf numFmtId="0" fontId="12" fillId="0" borderId="12" applyAlignment="1" pivotButton="0" quotePrefix="0" xfId="3">
      <alignment horizontal="center" vertical="center" wrapText="1"/>
    </xf>
    <xf numFmtId="0" fontId="12" fillId="0" borderId="6" applyAlignment="1" pivotButton="0" quotePrefix="0" xfId="3">
      <alignment horizontal="center" vertical="center" wrapText="1"/>
    </xf>
    <xf numFmtId="1" fontId="11" fillId="0" borderId="9" applyAlignment="1" applyProtection="1" pivotButton="0" quotePrefix="0" xfId="0">
      <alignment horizontal="center" vertical="center" wrapText="1"/>
      <protection locked="0" hidden="0"/>
    </xf>
    <xf numFmtId="1" fontId="11" fillId="0" borderId="8" applyAlignment="1" applyProtection="1" pivotButton="0" quotePrefix="0" xfId="0">
      <alignment horizontal="center" vertical="center" wrapText="1"/>
      <protection locked="0" hidden="0"/>
    </xf>
    <xf numFmtId="1" fontId="15" fillId="0" borderId="1" applyAlignment="1" pivotButton="0" quotePrefix="0" xfId="0">
      <alignment horizontal="center" vertical="center"/>
    </xf>
    <xf numFmtId="0" fontId="13" fillId="0" borderId="12" applyAlignment="1" pivotButton="0" quotePrefix="0" xfId="3">
      <alignment vertical="center" wrapText="1"/>
    </xf>
    <xf numFmtId="0" fontId="13" fillId="0" borderId="0" applyAlignment="1" pivotButton="0" quotePrefix="0" xfId="3">
      <alignment vertical="center" wrapText="1"/>
    </xf>
    <xf numFmtId="179" fontId="9" fillId="0" borderId="0" applyAlignment="1" applyProtection="1" pivotButton="0" quotePrefix="0" xfId="0">
      <alignment horizontal="left" vertical="center"/>
      <protection locked="0" hidden="0"/>
    </xf>
    <xf numFmtId="179" fontId="9" fillId="0" borderId="13" applyAlignment="1" applyProtection="1" pivotButton="0" quotePrefix="0" xfId="0">
      <alignment horizontal="left" vertical="center"/>
      <protection locked="0" hidden="0"/>
    </xf>
    <xf numFmtId="0" fontId="14" fillId="0" borderId="0" applyAlignment="1" pivotButton="0" quotePrefix="0" xfId="0">
      <alignment horizontal="center" vertical="center"/>
    </xf>
    <xf numFmtId="180" fontId="14" fillId="2" borderId="0" applyAlignment="1" applyProtection="1" pivotButton="0" quotePrefix="0" xfId="0">
      <alignment horizontal="center"/>
      <protection locked="0" hidden="0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3">
      <alignment horizontal="left" vertical="center"/>
    </xf>
    <xf numFmtId="0" fontId="11" fillId="2" borderId="9" applyAlignment="1" applyProtection="1" pivotButton="0" quotePrefix="0" xfId="0">
      <alignment horizontal="center" vertical="center"/>
      <protection locked="1" hidden="1"/>
    </xf>
    <xf numFmtId="0" fontId="11" fillId="2" borderId="15" applyAlignment="1" applyProtection="1" pivotButton="0" quotePrefix="0" xfId="0">
      <alignment horizontal="center" vertical="center"/>
      <protection locked="1" hidden="1"/>
    </xf>
    <xf numFmtId="0" fontId="11" fillId="0" borderId="1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25" fillId="0" borderId="1" applyAlignment="1" applyProtection="1" pivotButton="0" quotePrefix="0" xfId="0">
      <alignment horizontal="center" vertical="center"/>
      <protection locked="1" hidden="1"/>
    </xf>
    <xf numFmtId="0" fontId="29" fillId="0" borderId="4" applyAlignment="1" pivotButton="0" quotePrefix="0" xfId="0">
      <alignment horizontal="center" vertical="center"/>
    </xf>
    <xf numFmtId="0" fontId="29" fillId="0" borderId="3" applyAlignment="1" pivotButton="0" quotePrefix="0" xfId="0">
      <alignment horizontal="center" vertical="center"/>
    </xf>
    <xf numFmtId="181" fontId="11" fillId="2" borderId="9" applyAlignment="1" applyProtection="1" pivotButton="0" quotePrefix="0" xfId="0">
      <alignment horizontal="center" vertical="center"/>
      <protection locked="0" hidden="1"/>
    </xf>
    <xf numFmtId="181" fontId="11" fillId="2" borderId="15" applyAlignment="1" applyProtection="1" pivotButton="0" quotePrefix="0" xfId="0">
      <alignment horizontal="center" vertical="center"/>
      <protection locked="0" hidden="1"/>
    </xf>
    <xf numFmtId="0" fontId="15" fillId="0" borderId="10" applyAlignment="1" pivotButton="0" quotePrefix="0" xfId="3">
      <alignment horizontal="center" vertical="center" wrapText="1"/>
    </xf>
    <xf numFmtId="0" fontId="15" fillId="0" borderId="16" applyAlignment="1" pivotButton="0" quotePrefix="0" xfId="3">
      <alignment horizontal="center" vertical="center" wrapText="1"/>
    </xf>
    <xf numFmtId="0" fontId="15" fillId="0" borderId="11" applyAlignment="1" pivotButton="0" quotePrefix="0" xfId="3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23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2" fontId="25" fillId="3" borderId="9" applyAlignment="1" applyProtection="1" pivotButton="0" quotePrefix="1" xfId="0">
      <alignment horizontal="center" vertical="center"/>
      <protection locked="1" hidden="1"/>
    </xf>
    <xf numFmtId="2" fontId="25" fillId="3" borderId="8" applyAlignment="1" applyProtection="1" pivotButton="0" quotePrefix="1" xfId="0">
      <alignment horizontal="center" vertical="center"/>
      <protection locked="1" hidden="1"/>
    </xf>
    <xf numFmtId="0" fontId="25" fillId="3" borderId="11" applyAlignment="1" applyProtection="1" pivotButton="0" quotePrefix="1" xfId="0">
      <alignment horizontal="center"/>
      <protection locked="0" hidden="0"/>
    </xf>
    <xf numFmtId="0" fontId="25" fillId="3" borderId="11" applyAlignment="1" applyProtection="1" pivotButton="0" quotePrefix="0" xfId="0">
      <alignment horizontal="center"/>
      <protection locked="0" hidden="0"/>
    </xf>
    <xf numFmtId="0" fontId="25" fillId="3" borderId="9" applyAlignment="1" applyProtection="1" pivotButton="0" quotePrefix="0" xfId="0">
      <alignment horizontal="center" vertical="center" wrapText="1"/>
      <protection locked="0" hidden="0"/>
    </xf>
    <xf numFmtId="0" fontId="25" fillId="3" borderId="15" applyAlignment="1" applyProtection="1" pivotButton="0" quotePrefix="0" xfId="0">
      <alignment horizontal="center" vertical="center" wrapText="1"/>
      <protection locked="0" hidden="0"/>
    </xf>
    <xf numFmtId="0" fontId="11" fillId="0" borderId="15" applyAlignment="1" pivotButton="0" quotePrefix="0" xfId="0">
      <alignment horizontal="center" vertical="center" wrapText="1"/>
    </xf>
    <xf numFmtId="0" fontId="11" fillId="0" borderId="0" applyAlignment="1" applyProtection="1" pivotButton="0" quotePrefix="0" xfId="0">
      <alignment horizontal="center" vertical="center"/>
      <protection locked="1" hidden="1"/>
    </xf>
    <xf numFmtId="0" fontId="15" fillId="0" borderId="1" applyAlignment="1" applyProtection="1" pivotButton="0" quotePrefix="0" xfId="0">
      <alignment horizontal="center"/>
      <protection locked="1" hidden="1"/>
    </xf>
    <xf numFmtId="0" fontId="11" fillId="0" borderId="9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0" fontId="11" fillId="0" borderId="1" applyAlignment="1" applyProtection="1" pivotButton="0" quotePrefix="0" xfId="0">
      <alignment horizontal="center" vertical="center"/>
      <protection locked="1" hidden="1"/>
    </xf>
    <xf numFmtId="0" fontId="11" fillId="2" borderId="8" applyAlignment="1" applyProtection="1" pivotButton="0" quotePrefix="0" xfId="0">
      <alignment horizontal="center" vertical="center"/>
      <protection locked="1" hidden="1"/>
    </xf>
    <xf numFmtId="2" fontId="11" fillId="0" borderId="9" applyAlignment="1" applyProtection="1" pivotButton="0" quotePrefix="0" xfId="0">
      <alignment horizontal="center" vertical="center"/>
      <protection locked="0" hidden="1"/>
    </xf>
    <xf numFmtId="2" fontId="11" fillId="0" borderId="8" applyAlignment="1" applyProtection="1" pivotButton="0" quotePrefix="0" xfId="0">
      <alignment horizontal="center" vertical="center"/>
      <protection locked="0" hidden="1"/>
    </xf>
    <xf numFmtId="14" fontId="11" fillId="0" borderId="1" applyAlignment="1" applyProtection="1" pivotButton="0" quotePrefix="0" xfId="0">
      <alignment horizontal="center" vertical="center"/>
      <protection locked="1" hidden="1"/>
    </xf>
    <xf numFmtId="0" fontId="25" fillId="3" borderId="9" applyAlignment="1" applyProtection="1" pivotButton="0" quotePrefix="0" xfId="0">
      <alignment horizontal="center" vertical="center"/>
      <protection locked="1" hidden="1"/>
    </xf>
    <xf numFmtId="0" fontId="25" fillId="3" borderId="8" applyAlignment="1" applyProtection="1" pivotButton="0" quotePrefix="0" xfId="0">
      <alignment horizontal="center" vertical="center"/>
      <protection locked="1" hidden="1"/>
    </xf>
    <xf numFmtId="0" fontId="15" fillId="8" borderId="40" applyAlignment="1" pivotButton="0" quotePrefix="0" xfId="0">
      <alignment horizontal="center" vertical="center" wrapText="1"/>
    </xf>
    <xf numFmtId="0" fontId="15" fillId="8" borderId="41" applyAlignment="1" pivotButton="0" quotePrefix="0" xfId="0">
      <alignment horizontal="center" vertical="center" wrapText="1"/>
    </xf>
    <xf numFmtId="0" fontId="15" fillId="8" borderId="42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center" vertical="center" wrapText="1"/>
    </xf>
    <xf numFmtId="0" fontId="30" fillId="4" borderId="26" applyAlignment="1" pivotButton="0" quotePrefix="0" xfId="0">
      <alignment horizontal="center"/>
    </xf>
    <xf numFmtId="0" fontId="1" fillId="0" borderId="27" pivotButton="0" quotePrefix="0" xfId="0"/>
    <xf numFmtId="0" fontId="1" fillId="0" borderId="30" pivotButton="0" quotePrefix="0" xfId="0"/>
    <xf numFmtId="0" fontId="1" fillId="0" borderId="31" pivotButton="0" quotePrefix="0" xfId="0"/>
    <xf numFmtId="0" fontId="1" fillId="0" borderId="32" pivotButton="0" quotePrefix="0" xfId="0"/>
    <xf numFmtId="0" fontId="1" fillId="0" borderId="33" pivotButton="0" quotePrefix="0" xfId="0"/>
    <xf numFmtId="0" fontId="1" fillId="4" borderId="9" applyAlignment="1" pivotButton="0" quotePrefix="0" xfId="0">
      <alignment horizontal="left" vertical="center" wrapText="1"/>
    </xf>
    <xf numFmtId="0" fontId="1" fillId="4" borderId="15" applyAlignment="1" pivotButton="0" quotePrefix="0" xfId="0">
      <alignment horizontal="left" vertical="center" wrapText="1"/>
    </xf>
    <xf numFmtId="0" fontId="1" fillId="4" borderId="8" applyAlignment="1" pivotButton="0" quotePrefix="0" xfId="0">
      <alignment horizontal="left" vertical="center" wrapText="1"/>
    </xf>
    <xf numFmtId="0" fontId="31" fillId="4" borderId="26" applyAlignment="1" pivotButton="0" quotePrefix="0" xfId="0">
      <alignment horizontal="center" vertical="center" wrapText="1"/>
    </xf>
    <xf numFmtId="0" fontId="31" fillId="4" borderId="28" applyAlignment="1" pivotButton="0" quotePrefix="0" xfId="0">
      <alignment horizontal="center" vertical="center" wrapText="1"/>
    </xf>
    <xf numFmtId="0" fontId="31" fillId="4" borderId="27" applyAlignment="1" pivotButton="0" quotePrefix="0" xfId="0">
      <alignment horizontal="center" vertical="center" wrapText="1"/>
    </xf>
    <xf numFmtId="0" fontId="31" fillId="4" borderId="30" applyAlignment="1" pivotButton="0" quotePrefix="0" xfId="0">
      <alignment horizontal="center" vertical="center" wrapText="1"/>
    </xf>
    <xf numFmtId="0" fontId="31" fillId="4" borderId="0" applyAlignment="1" pivotButton="0" quotePrefix="0" xfId="0">
      <alignment horizontal="center" vertical="center" wrapText="1"/>
    </xf>
    <xf numFmtId="0" fontId="31" fillId="4" borderId="31" applyAlignment="1" pivotButton="0" quotePrefix="0" xfId="0">
      <alignment horizontal="center" vertical="center" wrapText="1"/>
    </xf>
    <xf numFmtId="0" fontId="31" fillId="4" borderId="32" applyAlignment="1" pivotButton="0" quotePrefix="0" xfId="0">
      <alignment horizontal="center" vertical="center" wrapText="1"/>
    </xf>
    <xf numFmtId="0" fontId="31" fillId="4" borderId="34" applyAlignment="1" pivotButton="0" quotePrefix="0" xfId="0">
      <alignment horizontal="center" vertical="center" wrapText="1"/>
    </xf>
    <xf numFmtId="0" fontId="31" fillId="4" borderId="33" applyAlignment="1" pivotButton="0" quotePrefix="0" xfId="0">
      <alignment horizontal="center" vertical="center" wrapText="1"/>
    </xf>
    <xf numFmtId="0" fontId="28" fillId="0" borderId="9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13" applyAlignment="1" pivotButton="0" quotePrefix="0" xfId="0">
      <alignment horizontal="center" vertical="center"/>
    </xf>
    <xf numFmtId="173" fontId="28" fillId="0" borderId="9" applyAlignment="1" pivotButton="0" quotePrefix="0" xfId="0">
      <alignment horizontal="center" vertical="center"/>
    </xf>
    <xf numFmtId="173" fontId="28" fillId="0" borderId="8" applyAlignment="1" pivotButton="0" quotePrefix="0" xfId="0">
      <alignment horizontal="center" vertical="center"/>
    </xf>
    <xf numFmtId="173" fontId="1" fillId="2" borderId="9" applyAlignment="1" pivotButton="0" quotePrefix="0" xfId="4">
      <alignment horizontal="center" vertical="center"/>
    </xf>
    <xf numFmtId="173" fontId="1" fillId="2" borderId="8" applyAlignment="1" pivotButton="0" quotePrefix="0" xfId="4">
      <alignment horizontal="center" vertical="center"/>
    </xf>
    <xf numFmtId="0" fontId="2" fillId="2" borderId="0" applyAlignment="1" pivotButton="0" quotePrefix="0" xfId="4">
      <alignment horizontal="center" vertical="center"/>
    </xf>
    <xf numFmtId="0" fontId="2" fillId="2" borderId="13" applyAlignment="1" pivotButton="0" quotePrefix="0" xfId="4">
      <alignment horizontal="center" vertical="center"/>
    </xf>
    <xf numFmtId="0" fontId="44" fillId="4" borderId="0" applyAlignment="1" pivotButton="0" quotePrefix="0" xfId="0">
      <alignment horizontal="center"/>
    </xf>
    <xf numFmtId="0" fontId="1" fillId="2" borderId="0" pivotButton="0" quotePrefix="0" xfId="0"/>
    <xf numFmtId="0" fontId="28" fillId="4" borderId="0" applyAlignment="1" pivotButton="0" quotePrefix="0" xfId="0">
      <alignment horizontal="center"/>
    </xf>
    <xf numFmtId="182" fontId="1" fillId="2" borderId="1" applyAlignment="1" pivotButton="0" quotePrefix="0" xfId="0">
      <alignment horizontal="center" vertical="center"/>
    </xf>
    <xf numFmtId="183" fontId="1" fillId="2" borderId="1" applyAlignment="1" pivotButton="0" quotePrefix="0" xfId="0">
      <alignment horizontal="center" vertical="center"/>
    </xf>
    <xf numFmtId="0" fontId="47" fillId="7" borderId="58" applyAlignment="1" applyProtection="1" pivotButton="0" quotePrefix="0" xfId="4">
      <alignment horizontal="center" vertical="center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177" fontId="14" fillId="0" borderId="0" applyAlignment="1" applyProtection="1" pivotButton="0" quotePrefix="0" xfId="4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60" pivotButton="0" quotePrefix="0" xfId="0"/>
    <xf numFmtId="0" fontId="0" fillId="0" borderId="61" pivotButton="0" quotePrefix="0" xfId="0"/>
    <xf numFmtId="0" fontId="12" fillId="7" borderId="62" applyAlignment="1" pivotButton="0" quotePrefix="0" xfId="3">
      <alignment horizontal="center" vertical="center"/>
    </xf>
    <xf numFmtId="0" fontId="0" fillId="0" borderId="64" pivotButton="0" quotePrefix="0" xfId="0"/>
    <xf numFmtId="178" fontId="9" fillId="7" borderId="62" applyAlignment="1" pivotButton="0" quotePrefix="0" xfId="4">
      <alignment horizontal="center" vertical="center"/>
    </xf>
    <xf numFmtId="175" fontId="9" fillId="7" borderId="0" applyAlignment="1" pivotButton="0" quotePrefix="0" xfId="4">
      <alignment horizontal="left" vertical="center"/>
    </xf>
    <xf numFmtId="0" fontId="2" fillId="7" borderId="10" applyAlignment="1" pivotButton="0" quotePrefix="0" xfId="4">
      <alignment horizontal="center" vertical="center" wrapText="1"/>
    </xf>
    <xf numFmtId="0" fontId="0" fillId="0" borderId="59" pivotButton="0" quotePrefix="0" xfId="0"/>
    <xf numFmtId="0" fontId="0" fillId="0" borderId="5" pivotButton="0" quotePrefix="0" xfId="0"/>
    <xf numFmtId="0" fontId="2" fillId="7" borderId="11" applyAlignment="1" pivotButton="0" quotePrefix="0" xfId="4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0" fontId="15" fillId="7" borderId="62" applyAlignment="1" pivotButton="0" quotePrefix="0" xfId="4">
      <alignment horizontal="center" vertical="center" wrapText="1"/>
    </xf>
    <xf numFmtId="0" fontId="12" fillId="2" borderId="1" applyAlignment="1" pivotButton="0" quotePrefix="0" xfId="3">
      <alignment horizontal="center" vertical="center" wrapText="1"/>
    </xf>
    <xf numFmtId="0" fontId="12" fillId="2" borderId="62" applyAlignment="1" pivotButton="0" quotePrefix="0" xfId="4">
      <alignment horizontal="center" vertical="center" wrapText="1"/>
    </xf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11" pivotButton="0" quotePrefix="0" xfId="0"/>
    <xf numFmtId="0" fontId="23" fillId="0" borderId="62" applyAlignment="1" pivotButton="0" quotePrefix="0" xfId="4">
      <alignment horizontal="center" vertical="center"/>
    </xf>
    <xf numFmtId="164" fontId="54" fillId="0" borderId="62" applyAlignment="1" pivotButton="0" quotePrefix="0" xfId="4">
      <alignment horizontal="center" vertical="center"/>
    </xf>
    <xf numFmtId="0" fontId="1" fillId="7" borderId="62" applyAlignment="1" pivotButton="0" quotePrefix="0" xfId="4">
      <alignment horizontal="center" vertical="center"/>
    </xf>
    <xf numFmtId="176" fontId="11" fillId="7" borderId="0" applyAlignment="1" pivotButton="0" quotePrefix="0" xfId="4">
      <alignment vertical="center"/>
    </xf>
    <xf numFmtId="0" fontId="15" fillId="7" borderId="10" applyAlignment="1" pivotButton="0" quotePrefix="0" xfId="4">
      <alignment horizontal="center" vertical="top"/>
    </xf>
    <xf numFmtId="0" fontId="15" fillId="7" borderId="62" applyAlignment="1" pivotButton="0" quotePrefix="0" xfId="4">
      <alignment horizontal="center" vertical="center"/>
    </xf>
    <xf numFmtId="0" fontId="11" fillId="7" borderId="1" applyAlignment="1" pivotButton="0" quotePrefix="0" xfId="4">
      <alignment horizontal="center" vertical="center" wrapText="1"/>
    </xf>
    <xf numFmtId="0" fontId="9" fillId="0" borderId="62" applyAlignment="1" pivotButton="0" quotePrefix="0" xfId="7">
      <alignment horizontal="center" vertical="center" wrapText="1"/>
    </xf>
    <xf numFmtId="0" fontId="0" fillId="0" borderId="5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1" applyProtection="1" pivotButton="0" quotePrefix="0" xfId="0">
      <protection locked="1" hidden="1"/>
    </xf>
    <xf numFmtId="0" fontId="11" fillId="7" borderId="62" applyAlignment="1" pivotButton="0" quotePrefix="0" xfId="4">
      <alignment horizontal="center" vertical="center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180" fontId="14" fillId="2" borderId="0" applyAlignment="1" applyProtection="1" pivotButton="0" quotePrefix="0" xfId="0">
      <alignment horizontal="center"/>
      <protection locked="0" hidden="0"/>
    </xf>
    <xf numFmtId="174" fontId="9" fillId="0" borderId="0" applyAlignment="1" applyProtection="1" pivotButton="0" quotePrefix="0" xfId="0">
      <alignment horizontal="left" vertical="center"/>
      <protection locked="0" hidden="0"/>
    </xf>
    <xf numFmtId="173" fontId="9" fillId="0" borderId="0" applyAlignment="1" applyProtection="1" pivotButton="0" quotePrefix="0" xfId="0">
      <alignment horizontal="left" vertical="center"/>
      <protection locked="0" hidden="0"/>
    </xf>
    <xf numFmtId="0" fontId="24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179" fontId="9" fillId="0" borderId="13" applyAlignment="1" applyProtection="1" pivotButton="0" quotePrefix="0" xfId="0">
      <alignment horizontal="left" vertical="center"/>
      <protection locked="0" hidden="0"/>
    </xf>
    <xf numFmtId="0" fontId="0" fillId="0" borderId="13" applyProtection="1" pivotButton="0" quotePrefix="0" xfId="0">
      <protection locked="0" hidden="0"/>
    </xf>
    <xf numFmtId="0" fontId="12" fillId="0" borderId="9" applyAlignment="1" pivotButton="0" quotePrefix="0" xfId="3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25" pivotButton="0" quotePrefix="0" xfId="0"/>
    <xf numFmtId="0" fontId="0" fillId="0" borderId="21" pivotButton="0" quotePrefix="0" xfId="0"/>
    <xf numFmtId="0" fontId="9" fillId="0" borderId="61" applyAlignment="1" pivotButton="0" quotePrefix="0" xfId="0">
      <alignment horizontal="center" vertical="center" wrapText="1"/>
    </xf>
    <xf numFmtId="0" fontId="9" fillId="0" borderId="62" applyAlignment="1" pivotButton="0" quotePrefix="0" xfId="0">
      <alignment horizontal="center" vertical="center" wrapText="1"/>
    </xf>
    <xf numFmtId="1" fontId="11" fillId="0" borderId="62" applyAlignment="1" pivotButton="0" quotePrefix="0" xfId="0">
      <alignment horizontal="center" vertical="center"/>
    </xf>
    <xf numFmtId="1" fontId="11" fillId="0" borderId="62" applyAlignment="1" applyProtection="1" pivotButton="0" quotePrefix="0" xfId="0">
      <alignment horizontal="center" vertical="center" wrapText="1"/>
      <protection locked="0" hidden="0"/>
    </xf>
    <xf numFmtId="0" fontId="0" fillId="0" borderId="64" applyProtection="1" pivotButton="0" quotePrefix="0" xfId="0">
      <protection locked="0" hidden="0"/>
    </xf>
    <xf numFmtId="2" fontId="25" fillId="3" borderId="62" applyAlignment="1" applyProtection="1" pivotButton="0" quotePrefix="1" xfId="0">
      <alignment horizontal="center" vertical="center"/>
      <protection locked="1" hidden="1"/>
    </xf>
    <xf numFmtId="0" fontId="0" fillId="0" borderId="64" applyProtection="1" pivotButton="0" quotePrefix="0" xfId="0">
      <protection locked="1" hidden="1"/>
    </xf>
    <xf numFmtId="0" fontId="0" fillId="0" borderId="7" applyProtection="1" pivotButton="0" quotePrefix="0" xfId="0">
      <protection locked="0" hidden="0"/>
    </xf>
    <xf numFmtId="0" fontId="11" fillId="2" borderId="62" applyAlignment="1" applyProtection="1" pivotButton="0" quotePrefix="0" xfId="0">
      <alignment horizontal="center" vertical="center"/>
      <protection locked="1" hidden="1"/>
    </xf>
    <xf numFmtId="0" fontId="25" fillId="3" borderId="62" applyAlignment="1" applyProtection="1" pivotButton="0" quotePrefix="0" xfId="0">
      <alignment horizontal="center" vertical="center"/>
      <protection locked="1" hidden="1"/>
    </xf>
    <xf numFmtId="0" fontId="0" fillId="0" borderId="60" applyProtection="1" pivotButton="0" quotePrefix="0" xfId="0">
      <protection locked="0" hidden="0"/>
    </xf>
    <xf numFmtId="2" fontId="11" fillId="0" borderId="62" applyAlignment="1" applyProtection="1" pivotButton="0" quotePrefix="0" xfId="0">
      <alignment horizontal="center" vertical="center"/>
      <protection locked="0" hidden="1"/>
    </xf>
    <xf numFmtId="0" fontId="0" fillId="0" borderId="64" applyProtection="1" pivotButton="0" quotePrefix="0" xfId="0">
      <protection locked="0" hidden="1"/>
    </xf>
    <xf numFmtId="181" fontId="11" fillId="2" borderId="9" applyAlignment="1" applyProtection="1" pivotButton="0" quotePrefix="0" xfId="0">
      <alignment horizontal="center" vertical="center"/>
      <protection locked="0" hidden="1"/>
    </xf>
    <xf numFmtId="0" fontId="0" fillId="0" borderId="60" applyProtection="1" pivotButton="0" quotePrefix="0" xfId="0">
      <protection locked="0" hidden="1"/>
    </xf>
    <xf numFmtId="0" fontId="15" fillId="0" borderId="1" applyAlignment="1" pivotButton="0" quotePrefix="0" xfId="3">
      <alignment horizontal="center" vertical="center" wrapText="1"/>
    </xf>
    <xf numFmtId="0" fontId="15" fillId="0" borderId="20" applyAlignment="1" pivotButton="0" quotePrefix="0" xfId="0">
      <alignment horizontal="center" vertical="center" wrapText="1"/>
    </xf>
    <xf numFmtId="0" fontId="0" fillId="0" borderId="18" pivotButton="0" quotePrefix="0" xfId="0"/>
    <xf numFmtId="0" fontId="15" fillId="0" borderId="67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19" pivotButton="0" quotePrefix="0" xfId="0"/>
    <xf numFmtId="0" fontId="0" fillId="0" borderId="69" pivotButton="0" quotePrefix="0" xfId="0"/>
    <xf numFmtId="0" fontId="0" fillId="0" borderId="71" pivotButton="0" quotePrefix="0" xfId="0"/>
    <xf numFmtId="0" fontId="11" fillId="0" borderId="62" applyAlignment="1" pivotButton="0" quotePrefix="0" xfId="0">
      <alignment horizontal="center" vertical="center"/>
    </xf>
    <xf numFmtId="0" fontId="11" fillId="0" borderId="62" applyAlignment="1" pivotButton="0" quotePrefix="0" xfId="0">
      <alignment horizontal="center" vertical="center" wrapText="1"/>
    </xf>
    <xf numFmtId="0" fontId="30" fillId="4" borderId="29" applyAlignment="1" pivotButton="0" quotePrefix="0" xfId="0">
      <alignment horizontal="center"/>
    </xf>
    <xf numFmtId="0" fontId="0" fillId="0" borderId="27" pivotButton="0" quotePrefix="0" xfId="0"/>
    <xf numFmtId="0" fontId="31" fillId="4" borderId="29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30" pivotButton="0" quotePrefix="0" xfId="0"/>
    <xf numFmtId="0" fontId="0" fillId="0" borderId="31" pivotButton="0" quotePrefix="0" xfId="0"/>
    <xf numFmtId="168" fontId="28" fillId="4" borderId="29" applyAlignment="1" pivotButton="0" quotePrefix="0" xfId="0">
      <alignment horizontal="center" vertical="center"/>
    </xf>
    <xf numFmtId="173" fontId="28" fillId="4" borderId="2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4" borderId="62" applyAlignment="1" pivotButton="0" quotePrefix="0" xfId="0">
      <alignment horizontal="left" vertical="center" wrapText="1"/>
    </xf>
    <xf numFmtId="0" fontId="0" fillId="0" borderId="74" pivotButton="0" quotePrefix="0" xfId="0"/>
    <xf numFmtId="0" fontId="0" fillId="0" borderId="75" pivotButton="0" quotePrefix="0" xfId="0"/>
    <xf numFmtId="170" fontId="11" fillId="2" borderId="1" applyAlignment="1" applyProtection="1" pivotButton="0" quotePrefix="0" xfId="4">
      <alignment horizontal="center" vertical="center"/>
      <protection locked="1" hidden="1"/>
    </xf>
    <xf numFmtId="171" fontId="43" fillId="4" borderId="1" applyAlignment="1" pivotButton="0" quotePrefix="0" xfId="0">
      <alignment horizontal="center" vertical="center" wrapText="1"/>
    </xf>
    <xf numFmtId="169" fontId="11" fillId="6" borderId="29" applyAlignment="1" pivotButton="0" quotePrefix="0" xfId="0">
      <alignment horizontal="center" vertical="center" wrapText="1"/>
    </xf>
    <xf numFmtId="169" fontId="11" fillId="6" borderId="46" applyAlignment="1" pivotButton="0" quotePrefix="0" xfId="0">
      <alignment horizontal="center" vertical="center" wrapText="1"/>
    </xf>
    <xf numFmtId="169" fontId="11" fillId="0" borderId="29" applyAlignment="1" pivotButton="0" quotePrefix="0" xfId="0">
      <alignment horizontal="center" vertical="center"/>
    </xf>
    <xf numFmtId="169" fontId="11" fillId="0" borderId="29" applyAlignment="1" pivotButton="0" quotePrefix="1" xfId="0">
      <alignment horizontal="center" vertical="center" wrapText="1"/>
    </xf>
    <xf numFmtId="169" fontId="11" fillId="0" borderId="46" applyAlignment="1" pivotButton="0" quotePrefix="1" xfId="0">
      <alignment horizontal="center" vertical="center" wrapText="1"/>
    </xf>
    <xf numFmtId="169" fontId="0" fillId="2" borderId="1" applyAlignment="1" pivotButton="0" quotePrefix="0" xfId="0">
      <alignment horizontal="center"/>
    </xf>
    <xf numFmtId="169" fontId="11" fillId="6" borderId="29" applyAlignment="1" pivotButton="0" quotePrefix="0" xfId="0">
      <alignment horizontal="center" vertical="center"/>
    </xf>
    <xf numFmtId="169" fontId="11" fillId="6" borderId="46" applyAlignment="1" pivotButton="0" quotePrefix="0" xfId="0">
      <alignment horizontal="center" vertical="center"/>
    </xf>
    <xf numFmtId="170" fontId="11" fillId="2" borderId="1" applyAlignment="1" pivotButton="0" quotePrefix="0" xfId="0">
      <alignment horizontal="center"/>
    </xf>
    <xf numFmtId="169" fontId="11" fillId="0" borderId="49" applyAlignment="1" pivotButton="0" quotePrefix="0" xfId="0">
      <alignment horizontal="center" vertical="center"/>
    </xf>
    <xf numFmtId="169" fontId="11" fillId="0" borderId="49" applyAlignment="1" pivotButton="0" quotePrefix="1" xfId="0">
      <alignment horizontal="center" vertical="center" wrapText="1"/>
    </xf>
    <xf numFmtId="169" fontId="11" fillId="0" borderId="50" applyAlignment="1" pivotButton="0" quotePrefix="1" xfId="0">
      <alignment horizontal="center" vertical="center" wrapText="1"/>
    </xf>
    <xf numFmtId="169" fontId="11" fillId="0" borderId="38" applyAlignment="1" pivotButton="0" quotePrefix="0" xfId="0">
      <alignment horizontal="center" vertical="center"/>
    </xf>
    <xf numFmtId="169" fontId="11" fillId="0" borderId="38" applyAlignment="1" pivotButton="0" quotePrefix="1" xfId="0">
      <alignment horizontal="center" vertical="center" wrapText="1"/>
    </xf>
    <xf numFmtId="169" fontId="11" fillId="2" borderId="0" applyAlignment="1" pivotButton="0" quotePrefix="0" xfId="0">
      <alignment horizontal="center" vertical="center"/>
    </xf>
    <xf numFmtId="169" fontId="11" fillId="2" borderId="0" applyAlignment="1" pivotButton="0" quotePrefix="1" xfId="0">
      <alignment horizontal="center" vertical="center" wrapText="1"/>
    </xf>
    <xf numFmtId="169" fontId="20" fillId="6" borderId="29" applyAlignment="1" pivotButton="0" quotePrefix="0" xfId="0">
      <alignment horizontal="center" vertical="center"/>
    </xf>
    <xf numFmtId="169" fontId="40" fillId="6" borderId="29" applyAlignment="1" pivotButton="0" quotePrefix="0" xfId="0">
      <alignment horizontal="center" vertical="center" wrapText="1"/>
    </xf>
    <xf numFmtId="169" fontId="20" fillId="4" borderId="0" applyAlignment="1" pivotButton="0" quotePrefix="0" xfId="0">
      <alignment horizontal="center" vertical="center"/>
    </xf>
    <xf numFmtId="0" fontId="28" fillId="0" borderId="62" applyAlignment="1" pivotButton="0" quotePrefix="0" xfId="0">
      <alignment horizontal="center" vertical="center"/>
    </xf>
    <xf numFmtId="173" fontId="28" fillId="0" borderId="62" applyAlignment="1" pivotButton="0" quotePrefix="0" xfId="0">
      <alignment horizontal="center" vertical="center"/>
    </xf>
    <xf numFmtId="173" fontId="1" fillId="2" borderId="62" applyAlignment="1" pivotButton="0" quotePrefix="0" xfId="4">
      <alignment horizontal="center" vertical="center"/>
    </xf>
    <xf numFmtId="173" fontId="1" fillId="2" borderId="0" applyAlignment="1" pivotButton="0" quotePrefix="0" xfId="4">
      <alignment horizontal="center" vertical="center"/>
    </xf>
    <xf numFmtId="169" fontId="28" fillId="4" borderId="38" applyAlignment="1" pivotButton="0" quotePrefix="0" xfId="0">
      <alignment horizontal="center"/>
    </xf>
    <xf numFmtId="172" fontId="28" fillId="4" borderId="0" applyAlignment="1" pivotButton="0" quotePrefix="0" xfId="0">
      <alignment horizontal="center"/>
    </xf>
    <xf numFmtId="169" fontId="28" fillId="4" borderId="29" applyAlignment="1" pivotButton="0" quotePrefix="0" xfId="0">
      <alignment horizontal="center"/>
    </xf>
    <xf numFmtId="172" fontId="28" fillId="4" borderId="29" applyAlignment="1" pivotButton="0" quotePrefix="0" xfId="0">
      <alignment horizontal="center"/>
    </xf>
    <xf numFmtId="169" fontId="28" fillId="4" borderId="29" applyAlignment="1" pivotButton="0" quotePrefix="0" xfId="0">
      <alignment horizontal="center" vertical="center"/>
    </xf>
    <xf numFmtId="0" fontId="51" fillId="7" borderId="1" applyAlignment="1" pivotButton="0" quotePrefix="0" xfId="4">
      <alignment horizontal="center" vertical="center"/>
    </xf>
    <xf numFmtId="0" fontId="2" fillId="7" borderId="1" applyAlignment="1" pivotButton="0" quotePrefix="0" xfId="4">
      <alignment horizontal="center" vertical="center"/>
    </xf>
  </cellXfs>
  <cellStyles count="8">
    <cellStyle name="Normal" xfId="0" builtinId="0"/>
    <cellStyle name="Hipervínculo" xfId="1" builtinId="8"/>
    <cellStyle name="Normal 4" xfId="2"/>
    <cellStyle name="Normal_ENSAYOS" xfId="3"/>
    <cellStyle name="Normal 2" xfId="4"/>
    <cellStyle name="Normal_ABG-01" xfId="5"/>
    <cellStyle name="Normal 2 2" xfId="6"/>
    <cellStyle name="Normal 3" xfId="7"/>
  </cellStyles>
  <dxfs count="1">
    <dxf>
      <fill>
        <patternFill>
          <bgColor theme="5" tint="0.599963377788628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 xml:space="preserve"> de Contribución Planas</a:t>
            </a:r>
            <a:endParaRPr lang="en-US" sz="1050" b="1" u="sng"/>
          </a:p>
        </rich>
      </tx>
      <layout>
        <manualLayout>
          <xMode val="edge"/>
          <yMode val="edge"/>
          <wMode val="factor"/>
          <hMode val="factor"/>
          <x val="0.2731837172038888"/>
          <y val="0.03586159300413183"/>
        </manualLayout>
      </layout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cat>
            <strRef>
              <f>INCERTIDUMBRE!$AJ$27:$AJ$31</f>
              <strCache>
                <ptCount val="5"/>
                <pt idx="0">
                  <v>Masa partícula</v>
                </pt>
                <pt idx="1">
                  <v>Masa de prueba</v>
                </pt>
                <pt idx="2">
                  <v>Masa retenida</v>
                </pt>
                <pt idx="3">
                  <v>Masa total</v>
                </pt>
                <pt idx="4">
                  <v xml:space="preserve">factor de presición </v>
                </pt>
              </strCache>
            </strRef>
          </cat>
          <val>
            <numRef>
              <f>INCERTIDUMBRE!$AL$27:$AL$31</f>
              <numCache>
                <formatCode>0.0%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560320"/>
        <axId val="145561856"/>
      </barChart>
      <catAx>
        <axId val="1455603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s-PE"/>
          </a:p>
        </txPr>
        <crossAx val="145561856"/>
        <crosses val="autoZero"/>
        <auto val="1"/>
        <lblAlgn val="ctr"/>
        <lblOffset val="100"/>
        <noMultiLvlLbl val="0"/>
      </catAx>
      <valAx>
        <axId val="145561856"/>
        <scaling>
          <orientation val="minMax"/>
        </scaling>
        <delete val="0"/>
        <axPos val="b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es-PE"/>
          </a:p>
        </txPr>
        <crossAx val="14556032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 xml:space="preserve"> de Contribución Alargada</a:t>
            </a:r>
            <a:endParaRPr lang="en-US" sz="1050" b="1" u="sng"/>
          </a:p>
        </rich>
      </tx>
      <layout>
        <manualLayout>
          <xMode val="edge"/>
          <yMode val="edge"/>
          <wMode val="factor"/>
          <hMode val="factor"/>
          <x val="0.2731837172038888"/>
          <y val="0.03586159300413183"/>
        </manualLayout>
      </layout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cat>
            <strRef>
              <f>INCERTIDUMBRE!$AJ$27:$AJ$31</f>
              <strCache>
                <ptCount val="5"/>
                <pt idx="0">
                  <v>Masa partícula</v>
                </pt>
                <pt idx="1">
                  <v>Masa de prueba</v>
                </pt>
                <pt idx="2">
                  <v>Masa retenida</v>
                </pt>
                <pt idx="3">
                  <v>Masa total</v>
                </pt>
                <pt idx="4">
                  <v xml:space="preserve">factor de presición </v>
                </pt>
              </strCache>
            </strRef>
          </cat>
          <val>
            <numRef>
              <f>INCERTIDUMBRE!$AL$27:$AL$31</f>
              <numCache>
                <formatCode>0.0%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560320"/>
        <axId val="145561856"/>
      </barChart>
      <catAx>
        <axId val="1455603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s-PE"/>
          </a:p>
        </txPr>
        <crossAx val="145561856"/>
        <crosses val="autoZero"/>
        <auto val="1"/>
        <lblAlgn val="ctr"/>
        <lblOffset val="100"/>
        <noMultiLvlLbl val="0"/>
      </catAx>
      <valAx>
        <axId val="145561856"/>
        <scaling>
          <orientation val="minMax"/>
        </scaling>
        <delete val="0"/>
        <axPos val="b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es-PE"/>
          </a:p>
        </txPr>
        <crossAx val="145560320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 xml:space="preserve"> de Contribución Planas y alargadas</a:t>
            </a:r>
            <a:endParaRPr lang="en-US" sz="1050" b="1" u="sng"/>
          </a:p>
        </rich>
      </tx>
      <layout>
        <manualLayout>
          <xMode val="edge"/>
          <yMode val="edge"/>
          <wMode val="factor"/>
          <hMode val="factor"/>
          <x val="0.2731837172038888"/>
          <y val="0.03586159300413183"/>
        </manualLayout>
      </layout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cat>
            <strRef>
              <f>INCERTIDUMBRE!$AJ$27:$AJ$31</f>
              <strCache>
                <ptCount val="5"/>
                <pt idx="0">
                  <v>Masa partícula</v>
                </pt>
                <pt idx="1">
                  <v>Masa de prueba</v>
                </pt>
                <pt idx="2">
                  <v>Masa retenida</v>
                </pt>
                <pt idx="3">
                  <v>Masa total</v>
                </pt>
                <pt idx="4">
                  <v xml:space="preserve">factor de presición </v>
                </pt>
              </strCache>
            </strRef>
          </cat>
          <val>
            <numRef>
              <f>INCERTIDUMBRE!$AL$27:$AL$31</f>
              <numCache>
                <formatCode>0.0%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560320"/>
        <axId val="145561856"/>
      </barChart>
      <catAx>
        <axId val="1455603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s-PE"/>
          </a:p>
        </txPr>
        <crossAx val="145561856"/>
        <crosses val="autoZero"/>
        <auto val="1"/>
        <lblAlgn val="ctr"/>
        <lblOffset val="100"/>
        <noMultiLvlLbl val="0"/>
      </catAx>
      <valAx>
        <axId val="145561856"/>
        <scaling>
          <orientation val="minMax"/>
        </scaling>
        <delete val="0"/>
        <axPos val="b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es-PE"/>
          </a:p>
        </txPr>
        <crossAx val="145560320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 xml:space="preserve"> de Contribución ni Planas ni alargadas</a:t>
            </a:r>
            <a:endParaRPr lang="en-US" sz="1050" b="1" u="sng"/>
          </a:p>
        </rich>
      </tx>
      <layout>
        <manualLayout>
          <xMode val="edge"/>
          <yMode val="edge"/>
          <wMode val="factor"/>
          <hMode val="factor"/>
          <x val="0.2731837172038888"/>
          <y val="0.03586159300413183"/>
        </manualLayout>
      </layout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invertIfNegative val="0"/>
          <cat>
            <strRef>
              <f>INCERTIDUMBRE!$AJ$27:$AJ$31</f>
              <strCache>
                <ptCount val="5"/>
                <pt idx="0">
                  <v>Masa partícula</v>
                </pt>
                <pt idx="1">
                  <v>Masa de prueba</v>
                </pt>
                <pt idx="2">
                  <v>Masa retenida</v>
                </pt>
                <pt idx="3">
                  <v>Masa total</v>
                </pt>
                <pt idx="4">
                  <v xml:space="preserve">factor de presición </v>
                </pt>
              </strCache>
            </strRef>
          </cat>
          <val>
            <numRef>
              <f>INCERTIDUMBRE!$AL$27:$AL$31</f>
              <numCache>
                <formatCode>0.0%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5560320"/>
        <axId val="145561856"/>
      </barChart>
      <catAx>
        <axId val="145560320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9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s-PE"/>
          </a:p>
        </txPr>
        <crossAx val="145561856"/>
        <crosses val="autoZero"/>
        <auto val="1"/>
        <lblAlgn val="ctr"/>
        <lblOffset val="100"/>
        <noMultiLvlLbl val="0"/>
      </catAx>
      <valAx>
        <axId val="145561856"/>
        <scaling>
          <orientation val="minMax"/>
        </scaling>
        <delete val="0"/>
        <axPos val="b"/>
        <majorGridlines/>
        <numFmt formatCode="0.00" sourceLinked="0"/>
        <majorTickMark val="none"/>
        <minorTickMark val="none"/>
        <tickLblPos val="nextTo"/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t>None</a:t>
            </a:r>
            <a:endParaRPr lang="es-PE"/>
          </a:p>
        </txPr>
        <crossAx val="14556032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jpe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54</row>
      <rowOff>121920</rowOff>
    </from>
    <to>
      <col>18</col>
      <colOff>45720</colOff>
      <row>54</row>
      <rowOff>167640</rowOff>
    </to>
    <pic>
      <nvPicPr>
        <cNvPr id="2" name="3 Image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2306300"/>
          <a:ext cx="8001000" cy="45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7</col>
      <colOff>205740</colOff>
      <row>0</row>
      <rowOff>76200</rowOff>
    </from>
    <to>
      <col>10</col>
      <colOff>388620</colOff>
      <row>4</row>
      <rowOff>160020</rowOff>
    </to>
    <pic>
      <nvPicPr>
        <cNvPr id="10" name="Imagen 2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360420" y="76200"/>
          <a:ext cx="1531620" cy="876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20</col>
      <colOff>68580</colOff>
      <row>19</row>
      <rowOff>30480</rowOff>
    </from>
    <to>
      <col>24</col>
      <colOff>99060</colOff>
      <row>31</row>
      <rowOff>152400</rowOff>
    </to>
    <pic>
      <nvPicPr>
        <cNvPr id="11" name="Imagen 2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45880" y="3878580"/>
          <a:ext cx="2529840" cy="2857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481964</colOff>
      <row>41</row>
      <rowOff>182880</rowOff>
    </from>
    <to>
      <col>9</col>
      <colOff>88429</colOff>
      <row>48</row>
      <rowOff>69076</rowOff>
    </to>
    <pic>
      <nvPicPr>
        <cNvPr id="4" name="Imagen 3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550" t="18437" r="19247" b="17812"/>
        <a:stretch xmlns:a="http://schemas.openxmlformats.org/drawingml/2006/main">
          <a:fillRect/>
        </a:stretch>
      </blipFill>
      <spPr>
        <a:xfrm xmlns:a="http://schemas.openxmlformats.org/drawingml/2006/main" rot="60000">
          <a:off x="2981324" y="9212580"/>
          <a:ext cx="1458125" cy="10901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335280</colOff>
      <row>42</row>
      <rowOff>38100</rowOff>
    </from>
    <to>
      <col>11</col>
      <colOff>15293</colOff>
      <row>48</row>
      <rowOff>127733</rowOff>
    </to>
    <pic>
      <nvPicPr>
        <cNvPr id="7" name="Imagen 6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0875" t="14008" r="10875" b="95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686300" y="9265920"/>
          <a:ext cx="1097333" cy="109547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53340</colOff>
      <row>40</row>
      <rowOff>68580</rowOff>
    </from>
    <to>
      <col>19</col>
      <colOff>574131</colOff>
      <row>48</row>
      <rowOff>98754</rowOff>
    </to>
    <pic>
      <nvPicPr>
        <cNvPr id="5" name="Imagen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503920" y="9022080"/>
          <a:ext cx="2646771" cy="13103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35</col>
      <colOff>0</colOff>
      <row>32</row>
      <rowOff>114300</rowOff>
    </from>
    <to>
      <col>38</col>
      <colOff>238125</colOff>
      <row>43</row>
      <rowOff>9525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35</col>
      <colOff>0</colOff>
      <row>57</row>
      <rowOff>114300</rowOff>
    </from>
    <to>
      <col>38</col>
      <colOff>238125</colOff>
      <row>68</row>
      <rowOff>9525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35</col>
      <colOff>0</colOff>
      <row>82</row>
      <rowOff>114300</rowOff>
    </from>
    <to>
      <col>38</col>
      <colOff>238125</colOff>
      <row>93</row>
      <rowOff>9525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35</col>
      <colOff>0</colOff>
      <row>107</row>
      <rowOff>114300</rowOff>
    </from>
    <to>
      <col>38</col>
      <colOff>238125</colOff>
      <row>118</row>
      <rowOff>9525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6</col>
      <colOff>161926</colOff>
      <row>11</row>
      <rowOff>40097</rowOff>
    </from>
    <to>
      <col>12</col>
      <colOff>152400</colOff>
      <row>21</row>
      <rowOff>53546</rowOff>
    </to>
    <pic>
      <nvPicPr>
        <cNvPr id="14" name="Imagen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4667251" y="2707097"/>
          <a:ext cx="4962524" cy="16612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</col>
      <colOff>464345</colOff>
      <row>0</row>
      <rowOff>47625</rowOff>
    </from>
    <to>
      <col>1</col>
      <colOff>1452563</colOff>
      <row>3</row>
      <rowOff>143856</rowOff>
    </to>
    <pic>
      <nvPicPr>
        <cNvPr id="3" name="Imagen 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19126" y="47625"/>
          <a:ext cx="988218" cy="59629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9525</colOff>
      <row>2</row>
      <rowOff>38100</rowOff>
    </from>
    <to>
      <col>8</col>
      <colOff>304800</colOff>
      <row>5</row>
      <rowOff>140665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8600" y="361950"/>
          <a:ext cx="5438775" cy="5883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Conirsa-sa\Construccion-2006\BG\Cantera%20Mapacho_Vicho_BG_6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LENOVO\Downloads\PLANAS_824-26_2026-04-27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Vicus\D\Marcona\BASE%20GRANULAR%20PATR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PLANAS Y ALARGADAS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"/>
  <sheetViews>
    <sheetView showGridLines="0" view="pageBreakPreview" zoomScale="110" zoomScaleNormal="110" zoomScaleSheetLayoutView="110" workbookViewId="0">
      <selection activeCell="R51" sqref="R51"/>
    </sheetView>
  </sheetViews>
  <sheetFormatPr baseColWidth="10" defaultColWidth="11.42578125" defaultRowHeight="12.75"/>
  <cols>
    <col width="1.28515625" customWidth="1" style="255" min="1" max="1"/>
    <col width="11" customWidth="1" style="255" min="2" max="2"/>
    <col width="7.42578125" customWidth="1" style="255" min="3" max="3"/>
    <col width="6.5703125" customWidth="1" style="255" min="4" max="15"/>
    <col width="5.140625" customWidth="1" style="255" min="16" max="16"/>
    <col width="7.140625" customWidth="1" style="255" min="17" max="17"/>
    <col width="5.28515625" customWidth="1" style="255" min="18" max="18"/>
    <col width="2" customWidth="1" style="255" min="19" max="19"/>
    <col width="11.42578125" customWidth="1" style="255" min="20" max="20"/>
    <col width="8.28515625" customWidth="1" style="255" min="21" max="21"/>
    <col width="11.42578125" customWidth="1" style="255" min="22" max="22"/>
    <col width="13" customWidth="1" style="255" min="23" max="23"/>
    <col width="3.7109375" customWidth="1" style="255" min="24" max="24"/>
    <col width="11.42578125" customWidth="1" style="255" min="25" max="16384"/>
  </cols>
  <sheetData>
    <row r="1" ht="15.75" customHeight="1" thickTop="1">
      <c r="A1" s="536" t="n"/>
      <c r="B1" s="537" t="n"/>
      <c r="C1" s="537" t="n"/>
      <c r="D1" s="537" t="n"/>
      <c r="E1" s="537" t="n"/>
      <c r="F1" s="537" t="n"/>
      <c r="G1" s="537" t="n"/>
      <c r="H1" s="537" t="n"/>
      <c r="I1" s="537" t="n"/>
      <c r="J1" s="537" t="n"/>
      <c r="K1" s="537" t="n"/>
      <c r="L1" s="537" t="n"/>
      <c r="M1" s="537" t="n"/>
      <c r="N1" s="537" t="n"/>
      <c r="O1" s="537" t="n"/>
      <c r="P1" s="537" t="n"/>
      <c r="Q1" s="537" t="n"/>
      <c r="R1" s="537" t="n"/>
      <c r="S1" s="538" t="n"/>
      <c r="X1" s="256" t="n"/>
    </row>
    <row r="2" ht="15.75" customHeight="1">
      <c r="A2" s="539" t="n"/>
      <c r="B2" s="540" t="n"/>
      <c r="C2" s="540" t="n"/>
      <c r="D2" s="540" t="n"/>
      <c r="E2" s="540" t="n"/>
      <c r="F2" s="540" t="n"/>
      <c r="G2" s="540" t="n"/>
      <c r="H2" s="540" t="n"/>
      <c r="I2" s="540" t="n"/>
      <c r="J2" s="540" t="n"/>
      <c r="K2" s="540" t="n"/>
      <c r="L2" s="540" t="n"/>
      <c r="M2" s="540" t="n"/>
      <c r="N2" s="540" t="n"/>
      <c r="O2" s="540" t="n"/>
      <c r="P2" s="540" t="n"/>
      <c r="Q2" s="540" t="n"/>
      <c r="R2" s="540" t="n"/>
      <c r="S2" s="541" t="n"/>
      <c r="X2" s="256" t="n"/>
    </row>
    <row r="3" ht="15.75" customHeight="1">
      <c r="A3" s="539" t="n"/>
      <c r="B3" s="540" t="n"/>
      <c r="C3" s="540" t="n"/>
      <c r="D3" s="540" t="n"/>
      <c r="E3" s="540" t="n"/>
      <c r="F3" s="540" t="n"/>
      <c r="G3" s="540" t="n"/>
      <c r="H3" s="540" t="n"/>
      <c r="I3" s="540" t="n"/>
      <c r="J3" s="540" t="n"/>
      <c r="K3" s="540" t="n"/>
      <c r="L3" s="540" t="n"/>
      <c r="M3" s="540" t="n"/>
      <c r="N3" s="540" t="n"/>
      <c r="O3" s="540" t="n"/>
      <c r="P3" s="540" t="n"/>
      <c r="Q3" s="540" t="n"/>
      <c r="R3" s="540" t="n"/>
      <c r="S3" s="541" t="n"/>
      <c r="X3" s="256" t="n"/>
    </row>
    <row r="4" ht="15.75" customHeight="1">
      <c r="A4" s="539" t="n"/>
      <c r="B4" s="540" t="n"/>
      <c r="C4" s="540" t="n"/>
      <c r="D4" s="540" t="n"/>
      <c r="E4" s="540" t="n"/>
      <c r="F4" s="540" t="n"/>
      <c r="G4" s="540" t="n"/>
      <c r="H4" s="540" t="n"/>
      <c r="I4" s="540" t="n"/>
      <c r="J4" s="540" t="n"/>
      <c r="K4" s="540" t="n"/>
      <c r="L4" s="540" t="n"/>
      <c r="M4" s="540" t="n"/>
      <c r="N4" s="540" t="n"/>
      <c r="O4" s="540" t="n"/>
      <c r="P4" s="540" t="n"/>
      <c r="Q4" s="540" t="n"/>
      <c r="R4" s="540" t="n"/>
      <c r="S4" s="541" t="n"/>
      <c r="U4" s="314" t="inlineStr">
        <is>
          <t>CLIENTE</t>
        </is>
      </c>
      <c r="V4" s="315" t="n"/>
      <c r="X4" s="256" t="n"/>
    </row>
    <row r="5" ht="15.75" customHeight="1" thickBot="1">
      <c r="A5" s="542" t="n"/>
      <c r="B5" s="543" t="n"/>
      <c r="C5" s="543" t="n"/>
      <c r="D5" s="543" t="n"/>
      <c r="E5" s="543" t="n"/>
      <c r="F5" s="543" t="n"/>
      <c r="G5" s="543" t="n"/>
      <c r="H5" s="543" t="n"/>
      <c r="I5" s="543" t="n"/>
      <c r="J5" s="543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4" t="n"/>
      <c r="U5" s="314" t="inlineStr">
        <is>
          <t>DIRECCIÓN **</t>
        </is>
      </c>
      <c r="V5" s="316" t="n"/>
    </row>
    <row r="6" ht="15.75" customHeight="1" thickTop="1">
      <c r="A6" s="258" t="n"/>
      <c r="U6" s="314" t="inlineStr">
        <is>
          <t>PROYECTO **</t>
        </is>
      </c>
      <c r="V6" s="316" t="n"/>
    </row>
    <row r="7" ht="15.75" customHeight="1">
      <c r="A7" s="391" t="inlineStr">
        <is>
          <t>LABORATORIO DE ENSAYO DE MATERIALES</t>
        </is>
      </c>
      <c r="U7" s="314" t="inlineStr">
        <is>
          <t>UBICACIÓN **</t>
        </is>
      </c>
      <c r="V7" s="316" t="n"/>
    </row>
    <row r="8" ht="15.75" customHeight="1">
      <c r="A8" s="545" t="inlineStr">
        <is>
          <t>FORMATO N° F-LEM-P-AG-34.01</t>
        </is>
      </c>
      <c r="B8" s="546" t="n"/>
      <c r="C8" s="546" t="n"/>
      <c r="D8" s="546" t="n"/>
      <c r="E8" s="546" t="n"/>
      <c r="F8" s="546" t="n"/>
      <c r="G8" s="546" t="n"/>
      <c r="H8" s="546" t="n"/>
      <c r="I8" s="546" t="n"/>
      <c r="J8" s="546" t="n"/>
      <c r="K8" s="546" t="n"/>
      <c r="L8" s="546" t="n"/>
      <c r="M8" s="546" t="n"/>
      <c r="N8" s="546" t="n"/>
      <c r="O8" s="546" t="n"/>
      <c r="P8" s="546" t="n"/>
      <c r="Q8" s="546" t="n"/>
      <c r="R8" s="546" t="n"/>
      <c r="S8" s="546" t="n"/>
      <c r="U8" s="317" t="n"/>
      <c r="V8" s="318" t="n"/>
    </row>
    <row r="9" ht="15.75" customHeight="1">
      <c r="A9" s="259" t="n"/>
      <c r="B9" s="259" t="n"/>
      <c r="C9" s="259" t="n"/>
      <c r="D9" s="259" t="n"/>
      <c r="U9" s="314" t="inlineStr">
        <is>
          <t>RECEPCIÓN N°</t>
        </is>
      </c>
      <c r="V9" s="318" t="n"/>
    </row>
    <row r="10" ht="15.75" customHeight="1">
      <c r="A10" s="260" t="n"/>
      <c r="B10" s="260" t="n"/>
      <c r="C10" s="260" t="n"/>
      <c r="D10" s="393" t="inlineStr">
        <is>
          <t>MUESTRA</t>
        </is>
      </c>
      <c r="E10" s="547" t="n"/>
      <c r="F10" s="548" t="n"/>
      <c r="G10" s="393" t="inlineStr">
        <is>
          <t>No OT</t>
        </is>
      </c>
      <c r="H10" s="547" t="n"/>
      <c r="I10" s="548" t="n"/>
      <c r="J10" s="393" t="inlineStr">
        <is>
          <t>FECHA ENSAYO</t>
        </is>
      </c>
      <c r="K10" s="547" t="n"/>
      <c r="L10" s="548" t="n"/>
      <c r="M10" s="356" t="inlineStr">
        <is>
          <t>REALIZADO</t>
        </is>
      </c>
      <c r="N10" s="547" t="n"/>
      <c r="O10" s="548" t="n"/>
      <c r="U10" s="314" t="inlineStr">
        <is>
          <t>F. EMISIÓN</t>
        </is>
      </c>
      <c r="V10" s="319" t="n"/>
    </row>
    <row r="11" ht="15.75" customHeight="1">
      <c r="A11" s="260" t="n"/>
      <c r="B11" s="260" t="n"/>
      <c r="C11" s="260" t="n"/>
      <c r="D11" s="549" t="n"/>
      <c r="E11" s="547" t="n"/>
      <c r="F11" s="550" t="n"/>
      <c r="G11" s="549" t="n"/>
      <c r="H11" s="547" t="n"/>
      <c r="I11" s="550" t="n"/>
      <c r="J11" s="549" t="n"/>
      <c r="K11" s="547" t="n"/>
      <c r="L11" s="550" t="n"/>
      <c r="M11" s="551" t="n"/>
      <c r="N11" s="547" t="n"/>
      <c r="O11" s="550" t="n"/>
      <c r="U11" s="314" t="inlineStr">
        <is>
          <t>OT N°</t>
        </is>
      </c>
      <c r="V11" s="318" t="n"/>
    </row>
    <row r="12" ht="15.75" customHeight="1">
      <c r="A12" s="260" t="n"/>
      <c r="B12" s="264" t="n"/>
      <c r="C12" s="264" t="n"/>
      <c r="D12" s="264" t="n"/>
      <c r="E12" s="264" t="n"/>
      <c r="F12" s="264" t="n"/>
      <c r="G12" s="264" t="n"/>
      <c r="H12" s="264" t="n"/>
      <c r="I12" s="264" t="n"/>
      <c r="J12" s="265" t="n"/>
      <c r="K12" s="552" t="n"/>
      <c r="L12" s="552" t="n"/>
      <c r="M12" s="552" t="n"/>
      <c r="U12" s="317" t="n"/>
      <c r="V12" s="318" t="n"/>
    </row>
    <row r="13" ht="8.25" customHeight="1">
      <c r="U13" s="314" t="inlineStr">
        <is>
          <t>CÓDIGO DE LA MUESTRA</t>
        </is>
      </c>
      <c r="V13" s="318" t="n"/>
    </row>
    <row r="14" ht="30" customHeight="1">
      <c r="A14" s="553" t="inlineStr">
        <is>
          <t>STANDARD TEST METHOD FOR FLAT PARTICLES, ELONGATED PARTICLES, OR FLAT AND ELONGATED PARTICLES IN COARSE AGGREGATE</t>
        </is>
      </c>
      <c r="B14" s="554" t="n"/>
      <c r="C14" s="554" t="n"/>
      <c r="D14" s="554" t="n"/>
      <c r="E14" s="554" t="n"/>
      <c r="F14" s="554" t="n"/>
      <c r="G14" s="554" t="n"/>
      <c r="H14" s="554" t="n"/>
      <c r="I14" s="554" t="n"/>
      <c r="J14" s="554" t="n"/>
      <c r="K14" s="554" t="n"/>
      <c r="L14" s="554" t="n"/>
      <c r="M14" s="554" t="n"/>
      <c r="N14" s="554" t="n"/>
      <c r="O14" s="554" t="n"/>
      <c r="P14" s="554" t="n"/>
      <c r="Q14" s="554" t="n"/>
      <c r="R14" s="554" t="n"/>
      <c r="S14" s="555" t="n"/>
      <c r="U14" s="314" t="inlineStr">
        <is>
          <t>FECHA DE RECEPCIÓN</t>
        </is>
      </c>
      <c r="V14" s="319" t="n"/>
    </row>
    <row r="15" ht="15.75" customHeight="1">
      <c r="A15" s="556" t="inlineStr">
        <is>
          <t>ASTM D4791-19 (Reapproved 2023)</t>
        </is>
      </c>
      <c r="B15" s="557" t="n"/>
      <c r="C15" s="557" t="n"/>
      <c r="D15" s="557" t="n"/>
      <c r="E15" s="557" t="n"/>
      <c r="F15" s="557" t="n"/>
      <c r="G15" s="557" t="n"/>
      <c r="H15" s="557" t="n"/>
      <c r="I15" s="557" t="n"/>
      <c r="J15" s="557" t="n"/>
      <c r="K15" s="557" t="n"/>
      <c r="L15" s="557" t="n"/>
      <c r="M15" s="557" t="n"/>
      <c r="N15" s="557" t="n"/>
      <c r="O15" s="557" t="n"/>
      <c r="P15" s="557" t="n"/>
      <c r="Q15" s="557" t="n"/>
      <c r="R15" s="557" t="n"/>
      <c r="S15" s="558" t="n"/>
      <c r="U15" s="314" t="inlineStr">
        <is>
          <t>FECHA DE EJECUCIÓN</t>
        </is>
      </c>
      <c r="V15" s="319" t="n"/>
    </row>
    <row r="16" ht="10.5" customHeight="1">
      <c r="A16" s="401" t="n"/>
      <c r="B16" s="401" t="n"/>
      <c r="C16" s="401" t="n"/>
      <c r="D16" s="401" t="n"/>
      <c r="E16" s="401" t="n"/>
      <c r="F16" s="401" t="n"/>
      <c r="G16" s="401" t="n"/>
      <c r="H16" s="401" t="n"/>
      <c r="I16" s="401" t="n"/>
      <c r="J16" s="401" t="n"/>
      <c r="K16" s="401" t="n"/>
      <c r="L16" s="401" t="n"/>
      <c r="M16" s="401" t="n"/>
      <c r="N16" s="401" t="n"/>
      <c r="O16" s="401" t="n"/>
      <c r="P16" s="401" t="n"/>
      <c r="Q16" s="401" t="n"/>
      <c r="R16" s="401" t="n"/>
      <c r="S16" s="401" t="n"/>
      <c r="U16" s="317" t="n"/>
      <c r="V16" s="318" t="n"/>
    </row>
    <row r="17" ht="15.75" customHeight="1">
      <c r="A17" s="268" t="n"/>
      <c r="B17" s="268" t="n"/>
      <c r="C17" s="268" t="n"/>
      <c r="D17" s="268" t="n"/>
      <c r="E17" s="559" t="inlineStr">
        <is>
          <t>Método de ensayo:</t>
        </is>
      </c>
      <c r="F17" s="547" t="n"/>
      <c r="G17" s="550" t="n"/>
      <c r="I17" s="559" t="inlineStr">
        <is>
          <t>Tamiz requerido</t>
        </is>
      </c>
      <c r="J17" s="547" t="n"/>
      <c r="K17" s="550" t="n"/>
      <c r="P17" s="268" t="n"/>
      <c r="Q17" s="268" t="n"/>
      <c r="R17" s="268" t="n"/>
      <c r="S17" s="268" t="n"/>
      <c r="U17" s="314" t="inlineStr">
        <is>
          <t>CANTERA/SONDAJE **</t>
        </is>
      </c>
      <c r="V17" s="320" t="n"/>
    </row>
    <row r="18" ht="15.75" customHeight="1">
      <c r="A18" s="268" t="n"/>
      <c r="B18" s="268" t="n"/>
      <c r="E18" s="269" t="inlineStr">
        <is>
          <t>Método A</t>
        </is>
      </c>
      <c r="F18" s="270" t="n"/>
      <c r="G18" s="271" t="n"/>
      <c r="H18" s="268" t="n"/>
      <c r="I18" s="272" t="inlineStr">
        <is>
          <t>3/8 in.</t>
        </is>
      </c>
      <c r="J18" s="273" t="n"/>
      <c r="K18" s="665" t="inlineStr"/>
      <c r="L18" s="268" t="n"/>
      <c r="M18" s="268" t="n"/>
      <c r="N18" s="268" t="n"/>
      <c r="O18" s="268" t="n"/>
      <c r="P18" s="268" t="n"/>
      <c r="Q18" s="268" t="n"/>
      <c r="R18" s="268" t="n"/>
      <c r="S18" s="268" t="n"/>
      <c r="U18" s="314" t="inlineStr">
        <is>
          <t>N° MUESTRA **</t>
        </is>
      </c>
      <c r="V18" s="320" t="n"/>
    </row>
    <row r="19" ht="21" customHeight="1">
      <c r="A19" s="268" t="n"/>
      <c r="B19" s="268" t="inlineStr"/>
      <c r="C19" s="257" t="inlineStr">
        <is>
          <t>X</t>
        </is>
      </c>
      <c r="D19" s="257" t="inlineStr"/>
      <c r="E19" s="269" t="inlineStr">
        <is>
          <t>Método B</t>
        </is>
      </c>
      <c r="F19" s="270" t="n"/>
      <c r="G19" s="271" t="inlineStr"/>
      <c r="H19" s="268" t="n"/>
      <c r="I19" s="275" t="inlineStr">
        <is>
          <t>No. 4</t>
        </is>
      </c>
      <c r="J19" s="270" t="n"/>
      <c r="K19" s="665" t="n"/>
      <c r="L19" s="268" t="n"/>
      <c r="M19" s="268" t="n"/>
      <c r="N19" s="268" t="n"/>
      <c r="O19" s="268" t="n"/>
      <c r="P19" s="268" t="n"/>
      <c r="Q19" s="268" t="n"/>
      <c r="R19" s="268" t="n"/>
      <c r="S19" s="268" t="n"/>
      <c r="U19" s="314" t="inlineStr">
        <is>
          <t>TIPO DE MUESTRA**</t>
        </is>
      </c>
      <c r="V19" s="321" t="n"/>
    </row>
    <row r="20" ht="18" customHeight="1">
      <c r="A20" s="276" t="n"/>
      <c r="C20" s="277" t="n"/>
      <c r="D20" s="278" t="n"/>
      <c r="E20" s="279" t="inlineStr">
        <is>
          <t>El método A esta destinado para todas las aplicaciones, el método B se realizara a solicitud del cliente (Superpave)</t>
        </is>
      </c>
      <c r="F20" s="278" t="n"/>
      <c r="G20" s="278" t="n"/>
      <c r="H20" s="278" t="n"/>
      <c r="I20" s="278" t="n"/>
      <c r="J20" s="278" t="n"/>
      <c r="K20" s="278" t="n"/>
      <c r="L20" s="278" t="n"/>
      <c r="M20" s="277" t="n"/>
      <c r="N20" s="277" t="n"/>
      <c r="O20" s="277" t="n"/>
      <c r="P20" s="277" t="n"/>
      <c r="Q20" s="277" t="n"/>
      <c r="R20" s="277" t="n"/>
    </row>
    <row r="21" ht="16.9" customHeight="1">
      <c r="B21" s="560" t="inlineStr">
        <is>
          <t>Tamaño de las partículas</t>
        </is>
      </c>
      <c r="C21" s="555" t="n"/>
      <c r="D21" s="561" t="inlineStr">
        <is>
          <t>Gradación de la muestra (1) - ASTM C136</t>
        </is>
      </c>
      <c r="E21" s="547" t="n"/>
      <c r="F21" s="547" t="n"/>
      <c r="G21" s="547" t="n"/>
      <c r="H21" s="550" t="n"/>
      <c r="I21" s="346" t="inlineStr">
        <is>
          <t>Reducción de la mustra de prueba</t>
        </is>
      </c>
      <c r="J21" s="554" t="n"/>
      <c r="K21" s="554" t="n"/>
      <c r="L21" s="555" t="n"/>
      <c r="M21" s="280" t="n"/>
      <c r="N21" s="269" t="n"/>
      <c r="O21" s="281" t="n"/>
      <c r="P21" s="282" t="n"/>
      <c r="Q21" s="336" t="n"/>
      <c r="R21" s="548" t="n"/>
    </row>
    <row r="22" ht="16.9" customHeight="1">
      <c r="B22" s="562" t="n"/>
      <c r="C22" s="558" t="n"/>
      <c r="D22" s="561" t="inlineStr">
        <is>
          <t>Muestra original</t>
        </is>
      </c>
      <c r="E22" s="547" t="n"/>
      <c r="F22" s="547" t="n"/>
      <c r="G22" s="547" t="n"/>
      <c r="H22" s="550" t="n"/>
      <c r="I22" s="562" t="n"/>
      <c r="J22" s="557" t="n"/>
      <c r="K22" s="557" t="n"/>
      <c r="L22" s="558" t="n"/>
      <c r="M22" s="280" t="n"/>
      <c r="N22" s="269" t="n"/>
      <c r="O22" s="283" t="n"/>
      <c r="P22" s="284" t="n"/>
      <c r="Q22" s="336" t="n"/>
      <c r="R22" s="548" t="n"/>
    </row>
    <row r="23" ht="16.9" customHeight="1">
      <c r="B23" s="356" t="inlineStr">
        <is>
          <t>Abertura Tamiz</t>
        </is>
      </c>
      <c r="C23" s="555" t="n"/>
      <c r="D23" s="367" t="inlineStr">
        <is>
          <t>Masa Retenido original (g)</t>
        </is>
      </c>
      <c r="E23" s="555" t="n"/>
      <c r="F23" s="367" t="inlineStr">
        <is>
          <t>(%) Retenido</t>
        </is>
      </c>
      <c r="G23" s="555" t="n"/>
      <c r="H23" s="368" t="inlineStr">
        <is>
          <t>Criterio Acept.
≥10% (*)</t>
        </is>
      </c>
      <c r="I23" s="367" t="inlineStr">
        <is>
          <t>Número Partículas
 (Aprox. 100)</t>
        </is>
      </c>
      <c r="J23" s="555" t="n"/>
      <c r="K23" s="367" t="inlineStr">
        <is>
          <t>Masa retenido 
(g)</t>
        </is>
      </c>
      <c r="L23" s="555" t="n"/>
      <c r="N23" s="269" t="n"/>
      <c r="O23" s="283" t="n"/>
      <c r="P23" s="284" t="n"/>
      <c r="Q23" s="336" t="n"/>
      <c r="R23" s="548" t="n"/>
    </row>
    <row r="24" ht="4.9" customHeight="1">
      <c r="B24" s="562" t="n"/>
      <c r="C24" s="558" t="n"/>
      <c r="D24" s="563" t="n"/>
      <c r="E24" s="564" t="n"/>
      <c r="F24" s="563" t="n"/>
      <c r="G24" s="564" t="n"/>
      <c r="H24" s="565" t="n"/>
      <c r="I24" s="563" t="n"/>
      <c r="J24" s="564" t="n"/>
      <c r="K24" s="563" t="n"/>
      <c r="L24" s="564" t="n"/>
      <c r="U24" s="286" t="n"/>
      <c r="V24" s="286" t="n"/>
    </row>
    <row r="25" ht="24" customHeight="1">
      <c r="B25" s="287" t="inlineStr">
        <is>
          <t>Pasa Tamiz</t>
        </is>
      </c>
      <c r="C25" s="367" t="inlineStr">
        <is>
          <t>Retenido Tamiz</t>
        </is>
      </c>
      <c r="D25" s="562" t="n"/>
      <c r="E25" s="558" t="n"/>
      <c r="F25" s="562" t="n"/>
      <c r="G25" s="558" t="n"/>
      <c r="H25" s="566" t="n"/>
      <c r="I25" s="562" t="n"/>
      <c r="J25" s="558" t="n"/>
      <c r="K25" s="562" t="n"/>
      <c r="L25" s="558" t="n"/>
      <c r="N25" s="362" t="inlineStr">
        <is>
          <t>TMN</t>
        </is>
      </c>
      <c r="O25" s="548" t="n"/>
      <c r="P25" s="362" t="inlineStr">
        <is>
          <t>Masa mín. (g)</t>
        </is>
      </c>
      <c r="Q25" s="548" t="n"/>
      <c r="U25" s="286" t="n"/>
      <c r="V25" s="286" t="n"/>
    </row>
    <row r="26" ht="20.25" customHeight="1">
      <c r="B26" s="288" t="inlineStr">
        <is>
          <t>2 in.</t>
        </is>
      </c>
      <c r="C26" s="288" t="inlineStr">
        <is>
          <t>1 1/2 in.</t>
        </is>
      </c>
      <c r="D26" s="567" t="n"/>
      <c r="E26" s="550" t="n"/>
      <c r="F26" s="568" t="n">
        <v>4.2455</v>
      </c>
      <c r="G26" s="550" t="n"/>
      <c r="H26" s="340" t="n"/>
      <c r="I26" s="567" t="n"/>
      <c r="J26" s="550" t="n"/>
      <c r="K26" s="569" t="n"/>
      <c r="L26" s="550" t="n"/>
      <c r="N26" s="355" t="inlineStr">
        <is>
          <t>2 in.</t>
        </is>
      </c>
      <c r="O26" s="548" t="n"/>
      <c r="P26" s="356" t="n">
        <v>20000</v>
      </c>
      <c r="Q26" s="548" t="n"/>
      <c r="U26" s="286" t="n"/>
      <c r="V26" s="286" t="n"/>
    </row>
    <row r="27" ht="20.25" customHeight="1">
      <c r="B27" s="288" t="inlineStr">
        <is>
          <t>1 1/2 in.</t>
        </is>
      </c>
      <c r="C27" s="288" t="inlineStr">
        <is>
          <t>1 in.</t>
        </is>
      </c>
      <c r="D27" s="567" t="n"/>
      <c r="E27" s="550" t="n"/>
      <c r="F27" s="568" t="n">
        <v>18.4156</v>
      </c>
      <c r="G27" s="550" t="n"/>
      <c r="H27" s="340" t="n"/>
      <c r="I27" s="567" t="n"/>
      <c r="J27" s="550" t="n"/>
      <c r="K27" s="569" t="n"/>
      <c r="L27" s="550" t="n"/>
      <c r="N27" s="355" t="inlineStr">
        <is>
          <t>1 1/2 in.</t>
        </is>
      </c>
      <c r="O27" s="548" t="n"/>
      <c r="P27" s="356" t="n">
        <v>15000</v>
      </c>
      <c r="Q27" s="548" t="n"/>
      <c r="U27" s="286" t="n"/>
      <c r="V27" s="286" t="n"/>
    </row>
    <row r="28" ht="20.25" customHeight="1">
      <c r="B28" s="288" t="inlineStr">
        <is>
          <t>1 in.</t>
        </is>
      </c>
      <c r="C28" s="288" t="inlineStr">
        <is>
          <t>3/4 in.</t>
        </is>
      </c>
      <c r="D28" s="567" t="n"/>
      <c r="E28" s="550" t="n"/>
      <c r="F28" s="568" t="n">
        <v>12.4611</v>
      </c>
      <c r="G28" s="550" t="n"/>
      <c r="H28" s="340" t="n"/>
      <c r="I28" s="567" t="n"/>
      <c r="J28" s="550" t="n"/>
      <c r="K28" s="569" t="n"/>
      <c r="L28" s="550" t="n"/>
      <c r="N28" s="355" t="inlineStr">
        <is>
          <t>1 in.</t>
        </is>
      </c>
      <c r="O28" s="548" t="n"/>
      <c r="P28" s="356" t="n">
        <v>10000</v>
      </c>
      <c r="Q28" s="548" t="n"/>
      <c r="U28" s="286" t="n"/>
      <c r="V28" s="286" t="n"/>
    </row>
    <row r="29" ht="20.25" customHeight="1">
      <c r="B29" s="288" t="inlineStr">
        <is>
          <t>3/4 in.</t>
        </is>
      </c>
      <c r="C29" s="288" t="inlineStr">
        <is>
          <t>1/2 in.</t>
        </is>
      </c>
      <c r="D29" s="567" t="n"/>
      <c r="E29" s="550" t="n"/>
      <c r="F29" s="568" t="n">
        <v>21.0218</v>
      </c>
      <c r="G29" s="550" t="n"/>
      <c r="H29" s="340" t="n"/>
      <c r="I29" s="567" t="n"/>
      <c r="J29" s="550" t="n"/>
      <c r="K29" s="569" t="n"/>
      <c r="L29" s="550" t="n"/>
      <c r="N29" s="355" t="inlineStr">
        <is>
          <t>3/4 in.</t>
        </is>
      </c>
      <c r="O29" s="548" t="n"/>
      <c r="P29" s="356" t="n">
        <v>5000</v>
      </c>
      <c r="Q29" s="548" t="n"/>
    </row>
    <row r="30" ht="19.5" customHeight="1">
      <c r="B30" s="288" t="inlineStr">
        <is>
          <t>1/2 in.</t>
        </is>
      </c>
      <c r="C30" s="288" t="inlineStr">
        <is>
          <t>3/8 in.</t>
        </is>
      </c>
      <c r="D30" s="567" t="n"/>
      <c r="E30" s="550" t="n"/>
      <c r="F30" s="568" t="n">
        <v>12.2151</v>
      </c>
      <c r="G30" s="550" t="n"/>
      <c r="H30" s="340" t="n"/>
      <c r="I30" s="567" t="n"/>
      <c r="J30" s="550" t="n"/>
      <c r="K30" s="569" t="n"/>
      <c r="L30" s="550" t="n"/>
      <c r="N30" s="355" t="inlineStr">
        <is>
          <t>1/2 in.</t>
        </is>
      </c>
      <c r="O30" s="548" t="n"/>
      <c r="P30" s="356" t="n">
        <v>2000</v>
      </c>
      <c r="Q30" s="548" t="n"/>
    </row>
    <row r="31" ht="20.25" customHeight="1">
      <c r="B31" s="288" t="inlineStr">
        <is>
          <t>3/8 in.</t>
        </is>
      </c>
      <c r="C31" s="288" t="inlineStr">
        <is>
          <t>No. 4</t>
        </is>
      </c>
      <c r="D31" s="567" t="n"/>
      <c r="E31" s="550" t="n"/>
      <c r="F31" s="568" t="n">
        <v>31.6409</v>
      </c>
      <c r="G31" s="550" t="n"/>
      <c r="H31" s="340" t="n"/>
      <c r="I31" s="567" t="n"/>
      <c r="J31" s="550" t="n"/>
      <c r="K31" s="569" t="n"/>
      <c r="L31" s="550" t="n"/>
      <c r="N31" s="355" t="inlineStr">
        <is>
          <t>3/8 in.</t>
        </is>
      </c>
      <c r="O31" s="548" t="n"/>
      <c r="P31" s="356" t="n">
        <v>1000</v>
      </c>
      <c r="Q31" s="548" t="n"/>
      <c r="V31" s="350" t="n"/>
    </row>
    <row r="32" ht="20.25" customHeight="1">
      <c r="B32" s="341" t="inlineStr">
        <is>
          <t>TOTAL</t>
        </is>
      </c>
      <c r="C32" s="291" t="n"/>
      <c r="D32" s="567" t="n"/>
      <c r="E32" s="550" t="n"/>
      <c r="F32" s="568" t="n">
        <v>100</v>
      </c>
      <c r="G32" s="550" t="n"/>
      <c r="H32" s="292" t="n"/>
      <c r="I32" s="292" t="n"/>
      <c r="J32" s="292" t="n"/>
      <c r="N32" s="355" t="inlineStr">
        <is>
          <t>No. 4</t>
        </is>
      </c>
      <c r="O32" s="548" t="n"/>
      <c r="P32" s="356" t="n">
        <v>1000</v>
      </c>
      <c r="Q32" s="548" t="n"/>
    </row>
    <row r="33" ht="15.75" customHeight="1">
      <c r="B33" s="293" t="inlineStr">
        <is>
          <t>(*) Marcar con una Check o Aspa , aquellas mallas a evaluar o descartar; (1)Se realizará de no tener granulometría.</t>
        </is>
      </c>
      <c r="E33" s="294" t="n"/>
      <c r="F33" s="294" t="n"/>
      <c r="G33" s="295" t="n"/>
      <c r="H33" s="296" t="n"/>
      <c r="I33" s="294" t="n"/>
      <c r="J33" s="294" t="n"/>
      <c r="K33" s="297" t="n"/>
      <c r="L33" s="297" t="n"/>
      <c r="M33" s="297" t="n"/>
      <c r="N33" s="295" t="n"/>
      <c r="O33" s="295" t="n"/>
      <c r="P33" s="295" t="n"/>
      <c r="Q33" s="295" t="n"/>
      <c r="R33" s="295" t="n"/>
      <c r="S33" s="295" t="n"/>
      <c r="V33" s="298" t="n"/>
    </row>
    <row r="34" ht="6.75" customHeight="1">
      <c r="A34" s="295" t="n"/>
      <c r="B34" s="295" t="n"/>
      <c r="C34" s="295" t="n"/>
      <c r="D34" s="295" t="n"/>
      <c r="E34" s="295" t="n"/>
      <c r="F34" s="295" t="n"/>
      <c r="G34" s="295" t="n"/>
      <c r="H34" s="299" t="n"/>
      <c r="I34" s="299" t="n"/>
      <c r="J34" s="570" t="n"/>
      <c r="K34" s="295" t="n"/>
      <c r="L34" s="295" t="n"/>
      <c r="M34" s="295" t="n"/>
      <c r="N34" s="295" t="n"/>
      <c r="O34" s="295" t="n"/>
      <c r="P34" s="295" t="n"/>
      <c r="Q34" s="295" t="n"/>
      <c r="R34" s="295" t="n"/>
      <c r="S34" s="295" t="n"/>
      <c r="V34" s="298" t="n"/>
    </row>
    <row r="35" ht="12.75" customHeight="1">
      <c r="A35" s="295" t="n"/>
      <c r="B35" s="571" t="inlineStr">
        <is>
          <t>Método A</t>
        </is>
      </c>
      <c r="C35" s="554" t="n"/>
      <c r="D35" s="554" t="n"/>
      <c r="E35" s="554" t="n"/>
      <c r="F35" s="554" t="n"/>
      <c r="G35" s="554" t="n"/>
      <c r="H35" s="554" t="n"/>
      <c r="I35" s="554" t="n"/>
      <c r="J35" s="554" t="n"/>
      <c r="K35" s="554" t="n"/>
      <c r="L35" s="554" t="n"/>
      <c r="M35" s="554" t="n"/>
      <c r="N35" s="554" t="n"/>
      <c r="O35" s="554" t="n"/>
      <c r="P35" s="554" t="n"/>
      <c r="Q35" s="554" t="n"/>
      <c r="R35" s="555" t="n"/>
      <c r="S35" s="295" t="n"/>
      <c r="V35" s="298" t="n"/>
    </row>
    <row r="36" ht="12.75" customHeight="1">
      <c r="A36" s="295" t="n"/>
      <c r="B36" s="301" t="n"/>
      <c r="C36" s="302" t="n"/>
      <c r="D36" s="303" t="n"/>
      <c r="E36" s="302" t="n"/>
      <c r="F36" s="303" t="n"/>
      <c r="G36" s="302" t="n"/>
      <c r="H36" s="303" t="n"/>
      <c r="I36" s="302" t="n"/>
      <c r="J36" s="303" t="n"/>
      <c r="K36" s="572" t="inlineStr">
        <is>
          <t>Método B</t>
        </is>
      </c>
      <c r="L36" s="547" t="n"/>
      <c r="M36" s="547" t="n"/>
      <c r="N36" s="547" t="n"/>
      <c r="O36" s="547" t="n"/>
      <c r="P36" s="547" t="n"/>
      <c r="Q36" s="547" t="n"/>
      <c r="R36" s="550" t="n"/>
      <c r="S36" s="295" t="n"/>
      <c r="U36" s="286" t="n"/>
      <c r="V36" s="304" t="n"/>
    </row>
    <row r="37" ht="51" customHeight="1">
      <c r="B37" s="573" t="inlineStr">
        <is>
          <t>Retenido Tamiz</t>
        </is>
      </c>
      <c r="C37" s="346" t="inlineStr">
        <is>
          <t>Partículas Planas                                            Grupo 1                                                      Ancho - espesor</t>
        </is>
      </c>
      <c r="D37" s="547" t="n"/>
      <c r="E37" s="547" t="n"/>
      <c r="F37" s="548" t="n"/>
      <c r="G37" s="346" t="inlineStr">
        <is>
          <t>Partículas Alargadas
Grupo 2
Largo - ancho</t>
        </is>
      </c>
      <c r="H37" s="547" t="n"/>
      <c r="I37" s="547" t="n"/>
      <c r="J37" s="548" t="n"/>
      <c r="K37" s="346" t="inlineStr">
        <is>
          <t>Particulas que cumplen los criterios tanto del Grupo 1 como del Grupo 2
Grupo 3</t>
        </is>
      </c>
      <c r="L37" s="547" t="n"/>
      <c r="M37" s="547" t="n"/>
      <c r="N37" s="548" t="n"/>
      <c r="O37" s="346" t="inlineStr">
        <is>
          <t>Partículas Ni Planas Ni Alargadas
Grupo 4</t>
        </is>
      </c>
      <c r="P37" s="547" t="n"/>
      <c r="Q37" s="547" t="n"/>
      <c r="R37" s="548" t="n"/>
    </row>
    <row r="38" ht="24.95" customHeight="1">
      <c r="B38" s="566" t="n"/>
      <c r="C38" s="347" t="inlineStr">
        <is>
          <t>Número                 Partículas</t>
        </is>
      </c>
      <c r="D38" s="548" t="n"/>
      <c r="E38" s="574" t="inlineStr">
        <is>
          <t>Masa 
(g)</t>
        </is>
      </c>
      <c r="F38" s="550" t="n"/>
      <c r="G38" s="347" t="inlineStr">
        <is>
          <t>Número                 Partículas</t>
        </is>
      </c>
      <c r="H38" s="548" t="n"/>
      <c r="I38" s="347" t="inlineStr">
        <is>
          <t>Masa 
(g)</t>
        </is>
      </c>
      <c r="J38" s="548" t="n"/>
      <c r="K38" s="347" t="inlineStr">
        <is>
          <t>Número                 Partículas</t>
        </is>
      </c>
      <c r="L38" s="548" t="n"/>
      <c r="M38" s="347" t="inlineStr">
        <is>
          <t>Masa 
(g)</t>
        </is>
      </c>
      <c r="N38" s="548" t="n"/>
      <c r="O38" s="347" t="inlineStr">
        <is>
          <t>Número                 Partículas</t>
        </is>
      </c>
      <c r="P38" s="548" t="n"/>
      <c r="Q38" s="347" t="inlineStr">
        <is>
          <t>Masa 
(g)</t>
        </is>
      </c>
      <c r="R38" s="548" t="n"/>
      <c r="V38" s="305" t="n"/>
      <c r="W38" s="305" t="n"/>
      <c r="X38" s="306" t="n"/>
      <c r="Y38" s="306" t="n"/>
    </row>
    <row r="39" ht="21.75" customHeight="1">
      <c r="B39" s="288" t="inlineStr">
        <is>
          <t>1 1/2 in.</t>
        </is>
      </c>
      <c r="C39" s="337" t="n"/>
      <c r="D39" s="548" t="n"/>
      <c r="E39" s="338" t="n"/>
      <c r="F39" s="548" t="n"/>
      <c r="G39" s="339" t="n"/>
      <c r="H39" s="548" t="n"/>
      <c r="I39" s="338" t="n"/>
      <c r="J39" s="548" t="n"/>
      <c r="K39" s="340" t="n"/>
      <c r="L39" s="548" t="n"/>
      <c r="M39" s="336" t="n"/>
      <c r="N39" s="548" t="n"/>
      <c r="O39" s="336" t="n"/>
      <c r="P39" s="548" t="n"/>
      <c r="Q39" s="336" t="n"/>
      <c r="R39" s="548" t="n"/>
      <c r="V39" s="298" t="n"/>
      <c r="W39" s="298" t="n"/>
      <c r="X39" s="305" t="n"/>
      <c r="Y39" s="305" t="n"/>
    </row>
    <row r="40" ht="21.75" customHeight="1">
      <c r="B40" s="288" t="inlineStr">
        <is>
          <t>1 in.</t>
        </is>
      </c>
      <c r="C40" s="337" t="n"/>
      <c r="D40" s="548" t="n"/>
      <c r="E40" s="338" t="n"/>
      <c r="F40" s="548" t="n"/>
      <c r="G40" s="339" t="n"/>
      <c r="H40" s="548" t="n"/>
      <c r="I40" s="338" t="n"/>
      <c r="J40" s="548" t="n"/>
      <c r="K40" s="340" t="n"/>
      <c r="L40" s="548" t="n"/>
      <c r="M40" s="336" t="n"/>
      <c r="N40" s="548" t="n"/>
      <c r="O40" s="336" t="n"/>
      <c r="P40" s="548" t="n"/>
      <c r="Q40" s="336" t="n"/>
      <c r="R40" s="548" t="n"/>
      <c r="V40" s="298" t="n"/>
      <c r="W40" s="298" t="n"/>
      <c r="X40" s="305" t="n"/>
      <c r="Y40" s="305" t="n"/>
    </row>
    <row r="41" ht="21" customHeight="1">
      <c r="B41" s="288" t="inlineStr">
        <is>
          <t>3/4 in.</t>
        </is>
      </c>
      <c r="C41" s="337" t="n"/>
      <c r="D41" s="548" t="n"/>
      <c r="E41" s="338" t="n"/>
      <c r="F41" s="548" t="n"/>
      <c r="G41" s="339" t="n"/>
      <c r="H41" s="548" t="n"/>
      <c r="I41" s="338" t="n"/>
      <c r="J41" s="548" t="n"/>
      <c r="K41" s="340" t="n"/>
      <c r="L41" s="548" t="n"/>
      <c r="M41" s="336" t="n"/>
      <c r="N41" s="548" t="n"/>
      <c r="O41" s="336" t="n"/>
      <c r="P41" s="548" t="n"/>
      <c r="Q41" s="336" t="n"/>
      <c r="R41" s="548" t="n"/>
      <c r="V41" s="298" t="n"/>
      <c r="W41" s="298" t="n"/>
      <c r="X41" s="298" t="n"/>
      <c r="Y41" s="298" t="n"/>
    </row>
    <row r="42" ht="22.5" customHeight="1">
      <c r="B42" s="288" t="inlineStr">
        <is>
          <t>1/2 in.</t>
        </is>
      </c>
      <c r="C42" s="337" t="n"/>
      <c r="D42" s="548" t="n"/>
      <c r="E42" s="338" t="n"/>
      <c r="F42" s="548" t="n"/>
      <c r="G42" s="339" t="n"/>
      <c r="H42" s="548" t="n"/>
      <c r="I42" s="338" t="n"/>
      <c r="J42" s="548" t="n"/>
      <c r="K42" s="340" t="n"/>
      <c r="L42" s="548" t="n"/>
      <c r="M42" s="336" t="n"/>
      <c r="N42" s="548" t="n"/>
      <c r="O42" s="336" t="n"/>
      <c r="P42" s="548" t="n"/>
      <c r="Q42" s="336" t="n"/>
      <c r="R42" s="548" t="n"/>
      <c r="V42" s="298" t="n"/>
      <c r="W42" s="298" t="n"/>
      <c r="X42" s="298" t="n"/>
      <c r="Y42" s="298" t="n"/>
    </row>
    <row r="43" ht="21.75" customHeight="1">
      <c r="B43" s="288" t="inlineStr">
        <is>
          <t>3/8 in.</t>
        </is>
      </c>
      <c r="C43" s="337" t="n"/>
      <c r="D43" s="548" t="n"/>
      <c r="E43" s="338" t="n"/>
      <c r="F43" s="548" t="n"/>
      <c r="G43" s="339" t="n"/>
      <c r="H43" s="548" t="n"/>
      <c r="I43" s="338" t="n"/>
      <c r="J43" s="548" t="n"/>
      <c r="K43" s="340" t="n"/>
      <c r="L43" s="548" t="n"/>
      <c r="M43" s="336" t="n"/>
      <c r="N43" s="548" t="n"/>
      <c r="O43" s="336" t="n"/>
      <c r="P43" s="548" t="n"/>
      <c r="Q43" s="336" t="n"/>
      <c r="R43" s="548" t="n"/>
      <c r="V43" s="298" t="n"/>
      <c r="W43" s="298" t="n"/>
      <c r="X43" s="298" t="n"/>
      <c r="Y43" s="298" t="n"/>
    </row>
    <row r="44" ht="20.25" customHeight="1">
      <c r="B44" s="288" t="inlineStr">
        <is>
          <t>No. 4</t>
        </is>
      </c>
      <c r="C44" s="337" t="n"/>
      <c r="D44" s="548" t="n"/>
      <c r="E44" s="338" t="n"/>
      <c r="F44" s="548" t="n"/>
      <c r="G44" s="339" t="n"/>
      <c r="H44" s="548" t="n"/>
      <c r="I44" s="338" t="n"/>
      <c r="J44" s="548" t="n"/>
      <c r="K44" s="340" t="n"/>
      <c r="L44" s="548" t="n"/>
      <c r="M44" s="336" t="n"/>
      <c r="N44" s="548" t="n"/>
      <c r="O44" s="336" t="n"/>
      <c r="P44" s="548" t="n"/>
      <c r="Q44" s="336" t="n"/>
      <c r="R44" s="548" t="n"/>
      <c r="W44" s="307" t="n"/>
      <c r="X44" s="298" t="n"/>
      <c r="Y44" s="298" t="n"/>
    </row>
    <row r="45" ht="17.25" customHeight="1">
      <c r="B45" s="279" t="inlineStr">
        <is>
          <t>Nota: Para el método A: Cumple el criterio del grupo 1 y Grupo 2; Método B: Partículas en la relación de Longitud - Espesor</t>
        </is>
      </c>
      <c r="F45" s="308" t="n"/>
      <c r="J45" s="308" t="n"/>
      <c r="X45" s="298" t="n"/>
      <c r="Y45" s="298" t="n"/>
    </row>
    <row r="46" ht="9" customHeight="1">
      <c r="B46" s="279" t="n"/>
      <c r="F46" s="308" t="n"/>
      <c r="J46" s="308" t="n"/>
      <c r="X46" s="298" t="n"/>
      <c r="Y46" s="298" t="n"/>
    </row>
    <row r="47" ht="23.25" customHeight="1">
      <c r="B47" s="330" t="inlineStr">
        <is>
          <t>Codigo equipos utilizados</t>
        </is>
      </c>
      <c r="C47" s="575" t="n"/>
      <c r="D47" s="331" t="inlineStr">
        <is>
          <t>Dispositivo de calibre proporcional</t>
        </is>
      </c>
      <c r="E47" s="576" t="n"/>
      <c r="F47" s="577" t="n"/>
      <c r="G47" s="330" t="n"/>
      <c r="H47" s="576" t="n"/>
      <c r="I47" s="576" t="n"/>
      <c r="J47" s="577" t="n"/>
      <c r="K47" s="578" t="inlineStr">
        <is>
          <t>Balanza 0.1 g</t>
        </is>
      </c>
      <c r="L47" s="550" t="n"/>
      <c r="M47" s="334" t="n"/>
      <c r="N47" s="547" t="n"/>
      <c r="O47" s="547" t="n"/>
      <c r="P47" s="548" t="n"/>
      <c r="X47" s="298" t="n"/>
      <c r="Y47" s="298" t="n"/>
    </row>
    <row r="48" ht="24" customHeight="1">
      <c r="B48" s="579" t="n"/>
      <c r="C48" s="580" t="n"/>
      <c r="D48" s="335" t="inlineStr">
        <is>
          <t>Horno</t>
        </is>
      </c>
      <c r="E48" s="576" t="n"/>
      <c r="F48" s="577" t="n"/>
      <c r="G48" s="330" t="n"/>
      <c r="H48" s="576" t="n"/>
      <c r="I48" s="576" t="n"/>
      <c r="J48" s="577" t="n"/>
      <c r="K48" s="578" t="n"/>
      <c r="L48" s="550" t="n"/>
      <c r="M48" s="334" t="n"/>
      <c r="N48" s="547" t="n"/>
      <c r="O48" s="547" t="n"/>
      <c r="P48" s="548" t="n"/>
      <c r="X48" s="298" t="n"/>
      <c r="Y48" s="298" t="n"/>
    </row>
    <row r="49" ht="20.1" customHeight="1">
      <c r="B49" s="309" t="inlineStr">
        <is>
          <t xml:space="preserve">Nota: </t>
        </is>
      </c>
      <c r="C49" s="310" t="n"/>
      <c r="D49" s="310" t="inlineStr"/>
      <c r="E49" s="310" t="n"/>
      <c r="F49" s="311" t="n"/>
      <c r="G49" s="310" t="n"/>
      <c r="H49" s="310" t="n"/>
      <c r="I49" s="310" t="n"/>
      <c r="J49" s="311" t="n"/>
      <c r="K49" s="310" t="n"/>
      <c r="L49" s="310" t="n"/>
      <c r="M49" s="310" t="n"/>
      <c r="N49" s="310" t="n"/>
      <c r="O49" s="310" t="n"/>
      <c r="P49" s="310" t="n"/>
      <c r="Q49" s="310" t="n"/>
      <c r="R49" s="310" t="n"/>
      <c r="X49" s="307" t="n"/>
      <c r="Y49" s="307" t="n"/>
    </row>
    <row r="50" ht="15.75" customHeight="1">
      <c r="A50" s="312" t="n"/>
      <c r="B50" s="312" t="n"/>
      <c r="C50" s="312" t="n"/>
      <c r="D50" s="312" t="n"/>
      <c r="E50" s="312" t="n"/>
      <c r="F50" s="312" t="n"/>
      <c r="G50" s="312" t="n"/>
      <c r="H50" s="312" t="n"/>
      <c r="I50" s="312" t="n"/>
      <c r="J50" s="312" t="n"/>
      <c r="K50" s="312" t="n"/>
      <c r="L50" s="312" t="n"/>
      <c r="M50" s="312" t="n"/>
    </row>
    <row r="51" ht="15.75" customHeight="1">
      <c r="A51" s="312" t="n"/>
      <c r="B51" s="312" t="n"/>
      <c r="C51" s="312" t="n"/>
      <c r="D51" s="312" t="n"/>
      <c r="E51" s="312" t="n"/>
      <c r="F51" s="312" t="n"/>
      <c r="G51" s="312" t="n"/>
      <c r="H51" s="312" t="n"/>
      <c r="I51" s="312" t="n"/>
      <c r="J51" s="312" t="n"/>
      <c r="K51" s="312" t="n"/>
      <c r="L51" s="312" t="n"/>
      <c r="M51" s="312" t="n"/>
    </row>
    <row r="52" ht="15.75" customHeight="1"/>
    <row r="53" ht="15.75" customHeight="1">
      <c r="A53" s="313" t="inlineStr">
        <is>
          <t>Página 1 de 1</t>
        </is>
      </c>
    </row>
    <row r="54" ht="15.75" customHeight="1">
      <c r="A54" s="313" t="inlineStr">
        <is>
          <t>Versión: 02 (11-11-2024)</t>
        </is>
      </c>
    </row>
    <row r="55" ht="15.75" customHeight="1"/>
    <row r="56" ht="30.6" customHeight="1">
      <c r="A56" s="329" t="inlineStr">
        <is>
          <t>WEB: www.geofal.com.pe   E-MAIL: laboratorio@geofal.com.pe                                                                                                                    
Av. Marañon 763, Los Olivos-Lima / Teléfono  01 754-3070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xJO662vjddt4RGUVVE15A==" formatRows="1" sort="1" spinCount="100000" hashValue="GfHQf3/jECWkjZ1pd57Y26ys0sODefArRcHF3E4dXDZKKKF1UtCk+c6L4khp5Ba4oZQGNwxHcumKQm5BJkOcag=="/>
  <mergeCells count="144">
    <mergeCell ref="D11:F11"/>
    <mergeCell ref="M43:N43"/>
    <mergeCell ref="Q21:R21"/>
    <mergeCell ref="F29:G29"/>
    <mergeCell ref="G47:J47"/>
    <mergeCell ref="D31:E31"/>
    <mergeCell ref="C37:F37"/>
    <mergeCell ref="D47:F47"/>
    <mergeCell ref="K36:R36"/>
    <mergeCell ref="I26:J26"/>
    <mergeCell ref="K26:L26"/>
    <mergeCell ref="J11:L11"/>
    <mergeCell ref="O37:R37"/>
    <mergeCell ref="C41:D41"/>
    <mergeCell ref="I17:K17"/>
    <mergeCell ref="O41:P41"/>
    <mergeCell ref="B37:B38"/>
    <mergeCell ref="C43:D43"/>
    <mergeCell ref="N29:O29"/>
    <mergeCell ref="O43:P43"/>
    <mergeCell ref="I42:J42"/>
    <mergeCell ref="B21:C22"/>
    <mergeCell ref="P32:Q32"/>
    <mergeCell ref="K42:L42"/>
    <mergeCell ref="O40:P40"/>
    <mergeCell ref="N31:O31"/>
    <mergeCell ref="I44:J44"/>
    <mergeCell ref="K28:L28"/>
    <mergeCell ref="D23:E25"/>
    <mergeCell ref="G44:H44"/>
    <mergeCell ref="D26:E26"/>
    <mergeCell ref="M11:O11"/>
    <mergeCell ref="N26:O26"/>
    <mergeCell ref="I30:J30"/>
    <mergeCell ref="P26:Q26"/>
    <mergeCell ref="K30:L30"/>
    <mergeCell ref="A14:S14"/>
    <mergeCell ref="M44:N44"/>
    <mergeCell ref="N25:O25"/>
    <mergeCell ref="P25:Q25"/>
    <mergeCell ref="M47:P47"/>
    <mergeCell ref="Q39:R39"/>
    <mergeCell ref="K37:N37"/>
    <mergeCell ref="F30:G30"/>
    <mergeCell ref="E38:F38"/>
    <mergeCell ref="G38:H38"/>
    <mergeCell ref="Q23:R23"/>
    <mergeCell ref="I21:L22"/>
    <mergeCell ref="Q38:R38"/>
    <mergeCell ref="I41:J41"/>
    <mergeCell ref="K41:L41"/>
    <mergeCell ref="O44:P44"/>
    <mergeCell ref="C40:D40"/>
    <mergeCell ref="E40:F40"/>
    <mergeCell ref="Q40:R40"/>
    <mergeCell ref="I43:J43"/>
    <mergeCell ref="K43:L43"/>
    <mergeCell ref="G48:J48"/>
    <mergeCell ref="N28:O28"/>
    <mergeCell ref="K27:L27"/>
    <mergeCell ref="F31:G31"/>
    <mergeCell ref="F28:G28"/>
    <mergeCell ref="P28:Q28"/>
    <mergeCell ref="M41:N41"/>
    <mergeCell ref="B47:C48"/>
    <mergeCell ref="N30:O30"/>
    <mergeCell ref="P30:Q30"/>
    <mergeCell ref="D29:E29"/>
    <mergeCell ref="E17:G17"/>
    <mergeCell ref="B23:C24"/>
    <mergeCell ref="G10:I10"/>
    <mergeCell ref="G42:H42"/>
    <mergeCell ref="N32:O32"/>
    <mergeCell ref="Q42:R42"/>
    <mergeCell ref="M39:N39"/>
    <mergeCell ref="E39:F39"/>
    <mergeCell ref="O39:P39"/>
    <mergeCell ref="G39:H39"/>
    <mergeCell ref="E44:F44"/>
    <mergeCell ref="K29:L29"/>
    <mergeCell ref="D21:H21"/>
    <mergeCell ref="K47:L47"/>
    <mergeCell ref="D27:E27"/>
    <mergeCell ref="K44:L44"/>
    <mergeCell ref="C44:D44"/>
    <mergeCell ref="P27:Q27"/>
    <mergeCell ref="K31:L31"/>
    <mergeCell ref="K40:L40"/>
    <mergeCell ref="M40:N40"/>
    <mergeCell ref="A15:S15"/>
    <mergeCell ref="M48:P48"/>
    <mergeCell ref="D28:E28"/>
    <mergeCell ref="G37:J37"/>
    <mergeCell ref="A7:S7"/>
    <mergeCell ref="D30:E30"/>
    <mergeCell ref="J10:L10"/>
    <mergeCell ref="C38:D38"/>
    <mergeCell ref="I23:J25"/>
    <mergeCell ref="M38:N38"/>
    <mergeCell ref="E41:F41"/>
    <mergeCell ref="K23:L25"/>
    <mergeCell ref="O38:P38"/>
    <mergeCell ref="G41:H41"/>
    <mergeCell ref="A56:S56"/>
    <mergeCell ref="Q41:R41"/>
    <mergeCell ref="E43:F43"/>
    <mergeCell ref="G43:H43"/>
    <mergeCell ref="M10:O10"/>
    <mergeCell ref="P29:Q29"/>
    <mergeCell ref="B35:R35"/>
    <mergeCell ref="Q43:R43"/>
    <mergeCell ref="A8:S8"/>
    <mergeCell ref="C42:D42"/>
    <mergeCell ref="E42:F42"/>
    <mergeCell ref="I27:J27"/>
    <mergeCell ref="D48:F48"/>
    <mergeCell ref="D22:H22"/>
    <mergeCell ref="P31:Q31"/>
    <mergeCell ref="D32:E32"/>
    <mergeCell ref="F32:G32"/>
    <mergeCell ref="I28:J28"/>
    <mergeCell ref="V31:V32"/>
    <mergeCell ref="H23:H25"/>
    <mergeCell ref="F26:G26"/>
    <mergeCell ref="M42:N42"/>
    <mergeCell ref="Q44:R44"/>
    <mergeCell ref="Q22:R22"/>
    <mergeCell ref="F23:G25"/>
    <mergeCell ref="O42:P42"/>
    <mergeCell ref="I39:J39"/>
    <mergeCell ref="K39:L39"/>
    <mergeCell ref="F27:G27"/>
    <mergeCell ref="C39:D39"/>
    <mergeCell ref="K48:L48"/>
    <mergeCell ref="D10:F10"/>
    <mergeCell ref="G11:I11"/>
    <mergeCell ref="I29:J29"/>
    <mergeCell ref="I38:J38"/>
    <mergeCell ref="A1:S5"/>
    <mergeCell ref="K38:L38"/>
    <mergeCell ref="I31:J31"/>
    <mergeCell ref="N27:O27"/>
    <mergeCell ref="G40:H40"/>
    <mergeCell ref="I40:J40"/>
  </mergeCells>
  <printOptions horizontalCentered="1" verticalCentered="1"/>
  <pageMargins left="0" right="0.3937007874015748" top="0.7874015748031497" bottom="0" header="0" footer="0"/>
  <pageSetup orientation="portrait" paperSize="9" scale="76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tabSelected="1" zoomScaleNormal="100" zoomScaleSheetLayoutView="100" workbookViewId="0">
      <selection activeCell="T15" sqref="T15"/>
    </sheetView>
  </sheetViews>
  <sheetFormatPr baseColWidth="10" defaultColWidth="10.28515625" defaultRowHeight="15"/>
  <cols>
    <col width="10.28515625" customWidth="1" style="1" min="1" max="1"/>
    <col width="1.7109375" customWidth="1" style="1" min="2" max="2"/>
    <col width="5" customWidth="1" style="1" min="3" max="3"/>
    <col width="1.42578125" customWidth="1" style="1" min="4" max="4"/>
    <col width="9" customWidth="1" style="1" min="5" max="9"/>
    <col width="10.28515625" customWidth="1" style="1" min="10" max="11"/>
    <col width="1.140625" customWidth="1" style="1" min="12" max="12"/>
    <col width="8.28515625" customWidth="1" style="1" min="13" max="13"/>
    <col width="9" customWidth="1" style="1" min="14" max="14"/>
    <col width="10.28515625" customWidth="1" style="1" min="15" max="16384"/>
  </cols>
  <sheetData>
    <row r="1" ht="9.75" customHeight="1">
      <c r="A1" s="6" t="n"/>
      <c r="B1" s="6" t="n"/>
      <c r="C1" s="6" t="n"/>
      <c r="D1" s="6" t="n"/>
      <c r="E1" s="6" t="n"/>
      <c r="F1" s="6" t="n"/>
      <c r="G1" s="6" t="n"/>
      <c r="H1" s="39" t="n"/>
      <c r="I1" s="39" t="n"/>
      <c r="J1" s="39" t="n"/>
      <c r="K1" s="39" t="n"/>
      <c r="L1" s="39" t="n"/>
      <c r="M1" s="39" t="n"/>
      <c r="N1" s="39" t="n"/>
    </row>
    <row r="2" ht="15.75" customHeight="1">
      <c r="A2" s="444" t="inlineStr">
        <is>
          <t>LABORATORIO DE ENSAYO DE MATERIALES</t>
        </is>
      </c>
    </row>
    <row r="3" ht="15.75" customHeight="1">
      <c r="A3" s="581" t="n">
        <v>1</v>
      </c>
      <c r="B3" s="540" t="n"/>
      <c r="C3" s="540" t="n"/>
      <c r="D3" s="540" t="n"/>
      <c r="E3" s="540" t="n"/>
      <c r="F3" s="540" t="n"/>
      <c r="G3" s="540" t="n"/>
      <c r="H3" s="540" t="n"/>
      <c r="I3" s="540" t="n"/>
      <c r="J3" s="540" t="n"/>
      <c r="K3" s="540" t="n"/>
      <c r="L3" s="540" t="n"/>
      <c r="M3" s="540" t="n"/>
      <c r="N3" s="540" t="n"/>
    </row>
    <row r="4" ht="15.75" customHeight="1">
      <c r="A4" s="63" t="n"/>
      <c r="B4" s="63" t="n"/>
      <c r="C4" s="63" t="n"/>
      <c r="D4" s="63" t="n"/>
      <c r="E4" s="63" t="n"/>
      <c r="F4" s="63" t="n"/>
      <c r="G4" s="63" t="n"/>
      <c r="H4" s="64" t="n"/>
      <c r="I4" s="64" t="n"/>
      <c r="J4" s="64" t="n"/>
      <c r="K4" s="64" t="n"/>
      <c r="L4" s="64" t="n"/>
      <c r="M4" s="64" t="n"/>
      <c r="N4" s="64" t="n"/>
    </row>
    <row r="5" ht="15.75" customHeight="1">
      <c r="A5" s="7" t="inlineStr">
        <is>
          <t>CLIENTE            :</t>
        </is>
      </c>
      <c r="B5" s="7" t="inlineStr">
        <is>
          <t>:</t>
        </is>
      </c>
      <c r="C5" s="452">
        <f>+FORMATO!V4</f>
        <v/>
      </c>
      <c r="K5" s="9" t="inlineStr">
        <is>
          <t xml:space="preserve">                 CÓDIGO</t>
        </is>
      </c>
      <c r="L5" s="30" t="inlineStr">
        <is>
          <t>:</t>
        </is>
      </c>
      <c r="M5" s="32" t="inlineStr">
        <is>
          <t>F-LEM-P-AG-34.02</t>
        </is>
      </c>
    </row>
    <row r="6" ht="19.9" customHeight="1">
      <c r="A6" s="7" t="inlineStr">
        <is>
          <t>DIRECCIÓN **    :</t>
        </is>
      </c>
      <c r="B6" s="7" t="inlineStr">
        <is>
          <t>:</t>
        </is>
      </c>
      <c r="C6" s="452">
        <f>+FORMATO!V5</f>
        <v/>
      </c>
      <c r="K6" s="322" t="inlineStr">
        <is>
          <t>RECEPCIÓN N°</t>
        </is>
      </c>
      <c r="L6" s="30" t="inlineStr">
        <is>
          <t>:</t>
        </is>
      </c>
      <c r="M6" s="582">
        <f>+FORMATO!V9</f>
        <v/>
      </c>
    </row>
    <row r="7" ht="19.15" customHeight="1">
      <c r="A7" s="7" t="inlineStr">
        <is>
          <t>PROYECTO **    :</t>
        </is>
      </c>
      <c r="B7" s="7" t="inlineStr">
        <is>
          <t>:</t>
        </is>
      </c>
      <c r="C7" s="452">
        <f>+FORMATO!V6</f>
        <v/>
      </c>
      <c r="K7" s="10" t="inlineStr">
        <is>
          <t>OT N°</t>
        </is>
      </c>
      <c r="L7" s="30" t="inlineStr">
        <is>
          <t>:</t>
        </is>
      </c>
      <c r="M7" s="582">
        <f>+FORMATO!V11</f>
        <v/>
      </c>
      <c r="N7" s="53" t="n"/>
    </row>
    <row r="8" ht="18.6" customHeight="1">
      <c r="A8" s="7" t="inlineStr">
        <is>
          <t>UBICACIÓN **    :</t>
        </is>
      </c>
      <c r="B8" s="7" t="inlineStr">
        <is>
          <t>:</t>
        </is>
      </c>
      <c r="C8" s="452">
        <f>+FORMATO!V7</f>
        <v/>
      </c>
      <c r="K8" s="10" t="inlineStr">
        <is>
          <t>F. EMISIÓN</t>
        </is>
      </c>
      <c r="L8" s="30" t="inlineStr">
        <is>
          <t>:</t>
        </is>
      </c>
      <c r="M8" s="583">
        <f>+FORMATO!V10</f>
        <v/>
      </c>
      <c r="N8" s="39" t="n"/>
    </row>
    <row r="9" ht="15.75" customHeight="1">
      <c r="A9" s="33" t="inlineStr">
        <is>
          <t>** Datos proporcionados por el cliente</t>
        </is>
      </c>
      <c r="B9" s="33" t="n"/>
      <c r="C9" s="39" t="n"/>
      <c r="D9" s="39" t="n"/>
      <c r="E9" s="39" t="n"/>
      <c r="F9" s="39" t="n"/>
      <c r="G9" s="39" t="n"/>
      <c r="H9" s="39" t="n"/>
      <c r="I9" s="40" t="n"/>
      <c r="J9" s="39" t="n"/>
      <c r="K9" s="41" t="n"/>
      <c r="L9" s="41" t="n"/>
      <c r="M9" s="39" t="n"/>
      <c r="N9" s="39" t="n"/>
    </row>
    <row r="10" ht="32.25" customHeight="1">
      <c r="A10" s="584" t="inlineStr">
        <is>
          <t>Standard Test Method for Flat Particles, Elongated Particles, or Flat and Elongated Particles in Coarse Aggregate</t>
        </is>
      </c>
      <c r="B10" s="554" t="n"/>
      <c r="C10" s="554" t="n"/>
      <c r="D10" s="554" t="n"/>
      <c r="E10" s="554" t="n"/>
      <c r="F10" s="554" t="n"/>
      <c r="G10" s="554" t="n"/>
      <c r="H10" s="554" t="n"/>
      <c r="I10" s="554" t="n"/>
      <c r="J10" s="554" t="n"/>
      <c r="K10" s="554" t="n"/>
      <c r="L10" s="554" t="n"/>
      <c r="M10" s="554" t="n"/>
      <c r="N10" s="555" t="n"/>
    </row>
    <row r="11" ht="15.75" customHeight="1">
      <c r="A11" s="585" t="inlineStr">
        <is>
          <t>ASTM D4791-19 (Reapproved 2023)</t>
        </is>
      </c>
      <c r="B11" s="557" t="n"/>
      <c r="C11" s="557" t="n"/>
      <c r="D11" s="557" t="n"/>
      <c r="E11" s="557" t="n"/>
      <c r="F11" s="557" t="n"/>
      <c r="G11" s="557" t="n"/>
      <c r="H11" s="557" t="n"/>
      <c r="I11" s="557" t="n"/>
      <c r="J11" s="557" t="n"/>
      <c r="K11" s="557" t="n"/>
      <c r="L11" s="557" t="n"/>
      <c r="M11" s="557" t="n"/>
      <c r="N11" s="558" t="n"/>
    </row>
    <row r="12" ht="8.1" customHeight="1">
      <c r="A12" s="54" t="n"/>
      <c r="B12" s="43" t="n"/>
      <c r="C12" s="43" t="n"/>
      <c r="D12" s="43" t="n"/>
      <c r="E12" s="43" t="n"/>
      <c r="F12" s="43" t="n"/>
      <c r="G12" s="11" t="n"/>
      <c r="H12" s="42" t="n"/>
      <c r="I12" s="43" t="n"/>
      <c r="J12" s="43" t="n"/>
      <c r="K12" s="43" t="n"/>
      <c r="L12" s="43" t="n"/>
      <c r="M12" s="43" t="n"/>
      <c r="N12" s="44" t="n"/>
    </row>
    <row r="13" ht="15.75" customHeight="1">
      <c r="A13" s="440" t="inlineStr">
        <is>
          <t>DATOS DE LA MUESTRA</t>
        </is>
      </c>
      <c r="H13" s="39" t="n"/>
      <c r="I13" s="39" t="n"/>
      <c r="J13" s="39" t="n"/>
      <c r="K13" s="39" t="n"/>
      <c r="L13" s="39" t="n"/>
      <c r="M13" s="39" t="n"/>
      <c r="N13" s="45" t="n"/>
    </row>
    <row r="14" ht="15.75" customHeight="1">
      <c r="A14" s="12" t="inlineStr">
        <is>
          <t>CANTERA/SONDAJE **</t>
        </is>
      </c>
      <c r="B14" s="34" t="n"/>
      <c r="C14" s="39" t="n"/>
      <c r="D14" s="39" t="inlineStr">
        <is>
          <t>:</t>
        </is>
      </c>
      <c r="E14" s="452">
        <f>+FORMATO!V17</f>
        <v/>
      </c>
      <c r="F14" s="52" t="n"/>
      <c r="G14" s="52" t="n"/>
      <c r="H14" s="52" t="n"/>
      <c r="I14" s="52" t="n"/>
      <c r="J14" s="52" t="n"/>
      <c r="K14" s="13" t="inlineStr">
        <is>
          <t>CÓDIGO DE LA MUESTRA</t>
        </is>
      </c>
      <c r="L14" s="30" t="inlineStr">
        <is>
          <t>:</t>
        </is>
      </c>
      <c r="M14" s="586">
        <f>+FORMATO!V13</f>
        <v/>
      </c>
      <c r="N14" s="587" t="n"/>
    </row>
    <row r="15" ht="15.75" customHeight="1">
      <c r="A15" s="12" t="inlineStr">
        <is>
          <t xml:space="preserve">N° MUESTRA **         </t>
        </is>
      </c>
      <c r="B15" s="34" t="n"/>
      <c r="C15" s="39" t="n"/>
      <c r="D15" s="39" t="inlineStr">
        <is>
          <t>:</t>
        </is>
      </c>
      <c r="E15" s="452">
        <f>+FORMATO!V18</f>
        <v/>
      </c>
      <c r="F15" s="52" t="n"/>
      <c r="G15" s="52" t="n"/>
      <c r="H15" s="52" t="n"/>
      <c r="I15" s="52" t="n"/>
      <c r="J15" s="52" t="n"/>
      <c r="K15" s="13" t="inlineStr">
        <is>
          <t>FECHA DE RECEPCIÓN</t>
        </is>
      </c>
      <c r="L15" s="30" t="inlineStr">
        <is>
          <t>:</t>
        </is>
      </c>
      <c r="M15" s="583">
        <f>+FORMATO!V14</f>
        <v/>
      </c>
      <c r="N15" s="3" t="n"/>
    </row>
    <row r="16" ht="15.75" customHeight="1">
      <c r="A16" s="12" t="inlineStr">
        <is>
          <t>TIPO DE MUESTRA**</t>
        </is>
      </c>
      <c r="B16" s="34" t="n"/>
      <c r="C16" s="39" t="n"/>
      <c r="D16" s="39" t="inlineStr">
        <is>
          <t>:</t>
        </is>
      </c>
      <c r="E16" s="452">
        <f>+FORMATO!V19</f>
        <v/>
      </c>
      <c r="F16" s="52" t="n"/>
      <c r="G16" s="52" t="n"/>
      <c r="H16" s="52" t="n"/>
      <c r="I16" s="52" t="n"/>
      <c r="J16" s="52" t="n"/>
      <c r="K16" s="13" t="inlineStr">
        <is>
          <t>FECHA DE EJECUCIÓN</t>
        </is>
      </c>
      <c r="L16" s="30" t="inlineStr">
        <is>
          <t>:</t>
        </is>
      </c>
      <c r="M16" s="583">
        <f>+FORMATO!V15</f>
        <v/>
      </c>
      <c r="N16" s="3" t="n"/>
    </row>
    <row r="17" ht="15.75" customHeight="1">
      <c r="A17" s="12" t="inlineStr">
        <is>
          <t xml:space="preserve">LUGAR DE ENSAYO   </t>
        </is>
      </c>
      <c r="B17" s="34" t="n"/>
      <c r="C17" s="7" t="n"/>
      <c r="D17" s="39" t="inlineStr">
        <is>
          <t>:</t>
        </is>
      </c>
      <c r="E17" s="34" t="inlineStr">
        <is>
          <t>LABORATORIO DE ENSAYO DE MATERIALES</t>
        </is>
      </c>
      <c r="F17" s="56" t="n"/>
      <c r="G17" s="56" t="n"/>
      <c r="H17" s="57" t="n"/>
      <c r="I17" s="58" t="n"/>
      <c r="J17" s="58" t="n"/>
      <c r="K17" s="13" t="n"/>
      <c r="L17" s="13" t="n"/>
      <c r="M17" s="55" t="n"/>
      <c r="N17" s="3" t="n"/>
      <c r="O17" s="14" t="n"/>
      <c r="Q17" s="248" t="n"/>
    </row>
    <row r="18" ht="6" customHeight="1">
      <c r="A18" s="12" t="n"/>
      <c r="B18" s="34" t="n"/>
      <c r="C18" s="7" t="n"/>
      <c r="D18" s="7" t="n"/>
      <c r="E18" s="7" t="n"/>
      <c r="F18" s="7" t="n"/>
      <c r="G18" s="7" t="n"/>
      <c r="H18" s="76" t="n"/>
      <c r="I18" s="14" t="n"/>
      <c r="J18" s="14" t="n"/>
      <c r="K18" s="14" t="n"/>
      <c r="L18" s="14" t="n"/>
      <c r="M18" s="13" t="n"/>
      <c r="N18" s="77" t="n"/>
      <c r="O18" s="14" t="n"/>
    </row>
    <row r="19" ht="24" customHeight="1">
      <c r="A19" s="588" t="inlineStr">
        <is>
          <t>Tamaño de partículas</t>
        </is>
      </c>
      <c r="B19" s="589" t="inlineStr">
        <is>
          <t>Clasif. Muestra original</t>
        </is>
      </c>
      <c r="C19" s="554" t="n"/>
      <c r="D19" s="555" t="n"/>
      <c r="E19" s="590" t="inlineStr">
        <is>
          <t>Muestra de prueba</t>
        </is>
      </c>
      <c r="F19" s="591" t="inlineStr">
        <is>
          <t>Grupo  1 - Particulas Planas</t>
        </is>
      </c>
      <c r="G19" s="592" t="n"/>
      <c r="H19" s="589" t="inlineStr">
        <is>
          <t>Grupo  2 - Partículas Alargadas</t>
        </is>
      </c>
      <c r="I19" s="555" t="n"/>
      <c r="J19" s="589" t="inlineStr">
        <is>
          <t>Grupo 3 - Particulas que cumplen los criterios tanto del Grupo 1 como del Grupo 2</t>
        </is>
      </c>
      <c r="K19" s="555" t="n"/>
      <c r="L19" s="589" t="inlineStr">
        <is>
          <t>Grupo 4 - Particulas Ni Planas Ni Alargadas</t>
        </is>
      </c>
      <c r="M19" s="554" t="n"/>
      <c r="N19" s="555" t="n"/>
      <c r="O19" s="15" t="n"/>
    </row>
    <row r="20" ht="24" customHeight="1">
      <c r="A20" s="563" t="n"/>
      <c r="B20" s="563" t="n"/>
      <c r="D20" s="564" t="n"/>
      <c r="E20" s="593" t="n"/>
      <c r="F20" s="557" t="n"/>
      <c r="G20" s="558" t="n"/>
      <c r="H20" s="562" t="n"/>
      <c r="I20" s="558" t="n"/>
      <c r="J20" s="562" t="n"/>
      <c r="K20" s="558" t="n"/>
      <c r="L20" s="562" t="n"/>
      <c r="M20" s="557" t="n"/>
      <c r="N20" s="558" t="n"/>
    </row>
    <row r="21" ht="15.75" customHeight="1">
      <c r="A21" s="563" t="n"/>
      <c r="B21" s="562" t="n"/>
      <c r="C21" s="557" t="n"/>
      <c r="D21" s="558" t="n"/>
      <c r="E21" s="594" t="n"/>
      <c r="F21" s="595" t="inlineStr">
        <is>
          <t>(%) en Masa</t>
        </is>
      </c>
      <c r="G21" s="466" t="inlineStr">
        <is>
          <t>PROMEDIO (%)  Masa</t>
        </is>
      </c>
      <c r="H21" s="466" t="inlineStr">
        <is>
          <t>(%) en Masa</t>
        </is>
      </c>
      <c r="I21" s="466" t="inlineStr">
        <is>
          <t>PROMEDIO (%)  Masa</t>
        </is>
      </c>
      <c r="J21" s="466" t="inlineStr">
        <is>
          <t>(%) en Masa</t>
        </is>
      </c>
      <c r="K21" s="466" t="inlineStr">
        <is>
          <t>PROMEDIO (%)  Masa</t>
        </is>
      </c>
      <c r="L21" s="466" t="inlineStr">
        <is>
          <t>(%) en Masa</t>
        </is>
      </c>
      <c r="M21" s="555" t="n"/>
      <c r="N21" s="466" t="inlineStr">
        <is>
          <t>PROMEDIO (%)  Masa</t>
        </is>
      </c>
    </row>
    <row r="22" ht="33" customHeight="1">
      <c r="A22" s="562" t="n"/>
      <c r="B22" s="596" t="inlineStr">
        <is>
          <t>(%) Retenido</t>
        </is>
      </c>
      <c r="C22" s="547" t="n"/>
      <c r="D22" s="550" t="n"/>
      <c r="E22" s="65" t="inlineStr">
        <is>
          <t>Cant. Partic.
(und)</t>
        </is>
      </c>
      <c r="F22" s="558" t="n"/>
      <c r="G22" s="566" t="n"/>
      <c r="H22" s="566" t="n"/>
      <c r="I22" s="566" t="n"/>
      <c r="J22" s="566" t="n"/>
      <c r="K22" s="566" t="n"/>
      <c r="L22" s="562" t="n"/>
      <c r="M22" s="558" t="n"/>
      <c r="N22" s="566" t="n"/>
    </row>
    <row r="23" ht="20.1" customHeight="1">
      <c r="A23" s="37" t="inlineStr">
        <is>
          <t>1 1/2 in.</t>
        </is>
      </c>
      <c r="B23" s="410">
        <f>+IF(DATOS!E12=0,"--",DATOS!E12)</f>
        <v/>
      </c>
      <c r="C23" s="547" t="n"/>
      <c r="D23" s="548" t="n"/>
      <c r="E23" s="69">
        <f>IF(DATOS!E12=0,"--",DATOS!F12)</f>
        <v/>
      </c>
      <c r="F23" s="412">
        <f>+IF(DATOS!$F$5="B","--",IF(DATOS!G12=0,"--",IF(DATOS!E12&lt;10,"--",DATOS!M12/DATOS!H12)*100))</f>
        <v/>
      </c>
      <c r="G23" s="71">
        <f>+IF(DATOS!$F$5="B","--",IF(DATOS!G12=0,"--",IF(DATOS!E12&lt;10,"--",DATOS!N12*DATOS!E12/100)))</f>
        <v/>
      </c>
      <c r="H23" s="412">
        <f>+IF(DATOS!$F$5="B","--",IF(DATOS!G12=0,"--",IF(DATOS!E12&lt;10,"--",(DATOS!R12/DATOS!H12)*100)))</f>
        <v/>
      </c>
      <c r="I23" s="412">
        <f>+IF(DATOS!$F$5="B","--",IF(DATOS!G12=0,"--",IF(DATOS!E12&lt;10,"--",DATOS!S12*DATOS!E12/100)))</f>
        <v/>
      </c>
      <c r="J23" s="412">
        <f>+IF(DATOS!G12=0,"--",IF(DATOS!E12&lt;10,"--",DATOS!W12/DATOS!H12*100))</f>
        <v/>
      </c>
      <c r="K23" s="412">
        <f>+IF(DATOS!G12=0,"--",IF(DATOS!E12&lt;10,"--",DATOS!X12/DATOS!E12/100))</f>
        <v/>
      </c>
      <c r="L23" s="597">
        <f>+IF(DATOS!G12=0,"--",IF(DATOS!E12&lt;10,"--",(DATOS!AA12/DATOS!H12)*100))</f>
        <v/>
      </c>
      <c r="M23" s="550" t="n"/>
      <c r="N23" s="412">
        <f>+IF(DATOS!G12=0,"--",DATOS!AB12*DATOS!E12/100)</f>
        <v/>
      </c>
      <c r="O23" s="16" t="n"/>
    </row>
    <row r="24" ht="20.1" customHeight="1">
      <c r="A24" s="37" t="inlineStr">
        <is>
          <t>1 in.</t>
        </is>
      </c>
      <c r="B24" s="410">
        <f>+IF(DATOS!E13=0,"--",DATOS!E13)</f>
        <v/>
      </c>
      <c r="C24" s="547" t="n"/>
      <c r="D24" s="548" t="n"/>
      <c r="E24" s="69">
        <f>IF(DATOS!E13=0,"--",DATOS!F13)</f>
        <v/>
      </c>
      <c r="F24" s="412">
        <f>+IF(DATOS!$F$5="B","--",IF(DATOS!G13=0,"--",IF(DATOS!E13&lt;10,"--",DATOS!M13/DATOS!H13)*100))</f>
        <v/>
      </c>
      <c r="G24" s="71">
        <f>+IF(DATOS!$F$5="B","--",IF(DATOS!G13=0,"--",IF(DATOS!E13&lt;10,"--",DATOS!N13*DATOS!E13/100)))</f>
        <v/>
      </c>
      <c r="H24" s="412">
        <f>+IF(DATOS!$F$5="B","--",IF(DATOS!G13=0,"--",IF(DATOS!E13&lt;10,"--",(DATOS!R13/DATOS!H13)*100)))</f>
        <v/>
      </c>
      <c r="I24" s="412">
        <f>+IF(DATOS!$F$5="B","--",IF(DATOS!G13=0,"--",IF(DATOS!E13&lt;10,"--",DATOS!S13*DATOS!E13/100)))</f>
        <v/>
      </c>
      <c r="J24" s="412">
        <f>+IF(DATOS!G13=0,"--",IF(DATOS!E13&lt;10,"--",DATOS!W13/DATOS!H13*100))</f>
        <v/>
      </c>
      <c r="K24" s="412">
        <f>+IF(DATOS!G13=0,"--",IF(DATOS!E13&lt;10,"--",DATOS!X13/DATOS!E13/100))</f>
        <v/>
      </c>
      <c r="L24" s="597">
        <f>+IF(DATOS!G13=0,"--",IF(DATOS!E13&lt;10,"--",(DATOS!AA13/DATOS!H13)*100))</f>
        <v/>
      </c>
      <c r="M24" s="550" t="n"/>
      <c r="N24" s="412">
        <f>+IF(DATOS!G13=0,"--",DATOS!AB13*DATOS!E13/100)</f>
        <v/>
      </c>
      <c r="O24" s="17" t="n"/>
    </row>
    <row r="25" ht="20.1" customHeight="1">
      <c r="A25" s="37" t="inlineStr">
        <is>
          <t>3/4 in.</t>
        </is>
      </c>
      <c r="B25" s="410">
        <f>+IF(DATOS!E14=0,"--",DATOS!E14)</f>
        <v/>
      </c>
      <c r="C25" s="547" t="n"/>
      <c r="D25" s="548" t="n"/>
      <c r="E25" s="69">
        <f>IF(DATOS!E14=0,"--",DATOS!F14)</f>
        <v/>
      </c>
      <c r="F25" s="412">
        <f>+IF(DATOS!$F$5="B","--",IF(DATOS!G14=0,"--",IF(DATOS!E14&lt;10,"--",DATOS!M14/DATOS!H14)*100))</f>
        <v/>
      </c>
      <c r="G25" s="71">
        <f>+IF(DATOS!$F$5="B","--",IF(DATOS!G14=0,"--",IF(DATOS!E14&lt;10,"--",DATOS!N14*DATOS!E14/100)))</f>
        <v/>
      </c>
      <c r="H25" s="412">
        <f>+IF(DATOS!$F$5="B","--",IF(DATOS!G14=0,"--",IF(DATOS!E14&lt;10,"--",(DATOS!R14/DATOS!H14)*100)))</f>
        <v/>
      </c>
      <c r="I25" s="412">
        <f>+IF(DATOS!$F$5="B","--",IF(DATOS!G14=0,"--",IF(DATOS!E14&lt;10,"--",DATOS!S14*DATOS!E14/100)))</f>
        <v/>
      </c>
      <c r="J25" s="412">
        <f>+IF(DATOS!G14=0,"--",IF(DATOS!E14&lt;10,"--",DATOS!W14/DATOS!H14*100))</f>
        <v/>
      </c>
      <c r="K25" s="412">
        <f>+IF(DATOS!G14=0,"--",IF(DATOS!E14&lt;10,"--",DATOS!X14/DATOS!E14/100))</f>
        <v/>
      </c>
      <c r="L25" s="597">
        <f>+IF(DATOS!G14=0,"--",IF(DATOS!E14&lt;10,"--",(DATOS!AA14/DATOS!H14)*100))</f>
        <v/>
      </c>
      <c r="M25" s="550" t="n"/>
      <c r="N25" s="412">
        <f>+IF(DATOS!G14=0,"--",DATOS!AB14*DATOS!E14/100)</f>
        <v/>
      </c>
      <c r="O25" s="17" t="n"/>
    </row>
    <row r="26" ht="20.1" customHeight="1">
      <c r="A26" s="37" t="inlineStr">
        <is>
          <t>1/2 in.</t>
        </is>
      </c>
      <c r="B26" s="410">
        <f>+IF(DATOS!E15=0,"--",DATOS!E15)</f>
        <v/>
      </c>
      <c r="C26" s="547" t="n"/>
      <c r="D26" s="548" t="n"/>
      <c r="E26" s="69">
        <f>IF(DATOS!E15=0,"--",DATOS!F15)</f>
        <v/>
      </c>
      <c r="F26" s="412">
        <f>+IF(DATOS!$F$5="B","--",IF(DATOS!G15=0,"--",IF(DATOS!E15&lt;10,"--",DATOS!M15/DATOS!H15)*100))</f>
        <v/>
      </c>
      <c r="G26" s="71">
        <f>+IF(DATOS!$F$5="B","--",IF(DATOS!G15=0,"--",IF(DATOS!E15&lt;10,"--",DATOS!N15*DATOS!E15/100)))</f>
        <v/>
      </c>
      <c r="H26" s="412">
        <f>+IF(DATOS!$F$5="B","--",IF(DATOS!G15=0,"--",IF(DATOS!E15&lt;10,"--",(DATOS!R15/DATOS!H15)*100)))</f>
        <v/>
      </c>
      <c r="I26" s="412">
        <f>+IF(DATOS!$F$5="B","--",IF(DATOS!G15=0,"--",IF(DATOS!E15&lt;10,"--",DATOS!S15*DATOS!E15/100)))</f>
        <v/>
      </c>
      <c r="J26" s="412">
        <f>+IF(DATOS!G15=0,"--",IF(DATOS!E15&lt;10,"--",DATOS!W15/DATOS!H15*100))</f>
        <v/>
      </c>
      <c r="K26" s="412">
        <f>+IF(DATOS!G15=0,"--",IF(DATOS!E15&lt;10,"--",DATOS!X15/DATOS!E15/100))</f>
        <v/>
      </c>
      <c r="L26" s="597">
        <f>+IF(DATOS!G15=0,"--",IF(DATOS!E15&lt;10,"--",(DATOS!AA15/DATOS!H15)*100))</f>
        <v/>
      </c>
      <c r="M26" s="550" t="n"/>
      <c r="N26" s="412">
        <f>+IF(DATOS!G15=0,"--",DATOS!AB15*DATOS!E15/100)</f>
        <v/>
      </c>
      <c r="O26" s="18" t="n"/>
    </row>
    <row r="27" ht="20.1" customHeight="1">
      <c r="A27" s="37" t="inlineStr">
        <is>
          <t>3/8 in.</t>
        </is>
      </c>
      <c r="B27" s="410">
        <f>+IF(DATOS!E16=0,"--",DATOS!E16)</f>
        <v/>
      </c>
      <c r="C27" s="547" t="n"/>
      <c r="D27" s="548" t="n"/>
      <c r="E27" s="69">
        <f>IF(DATOS!E16=0,"--",DATOS!F16)</f>
        <v/>
      </c>
      <c r="F27" s="412">
        <f>+IF(DATOS!$F$5="B","--",IF(DATOS!G16=0,"--",IF(DATOS!E16&lt;10,"--",DATOS!M16/DATOS!H16)*100))</f>
        <v/>
      </c>
      <c r="G27" s="71">
        <f>+IF(DATOS!$F$5="B","--",IF(DATOS!G16=0,"--",IF(DATOS!E16&lt;10,"--",DATOS!N16*DATOS!E16/100)))</f>
        <v/>
      </c>
      <c r="H27" s="412">
        <f>+IF(DATOS!$F$5="B","--",IF(DATOS!G16=0,"--",IF(DATOS!E16&lt;10,"--",(DATOS!R16/DATOS!H16)*100)))</f>
        <v/>
      </c>
      <c r="I27" s="412">
        <f>+IF(DATOS!$F$5="B","--",IF(DATOS!G16=0,"--",IF(DATOS!E16&lt;10,"--",DATOS!S16*DATOS!E16/100)))</f>
        <v/>
      </c>
      <c r="J27" s="412">
        <f>+IF(DATOS!G16=0,"--",IF(DATOS!E16&lt;10,"--",DATOS!W16/DATOS!H16*100))</f>
        <v/>
      </c>
      <c r="K27" s="412">
        <f>+IF(DATOS!G16=0,"--",IF(DATOS!E16&lt;10,"--",DATOS!X16/DATOS!E16/100))</f>
        <v/>
      </c>
      <c r="L27" s="597">
        <f>+IF(DATOS!G16=0,"--",IF(DATOS!E16&lt;10,"--",(DATOS!AA16/DATOS!H16)*100))</f>
        <v/>
      </c>
      <c r="M27" s="550" t="n"/>
      <c r="N27" s="412">
        <f>+IF(DATOS!G16=0,"--",DATOS!AB16*DATOS!E16/100)</f>
        <v/>
      </c>
      <c r="O27" s="18" t="n"/>
    </row>
    <row r="28" ht="20.1" customHeight="1">
      <c r="A28" s="485" t="inlineStr">
        <is>
          <t>No. 4</t>
        </is>
      </c>
      <c r="B28" s="410">
        <f>+IF(DATOS!E17=0,"--",DATOS!E17)</f>
        <v/>
      </c>
      <c r="C28" s="547" t="n"/>
      <c r="D28" s="548" t="n"/>
      <c r="E28" s="69">
        <f>IF(DATOS!E17=0,"--",DATOS!F17)</f>
        <v/>
      </c>
      <c r="F28" s="412">
        <f>+IF(DATOS!$F$5="B","--",IF(DATOS!G17=0,"--",IF(DATOS!E17&lt;10,"--",DATOS!M17/DATOS!H17)*100))</f>
        <v/>
      </c>
      <c r="G28" s="71">
        <f>+IF(DATOS!$F$5="B","--",IF(DATOS!G17=0,"--",IF(DATOS!E17&lt;10,"--",DATOS!N17*DATOS!E17/100)))</f>
        <v/>
      </c>
      <c r="H28" s="412">
        <f>+IF(DATOS!$F$5="B","--",IF(DATOS!G17=0,"--",IF(DATOS!E17&lt;10,"--",(DATOS!R17/DATOS!H17)*100)))</f>
        <v/>
      </c>
      <c r="I28" s="412">
        <f>+IF(DATOS!$F$5="B","--",IF(DATOS!G17=0,"--",IF(DATOS!E17&lt;10,"--",DATOS!S17*DATOS!E17/100)))</f>
        <v/>
      </c>
      <c r="J28" s="412">
        <f>+IF(DATOS!G17=0,"--",IF(DATOS!E17&lt;10,"--",DATOS!W17/DATOS!H17*100))</f>
        <v/>
      </c>
      <c r="K28" s="412">
        <f>+IF(DATOS!G17=0,"--",IF(DATOS!E17&lt;10,"--",DATOS!X17/DATOS!E17/100))</f>
        <v/>
      </c>
      <c r="L28" s="597">
        <f>+IF(DATOS!G17=0,"--",IF(DATOS!E17&lt;10,"--",(DATOS!AA17/DATOS!H17)*100))</f>
        <v/>
      </c>
      <c r="M28" s="550" t="n"/>
      <c r="N28" s="412">
        <f>+IF(DATOS!G17=0,"--",DATOS!AB17*DATOS!E17/100)</f>
        <v/>
      </c>
      <c r="O28" s="18" t="n"/>
    </row>
    <row r="29" ht="20.1" customHeight="1">
      <c r="A29" s="180" t="inlineStr">
        <is>
          <t>TOTAL</t>
        </is>
      </c>
      <c r="B29" s="439">
        <f>+DATOS!E18</f>
        <v/>
      </c>
      <c r="C29" s="547" t="n"/>
      <c r="D29" s="548" t="n"/>
      <c r="E29" s="72" t="n"/>
      <c r="F29" s="20" t="n"/>
      <c r="G29" s="439">
        <f>+SUM(G23:G28)</f>
        <v/>
      </c>
      <c r="H29" s="74" t="n"/>
      <c r="I29" s="439">
        <f>+SUM(I23:I28)</f>
        <v/>
      </c>
      <c r="J29" s="74" t="n"/>
      <c r="K29" s="439">
        <f>+SUM(K23:K28)</f>
        <v/>
      </c>
      <c r="L29" s="74" t="n"/>
      <c r="M29" s="74" t="n"/>
      <c r="N29" s="439">
        <f>+SUM(N23:N28)</f>
        <v/>
      </c>
      <c r="O29" s="18" t="n"/>
    </row>
    <row r="30" ht="15.75" customHeight="1">
      <c r="A30" s="19" t="n"/>
      <c r="B30" s="21" t="n"/>
      <c r="C30" s="21" t="n"/>
      <c r="D30" s="21" t="n"/>
      <c r="E30" s="20" t="n"/>
      <c r="F30" s="21" t="n"/>
      <c r="G30" s="20" t="n"/>
      <c r="H30" s="20" t="n"/>
      <c r="I30" s="21" t="n"/>
      <c r="J30" s="21" t="n"/>
      <c r="K30" s="21" t="n"/>
      <c r="L30" s="21" t="n"/>
      <c r="M30" s="21" t="n"/>
      <c r="N30" s="21" t="n"/>
      <c r="O30" s="18" t="n"/>
    </row>
    <row r="31" ht="20.25" customHeight="1">
      <c r="A31" s="21" t="inlineStr">
        <is>
          <t>Relación Dimensional</t>
        </is>
      </c>
      <c r="B31" s="21" t="n"/>
      <c r="C31" s="21" t="n"/>
      <c r="D31" s="21" t="n"/>
      <c r="E31" s="21" t="n"/>
      <c r="F31" s="21" t="n"/>
      <c r="G31" s="598">
        <f>+DATOS!F3</f>
        <v/>
      </c>
      <c r="H31" s="599" t="n"/>
      <c r="I31" s="75" t="n"/>
      <c r="J31" s="21" t="n"/>
      <c r="K31" s="21" t="n"/>
      <c r="L31" s="21" t="n"/>
      <c r="M31" s="21" t="n"/>
      <c r="N31" s="21" t="n"/>
    </row>
    <row r="32" ht="19.5" customHeight="1">
      <c r="A32" s="21" t="inlineStr">
        <is>
          <t>Método de ensayo</t>
        </is>
      </c>
      <c r="B32" s="21" t="n"/>
      <c r="C32" s="21" t="n"/>
      <c r="D32" s="21" t="n"/>
      <c r="E32" s="21" t="n"/>
      <c r="F32" s="21" t="n"/>
      <c r="G32" s="598">
        <f>+DATOS!F5</f>
        <v/>
      </c>
      <c r="H32" s="599" t="n"/>
      <c r="I32" s="21" t="n"/>
      <c r="J32" s="21" t="n"/>
      <c r="K32" s="21" t="n"/>
      <c r="L32" s="21" t="n"/>
      <c r="M32" s="21" t="n"/>
      <c r="N32" s="21" t="n"/>
    </row>
    <row r="33" ht="19.5" customHeight="1">
      <c r="A33" s="21" t="inlineStr">
        <is>
          <t>Partículas Planas y Alargadas % masa</t>
        </is>
      </c>
      <c r="B33" s="21" t="n"/>
      <c r="C33" s="21" t="n"/>
      <c r="D33" s="21" t="n"/>
      <c r="E33" s="21" t="n"/>
      <c r="F33" s="21" t="n"/>
      <c r="G33" s="598">
        <f>100-N29</f>
        <v/>
      </c>
      <c r="H33" s="599" t="n"/>
      <c r="I33" s="21" t="n"/>
      <c r="J33" s="21" t="n"/>
      <c r="K33" s="21" t="n"/>
      <c r="L33" s="21" t="n"/>
      <c r="M33" s="21" t="n"/>
      <c r="N33" s="21" t="n"/>
    </row>
    <row r="34" ht="6" customHeight="1">
      <c r="A34" s="22" t="n"/>
      <c r="B34" s="22" t="n"/>
      <c r="C34" s="22" t="n"/>
      <c r="D34" s="22" t="n"/>
      <c r="E34" s="23" t="n"/>
      <c r="F34" s="24" t="n"/>
      <c r="G34" s="22" t="n"/>
      <c r="H34" s="39" t="n"/>
      <c r="I34" s="14" t="n"/>
      <c r="J34" s="46" t="n"/>
      <c r="K34" s="47" t="n"/>
      <c r="L34" s="47" t="n"/>
      <c r="M34" s="18" t="n"/>
      <c r="N34" s="18" t="n"/>
    </row>
    <row r="35" ht="15.75" customHeight="1">
      <c r="A35" s="48" t="inlineStr">
        <is>
          <t>Nota :</t>
        </is>
      </c>
      <c r="B35" s="48" t="n"/>
      <c r="C35" s="22" t="n"/>
      <c r="D35" s="22" t="n"/>
      <c r="E35" s="49" t="n"/>
      <c r="F35" s="50" t="n"/>
      <c r="G35" s="22" t="n"/>
      <c r="H35" s="39" t="n"/>
      <c r="I35" s="14" t="n"/>
      <c r="J35" s="46" t="n"/>
      <c r="K35" s="47" t="n"/>
      <c r="L35" s="47" t="n"/>
      <c r="M35" s="18" t="n"/>
      <c r="N35" s="18" t="n"/>
    </row>
    <row r="36" ht="15.75" customHeight="1">
      <c r="A36" s="26" t="inlineStr">
        <is>
          <t>- Los datos de identificación de la muestra son proporcionados por el cliente.</t>
        </is>
      </c>
      <c r="B36" s="26" t="n"/>
      <c r="C36" s="39" t="n"/>
      <c r="D36" s="39" t="n"/>
      <c r="E36" s="39" t="n"/>
      <c r="F36" s="39" t="n"/>
      <c r="G36" s="39" t="n"/>
      <c r="H36" s="39" t="n"/>
      <c r="I36" s="14" t="n"/>
      <c r="J36" s="46" t="n"/>
      <c r="K36" s="47" t="n"/>
      <c r="L36" s="47" t="n"/>
      <c r="M36" s="18" t="n"/>
      <c r="N36" s="18" t="n"/>
    </row>
    <row r="37" ht="15.75" customHeight="1">
      <c r="A37" s="26" t="inlineStr">
        <is>
          <t>- Los resultados corresponden sólo a los ensayos realizados sobre la muestra proporcionada por el cliente.</t>
        </is>
      </c>
      <c r="B37" s="26" t="n"/>
      <c r="C37" s="39" t="n"/>
      <c r="D37" s="39" t="n"/>
      <c r="E37" s="39" t="n"/>
      <c r="F37" s="39" t="n"/>
      <c r="G37" s="39" t="n"/>
      <c r="H37" s="39" t="n"/>
      <c r="I37" s="14" t="n"/>
      <c r="J37" s="46" t="n"/>
      <c r="K37" s="47" t="n"/>
      <c r="L37" s="47" t="n"/>
      <c r="M37" s="18" t="n"/>
      <c r="N37" s="18" t="n"/>
    </row>
    <row r="38" ht="27.75" customHeight="1">
      <c r="A38" s="409" t="inlineStr">
        <is>
          <t xml:space="preserve">- Los resultados de los ensayos no deben ser utilizados como una certificación de conformidad con normas de productos o como certificado del sistema de calidad de Geofal SAC. </t>
        </is>
      </c>
    </row>
    <row r="39" ht="15.75" customHeight="1">
      <c r="A39" s="26" t="inlineStr">
        <is>
          <t>- Prohibida la reproducción total o parcial del presente informe de ensayo sin la autorización escrita de Geofal S.A.C.</t>
        </is>
      </c>
      <c r="B39" s="26" t="n"/>
      <c r="C39" s="39" t="n"/>
      <c r="D39" s="39" t="n"/>
      <c r="E39" s="39" t="n"/>
      <c r="F39" s="39" t="n"/>
      <c r="G39" s="39" t="n"/>
      <c r="H39" s="39" t="n"/>
      <c r="I39" s="14" t="n"/>
      <c r="J39" s="46" t="n"/>
      <c r="K39" s="47" t="n"/>
      <c r="L39" s="47" t="n"/>
      <c r="M39" s="18" t="n"/>
      <c r="N39" s="18" t="n"/>
    </row>
    <row r="40" ht="26.45" customHeight="1">
      <c r="A40" s="409" t="inlineStr">
        <is>
          <t>- Este informe de ensayo, al estar en el marco de la acreditación del INACAL - DA, se encuentra dentro del ámbito de reconocimiento multilateral/mutuo de los miembros firmantes de IAAC e ILAC.</t>
        </is>
      </c>
    </row>
    <row r="41" ht="6" customHeight="1">
      <c r="A41" s="27" t="n"/>
      <c r="B41" s="27" t="n"/>
      <c r="C41" s="39" t="n"/>
      <c r="D41" s="39" t="n"/>
      <c r="E41" s="39" t="n"/>
      <c r="F41" s="39" t="n"/>
      <c r="G41" s="39" t="n"/>
      <c r="H41" s="39" t="n"/>
      <c r="I41" s="14" t="n"/>
      <c r="J41" s="46" t="n"/>
      <c r="K41" s="47" t="n"/>
      <c r="L41" s="47" t="n"/>
      <c r="M41" s="18" t="n"/>
      <c r="N41" s="18" t="n"/>
      <c r="O41" s="18" t="n"/>
    </row>
    <row r="42" ht="15.75" customHeight="1">
      <c r="A42" s="28" t="inlineStr">
        <is>
          <t>Observaciones:</t>
        </is>
      </c>
      <c r="B42" s="28" t="n"/>
      <c r="C42" s="39" t="n"/>
      <c r="D42" s="39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18" t="n"/>
    </row>
    <row r="43" ht="13.5" customHeight="1">
      <c r="A43" s="39" t="n"/>
      <c r="B43" s="39" t="n"/>
      <c r="C43" s="39" t="n"/>
      <c r="D43" s="39" t="n"/>
      <c r="E43" s="39" t="n"/>
      <c r="F43" s="39" t="n"/>
      <c r="G43" s="39" t="n"/>
      <c r="H43" s="39" t="n"/>
      <c r="I43" s="14" t="n"/>
      <c r="J43" s="46" t="n"/>
      <c r="K43" s="47" t="n"/>
      <c r="L43" s="47" t="n"/>
      <c r="M43" s="18" t="n"/>
      <c r="N43" s="18" t="n"/>
      <c r="O43" s="18" t="n"/>
    </row>
    <row r="44" ht="13.5" customHeight="1">
      <c r="A44" s="39" t="n"/>
      <c r="B44" s="39" t="n"/>
      <c r="C44" s="39" t="n"/>
      <c r="D44" s="39" t="n"/>
      <c r="E44" s="39" t="n"/>
      <c r="F44" s="39" t="n"/>
      <c r="G44" s="39" t="n"/>
      <c r="H44" s="39" t="n"/>
      <c r="I44" s="14" t="n"/>
      <c r="J44" s="30" t="n"/>
      <c r="K44" s="47" t="n"/>
      <c r="L44" s="47" t="n"/>
      <c r="M44" s="18" t="n"/>
      <c r="N44" s="18" t="n"/>
      <c r="O44" s="18" t="n"/>
    </row>
    <row r="45" ht="13.5" customHeight="1">
      <c r="A45" s="39" t="n"/>
      <c r="B45" s="39" t="n"/>
      <c r="C45" s="39" t="n"/>
      <c r="D45" s="39" t="n"/>
      <c r="E45" s="39" t="n"/>
      <c r="F45" s="39" t="n"/>
      <c r="G45" s="39" t="n"/>
      <c r="H45" s="25" t="n"/>
      <c r="I45" s="29" t="n"/>
      <c r="J45" s="30" t="n"/>
      <c r="K45" s="47" t="n"/>
      <c r="L45" s="47" t="n"/>
      <c r="M45" s="18" t="n"/>
      <c r="N45" s="18" t="n"/>
      <c r="O45" s="18" t="n"/>
    </row>
    <row r="46" ht="13.5" customHeight="1">
      <c r="A46" s="39" t="n"/>
      <c r="B46" s="39" t="n"/>
      <c r="C46" s="39" t="n"/>
      <c r="D46" s="39" t="n"/>
      <c r="E46" s="39" t="n"/>
      <c r="F46" s="39" t="n"/>
      <c r="G46" s="39" t="n"/>
      <c r="H46" s="25" t="n"/>
      <c r="I46" s="39" t="n"/>
      <c r="J46" s="30" t="n"/>
      <c r="K46" s="47" t="n"/>
      <c r="L46" s="47" t="n"/>
      <c r="M46" s="18" t="n"/>
      <c r="N46" s="18" t="n"/>
      <c r="O46" s="18" t="n"/>
    </row>
    <row r="47" ht="13.5" customHeight="1">
      <c r="A47" s="39" t="inlineStr">
        <is>
          <t xml:space="preserve">      </t>
        </is>
      </c>
      <c r="B47" s="39" t="n"/>
      <c r="C47" s="39" t="n"/>
      <c r="D47" s="39" t="n"/>
      <c r="E47" s="39" t="n"/>
      <c r="F47" s="39" t="n"/>
      <c r="G47" s="39" t="n"/>
      <c r="H47" s="25" t="n"/>
      <c r="I47" s="39" t="n"/>
      <c r="J47" s="30" t="n"/>
      <c r="K47" s="47" t="n"/>
      <c r="L47" s="47" t="n"/>
      <c r="M47" s="18" t="n"/>
      <c r="N47" s="18" t="n"/>
      <c r="O47" s="18" t="n"/>
    </row>
    <row r="48" ht="13.5" customHeight="1">
      <c r="A48" s="8" t="inlineStr">
        <is>
          <t>Página 1 de 1</t>
        </is>
      </c>
      <c r="B48" s="39" t="n"/>
      <c r="C48" s="39" t="n"/>
      <c r="D48" s="39" t="n"/>
      <c r="E48" s="39" t="n"/>
      <c r="F48" s="39" t="n"/>
      <c r="G48" s="39" t="n"/>
      <c r="H48" s="18" t="n"/>
      <c r="I48" s="39" t="n"/>
      <c r="J48" s="30" t="n"/>
      <c r="K48" s="30" t="n"/>
      <c r="L48" s="30" t="n"/>
      <c r="M48" s="18" t="n"/>
      <c r="N48" s="18" t="n"/>
      <c r="O48" s="30" t="n"/>
    </row>
    <row r="49" ht="15.75" customHeight="1">
      <c r="A49" s="8" t="inlineStr">
        <is>
          <t>Versión: 02 (11-11-2024)</t>
        </is>
      </c>
      <c r="B49" s="8" t="n"/>
      <c r="C49" s="39" t="n"/>
      <c r="D49" s="39" t="n"/>
      <c r="E49" s="39" t="n"/>
      <c r="F49" s="39" t="n"/>
      <c r="G49" s="39" t="n"/>
      <c r="H49" s="18" t="n"/>
      <c r="I49" s="39" t="n"/>
      <c r="J49" s="39" t="n"/>
      <c r="K49" s="39" t="n"/>
      <c r="L49" s="39" t="n"/>
      <c r="M49" s="39" t="n"/>
      <c r="N49" s="31" t="inlineStr">
        <is>
          <t>Fin del Informe</t>
        </is>
      </c>
    </row>
    <row r="50" ht="15.75" customHeight="1">
      <c r="A50" s="8" t="n"/>
      <c r="B50" s="8" t="n"/>
      <c r="C50" s="39" t="n"/>
      <c r="D50" s="39" t="n"/>
      <c r="E50" s="39" t="n"/>
      <c r="F50" s="39" t="n"/>
      <c r="G50" s="39" t="n"/>
      <c r="H50" s="18" t="n"/>
      <c r="I50" s="39" t="n"/>
      <c r="J50" s="39" t="n"/>
      <c r="K50" s="39" t="n"/>
      <c r="L50" s="39" t="n"/>
      <c r="M50" s="39" t="n"/>
      <c r="N50" s="31" t="n"/>
    </row>
    <row r="51" ht="15.75" customHeight="1">
      <c r="A51" s="4" t="n"/>
      <c r="B51" s="4" t="n"/>
      <c r="C51" s="4" t="n"/>
      <c r="D51" s="4" t="n"/>
      <c r="E51" s="4" t="n"/>
      <c r="F51" s="4" t="n"/>
      <c r="G51" s="4" t="n"/>
      <c r="H51" s="2" t="n"/>
      <c r="I51" s="2" t="n"/>
    </row>
    <row r="52" hidden="1" ht="15.75" customHeight="1"/>
    <row r="53" ht="12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5.95" customHeight="1"/>
    <row r="55" ht="15.9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gK2PNKtHHwowWaGBbPurw==" formatRows="1" sort="1" spinCount="100000" hashValue="BL9fg/ZAYpW/pdNq8E6SRtwe1OKp622so7oP+68jv0NEZ/HlzbJeLbLjIaSV9RhYbU50PPVOfc2fl6cZqzEqSQ=="/>
  <mergeCells count="44">
    <mergeCell ref="A40:N40"/>
    <mergeCell ref="K21:K22"/>
    <mergeCell ref="B23:D23"/>
    <mergeCell ref="C6:J6"/>
    <mergeCell ref="A11:N11"/>
    <mergeCell ref="C5:J5"/>
    <mergeCell ref="H21:H22"/>
    <mergeCell ref="B29:D29"/>
    <mergeCell ref="L28:M28"/>
    <mergeCell ref="N21:N22"/>
    <mergeCell ref="H19:I20"/>
    <mergeCell ref="A13:G13"/>
    <mergeCell ref="B28:D28"/>
    <mergeCell ref="F21:F22"/>
    <mergeCell ref="L21:M22"/>
    <mergeCell ref="L19:N20"/>
    <mergeCell ref="B19:D21"/>
    <mergeCell ref="L24:M24"/>
    <mergeCell ref="I21:I22"/>
    <mergeCell ref="L23:M23"/>
    <mergeCell ref="B24:D24"/>
    <mergeCell ref="F19:G20"/>
    <mergeCell ref="L26:M26"/>
    <mergeCell ref="A3:N3"/>
    <mergeCell ref="G33:H33"/>
    <mergeCell ref="A2:N2"/>
    <mergeCell ref="B26:D26"/>
    <mergeCell ref="L25:M25"/>
    <mergeCell ref="J21:J22"/>
    <mergeCell ref="J19:K20"/>
    <mergeCell ref="A19:A22"/>
    <mergeCell ref="B25:D25"/>
    <mergeCell ref="C8:J8"/>
    <mergeCell ref="C7:J7"/>
    <mergeCell ref="G32:H32"/>
    <mergeCell ref="A38:N38"/>
    <mergeCell ref="B22:D22"/>
    <mergeCell ref="M14:N14"/>
    <mergeCell ref="B27:D27"/>
    <mergeCell ref="G21:G22"/>
    <mergeCell ref="E19:E21"/>
    <mergeCell ref="L27:M27"/>
    <mergeCell ref="G31:H31"/>
    <mergeCell ref="A10:N10"/>
  </mergeCells>
  <printOptions horizontalCentered="1"/>
  <pageMargins left="0" right="0" top="1.377952755905512" bottom="0" header="0" footer="0"/>
  <pageSetup orientation="portrait" paperSize="9" scale="88"/>
  <headerFooter scaleWithDoc="0">
    <oddHeader>&amp;C&amp;G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6"/>
  <sheetViews>
    <sheetView showGridLines="0" zoomScaleNormal="100" zoomScaleSheetLayoutView="100" workbookViewId="0">
      <selection activeCell="I19" sqref="I19"/>
    </sheetView>
  </sheetViews>
  <sheetFormatPr baseColWidth="10" defaultColWidth="10.28515625" defaultRowHeight="15"/>
  <cols>
    <col width="3.7109375" customWidth="1" style="1" min="1" max="1"/>
    <col width="9.140625" customWidth="1" style="35" min="2" max="2"/>
    <col width="8.7109375" customWidth="1" style="35" min="3" max="3"/>
    <col width="8.28515625" customWidth="1" style="35" min="4" max="4"/>
    <col width="7.85546875" customWidth="1" style="35" min="5" max="5"/>
    <col width="6.7109375" customWidth="1" style="59" min="6" max="6"/>
    <col width="7.5703125" customWidth="1" style="59" min="7" max="7"/>
    <col width="8" customWidth="1" style="59" min="8" max="8"/>
    <col width="10.42578125" customWidth="1" style="59" min="9" max="9"/>
    <col width="11.42578125" customWidth="1" style="59" min="10" max="10"/>
    <col width="7" customWidth="1" style="59" min="11" max="11"/>
    <col width="7.140625" customWidth="1" style="59" min="12" max="12"/>
    <col width="8.7109375" customWidth="1" style="59" min="13" max="13"/>
    <col width="8" customWidth="1" style="59" min="14" max="14"/>
    <col width="8.7109375" customWidth="1" style="59" min="15" max="15"/>
    <col width="6.7109375" customWidth="1" style="35" min="16" max="17"/>
    <col width="8.42578125" customWidth="1" style="35" min="18" max="18"/>
    <col width="6.5703125" customWidth="1" style="35" min="19" max="19"/>
    <col width="8.42578125" customWidth="1" style="35" min="20" max="20"/>
    <col width="6.28515625" customWidth="1" style="35" min="21" max="21"/>
    <col width="6.7109375" customWidth="1" style="35" min="22" max="22"/>
    <col width="8.140625" customWidth="1" style="35" min="23" max="25"/>
    <col width="6.140625" customWidth="1" style="35" min="26" max="26"/>
    <col width="11" customWidth="1" style="35" min="27" max="27"/>
    <col width="7.28515625" customWidth="1" style="1" min="28" max="28"/>
    <col width="8.7109375" customWidth="1" style="1" min="29" max="29"/>
    <col width="10.28515625" customWidth="1" style="1" min="30" max="16384"/>
  </cols>
  <sheetData>
    <row r="1">
      <c r="B1" s="484" t="inlineStr">
        <is>
          <t>Standard Test Method for Flat Particles, Elongated Particles, or Flat and Elongated Particles in Coarse Aggregate</t>
        </is>
      </c>
      <c r="C1" s="576" t="n"/>
      <c r="D1" s="576" t="n"/>
      <c r="E1" s="576" t="n"/>
      <c r="F1" s="576" t="n"/>
      <c r="G1" s="576" t="n"/>
      <c r="H1" s="576" t="n"/>
      <c r="I1" s="576" t="n"/>
      <c r="J1" s="576" t="n"/>
      <c r="K1" s="576" t="n"/>
      <c r="L1" s="576" t="n"/>
      <c r="M1" s="576" t="n"/>
      <c r="N1" s="576" t="n"/>
      <c r="O1" s="576" t="n"/>
      <c r="P1" s="576" t="n"/>
      <c r="Q1" s="576" t="n"/>
      <c r="R1" s="576" t="n"/>
      <c r="S1" s="576" t="n"/>
      <c r="T1" s="576" t="n"/>
      <c r="U1" s="576" t="n"/>
      <c r="V1" s="576" t="n"/>
      <c r="W1" s="576" t="n"/>
      <c r="X1" s="576" t="n"/>
      <c r="Y1" s="576" t="n"/>
      <c r="Z1" s="576" t="n"/>
      <c r="AA1" s="576" t="n"/>
      <c r="AB1" s="576" t="n"/>
      <c r="AC1" s="577" t="n"/>
    </row>
    <row r="2" ht="5.45" customHeight="1">
      <c r="F2" s="483" t="n"/>
      <c r="G2" s="546" t="n"/>
    </row>
    <row r="3" ht="15.75" customHeight="1">
      <c r="B3" s="139" t="inlineStr">
        <is>
          <t>Relación Dimensional</t>
        </is>
      </c>
      <c r="C3" s="171" t="n"/>
      <c r="D3" s="140" t="n"/>
      <c r="E3" s="141" t="n"/>
      <c r="F3" s="600" t="inlineStr">
        <is>
          <t>-</t>
        </is>
      </c>
      <c r="G3" s="601" t="n"/>
      <c r="I3" s="138" t="inlineStr">
        <is>
          <t>Masa inicial</t>
        </is>
      </c>
      <c r="J3" s="178">
        <f>+FORMATO!N21</f>
        <v/>
      </c>
      <c r="M3" s="60" t="inlineStr">
        <is>
          <t>Declaración de equipos: balanza 15kg a 0.1g</t>
        </is>
      </c>
      <c r="P3" s="59" t="n"/>
      <c r="U3" s="79" t="n"/>
    </row>
    <row r="4" ht="15.75" customHeight="1">
      <c r="B4" s="142" t="inlineStr">
        <is>
          <t>Tamiz requerido:</t>
        </is>
      </c>
      <c r="C4" s="140" t="n"/>
      <c r="D4" s="140" t="n"/>
      <c r="E4" s="141" t="n"/>
      <c r="F4" s="478" t="inlineStr">
        <is>
          <t>-</t>
        </is>
      </c>
      <c r="G4" s="602" t="n"/>
      <c r="I4" s="138" t="inlineStr">
        <is>
          <t>Masa seca</t>
        </is>
      </c>
      <c r="J4" s="178">
        <f>+FORMATO!N22</f>
        <v/>
      </c>
      <c r="M4" s="66" t="inlineStr">
        <is>
          <t>N°</t>
        </is>
      </c>
      <c r="N4" s="603" t="inlineStr">
        <is>
          <t>CÓDIGO</t>
        </is>
      </c>
      <c r="O4" s="601" t="n"/>
      <c r="P4" s="453" t="inlineStr">
        <is>
          <t>CORRECCION</t>
        </is>
      </c>
      <c r="Q4" s="576" t="n"/>
      <c r="R4" s="492" t="inlineStr">
        <is>
          <t>FECHA CALIBRAC.</t>
        </is>
      </c>
      <c r="S4" s="577" t="n"/>
      <c r="U4" s="496" t="inlineStr">
        <is>
          <t>TECNICO</t>
        </is>
      </c>
      <c r="V4" s="577" t="n"/>
      <c r="W4" s="604" t="inlineStr">
        <is>
          <t>-</t>
        </is>
      </c>
      <c r="X4" s="601" t="n"/>
      <c r="Y4" s="35">
        <f>+FORMATO!M11</f>
        <v/>
      </c>
    </row>
    <row r="5" ht="23.45" customHeight="1">
      <c r="A5" s="14" t="n"/>
      <c r="B5" s="142" t="inlineStr">
        <is>
          <t>Método de ensayo:</t>
        </is>
      </c>
      <c r="C5" s="140" t="n"/>
      <c r="D5" s="140" t="n"/>
      <c r="E5" s="141" t="n"/>
      <c r="F5" s="480" t="inlineStr">
        <is>
          <t>-</t>
        </is>
      </c>
      <c r="G5" s="605" t="n"/>
      <c r="H5" s="61" t="n"/>
      <c r="I5" s="134" t="inlineStr">
        <is>
          <t>Masa seca constante</t>
        </is>
      </c>
      <c r="J5" s="178">
        <f>+FORMATO!N23</f>
        <v/>
      </c>
      <c r="M5" s="62" t="n">
        <v>1</v>
      </c>
      <c r="N5" s="606">
        <f>+BALANZA!C11</f>
        <v/>
      </c>
      <c r="O5" s="607" t="n"/>
      <c r="P5" s="608">
        <f>+BALANZA!C7</f>
        <v/>
      </c>
      <c r="Q5" s="609" t="n"/>
      <c r="R5" s="496">
        <f>+BALANZA!D12</f>
        <v/>
      </c>
      <c r="S5" s="577" t="n"/>
      <c r="U5" s="79" t="n"/>
    </row>
    <row r="6" ht="23.45" customHeight="1">
      <c r="A6" s="14" t="n"/>
      <c r="F6" s="35" t="n"/>
      <c r="G6" s="35" t="n"/>
      <c r="H6" s="35" t="n"/>
      <c r="I6" s="136" t="inlineStr">
        <is>
          <t>Perdida de masa seca adicional</t>
        </is>
      </c>
      <c r="J6" s="179">
        <f>+(J4-J5)/J5*100</f>
        <v/>
      </c>
      <c r="K6" s="458">
        <f>+IF(J6&lt;1,"cumple","no cumple")</f>
        <v/>
      </c>
      <c r="L6" s="35" t="n"/>
      <c r="M6" s="35" t="n"/>
      <c r="N6" s="35" t="n"/>
      <c r="O6" s="35" t="n"/>
      <c r="U6" s="135" t="n"/>
    </row>
    <row r="7" ht="6" customFormat="1" customHeight="1" s="34">
      <c r="B7" s="168" t="n"/>
      <c r="C7" s="168" t="n"/>
      <c r="D7" s="168" t="n"/>
      <c r="E7" s="168" t="n"/>
      <c r="F7" s="168" t="n"/>
      <c r="G7" s="168" t="n"/>
      <c r="H7" s="168" t="n"/>
      <c r="I7" s="59" t="n"/>
      <c r="J7" s="59" t="n"/>
      <c r="K7" s="168" t="n"/>
      <c r="L7" s="168" t="n"/>
      <c r="M7" s="168" t="n"/>
      <c r="N7" s="168" t="n"/>
      <c r="O7" s="168" t="n"/>
      <c r="P7" s="168" t="n"/>
      <c r="Q7" s="168" t="n"/>
      <c r="R7" s="168" t="n"/>
      <c r="S7" s="168" t="n"/>
      <c r="T7" s="168" t="n"/>
      <c r="U7" s="168" t="n"/>
      <c r="V7" s="168" t="n"/>
      <c r="W7" s="168" t="n"/>
      <c r="X7" s="168" t="n"/>
      <c r="Y7" s="168" t="n"/>
      <c r="Z7" s="168" t="n"/>
      <c r="AA7" s="168" t="n"/>
    </row>
    <row r="8" ht="9" customHeight="1">
      <c r="A8" s="15" t="n"/>
      <c r="B8" s="610" t="inlineStr">
        <is>
          <t>Tamaño de las partículas</t>
        </is>
      </c>
      <c r="C8" s="611" t="inlineStr">
        <is>
          <t>Gradación de la muestra</t>
        </is>
      </c>
      <c r="D8" s="554" t="n"/>
      <c r="E8" s="554" t="n"/>
      <c r="F8" s="554" t="n"/>
      <c r="G8" s="554" t="n"/>
      <c r="H8" s="554" t="n"/>
      <c r="I8" s="554" t="n"/>
      <c r="J8" s="612" t="n"/>
      <c r="K8" s="472" t="inlineStr">
        <is>
          <t>Particulas Planas</t>
        </is>
      </c>
      <c r="L8" s="554" t="n"/>
      <c r="M8" s="554" t="n"/>
      <c r="N8" s="554" t="n"/>
      <c r="O8" s="555" t="n"/>
      <c r="P8" s="613" t="inlineStr">
        <is>
          <t>Partículas Alargadas</t>
        </is>
      </c>
      <c r="Q8" s="554" t="n"/>
      <c r="R8" s="554" t="n"/>
      <c r="S8" s="554" t="n"/>
      <c r="T8" s="554" t="n"/>
      <c r="U8" s="472" t="inlineStr">
        <is>
          <t>Particulas Planas y Alargadas</t>
        </is>
      </c>
      <c r="V8" s="554" t="n"/>
      <c r="W8" s="554" t="n"/>
      <c r="X8" s="554" t="n"/>
      <c r="Y8" s="555" t="n"/>
      <c r="Z8" s="472" t="inlineStr">
        <is>
          <t>Particulas Ni Planas Ni Alargadas</t>
        </is>
      </c>
      <c r="AA8" s="554" t="n"/>
      <c r="AB8" s="554" t="n"/>
      <c r="AC8" s="555" t="n"/>
    </row>
    <row r="9" ht="9" customHeight="1">
      <c r="B9" s="565" t="n"/>
      <c r="C9" s="563" t="n"/>
      <c r="J9" s="614" t="n"/>
      <c r="K9" s="615" t="n"/>
      <c r="L9" s="557" t="n"/>
      <c r="M9" s="557" t="n"/>
      <c r="N9" s="557" t="n"/>
      <c r="O9" s="558" t="n"/>
      <c r="P9" s="615" t="n"/>
      <c r="Q9" s="557" t="n"/>
      <c r="R9" s="557" t="n"/>
      <c r="S9" s="557" t="n"/>
      <c r="T9" s="557" t="n"/>
      <c r="U9" s="615" t="n"/>
      <c r="V9" s="557" t="n"/>
      <c r="W9" s="557" t="n"/>
      <c r="X9" s="557" t="n"/>
      <c r="Y9" s="558" t="n"/>
      <c r="Z9" s="615" t="n"/>
      <c r="AA9" s="557" t="n"/>
      <c r="AB9" s="557" t="n"/>
      <c r="AC9" s="558" t="n"/>
    </row>
    <row r="10" ht="21.6" customHeight="1">
      <c r="B10" s="566" t="n"/>
      <c r="C10" s="492" t="inlineStr">
        <is>
          <t>Muestra Original</t>
        </is>
      </c>
      <c r="D10" s="576" t="n"/>
      <c r="E10" s="577" t="n"/>
      <c r="F10" s="456" t="inlineStr">
        <is>
          <t>Reduccion de la muestra de prueba</t>
        </is>
      </c>
      <c r="G10" s="547" t="n"/>
      <c r="H10" s="547" t="n"/>
      <c r="I10" s="547" t="n"/>
      <c r="J10" s="547" t="n"/>
      <c r="K10" s="457" t="inlineStr">
        <is>
          <t>Cant.</t>
        </is>
      </c>
      <c r="L10" s="455" t="inlineStr">
        <is>
          <t>Masa de partículas</t>
        </is>
      </c>
      <c r="M10" s="548" t="n"/>
      <c r="N10" s="466" t="inlineStr">
        <is>
          <t>Promedio (%)</t>
        </is>
      </c>
      <c r="O10" s="548" t="n"/>
      <c r="P10" s="471" t="inlineStr">
        <is>
          <t>Cant.</t>
        </is>
      </c>
      <c r="Q10" s="455" t="inlineStr">
        <is>
          <t>Masa de partículas</t>
        </is>
      </c>
      <c r="R10" s="548" t="n"/>
      <c r="S10" s="466" t="inlineStr">
        <is>
          <t>Promedio (%)</t>
        </is>
      </c>
      <c r="T10" s="548" t="n"/>
      <c r="U10" s="457" t="inlineStr">
        <is>
          <t>Cant.</t>
        </is>
      </c>
      <c r="V10" s="455" t="inlineStr">
        <is>
          <t>Masa de partículas</t>
        </is>
      </c>
      <c r="W10" s="548" t="n"/>
      <c r="X10" s="466" t="inlineStr">
        <is>
          <t>Promedio (%)</t>
        </is>
      </c>
      <c r="Y10" s="548" t="n"/>
      <c r="Z10" s="457" t="inlineStr">
        <is>
          <t>Cant.</t>
        </is>
      </c>
      <c r="AA10" s="455" t="inlineStr">
        <is>
          <t>Masa de partículas</t>
        </is>
      </c>
      <c r="AB10" s="466" t="inlineStr">
        <is>
          <t>Promedio (%)</t>
        </is>
      </c>
      <c r="AC10" s="548" t="n"/>
    </row>
    <row r="11" ht="33" customHeight="1">
      <c r="B11" s="81" t="inlineStr">
        <is>
          <t>Retenido T.</t>
        </is>
      </c>
      <c r="C11" s="455" t="inlineStr">
        <is>
          <t>Masa Retenido (g)</t>
        </is>
      </c>
      <c r="D11" s="455" t="inlineStr">
        <is>
          <t>Masa Retenido corregido (g)</t>
        </is>
      </c>
      <c r="E11" s="455" t="inlineStr">
        <is>
          <t>(%) Retenido</t>
        </is>
      </c>
      <c r="F11" s="455" t="inlineStr">
        <is>
          <t>Número Partic.</t>
        </is>
      </c>
      <c r="G11" s="455" t="inlineStr">
        <is>
          <t>Masa (g)</t>
        </is>
      </c>
      <c r="H11" s="455" t="inlineStr">
        <is>
          <t>Masa corregida (g)</t>
        </is>
      </c>
      <c r="I11" s="482" t="inlineStr">
        <is>
          <t>calculo de porcentaje muestra</t>
        </is>
      </c>
      <c r="J11" s="456" t="inlineStr">
        <is>
          <t>Criterio de masa minima</t>
        </is>
      </c>
      <c r="K11" s="616" t="n"/>
      <c r="L11" s="455" t="inlineStr">
        <is>
          <t>Masa (g)</t>
        </is>
      </c>
      <c r="M11" s="455" t="inlineStr">
        <is>
          <t>Masa corregida (g)</t>
        </is>
      </c>
      <c r="N11" s="466" t="inlineStr">
        <is>
          <t>(%) en Masa</t>
        </is>
      </c>
      <c r="O11" s="163" t="inlineStr">
        <is>
          <t>PROMEDIO (%)  Masa</t>
        </is>
      </c>
      <c r="P11" s="617" t="n"/>
      <c r="Q11" s="455" t="inlineStr">
        <is>
          <t>Masa (g)</t>
        </is>
      </c>
      <c r="R11" s="455" t="inlineStr">
        <is>
          <t>Masa corregida (g)</t>
        </is>
      </c>
      <c r="S11" s="466" t="inlineStr">
        <is>
          <t>(%) en Masa</t>
        </is>
      </c>
      <c r="T11" s="426" t="inlineStr">
        <is>
          <t>PROMEDIO (%)  Masa</t>
        </is>
      </c>
      <c r="U11" s="616" t="n"/>
      <c r="V11" s="455" t="inlineStr">
        <is>
          <t>Masa (g)</t>
        </is>
      </c>
      <c r="W11" s="455" t="inlineStr">
        <is>
          <t>Masa corregida (g)</t>
        </is>
      </c>
      <c r="X11" s="466" t="inlineStr">
        <is>
          <t>(%) en Masa</t>
        </is>
      </c>
      <c r="Y11" s="475" t="inlineStr">
        <is>
          <t>PROMEDIO (%)  Masa</t>
        </is>
      </c>
      <c r="Z11" s="616" t="n"/>
      <c r="AA11" s="455" t="inlineStr">
        <is>
          <t>Masa corregida (g)</t>
        </is>
      </c>
      <c r="AB11" s="466" t="inlineStr">
        <is>
          <t>(%) en Masa</t>
        </is>
      </c>
      <c r="AC11" s="475" t="inlineStr">
        <is>
          <t>PROMEDIO (%)  Masa</t>
        </is>
      </c>
    </row>
    <row r="12" ht="20.1" customHeight="1">
      <c r="A12" s="16" t="n"/>
      <c r="B12" s="37" t="inlineStr">
        <is>
          <t>1 1/2 in</t>
        </is>
      </c>
      <c r="C12" s="177">
        <f>+FORMATO!D26</f>
        <v/>
      </c>
      <c r="D12" s="86">
        <f>C12+($P$5*C12)</f>
        <v/>
      </c>
      <c r="E12" s="84">
        <f>IF(D12="","",((D12/$D$18*100)))</f>
        <v/>
      </c>
      <c r="F12" s="85">
        <f>+FORMATO!I26</f>
        <v/>
      </c>
      <c r="G12" s="177">
        <f>+FORMATO!K26</f>
        <v/>
      </c>
      <c r="H12" s="86">
        <f>G12+($P$5*G12)</f>
        <v/>
      </c>
      <c r="I12" s="87">
        <f>IF(G12=0,"--",H12/D12)</f>
        <v/>
      </c>
      <c r="J12" s="86">
        <f>IF(G12=0,"--",IF(I12&gt;=10%,"Cumple","No Cumple"))</f>
        <v/>
      </c>
      <c r="K12" s="88">
        <f>+FORMATO!C39</f>
        <v/>
      </c>
      <c r="L12" s="177">
        <f>+FORMATO!E39</f>
        <v/>
      </c>
      <c r="M12" s="91">
        <f>L12+($P$5*L12)</f>
        <v/>
      </c>
      <c r="N12" s="410">
        <f>IF(M12=0,0,(M12/H12*100))</f>
        <v/>
      </c>
      <c r="O12" s="164">
        <f>IF(M12=0,0,(N12*E12/100))</f>
        <v/>
      </c>
      <c r="P12" s="89">
        <f>+FORMATO!G39</f>
        <v/>
      </c>
      <c r="Q12" s="177">
        <f>+FORMATO!I39</f>
        <v/>
      </c>
      <c r="R12" s="86">
        <f>Q12+($P$5*Q12)</f>
        <v/>
      </c>
      <c r="S12" s="410">
        <f>IF(R12=0,0,(R12/H12*100))</f>
        <v/>
      </c>
      <c r="T12" s="167">
        <f>IF(R12=0,0,(S12*E12/100))</f>
        <v/>
      </c>
      <c r="U12" s="88" t="n">
        <v>0</v>
      </c>
      <c r="V12" s="177" t="n">
        <v>0</v>
      </c>
      <c r="W12" s="91">
        <f>V12+($P$5*V12)</f>
        <v/>
      </c>
      <c r="X12" s="410">
        <f>IF(W12=0,0,(W12/H12*100))</f>
        <v/>
      </c>
      <c r="Y12" s="164">
        <f>IF(W12=0,0,(X12*E12/100))</f>
        <v/>
      </c>
      <c r="Z12" s="90">
        <f>IF(D12="","",((F12-K12-P12-U12)))</f>
        <v/>
      </c>
      <c r="AA12" s="91">
        <f>IF(H12="","",((H12-M12-R12-W12)))</f>
        <v/>
      </c>
      <c r="AB12" s="410">
        <f>IF(AA12=0,0,(AA12/H12*100))</f>
        <v/>
      </c>
      <c r="AC12" s="164">
        <f>IF(AA12=0,0,(AB12*E12/100))</f>
        <v/>
      </c>
    </row>
    <row r="13" ht="20.1" customHeight="1">
      <c r="A13" s="17" t="n"/>
      <c r="B13" s="37" t="inlineStr">
        <is>
          <t>1 in</t>
        </is>
      </c>
      <c r="C13" s="177">
        <f>+FORMATO!D27</f>
        <v/>
      </c>
      <c r="D13" s="86">
        <f>C13+($P$5*C13)</f>
        <v/>
      </c>
      <c r="E13" s="84">
        <f>IF(D13="","",((D13/$D$18*100)))</f>
        <v/>
      </c>
      <c r="F13" s="85">
        <f>+FORMATO!I27</f>
        <v/>
      </c>
      <c r="G13" s="177">
        <f>+FORMATO!K27</f>
        <v/>
      </c>
      <c r="H13" s="86">
        <f>G13+($P$5*G13)</f>
        <v/>
      </c>
      <c r="I13" s="87">
        <f>IF(G13=0,"--",H13/D13)</f>
        <v/>
      </c>
      <c r="J13" s="86">
        <f>IF(G13=0,"--",IF(I13&gt;=10%,"Cumple","No Cumple"))</f>
        <v/>
      </c>
      <c r="K13" s="88">
        <f>+FORMATO!C40</f>
        <v/>
      </c>
      <c r="L13" s="177">
        <f>+FORMATO!E40</f>
        <v/>
      </c>
      <c r="M13" s="91">
        <f>L13+($P$5*L13)</f>
        <v/>
      </c>
      <c r="N13" s="410">
        <f>IF(M13=0,0,(M13/H13*100))</f>
        <v/>
      </c>
      <c r="O13" s="164">
        <f>IF(M13=0,0,(N13*E13/100))</f>
        <v/>
      </c>
      <c r="P13" s="89">
        <f>+FORMATO!G40</f>
        <v/>
      </c>
      <c r="Q13" s="177">
        <f>+FORMATO!I40</f>
        <v/>
      </c>
      <c r="R13" s="86">
        <f>Q13+($P$5*Q13)</f>
        <v/>
      </c>
      <c r="S13" s="410">
        <f>IF(R13=0,0,(R13/H13*100))</f>
        <v/>
      </c>
      <c r="T13" s="167">
        <f>IF(R13=0,0,(S13*E13/100))</f>
        <v/>
      </c>
      <c r="U13" s="88" t="n">
        <v>0</v>
      </c>
      <c r="V13" s="177" t="n">
        <v>0</v>
      </c>
      <c r="W13" s="91">
        <f>V13+($P$5*V13)</f>
        <v/>
      </c>
      <c r="X13" s="410">
        <f>IF(W13=0,0,(W13/H13*100))</f>
        <v/>
      </c>
      <c r="Y13" s="164">
        <f>IF(W13=0,0,(X13*E13/100))</f>
        <v/>
      </c>
      <c r="Z13" s="90">
        <f>IF(D13="","",((F13-K13-P13-U13)))</f>
        <v/>
      </c>
      <c r="AA13" s="91">
        <f>IF(H13="","",((H13-M13-R13-W13)))</f>
        <v/>
      </c>
      <c r="AB13" s="410">
        <f>IF(AA13=0,0,(AA13/H13*100))</f>
        <v/>
      </c>
      <c r="AC13" s="164">
        <f>IF(AA13=0,0,(AB13*E13/100))</f>
        <v/>
      </c>
    </row>
    <row r="14" ht="20.1" customHeight="1">
      <c r="A14" s="17" t="n"/>
      <c r="B14" s="37" t="inlineStr">
        <is>
          <t>3/4 in</t>
        </is>
      </c>
      <c r="C14" s="177">
        <f>+FORMATO!D28</f>
        <v/>
      </c>
      <c r="D14" s="86">
        <f>C14+($P$5*C14)</f>
        <v/>
      </c>
      <c r="E14" s="84">
        <f>IF(D14="","",((D14/$D$18*100)))</f>
        <v/>
      </c>
      <c r="F14" s="85">
        <f>+FORMATO!I28</f>
        <v/>
      </c>
      <c r="G14" s="177">
        <f>+FORMATO!K28</f>
        <v/>
      </c>
      <c r="H14" s="86">
        <f>G14+($P$5*G14)</f>
        <v/>
      </c>
      <c r="I14" s="87">
        <f>IF(G14=0,"--",H14/D14)</f>
        <v/>
      </c>
      <c r="J14" s="86">
        <f>IF(G14=0,"--",IF(I14&gt;=10%,"Cumple","No Cumple"))</f>
        <v/>
      </c>
      <c r="K14" s="88">
        <f>+FORMATO!C41</f>
        <v/>
      </c>
      <c r="L14" s="177">
        <f>+FORMATO!E41</f>
        <v/>
      </c>
      <c r="M14" s="91">
        <f>L14+($P$5*L14)</f>
        <v/>
      </c>
      <c r="N14" s="410">
        <f>IF(M14=0,0,(M14/H14*100))</f>
        <v/>
      </c>
      <c r="O14" s="164">
        <f>IF(M14=0,0,(N14*E14/100))</f>
        <v/>
      </c>
      <c r="P14" s="89">
        <f>+FORMATO!G41</f>
        <v/>
      </c>
      <c r="Q14" s="177">
        <f>+FORMATO!I41</f>
        <v/>
      </c>
      <c r="R14" s="86">
        <f>Q14+($P$5*Q14)</f>
        <v/>
      </c>
      <c r="S14" s="410">
        <f>IF(R14=0,0,(R14/H14*100))</f>
        <v/>
      </c>
      <c r="T14" s="167">
        <f>IF(R14=0,0,(S14*E14/100))</f>
        <v/>
      </c>
      <c r="U14" s="88" t="n">
        <v>0</v>
      </c>
      <c r="V14" s="177" t="n">
        <v>0</v>
      </c>
      <c r="W14" s="91">
        <f>V14+($P$5*V14)</f>
        <v/>
      </c>
      <c r="X14" s="410">
        <f>IF(W14=0,0,(W14/H14*100))</f>
        <v/>
      </c>
      <c r="Y14" s="164">
        <f>IF(W14=0,0,(X14*E14/100))</f>
        <v/>
      </c>
      <c r="Z14" s="90">
        <f>IF(D14="","",((F14-K14-P14-U14)))</f>
        <v/>
      </c>
      <c r="AA14" s="91">
        <f>IF(H14="","",((H14-M14-R14-W14)))</f>
        <v/>
      </c>
      <c r="AB14" s="410">
        <f>IF(AA14=0,0,(AA14/H14*100))</f>
        <v/>
      </c>
      <c r="AC14" s="164">
        <f>IF(AA14=0,0,(AB14*E14/100))</f>
        <v/>
      </c>
    </row>
    <row r="15" ht="20.1" customHeight="1">
      <c r="A15" s="18" t="n"/>
      <c r="B15" s="37" t="inlineStr">
        <is>
          <t>1/2 in</t>
        </is>
      </c>
      <c r="C15" s="177">
        <f>+FORMATO!D29</f>
        <v/>
      </c>
      <c r="D15" s="86">
        <f>C15+($P$5*C15)</f>
        <v/>
      </c>
      <c r="E15" s="84">
        <f>IF(D15="","",((D15/$D$18*100)))</f>
        <v/>
      </c>
      <c r="F15" s="85">
        <f>+FORMATO!I29</f>
        <v/>
      </c>
      <c r="G15" s="177">
        <f>+FORMATO!K29</f>
        <v/>
      </c>
      <c r="H15" s="86">
        <f>G15+($P$5*G15)</f>
        <v/>
      </c>
      <c r="I15" s="87">
        <f>IF(G15=0,"--",H15/D15)</f>
        <v/>
      </c>
      <c r="J15" s="86">
        <f>IF(G15=0,"--",IF(I15&gt;=10%,"Cumple","No Cumple"))</f>
        <v/>
      </c>
      <c r="K15" s="88">
        <f>+FORMATO!C42</f>
        <v/>
      </c>
      <c r="L15" s="177">
        <f>+FORMATO!E42</f>
        <v/>
      </c>
      <c r="M15" s="91">
        <f>L15+($P$5*L15)</f>
        <v/>
      </c>
      <c r="N15" s="410">
        <f>IF(M15=0,0,(M15/H15*100))</f>
        <v/>
      </c>
      <c r="O15" s="164">
        <f>IF(M15=0,0,(N15*E15/100))</f>
        <v/>
      </c>
      <c r="P15" s="89">
        <f>+FORMATO!G42</f>
        <v/>
      </c>
      <c r="Q15" s="177">
        <f>+FORMATO!I42</f>
        <v/>
      </c>
      <c r="R15" s="86">
        <f>Q15+($P$5*Q15)</f>
        <v/>
      </c>
      <c r="S15" s="410">
        <f>IF(R15=0,0,(R15/H15*100))</f>
        <v/>
      </c>
      <c r="T15" s="167">
        <f>IF(R15=0,0,(S15*E15/100))</f>
        <v/>
      </c>
      <c r="U15" s="88" t="n">
        <v>0</v>
      </c>
      <c r="V15" s="177" t="n">
        <v>0</v>
      </c>
      <c r="W15" s="91">
        <f>V15+($P$5*V15)</f>
        <v/>
      </c>
      <c r="X15" s="410">
        <f>IF(W15=0,0,(W15/H15*100))</f>
        <v/>
      </c>
      <c r="Y15" s="164">
        <f>IF(W15=0,0,(X15*E15/100))</f>
        <v/>
      </c>
      <c r="Z15" s="90">
        <f>IF(D15="","",((F15-K15-P15-U15)))</f>
        <v/>
      </c>
      <c r="AA15" s="91">
        <f>IF(H15="","",((H15-M15-R15-W15)))</f>
        <v/>
      </c>
      <c r="AB15" s="410">
        <f>IF(AA15=0,0,(AA15/H15*100))</f>
        <v/>
      </c>
      <c r="AC15" s="164">
        <f>IF(AA15=0,0,(AB15*E15/100))</f>
        <v/>
      </c>
    </row>
    <row r="16" ht="20.1" customHeight="1">
      <c r="A16" s="18" t="n"/>
      <c r="B16" s="37" t="inlineStr">
        <is>
          <t>3/8 in</t>
        </is>
      </c>
      <c r="C16" s="177">
        <f>+FORMATO!D30</f>
        <v/>
      </c>
      <c r="D16" s="86">
        <f>C16+($P$5*C16)</f>
        <v/>
      </c>
      <c r="E16" s="91">
        <f>IF(D16="","",((D16/$D$18*100)))</f>
        <v/>
      </c>
      <c r="F16" s="85">
        <f>+FORMATO!I30</f>
        <v/>
      </c>
      <c r="G16" s="177">
        <f>+FORMATO!K30</f>
        <v/>
      </c>
      <c r="H16" s="86">
        <f>G16+($P$5*G16)</f>
        <v/>
      </c>
      <c r="I16" s="87">
        <f>IF(G16=0,"--",H16/D16)</f>
        <v/>
      </c>
      <c r="J16" s="86">
        <f>IF(G16=0,"--",IF(I16&gt;=10%,"Cumple","No Cumple"))</f>
        <v/>
      </c>
      <c r="K16" s="88">
        <f>+FORMATO!C43</f>
        <v/>
      </c>
      <c r="L16" s="177">
        <f>+FORMATO!E43</f>
        <v/>
      </c>
      <c r="M16" s="91">
        <f>L16+($P$5*L16)</f>
        <v/>
      </c>
      <c r="N16" s="410">
        <f>IF(M16=0,0,(M16/H16*100))</f>
        <v/>
      </c>
      <c r="O16" s="164">
        <f>IF(M16=0,0,(N16*E16/100))</f>
        <v/>
      </c>
      <c r="P16" s="89">
        <f>+FORMATO!G43</f>
        <v/>
      </c>
      <c r="Q16" s="177">
        <f>+FORMATO!I43</f>
        <v/>
      </c>
      <c r="R16" s="86">
        <f>Q16+($P$5*Q16)</f>
        <v/>
      </c>
      <c r="S16" s="410">
        <f>IF(R16=0,0,(R16/H16*100))</f>
        <v/>
      </c>
      <c r="T16" s="167">
        <f>IF(R16=0,0,(S16*E16/100))</f>
        <v/>
      </c>
      <c r="U16" s="88" t="n">
        <v>0</v>
      </c>
      <c r="V16" s="177" t="n">
        <v>0</v>
      </c>
      <c r="W16" s="91">
        <f>V16+($P$5*V16)</f>
        <v/>
      </c>
      <c r="X16" s="410">
        <f>IF(W16=0,0,(W16/H16*100))</f>
        <v/>
      </c>
      <c r="Y16" s="164">
        <f>IF(W16=0,0,(X16*E16/100))</f>
        <v/>
      </c>
      <c r="Z16" s="90">
        <f>IF(D16="","",((F16-K16-P16-U16)))</f>
        <v/>
      </c>
      <c r="AA16" s="91">
        <f>IF(H16="","",((H16-M16-R16-W16)))</f>
        <v/>
      </c>
      <c r="AB16" s="410">
        <f>IF(AA16=0,0,(AA16/H16*100))</f>
        <v/>
      </c>
      <c r="AC16" s="164">
        <f>IF(AA16=0,0,(AB16*E16/100))</f>
        <v/>
      </c>
    </row>
    <row r="17" ht="20.1" customHeight="1">
      <c r="A17" s="18" t="n"/>
      <c r="B17" s="485" t="inlineStr">
        <is>
          <t>N°4</t>
        </is>
      </c>
      <c r="C17" s="177">
        <f>+FORMATO!D31</f>
        <v/>
      </c>
      <c r="D17" s="86">
        <f>C17+($P$5*C17)</f>
        <v/>
      </c>
      <c r="E17" s="91">
        <f>IF(D17="","",((D17/$D$18*100)))</f>
        <v/>
      </c>
      <c r="F17" s="85">
        <f>+FORMATO!I31</f>
        <v/>
      </c>
      <c r="G17" s="177">
        <f>+FORMATO!K31</f>
        <v/>
      </c>
      <c r="H17" s="86">
        <f>G17+($P$5*G17)</f>
        <v/>
      </c>
      <c r="I17" s="87">
        <f>IF(G17=0,"--",H17/D17)</f>
        <v/>
      </c>
      <c r="J17" s="86">
        <f>IF(G17=0,"--",IF(I17&gt;=10%,"Cumple","No Cumple"))</f>
        <v/>
      </c>
      <c r="K17" s="88">
        <f>+FORMATO!C44</f>
        <v/>
      </c>
      <c r="L17" s="177">
        <f>+FORMATO!E44</f>
        <v/>
      </c>
      <c r="M17" s="91">
        <f>L17+($P$5*L17)</f>
        <v/>
      </c>
      <c r="N17" s="410">
        <f>IF(M17=0,0,(M17/H17*100))</f>
        <v/>
      </c>
      <c r="O17" s="164">
        <f>IF(M17=0,0,(N17*E17/100))</f>
        <v/>
      </c>
      <c r="P17" s="89">
        <f>+FORMATO!G44</f>
        <v/>
      </c>
      <c r="Q17" s="177">
        <f>+FORMATO!I44</f>
        <v/>
      </c>
      <c r="R17" s="86">
        <f>Q17+($P$5*Q17)</f>
        <v/>
      </c>
      <c r="S17" s="410">
        <f>IF(R17=0,0,(R17/H17*100))</f>
        <v/>
      </c>
      <c r="T17" s="167">
        <f>IF(R17=0,0,(S17*E17/100))</f>
        <v/>
      </c>
      <c r="U17" s="88" t="n">
        <v>0</v>
      </c>
      <c r="V17" s="177" t="n">
        <v>0</v>
      </c>
      <c r="W17" s="91">
        <f>V17+($P$5*V17)</f>
        <v/>
      </c>
      <c r="X17" s="410">
        <f>IF(W17=0,0,(W17/H17*100))</f>
        <v/>
      </c>
      <c r="Y17" s="164">
        <f>IF(W17=0,0,(X17*E17/100))</f>
        <v/>
      </c>
      <c r="Z17" s="90">
        <f>IF(D17="","",((F17-K17-P17-U17)))</f>
        <v/>
      </c>
      <c r="AA17" s="91">
        <f>IF(H17="","",((H17-M17-R17-W17)))</f>
        <v/>
      </c>
      <c r="AB17" s="410">
        <f>IF(AA17=0,0,(AA17/H17*100))</f>
        <v/>
      </c>
      <c r="AC17" s="164">
        <f>IF(AA17=0,0,(AB17*E17/100))</f>
        <v/>
      </c>
    </row>
    <row r="18" ht="20.1" customHeight="1">
      <c r="A18" s="18" t="n"/>
      <c r="B18" s="618" t="inlineStr">
        <is>
          <t>TOTAL</t>
        </is>
      </c>
      <c r="C18" s="550" t="n"/>
      <c r="D18" s="92">
        <f>SUM(D12:D17)</f>
        <v/>
      </c>
      <c r="E18" s="174">
        <f>SUM(E12:E17)</f>
        <v/>
      </c>
      <c r="F18" s="175">
        <f>SUM(F12:F17)</f>
        <v/>
      </c>
      <c r="H18" s="175">
        <f>SUM(H12:H17)</f>
        <v/>
      </c>
      <c r="I18" s="176" t="n"/>
      <c r="J18" s="74" t="n"/>
      <c r="K18" s="483" t="n"/>
      <c r="L18" s="483" t="n"/>
      <c r="M18" s="483" t="n"/>
      <c r="N18" s="483" t="n"/>
      <c r="O18" s="169">
        <f>SUM(O12:O17)</f>
        <v/>
      </c>
      <c r="T18" s="169">
        <f>SUM(T12:T17)</f>
        <v/>
      </c>
      <c r="Y18" s="169">
        <f>SUM(Y12:Y17)</f>
        <v/>
      </c>
      <c r="AC18" s="169">
        <f>SUM(AC12:AC17)</f>
        <v/>
      </c>
      <c r="AD18" s="170">
        <f>+O18+T18+Y18+AC18</f>
        <v/>
      </c>
    </row>
    <row r="19" ht="15.75" customHeight="1">
      <c r="A19" s="18" t="n"/>
      <c r="B19" s="618" t="inlineStr">
        <is>
          <t>TMN</t>
        </is>
      </c>
      <c r="C19" s="550" t="n"/>
      <c r="D19" s="36">
        <f>+IF(AND(COUNTA(E12)=1,E12&gt;5),B12,IF(AND(COUNTA(E13)=1,E13&gt;5),B13,IF(AND(COUNTA(E14)=1,E14&gt;5),B14,IF(AND(COUNTA(E15)=1,E15&gt;5),B15,IF(AND(COUNTA(E16)=1,E16&gt;5),B16,IF(AND(COUNTA(E17)=1,E17&gt;5),B17))))))</f>
        <v/>
      </c>
      <c r="E19" s="459" t="n"/>
      <c r="F19" s="554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  <c r="AA19" s="59" t="n"/>
      <c r="AB19" s="59" t="n"/>
      <c r="AC19" s="59" t="n"/>
      <c r="AD19" s="59" t="n"/>
      <c r="AE19" s="59" t="n"/>
    </row>
    <row r="20" ht="20.25" customHeight="1">
      <c r="B20" s="619" t="inlineStr">
        <is>
          <t>Cant mín. masa</t>
        </is>
      </c>
      <c r="C20" s="550" t="n"/>
      <c r="D20" s="93">
        <f>+IF(D19="1 1/2 in",15000,IF(D19="1 in",10000,IF(D19="3/4 in",5000,IF(D19="1/2 in",2000,IF(D19="3/8 in",1000,1000)))))</f>
        <v/>
      </c>
      <c r="E20" s="458">
        <f>+IF(D18&gt;=D20,"Cumple","No Cumple")</f>
        <v/>
      </c>
      <c r="F20" s="577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</row>
    <row r="21" ht="19.5" customHeight="1">
      <c r="B21" s="26" t="inlineStr">
        <is>
          <t>En la COLUMNA F, el numero de particulas tiene que ser aproximadamente 100 und</t>
        </is>
      </c>
      <c r="C21" s="26" t="n"/>
      <c r="D21" s="94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</row>
    <row r="22" ht="19.5" customHeight="1">
      <c r="B22" s="26" t="inlineStr">
        <is>
          <t>En la COLUMNA E, cuando el porcentaje retenido es menos del 10% la masa retenida sera igual a cero</t>
        </is>
      </c>
      <c r="C22" s="26" t="n"/>
      <c r="D22" s="94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</row>
    <row r="23" ht="17.45" customHeight="1">
      <c r="D23" s="94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</row>
    <row r="24" ht="17.45" customHeight="1">
      <c r="D24" s="78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</row>
    <row r="25" ht="17.45" customHeight="1">
      <c r="D25" s="78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</row>
    <row r="26" ht="17.45" customHeight="1">
      <c r="D26" s="78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</row>
    <row r="27" ht="17.45" customHeight="1">
      <c r="D27" s="78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</row>
    <row r="28" ht="17.45" customHeight="1">
      <c r="D28" s="78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</row>
    <row r="29" ht="17.45" customHeight="1">
      <c r="A29" s="18" t="n"/>
      <c r="B29" s="74" t="n"/>
      <c r="C29" s="74" t="n"/>
      <c r="D29" s="78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</row>
    <row r="30" ht="17.45" customHeight="1">
      <c r="A30" s="18" t="n"/>
      <c r="B30" s="74" t="n"/>
      <c r="C30" s="74" t="n"/>
      <c r="D30" s="78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</row>
    <row r="31" ht="17.45" customHeight="1">
      <c r="A31" s="18" t="n"/>
      <c r="B31" s="74" t="n"/>
      <c r="C31" s="74" t="n"/>
      <c r="D31" s="74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</row>
    <row r="32" ht="17.45" customHeight="1">
      <c r="A32" s="18" t="n"/>
      <c r="B32" s="74" t="n"/>
      <c r="C32" s="74" t="n"/>
      <c r="D32" s="74" t="n"/>
    </row>
    <row r="33" ht="17.45" customHeight="1">
      <c r="A33" s="18" t="n"/>
      <c r="B33" s="74" t="n"/>
      <c r="C33" s="74" t="n"/>
      <c r="D33" s="74" t="n"/>
    </row>
    <row r="34" ht="17.45" customHeight="1">
      <c r="A34" s="18" t="n"/>
      <c r="B34" s="95" t="n"/>
      <c r="C34" s="95" t="n"/>
      <c r="D34" s="95" t="n"/>
    </row>
    <row r="35" ht="17.45" customHeight="1">
      <c r="A35" s="18" t="n"/>
    </row>
    <row r="36" ht="17.45" customHeight="1">
      <c r="A36" s="30" t="n"/>
    </row>
    <row r="37" ht="17.45" customHeight="1"/>
    <row r="38" ht="17.45" customHeight="1"/>
    <row r="39" ht="17.45" customHeight="1"/>
    <row r="40" ht="17.45" customHeight="1"/>
    <row r="41" ht="17.45" customHeight="1"/>
    <row r="42" ht="17.45" customHeight="1"/>
    <row r="43" ht="15.9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2CmkyEPZxOn7U/o+xKz2Q==" formatRows="1" sort="1" spinCount="100000" hashValue="Vftg8U21ZJTePFsf5V3zY515SSA0XajadpnPQ7a91vrFAyTyE4FwEwIAzDLUnqmlbmjYcUTUMiHD+kFA1XWY3g=="/>
  <mergeCells count="37">
    <mergeCell ref="P10:P11"/>
    <mergeCell ref="W4:X4"/>
    <mergeCell ref="P4:Q4"/>
    <mergeCell ref="F4:G4"/>
    <mergeCell ref="P8:T9"/>
    <mergeCell ref="F10:J10"/>
    <mergeCell ref="B18:C18"/>
    <mergeCell ref="R4:S4"/>
    <mergeCell ref="F3:G3"/>
    <mergeCell ref="C8:J9"/>
    <mergeCell ref="K8:O9"/>
    <mergeCell ref="E20:F20"/>
    <mergeCell ref="U8:Y9"/>
    <mergeCell ref="V10:W10"/>
    <mergeCell ref="F5:G5"/>
    <mergeCell ref="E19:F19"/>
    <mergeCell ref="Q10:R10"/>
    <mergeCell ref="Z8:AC9"/>
    <mergeCell ref="N5:O5"/>
    <mergeCell ref="F2:G2"/>
    <mergeCell ref="Z10:Z11"/>
    <mergeCell ref="S10:T10"/>
    <mergeCell ref="B19:C19"/>
    <mergeCell ref="L10:M10"/>
    <mergeCell ref="U4:V4"/>
    <mergeCell ref="N10:O10"/>
    <mergeCell ref="B8:B10"/>
    <mergeCell ref="U10:U11"/>
    <mergeCell ref="K10:K11"/>
    <mergeCell ref="X10:Y10"/>
    <mergeCell ref="B20:C20"/>
    <mergeCell ref="AB10:AC10"/>
    <mergeCell ref="B1:AC1"/>
    <mergeCell ref="P5:Q5"/>
    <mergeCell ref="R5:S5"/>
    <mergeCell ref="N4:O4"/>
    <mergeCell ref="C10:E10"/>
  </mergeCells>
  <conditionalFormatting sqref="E12:E17">
    <cfRule type="cellIs" priority="1" operator="lessThan" dxfId="0">
      <formula>10</formula>
    </cfRule>
  </conditionalFormatting>
  <dataValidations count="4">
    <dataValidation sqref="F3" showDropDown="0" showInputMessage="1" showErrorMessage="1" allowBlank="0" type="list">
      <formula1>"-,'1:2,'1:3,'1:5"</formula1>
    </dataValidation>
    <dataValidation sqref="F5:G5" showDropDown="0" showInputMessage="1" showErrorMessage="1" allowBlank="0" type="list">
      <formula1>"-, A, B"</formula1>
    </dataValidation>
    <dataValidation sqref="F4:G4" showDropDown="0" showInputMessage="1" showErrorMessage="1" allowBlank="0" type="list">
      <formula1>"'-, No 4, 3/8 in"</formula1>
    </dataValidation>
    <dataValidation sqref="W4:X4" showDropDown="0" showInputMessage="1" showErrorMessage="1" allowBlank="0" type="list">
      <formula1>"-,IVAN , DEYVI, BEATRIZ"</formula1>
    </dataValidation>
  </dataValidations>
  <printOptions horizontalCentered="1"/>
  <pageMargins left="0" right="0" top="0.1968503937007874" bottom="0" header="0" footer="0"/>
  <pageSetup orientation="portrait" paperSize="274" scale="90"/>
  <headerFooter scaleWithDoc="0">
    <oddHeader>&amp;C&amp;G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006"/>
  <sheetViews>
    <sheetView topLeftCell="A102" zoomScaleNormal="100" workbookViewId="0">
      <selection activeCell="E121" sqref="E121"/>
    </sheetView>
  </sheetViews>
  <sheetFormatPr baseColWidth="10" defaultColWidth="12.5703125" defaultRowHeight="15" customHeight="1"/>
  <cols>
    <col width="2.28515625" bestFit="1" customWidth="1" style="173" min="1" max="1"/>
    <col width="22.28515625" customWidth="1" min="2" max="2"/>
    <col width="7.28515625" customWidth="1" min="3" max="3"/>
    <col width="11.28515625" customWidth="1" min="4" max="4"/>
    <col width="11.140625" customWidth="1" min="5" max="5"/>
    <col width="11.5703125" customWidth="1" min="6" max="6"/>
    <col width="12.85546875" customWidth="1" min="7" max="7"/>
    <col width="12.140625" customWidth="1" min="8" max="9"/>
    <col width="10.28515625" customWidth="1" min="10" max="10"/>
    <col width="13" customWidth="1" min="11" max="11"/>
    <col width="12.140625" customWidth="1" min="12" max="12"/>
    <col width="12.28515625" customWidth="1" min="13" max="13"/>
    <col width="14.85546875" customWidth="1" min="14" max="14"/>
    <col width="11.42578125" customWidth="1" min="15" max="15"/>
    <col width="11.7109375" customWidth="1" min="16" max="16"/>
    <col width="12.42578125" customWidth="1" min="17" max="17"/>
    <col width="13.140625" customWidth="1" min="18" max="18"/>
    <col width="12.28515625" customWidth="1" min="19" max="19"/>
    <col width="11.28515625" customWidth="1" min="20" max="20"/>
    <col width="10.85546875" customWidth="1" min="25" max="25"/>
    <col width="12" customWidth="1" min="29" max="29"/>
    <col width="11.7109375" customWidth="1" min="30" max="30"/>
    <col width="12.5703125" customWidth="1" style="173" min="35" max="35"/>
    <col width="20.140625" customWidth="1" style="173" min="36" max="36"/>
    <col width="12.5703125" customWidth="1" style="173" min="37" max="41"/>
  </cols>
  <sheetData>
    <row r="1" ht="12.75" customHeight="1">
      <c r="B1" s="620" t="n"/>
      <c r="C1" s="621" t="n"/>
      <c r="D1" s="622" t="inlineStr">
        <is>
          <t>INFORME DE ESTIMACIÓN DE INCERTIDUMBRE</t>
        </is>
      </c>
      <c r="E1" s="623" t="n"/>
      <c r="F1" s="623" t="n"/>
      <c r="G1" s="623" t="n"/>
      <c r="H1" s="623" t="n"/>
      <c r="I1" s="621" t="n"/>
      <c r="J1" s="96" t="inlineStr">
        <is>
          <t>Código:</t>
        </is>
      </c>
      <c r="K1" s="96" t="inlineStr">
        <is>
          <t>F-LEM-P-10.01</t>
        </is>
      </c>
      <c r="L1" s="97" t="n"/>
      <c r="M1" s="97" t="n"/>
      <c r="N1" s="97" t="n"/>
      <c r="O1" s="97" t="n"/>
      <c r="P1" s="97" t="n"/>
      <c r="Q1" s="97" t="n"/>
      <c r="R1" s="97" t="n"/>
      <c r="S1" s="97" t="n"/>
    </row>
    <row r="2" ht="12.75" customHeight="1">
      <c r="B2" s="624" t="n"/>
      <c r="C2" s="625" t="n"/>
      <c r="D2" s="624" t="n"/>
      <c r="I2" s="625" t="n"/>
      <c r="J2" s="96" t="inlineStr">
        <is>
          <t>Versión:</t>
        </is>
      </c>
      <c r="K2" s="626" t="n">
        <v>3</v>
      </c>
      <c r="L2" s="97" t="n"/>
      <c r="M2" s="97" t="n"/>
      <c r="N2" s="97" t="n"/>
      <c r="O2" s="97" t="n"/>
      <c r="P2" s="97" t="n"/>
      <c r="Q2" s="97" t="n"/>
      <c r="R2" s="97" t="n"/>
      <c r="S2" s="97" t="n"/>
    </row>
    <row r="3" ht="12.75" customHeight="1">
      <c r="B3" s="624" t="n"/>
      <c r="C3" s="625" t="n"/>
      <c r="D3" s="624" t="n"/>
      <c r="I3" s="625" t="n"/>
      <c r="J3" s="96" t="inlineStr">
        <is>
          <t>Fecha:</t>
        </is>
      </c>
      <c r="K3" s="627" t="n">
        <v>46146</v>
      </c>
      <c r="L3" s="97" t="n"/>
      <c r="M3" s="97" t="n"/>
      <c r="N3" s="97" t="n"/>
      <c r="O3" s="97" t="n"/>
      <c r="P3" s="97" t="n"/>
      <c r="Q3" s="97" t="n"/>
      <c r="R3" s="97" t="n"/>
      <c r="S3" s="97" t="n"/>
    </row>
    <row r="4" ht="12.75" customHeight="1">
      <c r="B4" s="628" t="n"/>
      <c r="C4" s="629" t="n"/>
      <c r="D4" s="628" t="n"/>
      <c r="E4" s="630" t="n"/>
      <c r="F4" s="630" t="n"/>
      <c r="G4" s="630" t="n"/>
      <c r="H4" s="630" t="n"/>
      <c r="I4" s="629" t="n"/>
      <c r="J4" s="96" t="inlineStr">
        <is>
          <t>Página:</t>
        </is>
      </c>
      <c r="K4" s="96" t="inlineStr">
        <is>
          <t>1 de 1</t>
        </is>
      </c>
      <c r="L4" s="97" t="n"/>
      <c r="M4" s="97" t="n"/>
      <c r="N4" s="97" t="n"/>
      <c r="O4" s="97" t="n"/>
      <c r="P4" s="97" t="n"/>
      <c r="Q4" s="97" t="n"/>
      <c r="R4" s="97" t="n"/>
      <c r="S4" s="97" t="n"/>
    </row>
    <row r="5" ht="12.75" customHeight="1"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  <c r="P5" s="97" t="n"/>
      <c r="Q5" s="97" t="n"/>
      <c r="R5" s="97" t="n"/>
      <c r="S5" s="97" t="n"/>
    </row>
    <row r="6" ht="22.15" customHeight="1">
      <c r="B6" s="160" t="inlineStr">
        <is>
          <t>Método:</t>
        </is>
      </c>
      <c r="C6" s="631" t="inlineStr">
        <is>
          <t>Standard Test Method for Flat Particles, Elongated Particles, or Flat and Elongated Particles in Coarse Aggregate</t>
        </is>
      </c>
      <c r="D6" s="547" t="n"/>
      <c r="E6" s="547" t="n"/>
      <c r="F6" s="547" t="n"/>
      <c r="G6" s="547" t="n"/>
      <c r="H6" s="547" t="n"/>
      <c r="I6" s="547" t="n"/>
      <c r="J6" s="547" t="n"/>
      <c r="K6" s="550" t="n"/>
      <c r="L6" s="97" t="n"/>
      <c r="M6" s="97" t="n"/>
      <c r="N6" s="97" t="n"/>
      <c r="O6" s="97" t="n"/>
      <c r="P6" s="97" t="n"/>
      <c r="Q6" s="97" t="n"/>
      <c r="R6" s="97" t="n"/>
      <c r="S6" s="97" t="n"/>
    </row>
    <row r="7" ht="18" customHeight="1">
      <c r="B7" s="160" t="inlineStr">
        <is>
          <t>Norma:</t>
        </is>
      </c>
      <c r="C7" s="631" t="inlineStr">
        <is>
          <t>ASTM D4791-19 (Reapproved 2023)</t>
        </is>
      </c>
      <c r="D7" s="547" t="n"/>
      <c r="E7" s="547" t="n"/>
      <c r="F7" s="547" t="n"/>
      <c r="G7" s="547" t="n"/>
      <c r="H7" s="547" t="n"/>
      <c r="I7" s="547" t="n"/>
      <c r="J7" s="547" t="n"/>
      <c r="K7" s="550" t="n"/>
      <c r="L7" s="97" t="n"/>
      <c r="M7" s="97" t="n"/>
      <c r="N7" s="97" t="n"/>
      <c r="O7" s="97" t="n"/>
      <c r="P7" s="97" t="n"/>
      <c r="Q7" s="97" t="n"/>
      <c r="R7" s="97" t="n"/>
      <c r="S7" s="97" t="n"/>
    </row>
    <row r="8" ht="18" customHeight="1">
      <c r="B8" s="160" t="inlineStr">
        <is>
          <t>Matriz:</t>
        </is>
      </c>
      <c r="C8" s="631" t="inlineStr">
        <is>
          <t>Agregados</t>
        </is>
      </c>
      <c r="D8" s="547" t="n"/>
      <c r="E8" s="547" t="n"/>
      <c r="F8" s="547" t="n"/>
      <c r="G8" s="547" t="n"/>
      <c r="H8" s="547" t="n"/>
      <c r="I8" s="547" t="n"/>
      <c r="J8" s="547" t="n"/>
      <c r="K8" s="550" t="n"/>
      <c r="L8" s="97" t="n"/>
      <c r="M8" s="97" t="n"/>
      <c r="N8" s="97" t="n"/>
      <c r="O8" s="97" t="n"/>
      <c r="P8" s="97" t="n"/>
      <c r="Q8" s="97" t="n"/>
      <c r="R8" s="97" t="n"/>
      <c r="S8" s="97" t="n"/>
    </row>
    <row r="9" ht="24" customHeight="1">
      <c r="B9" s="161" t="inlineStr">
        <is>
          <t>Mensurando</t>
        </is>
      </c>
      <c r="C9" s="631" t="inlineStr">
        <is>
          <t>Determinación de los porcentajes de partículas planas, partículas alargadas o partículas planas y alargadas en agregados gruesos</t>
        </is>
      </c>
      <c r="D9" s="547" t="n"/>
      <c r="E9" s="547" t="n"/>
      <c r="F9" s="547" t="n"/>
      <c r="G9" s="547" t="n"/>
      <c r="H9" s="547" t="n"/>
      <c r="I9" s="547" t="n"/>
      <c r="J9" s="547" t="n"/>
      <c r="K9" s="550" t="n"/>
      <c r="L9" s="97" t="n"/>
      <c r="M9" s="97" t="n"/>
      <c r="N9" s="97" t="n"/>
      <c r="O9" s="97" t="n"/>
      <c r="P9" s="97" t="n"/>
      <c r="Q9" s="97" t="n"/>
      <c r="R9" s="97" t="n"/>
      <c r="S9" s="97" t="n"/>
    </row>
    <row r="10" ht="12.75" customHeight="1">
      <c r="B10" s="97" t="n"/>
      <c r="C10" s="97" t="n"/>
      <c r="D10" s="97" t="n"/>
      <c r="E10" s="97" t="n"/>
      <c r="F10" s="97" t="n"/>
      <c r="G10" s="97" t="n"/>
      <c r="H10" s="97" t="n"/>
      <c r="I10" s="97" t="n"/>
      <c r="J10" s="97" t="n"/>
      <c r="K10" s="97" t="n"/>
      <c r="L10" s="97" t="n"/>
      <c r="M10" s="97" t="n"/>
      <c r="N10" s="97" t="n"/>
      <c r="O10" s="97" t="n"/>
      <c r="P10" s="97" t="n"/>
      <c r="Q10" s="97" t="n"/>
      <c r="R10" s="97" t="n"/>
      <c r="S10" s="97" t="n"/>
    </row>
    <row r="11" ht="15" customHeight="1">
      <c r="B11" s="99" t="inlineStr">
        <is>
          <t>Paso 1. Definición del proceso de medición</t>
        </is>
      </c>
      <c r="C11" s="100" t="n"/>
      <c r="D11" s="100" t="n"/>
      <c r="E11" s="100" t="n"/>
      <c r="F11" s="100" t="n"/>
      <c r="G11" s="100" t="n"/>
      <c r="H11" s="99" t="inlineStr">
        <is>
          <t>Paso 2. Definición de las variables aleatorias</t>
        </is>
      </c>
      <c r="I11" s="100" t="n"/>
      <c r="J11" s="97" t="n"/>
      <c r="K11" s="97" t="n"/>
      <c r="L11" s="97" t="n"/>
      <c r="M11" s="97" t="n"/>
      <c r="N11" s="97" t="n"/>
      <c r="O11" s="97" t="n"/>
      <c r="P11" s="97" t="n"/>
      <c r="Q11" s="97" t="n"/>
      <c r="R11" s="97" t="n"/>
      <c r="S11" s="97" t="n"/>
    </row>
    <row r="12" ht="7.5" customHeight="1">
      <c r="B12" s="99" t="n"/>
      <c r="C12" s="100" t="n"/>
      <c r="D12" s="100" t="n"/>
      <c r="E12" s="100" t="n"/>
      <c r="F12" s="100" t="n"/>
      <c r="G12" s="100" t="n"/>
      <c r="H12" s="100" t="n"/>
      <c r="I12" s="100" t="n"/>
      <c r="J12" s="97" t="n"/>
      <c r="K12" s="97" t="n"/>
      <c r="L12" s="97" t="n"/>
      <c r="M12" s="97" t="n"/>
      <c r="N12" s="97" t="n"/>
      <c r="O12" s="97" t="n"/>
      <c r="P12" s="97" t="n"/>
      <c r="Q12" s="97" t="n"/>
      <c r="R12" s="97" t="n"/>
      <c r="S12" s="97" t="n"/>
    </row>
    <row r="13" ht="15" customHeight="1">
      <c r="B13" s="101" t="inlineStr">
        <is>
          <t>Variables:</t>
        </is>
      </c>
      <c r="C13" s="100" t="n"/>
      <c r="E13" s="101" t="inlineStr">
        <is>
          <t>Fórmula:</t>
        </is>
      </c>
      <c r="F13" s="100" t="n"/>
      <c r="I13" s="100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</row>
    <row r="14" ht="9" customHeight="1">
      <c r="B14" s="100" t="n"/>
      <c r="C14" s="100" t="n"/>
      <c r="D14" s="100" t="n"/>
      <c r="E14" s="100" t="n"/>
      <c r="F14" s="100" t="n"/>
      <c r="G14" s="100" t="n"/>
      <c r="H14" s="100" t="n"/>
      <c r="I14" s="100" t="n"/>
      <c r="J14" s="97" t="n"/>
      <c r="K14" s="97" t="n"/>
      <c r="L14" s="97" t="n"/>
      <c r="M14" s="97" t="n"/>
      <c r="N14" s="97" t="n"/>
      <c r="O14" s="97" t="n"/>
      <c r="P14" s="97" t="n"/>
      <c r="Q14" s="97" t="n"/>
      <c r="R14" s="97" t="n"/>
      <c r="S14" s="97" t="n"/>
    </row>
    <row r="15" ht="15" customHeight="1">
      <c r="B15" s="102" t="inlineStr">
        <is>
          <t>A = Masa de la partícula</t>
        </is>
      </c>
      <c r="C15" s="100" t="n"/>
      <c r="D15" s="100" t="n"/>
      <c r="E15" s="100" t="n"/>
      <c r="F15" s="100" t="n"/>
      <c r="G15" s="100" t="n"/>
      <c r="H15" s="100" t="n"/>
      <c r="I15" s="100" t="n"/>
      <c r="J15" s="97" t="n"/>
      <c r="K15" s="97" t="n"/>
      <c r="L15" s="97" t="n"/>
      <c r="M15" s="97" t="n"/>
      <c r="N15" s="97" t="n"/>
      <c r="O15" s="97" t="n"/>
      <c r="P15" s="97" t="n"/>
      <c r="Q15" s="97" t="n"/>
      <c r="R15" s="97" t="n"/>
      <c r="S15" s="97" t="n"/>
    </row>
    <row r="16" ht="15" customHeight="1">
      <c r="B16" s="102" t="inlineStr">
        <is>
          <t>B= Masa retenida</t>
        </is>
      </c>
      <c r="C16" s="100" t="n"/>
      <c r="D16" s="100" t="n"/>
      <c r="E16" s="100" t="n"/>
      <c r="F16" s="100" t="n"/>
      <c r="G16" s="100" t="n"/>
      <c r="H16" s="100" t="n"/>
      <c r="I16" s="100" t="n"/>
      <c r="J16" s="97" t="n"/>
      <c r="K16" s="97" t="n"/>
      <c r="L16" s="97" t="n"/>
      <c r="M16" s="97" t="n"/>
      <c r="N16" s="97" t="n"/>
      <c r="O16" s="97" t="n"/>
      <c r="P16" s="97" t="n"/>
      <c r="Q16" s="97" t="n"/>
      <c r="R16" s="97" t="n"/>
      <c r="S16" s="97" t="n"/>
    </row>
    <row r="17" ht="11.25" customHeight="1">
      <c r="B17" s="102" t="inlineStr">
        <is>
          <t>C= Masa prueba</t>
        </is>
      </c>
      <c r="C17" s="97" t="n"/>
      <c r="D17" s="97" t="n"/>
      <c r="E17" s="100" t="n"/>
      <c r="F17" s="100" t="n"/>
      <c r="G17" s="100" t="n"/>
      <c r="H17" s="100" t="n"/>
      <c r="I17" s="100" t="n"/>
      <c r="J17" s="97" t="n"/>
      <c r="K17" s="97" t="n"/>
      <c r="L17" s="97" t="n"/>
      <c r="M17" s="97" t="n"/>
      <c r="N17" s="97" t="n"/>
      <c r="O17" s="97" t="n"/>
      <c r="P17" s="97" t="n"/>
      <c r="Q17" s="97" t="n"/>
      <c r="R17" s="97" t="n"/>
      <c r="S17" s="97" t="n"/>
    </row>
    <row r="18" ht="15" customHeight="1">
      <c r="B18" s="102" t="inlineStr">
        <is>
          <t>D= Masa total</t>
        </is>
      </c>
      <c r="C18" s="100" t="n"/>
      <c r="D18" s="100" t="n"/>
      <c r="E18" s="100" t="n"/>
      <c r="F18" s="100" t="n"/>
      <c r="G18" s="100" t="n"/>
      <c r="H18" s="100" t="n"/>
      <c r="I18" s="100" t="n"/>
      <c r="J18" s="97" t="n"/>
      <c r="K18" s="97" t="n"/>
      <c r="L18" s="97" t="n"/>
      <c r="M18" s="97" t="n"/>
      <c r="N18" s="97" t="n"/>
      <c r="O18" s="97" t="n"/>
      <c r="P18" s="97" t="n"/>
      <c r="Q18" s="97" t="n"/>
      <c r="R18" s="97" t="n"/>
      <c r="S18" s="97" t="n"/>
    </row>
    <row r="19" ht="15" customHeight="1">
      <c r="C19" s="100" t="n"/>
      <c r="D19" s="100" t="n"/>
      <c r="E19" s="100" t="n"/>
      <c r="F19" s="100" t="n"/>
      <c r="G19" s="100" t="n"/>
      <c r="H19" s="100" t="n"/>
      <c r="I19" s="100" t="n"/>
      <c r="J19" s="97" t="n"/>
      <c r="K19" s="97" t="n"/>
      <c r="L19" s="97" t="n"/>
      <c r="M19" s="97" t="n"/>
      <c r="N19" s="97" t="n"/>
      <c r="O19" s="97" t="n"/>
      <c r="P19" s="97" t="n"/>
      <c r="Q19" s="97" t="n"/>
      <c r="R19" s="97" t="n"/>
      <c r="S19" s="97" t="n"/>
    </row>
    <row r="20" ht="15" customHeight="1">
      <c r="B20" s="101" t="inlineStr">
        <is>
          <t>Equipos a utilizar:</t>
        </is>
      </c>
      <c r="C20" s="100" t="n"/>
      <c r="D20" s="100" t="n"/>
      <c r="E20" s="100" t="n"/>
      <c r="F20" s="100" t="n"/>
      <c r="G20" s="100" t="n"/>
      <c r="H20" s="100" t="n"/>
      <c r="I20" s="100" t="n"/>
      <c r="J20" s="97" t="n"/>
      <c r="K20" s="97" t="n"/>
      <c r="L20" s="97" t="n"/>
      <c r="M20" s="97" t="n"/>
      <c r="N20" s="97" t="n"/>
      <c r="O20" s="97" t="n"/>
      <c r="P20" s="97" t="n"/>
      <c r="Q20" s="97" t="n"/>
      <c r="R20" s="97" t="n"/>
      <c r="S20" s="97" t="n"/>
    </row>
    <row r="21" ht="12.75" customHeight="1">
      <c r="B21" s="100" t="n"/>
      <c r="C21" s="100" t="n"/>
      <c r="D21" s="100" t="n"/>
      <c r="E21" s="100" t="n"/>
      <c r="F21" s="100" t="n"/>
      <c r="G21" s="100" t="n"/>
      <c r="H21" s="100" t="n"/>
      <c r="I21" s="100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</row>
    <row r="22" ht="15" customHeight="1">
      <c r="B22" s="102" t="inlineStr">
        <is>
          <t xml:space="preserve">Balanza con resolución de lectura de 0.1g </t>
        </is>
      </c>
      <c r="C22" s="100" t="n"/>
      <c r="D22" s="100" t="n"/>
      <c r="E22" s="100" t="n"/>
      <c r="F22" s="100" t="n"/>
      <c r="G22" s="100" t="n"/>
      <c r="H22" s="100" t="n"/>
      <c r="I22" s="100" t="n"/>
      <c r="J22" s="97" t="n"/>
      <c r="K22" s="97" t="n"/>
      <c r="L22" s="97" t="n"/>
      <c r="M22" s="97" t="n"/>
      <c r="N22" s="97" t="n"/>
      <c r="O22" s="97" t="n"/>
      <c r="P22" s="97" t="n"/>
      <c r="Q22" s="97" t="n"/>
      <c r="R22" s="97" t="n"/>
      <c r="S22" s="97" t="n"/>
    </row>
    <row r="23" ht="12.75" customHeight="1">
      <c r="B23" s="100" t="n"/>
      <c r="C23" s="100" t="n"/>
      <c r="D23" s="100" t="n"/>
      <c r="E23" s="100" t="n"/>
      <c r="F23" s="100" t="n"/>
      <c r="G23" s="100" t="n"/>
      <c r="H23" s="100" t="n"/>
      <c r="I23" s="100" t="n"/>
      <c r="J23" s="97" t="n"/>
      <c r="K23" s="97" t="n"/>
      <c r="L23" s="97" t="n"/>
      <c r="M23" s="97" t="n"/>
      <c r="N23" s="97" t="n"/>
      <c r="O23" s="97" t="n"/>
      <c r="P23" s="97" t="n"/>
      <c r="Q23" s="97" t="n"/>
      <c r="R23" s="97" t="n"/>
      <c r="S23" s="97" t="n"/>
    </row>
    <row r="24" ht="21" customHeight="1" thickBot="1">
      <c r="B24" s="103" t="inlineStr">
        <is>
          <t>CÁLCULO:  PORCENTAJE DE PARTICULAS PLANAS</t>
        </is>
      </c>
      <c r="C24" s="104" t="n"/>
      <c r="D24" s="104" t="n"/>
      <c r="E24" s="104" t="n"/>
      <c r="F24" s="105" t="n"/>
      <c r="G24" s="104" t="n"/>
      <c r="H24" s="104" t="n"/>
      <c r="I24" s="104" t="n"/>
      <c r="J24" s="97" t="n"/>
      <c r="K24" s="97" t="n"/>
      <c r="L24" s="97" t="n"/>
      <c r="M24" s="97" t="n"/>
      <c r="N24" s="97" t="n"/>
      <c r="O24" s="97" t="n"/>
      <c r="P24" s="97" t="n"/>
      <c r="Q24" s="97" t="n"/>
      <c r="R24" s="97" t="n"/>
      <c r="S24" s="97" t="n"/>
    </row>
    <row r="25" ht="21" customHeight="1">
      <c r="B25" s="499" t="inlineStr">
        <is>
          <t>Tamaño de tamiz 1 1/2</t>
        </is>
      </c>
      <c r="C25" s="632" t="n"/>
      <c r="D25" s="632" t="n"/>
      <c r="E25" s="632" t="n"/>
      <c r="F25" s="632" t="n"/>
      <c r="G25" s="632" t="n"/>
      <c r="H25" s="632" t="n"/>
      <c r="I25" s="633" t="n"/>
      <c r="J25" s="499" t="inlineStr">
        <is>
          <t>Tamaño de tamiz 1</t>
        </is>
      </c>
      <c r="K25" s="632" t="n"/>
      <c r="L25" s="632" t="n"/>
      <c r="M25" s="632" t="n"/>
      <c r="N25" s="633" t="n"/>
      <c r="O25" s="499" t="inlineStr">
        <is>
          <t>Tamaño de tamiz 3/4</t>
        </is>
      </c>
      <c r="P25" s="632" t="n"/>
      <c r="Q25" s="632" t="n"/>
      <c r="R25" s="632" t="n"/>
      <c r="S25" s="633" t="n"/>
      <c r="T25" s="499" t="inlineStr">
        <is>
          <t>Tamaño de tamiz 1/2</t>
        </is>
      </c>
      <c r="U25" s="632" t="n"/>
      <c r="V25" s="632" t="n"/>
      <c r="W25" s="632" t="n"/>
      <c r="X25" s="633" t="n"/>
      <c r="Y25" s="499" t="inlineStr">
        <is>
          <t>Tamaño de tamiz 3/8</t>
        </is>
      </c>
      <c r="Z25" s="632" t="n"/>
      <c r="AA25" s="632" t="n"/>
      <c r="AB25" s="632" t="n"/>
      <c r="AC25" s="633" t="n"/>
      <c r="AD25" s="499" t="inlineStr">
        <is>
          <t>Tamaño de tamiz No 4</t>
        </is>
      </c>
      <c r="AE25" s="632" t="n"/>
      <c r="AF25" s="632" t="n"/>
      <c r="AG25" s="632" t="n"/>
      <c r="AH25" s="633" t="n"/>
      <c r="AJ25" s="502" t="inlineStr">
        <is>
          <t>CONTRIBUCION</t>
        </is>
      </c>
      <c r="AK25" s="547" t="n"/>
      <c r="AL25" s="548" t="n"/>
    </row>
    <row r="26" ht="37.5" customHeight="1">
      <c r="B26" s="197" t="inlineStr">
        <is>
          <t>Fuentes</t>
        </is>
      </c>
      <c r="C26" s="189" t="inlineStr">
        <is>
          <t>Unidades</t>
        </is>
      </c>
      <c r="D26" s="189" t="inlineStr">
        <is>
          <t>Distribución</t>
        </is>
      </c>
      <c r="E26" s="188" t="inlineStr">
        <is>
          <t>Valor</t>
        </is>
      </c>
      <c r="F26" s="189" t="inlineStr">
        <is>
          <t>Incertidumbre Original</t>
        </is>
      </c>
      <c r="G26" s="189" t="inlineStr">
        <is>
          <t>Incertidumbre Estándar u(xi)</t>
        </is>
      </c>
      <c r="H26" s="189" t="inlineStr">
        <is>
          <t>Coeficiente de Sensibilidad</t>
        </is>
      </c>
      <c r="I26" s="198" t="inlineStr">
        <is>
          <t>Contribución ui(y)</t>
        </is>
      </c>
      <c r="J26" s="197" t="inlineStr">
        <is>
          <t>Valor</t>
        </is>
      </c>
      <c r="K26" s="189" t="inlineStr">
        <is>
          <t>Incertidumbre Original</t>
        </is>
      </c>
      <c r="L26" s="189" t="inlineStr">
        <is>
          <t>Incertidumbre Estándar u(xi)</t>
        </is>
      </c>
      <c r="M26" s="189" t="inlineStr">
        <is>
          <t>Coeficiente de Sensibilidad</t>
        </is>
      </c>
      <c r="N26" s="198" t="inlineStr">
        <is>
          <t>Contribución ui(y)</t>
        </is>
      </c>
      <c r="O26" s="197" t="inlineStr">
        <is>
          <t>Valor</t>
        </is>
      </c>
      <c r="P26" s="189" t="inlineStr">
        <is>
          <t>Incertidumbre Original</t>
        </is>
      </c>
      <c r="Q26" s="189" t="inlineStr">
        <is>
          <t>Incertidumbre Estándar u(xi)</t>
        </is>
      </c>
      <c r="R26" s="189" t="inlineStr">
        <is>
          <t>Coeficiente de Sensibilidad</t>
        </is>
      </c>
      <c r="S26" s="198" t="inlineStr">
        <is>
          <t>Contribución ui(y)</t>
        </is>
      </c>
      <c r="T26" s="197" t="inlineStr">
        <is>
          <t>Valor</t>
        </is>
      </c>
      <c r="U26" s="189" t="inlineStr">
        <is>
          <t>Incertidumbre Original</t>
        </is>
      </c>
      <c r="V26" s="189" t="inlineStr">
        <is>
          <t>Incertidumbre Estándar u(xi)</t>
        </is>
      </c>
      <c r="W26" s="189" t="inlineStr">
        <is>
          <t>Coeficiente de Sensibilidad</t>
        </is>
      </c>
      <c r="X26" s="198" t="inlineStr">
        <is>
          <t>Contribución ui(y)</t>
        </is>
      </c>
      <c r="Y26" s="197" t="inlineStr">
        <is>
          <t>Valor</t>
        </is>
      </c>
      <c r="Z26" s="189" t="inlineStr">
        <is>
          <t>Incertidumbre Original</t>
        </is>
      </c>
      <c r="AA26" s="189" t="inlineStr">
        <is>
          <t>Incertidumbre Estándar u(xi)</t>
        </is>
      </c>
      <c r="AB26" s="189" t="inlineStr">
        <is>
          <t>Coeficiente de Sensibilidad</t>
        </is>
      </c>
      <c r="AC26" s="198" t="inlineStr">
        <is>
          <t>Contribución ui(y)</t>
        </is>
      </c>
      <c r="AD26" s="197" t="inlineStr">
        <is>
          <t>Valor</t>
        </is>
      </c>
      <c r="AE26" s="189" t="inlineStr">
        <is>
          <t>Incertidumbre Original</t>
        </is>
      </c>
      <c r="AF26" s="189" t="inlineStr">
        <is>
          <t>Incertidumbre Estándar u(xi)</t>
        </is>
      </c>
      <c r="AG26" s="189" t="inlineStr">
        <is>
          <t>Coeficiente de Sensibilidad</t>
        </is>
      </c>
      <c r="AH26" s="198" t="inlineStr">
        <is>
          <t>Contribución ui(y)</t>
        </is>
      </c>
      <c r="AJ26" s="186" t="inlineStr">
        <is>
          <t>Factor de influencia</t>
        </is>
      </c>
      <c r="AK26" s="502" t="inlineStr">
        <is>
          <t>valor</t>
        </is>
      </c>
      <c r="AL26" s="502" t="inlineStr">
        <is>
          <t>%</t>
        </is>
      </c>
    </row>
    <row r="27" ht="20.45" customFormat="1" customHeight="1" s="173">
      <c r="B27" s="199" t="n"/>
      <c r="C27" s="143" t="n"/>
      <c r="D27" s="144" t="inlineStr">
        <is>
          <t>---</t>
        </is>
      </c>
      <c r="E27" s="172">
        <f>IF(E28=0,"--",(E28*E36*100*1/E32/E40))</f>
        <v/>
      </c>
      <c r="F27" s="144" t="inlineStr">
        <is>
          <t>---</t>
        </is>
      </c>
      <c r="G27" s="144" t="inlineStr">
        <is>
          <t>---</t>
        </is>
      </c>
      <c r="H27" s="144" t="inlineStr">
        <is>
          <t>---</t>
        </is>
      </c>
      <c r="I27" s="200" t="inlineStr">
        <is>
          <t>---</t>
        </is>
      </c>
      <c r="J27" s="214">
        <f>IF(J28=0,"--",(J28*J36*100*1/J32/J40))</f>
        <v/>
      </c>
      <c r="K27" s="144" t="inlineStr">
        <is>
          <t>---</t>
        </is>
      </c>
      <c r="L27" s="144" t="inlineStr">
        <is>
          <t>---</t>
        </is>
      </c>
      <c r="M27" s="144" t="inlineStr">
        <is>
          <t>---</t>
        </is>
      </c>
      <c r="N27" s="200" t="inlineStr">
        <is>
          <t>---</t>
        </is>
      </c>
      <c r="O27" s="214">
        <f>IF(O28=0,"--",(O28*O36*100*1/O32/O40))</f>
        <v/>
      </c>
      <c r="P27" s="144" t="inlineStr">
        <is>
          <t>---</t>
        </is>
      </c>
      <c r="Q27" s="144" t="inlineStr">
        <is>
          <t>---</t>
        </is>
      </c>
      <c r="R27" s="144" t="inlineStr">
        <is>
          <t>---</t>
        </is>
      </c>
      <c r="S27" s="200" t="inlineStr">
        <is>
          <t>---</t>
        </is>
      </c>
      <c r="T27" s="214">
        <f>IF(T28=0,"--",(T28*T36*100*1/T32/T40))</f>
        <v/>
      </c>
      <c r="U27" s="144" t="inlineStr">
        <is>
          <t>---</t>
        </is>
      </c>
      <c r="V27" s="144" t="inlineStr">
        <is>
          <t>---</t>
        </is>
      </c>
      <c r="W27" s="144" t="inlineStr">
        <is>
          <t>---</t>
        </is>
      </c>
      <c r="X27" s="200" t="inlineStr">
        <is>
          <t>---</t>
        </is>
      </c>
      <c r="Y27" s="214">
        <f>IF(Y28=0,"--",(Y28*Y36*100*1/Y32/Y40))</f>
        <v/>
      </c>
      <c r="Z27" s="144" t="inlineStr">
        <is>
          <t>---</t>
        </is>
      </c>
      <c r="AA27" s="144" t="inlineStr">
        <is>
          <t>---</t>
        </is>
      </c>
      <c r="AB27" s="144" t="inlineStr">
        <is>
          <t>---</t>
        </is>
      </c>
      <c r="AC27" s="200" t="inlineStr">
        <is>
          <t>---</t>
        </is>
      </c>
      <c r="AD27" s="214">
        <f>IF(AD28=0,"--",(AD28*AD36*100*1/AD32/AD40))</f>
        <v/>
      </c>
      <c r="AE27" s="144" t="inlineStr">
        <is>
          <t>---</t>
        </is>
      </c>
      <c r="AF27" s="144" t="inlineStr">
        <is>
          <t>---</t>
        </is>
      </c>
      <c r="AG27" s="144" t="inlineStr">
        <is>
          <t>---</t>
        </is>
      </c>
      <c r="AH27" s="200" t="inlineStr">
        <is>
          <t>---</t>
        </is>
      </c>
      <c r="AJ27" s="221">
        <f>+B28</f>
        <v/>
      </c>
      <c r="AK27" s="634">
        <f>+N28</f>
        <v/>
      </c>
      <c r="AL27" s="635">
        <f>+AK27/$AK$32</f>
        <v/>
      </c>
    </row>
    <row r="28" ht="16.15" customFormat="1" customHeight="1" s="173">
      <c r="A28" s="532" t="inlineStr">
        <is>
          <t>A</t>
        </is>
      </c>
      <c r="B28" s="201" t="inlineStr">
        <is>
          <t>Masa partícula</t>
        </is>
      </c>
      <c r="C28" s="145" t="inlineStr">
        <is>
          <t>g</t>
        </is>
      </c>
      <c r="D28" s="148" t="inlineStr">
        <is>
          <t>---</t>
        </is>
      </c>
      <c r="E28" s="146">
        <f>+DATOS!M12</f>
        <v/>
      </c>
      <c r="F28" s="147" t="inlineStr">
        <is>
          <t>---</t>
        </is>
      </c>
      <c r="G28" s="149">
        <f>SQRT((G29*G29)+(G30*G30)+(G31*G31))</f>
        <v/>
      </c>
      <c r="H28" s="636">
        <f>IF(E28=0,0,E36*100/E32/E40)</f>
        <v/>
      </c>
      <c r="I28" s="220">
        <f>+H28*G28</f>
        <v/>
      </c>
      <c r="J28" s="215">
        <f>+DATOS!M13</f>
        <v/>
      </c>
      <c r="K28" s="147" t="inlineStr">
        <is>
          <t>---</t>
        </is>
      </c>
      <c r="L28" s="149">
        <f>SQRT((L29*L29)+(L30*L30)+(L31*L31))</f>
        <v/>
      </c>
      <c r="M28" s="636">
        <f>IF(J28=0,0,J36*100/J32/J40)</f>
        <v/>
      </c>
      <c r="N28" s="637">
        <f>+M28*L28</f>
        <v/>
      </c>
      <c r="O28" s="215">
        <f>+DATOS!M14</f>
        <v/>
      </c>
      <c r="P28" s="147" t="inlineStr">
        <is>
          <t>---</t>
        </is>
      </c>
      <c r="Q28" s="149">
        <f>SQRT((Q29*Q29)+(Q30*Q30)+(Q31*Q31))</f>
        <v/>
      </c>
      <c r="R28" s="636">
        <f>IF(O28=0,0,O36*100/O32/O40)</f>
        <v/>
      </c>
      <c r="S28" s="637">
        <f>+R28*Q28</f>
        <v/>
      </c>
      <c r="T28" s="215">
        <f>+DATOS!M15</f>
        <v/>
      </c>
      <c r="U28" s="147" t="inlineStr">
        <is>
          <t>---</t>
        </is>
      </c>
      <c r="V28" s="149">
        <f>SQRT((V29*V29)+(V30*V30)+(V31*V31))</f>
        <v/>
      </c>
      <c r="W28" s="636">
        <f>IF(T28=0,0,T36*100/T32/T40)</f>
        <v/>
      </c>
      <c r="X28" s="637">
        <f>+W28*V28</f>
        <v/>
      </c>
      <c r="Y28" s="215">
        <f>+DATOS!M16</f>
        <v/>
      </c>
      <c r="Z28" s="147" t="inlineStr">
        <is>
          <t>---</t>
        </is>
      </c>
      <c r="AA28" s="149">
        <f>SQRT((AA29*AA29)+(AA30*AA30)+(AA31*AA31))</f>
        <v/>
      </c>
      <c r="AB28" s="636">
        <f>IF(Y28=0,0,Y36*100/Y32/Y40)</f>
        <v/>
      </c>
      <c r="AC28" s="637">
        <f>+AB28*AA28</f>
        <v/>
      </c>
      <c r="AD28" s="215">
        <f>+DATOS!M17</f>
        <v/>
      </c>
      <c r="AE28" s="147" t="inlineStr">
        <is>
          <t>---</t>
        </is>
      </c>
      <c r="AF28" s="149">
        <f>SQRT((AF29*AF29)+(AF30*AF30)+(AF31*AF31))</f>
        <v/>
      </c>
      <c r="AG28" s="636">
        <f>IF(AD28=0,0,AD36*100/AD32/AD40)</f>
        <v/>
      </c>
      <c r="AH28" s="637">
        <f>+AG28*AF28</f>
        <v/>
      </c>
      <c r="AJ28" s="221">
        <f>+B32</f>
        <v/>
      </c>
      <c r="AK28" s="634">
        <f>+N32</f>
        <v/>
      </c>
      <c r="AL28" s="635">
        <f>+AK28/$AK$32</f>
        <v/>
      </c>
    </row>
    <row r="29" ht="16.15" customFormat="1" customHeight="1" s="173">
      <c r="B29" s="203" t="inlineStr">
        <is>
          <t>Repetibilidad de la pesada</t>
        </is>
      </c>
      <c r="C29" s="151" t="inlineStr">
        <is>
          <t>g</t>
        </is>
      </c>
      <c r="D29" s="154" t="inlineStr">
        <is>
          <t>Normal, K=1</t>
        </is>
      </c>
      <c r="E29" s="152" t="n"/>
      <c r="F29" s="153">
        <f>+BALANZA!D24</f>
        <v/>
      </c>
      <c r="G29" s="638">
        <f>+F29</f>
        <v/>
      </c>
      <c r="H29" s="639" t="inlineStr">
        <is>
          <t>---</t>
        </is>
      </c>
      <c r="I29" s="640" t="inlineStr">
        <is>
          <t>---</t>
        </is>
      </c>
      <c r="J29" s="216" t="n"/>
      <c r="K29" s="153">
        <f>+BALANZA!D25</f>
        <v/>
      </c>
      <c r="L29" s="638">
        <f>+K29</f>
        <v/>
      </c>
      <c r="M29" s="639" t="inlineStr">
        <is>
          <t>---</t>
        </is>
      </c>
      <c r="N29" s="640" t="inlineStr">
        <is>
          <t>---</t>
        </is>
      </c>
      <c r="O29" s="216" t="n"/>
      <c r="P29" s="153">
        <f>+BALANZA!D26</f>
        <v/>
      </c>
      <c r="Q29" s="638">
        <f>+P29</f>
        <v/>
      </c>
      <c r="R29" s="639" t="inlineStr">
        <is>
          <t>---</t>
        </is>
      </c>
      <c r="S29" s="640" t="inlineStr">
        <is>
          <t>---</t>
        </is>
      </c>
      <c r="T29" s="216" t="n"/>
      <c r="U29" s="153">
        <f>+BALANZA!D27</f>
        <v/>
      </c>
      <c r="V29" s="638">
        <f>+U29</f>
        <v/>
      </c>
      <c r="W29" s="639" t="inlineStr">
        <is>
          <t>---</t>
        </is>
      </c>
      <c r="X29" s="640" t="inlineStr">
        <is>
          <t>---</t>
        </is>
      </c>
      <c r="Y29" s="216" t="n"/>
      <c r="Z29" s="153">
        <f>+BALANZA!D28</f>
        <v/>
      </c>
      <c r="AA29" s="638">
        <f>+Z29</f>
        <v/>
      </c>
      <c r="AB29" s="639" t="inlineStr">
        <is>
          <t>---</t>
        </is>
      </c>
      <c r="AC29" s="640" t="inlineStr">
        <is>
          <t>---</t>
        </is>
      </c>
      <c r="AD29" s="216" t="n"/>
      <c r="AE29" s="153">
        <f>+BALANZA!D29</f>
        <v/>
      </c>
      <c r="AF29" s="638">
        <f>+AE29</f>
        <v/>
      </c>
      <c r="AG29" s="639" t="inlineStr">
        <is>
          <t>---</t>
        </is>
      </c>
      <c r="AH29" s="640" t="inlineStr">
        <is>
          <t>---</t>
        </is>
      </c>
      <c r="AJ29" s="222">
        <f>+B36</f>
        <v/>
      </c>
      <c r="AK29" s="641">
        <f>+N36</f>
        <v/>
      </c>
      <c r="AL29" s="635">
        <f>+AK29/$AK$32</f>
        <v/>
      </c>
    </row>
    <row r="30" ht="16.15" customFormat="1" customHeight="1" s="173">
      <c r="B30" s="203" t="inlineStr">
        <is>
          <t>Certificado de Calibración</t>
        </is>
      </c>
      <c r="C30" s="151" t="inlineStr">
        <is>
          <t>g</t>
        </is>
      </c>
      <c r="D30" s="154" t="inlineStr">
        <is>
          <t>Normal, K=2</t>
        </is>
      </c>
      <c r="E30" s="152" t="n"/>
      <c r="F30" s="153">
        <f>2*(SQRT(BALANZA!$C$8+BALANZA!$D$8*(POWER(E28,2))))</f>
        <v/>
      </c>
      <c r="G30" s="638">
        <f>+F30/2</f>
        <v/>
      </c>
      <c r="H30" s="639" t="inlineStr">
        <is>
          <t>---</t>
        </is>
      </c>
      <c r="I30" s="640" t="inlineStr">
        <is>
          <t>---</t>
        </is>
      </c>
      <c r="J30" s="216" t="n"/>
      <c r="K30" s="153">
        <f>2*(SQRT(BALANZA!$C$8+BALANZA!$D$8*(POWER(J28,2))))</f>
        <v/>
      </c>
      <c r="L30" s="638">
        <f>+K30/2</f>
        <v/>
      </c>
      <c r="M30" s="639" t="inlineStr">
        <is>
          <t>---</t>
        </is>
      </c>
      <c r="N30" s="640" t="inlineStr">
        <is>
          <t>---</t>
        </is>
      </c>
      <c r="O30" s="216" t="n"/>
      <c r="P30" s="153">
        <f>2*(SQRT(BALANZA!$C$8+BALANZA!$D$8*(POWER(O28,2))))</f>
        <v/>
      </c>
      <c r="Q30" s="638">
        <f>+P30/2</f>
        <v/>
      </c>
      <c r="R30" s="639" t="inlineStr">
        <is>
          <t>---</t>
        </is>
      </c>
      <c r="S30" s="640" t="inlineStr">
        <is>
          <t>---</t>
        </is>
      </c>
      <c r="T30" s="216" t="n"/>
      <c r="U30" s="153">
        <f>2*(SQRT(BALANZA!$C$8+BALANZA!$D$8*(POWER(T28,2))))</f>
        <v/>
      </c>
      <c r="V30" s="638">
        <f>+U30/2</f>
        <v/>
      </c>
      <c r="W30" s="639" t="inlineStr">
        <is>
          <t>---</t>
        </is>
      </c>
      <c r="X30" s="640" t="inlineStr">
        <is>
          <t>---</t>
        </is>
      </c>
      <c r="Y30" s="216" t="n"/>
      <c r="Z30" s="153">
        <f>2*(SQRT(BALANZA!$C$8+BALANZA!$D$8*(POWER(Y28,2))))</f>
        <v/>
      </c>
      <c r="AA30" s="638">
        <f>+Z30/2</f>
        <v/>
      </c>
      <c r="AB30" s="639" t="inlineStr">
        <is>
          <t>---</t>
        </is>
      </c>
      <c r="AC30" s="640" t="inlineStr">
        <is>
          <t>---</t>
        </is>
      </c>
      <c r="AD30" s="216" t="n"/>
      <c r="AE30" s="153">
        <f>2*(SQRT(BALANZA!$C$8+BALANZA!$D$8*(POWER(AD28,2))))</f>
        <v/>
      </c>
      <c r="AF30" s="638">
        <f>+AE30/2</f>
        <v/>
      </c>
      <c r="AG30" s="639" t="inlineStr">
        <is>
          <t>---</t>
        </is>
      </c>
      <c r="AH30" s="640" t="inlineStr">
        <is>
          <t>---</t>
        </is>
      </c>
      <c r="AJ30" s="222">
        <f>+B40</f>
        <v/>
      </c>
      <c r="AK30" s="641">
        <f>+N40</f>
        <v/>
      </c>
      <c r="AL30" s="635">
        <f>+AK30/$AK$32</f>
        <v/>
      </c>
    </row>
    <row r="31" ht="16.15" customFormat="1" customHeight="1" s="173">
      <c r="B31" s="203" t="inlineStr">
        <is>
          <t>Resolución</t>
        </is>
      </c>
      <c r="C31" s="151" t="inlineStr">
        <is>
          <t>g</t>
        </is>
      </c>
      <c r="D31" s="157" t="inlineStr">
        <is>
          <t>Rectangular</t>
        </is>
      </c>
      <c r="E31" s="152" t="n"/>
      <c r="F31" s="153">
        <f>+BALANZA!$C$10</f>
        <v/>
      </c>
      <c r="G31" s="638">
        <f>+F31/SQRT(3)/2</f>
        <v/>
      </c>
      <c r="H31" s="639" t="inlineStr">
        <is>
          <t>---</t>
        </is>
      </c>
      <c r="I31" s="640" t="inlineStr">
        <is>
          <t>---</t>
        </is>
      </c>
      <c r="J31" s="216" t="n"/>
      <c r="K31" s="153">
        <f>+BALANZA!$C$10</f>
        <v/>
      </c>
      <c r="L31" s="638">
        <f>+K31/SQRT(3)/2</f>
        <v/>
      </c>
      <c r="M31" s="639" t="inlineStr">
        <is>
          <t>---</t>
        </is>
      </c>
      <c r="N31" s="640" t="inlineStr">
        <is>
          <t>---</t>
        </is>
      </c>
      <c r="O31" s="216" t="n"/>
      <c r="P31" s="153">
        <f>+BALANZA!$C$10</f>
        <v/>
      </c>
      <c r="Q31" s="638">
        <f>+P31/SQRT(3)/2</f>
        <v/>
      </c>
      <c r="R31" s="639" t="inlineStr">
        <is>
          <t>---</t>
        </is>
      </c>
      <c r="S31" s="640" t="inlineStr">
        <is>
          <t>---</t>
        </is>
      </c>
      <c r="T31" s="216" t="n"/>
      <c r="U31" s="153">
        <f>+BALANZA!$C$10</f>
        <v/>
      </c>
      <c r="V31" s="638">
        <f>+U31/SQRT(3)/2</f>
        <v/>
      </c>
      <c r="W31" s="639" t="inlineStr">
        <is>
          <t>---</t>
        </is>
      </c>
      <c r="X31" s="640" t="inlineStr">
        <is>
          <t>---</t>
        </is>
      </c>
      <c r="Y31" s="216" t="n"/>
      <c r="Z31" s="153">
        <f>+BALANZA!$C$10</f>
        <v/>
      </c>
      <c r="AA31" s="638">
        <f>+Z31/SQRT(3)/2</f>
        <v/>
      </c>
      <c r="AB31" s="639" t="inlineStr">
        <is>
          <t>---</t>
        </is>
      </c>
      <c r="AC31" s="640" t="inlineStr">
        <is>
          <t>---</t>
        </is>
      </c>
      <c r="AD31" s="216" t="n"/>
      <c r="AE31" s="153">
        <f>+BALANZA!$C$10</f>
        <v/>
      </c>
      <c r="AF31" s="638">
        <f>+AE31/SQRT(3)/2</f>
        <v/>
      </c>
      <c r="AG31" s="639" t="inlineStr">
        <is>
          <t>---</t>
        </is>
      </c>
      <c r="AH31" s="640" t="inlineStr">
        <is>
          <t>---</t>
        </is>
      </c>
      <c r="AJ31" s="221">
        <f>+B45</f>
        <v/>
      </c>
      <c r="AK31" s="634">
        <f>+I45</f>
        <v/>
      </c>
      <c r="AL31" s="635">
        <f>+AK31/$AK$32</f>
        <v/>
      </c>
    </row>
    <row r="32" ht="16.15" customFormat="1" customHeight="1" s="173">
      <c r="A32" s="532" t="inlineStr">
        <is>
          <t>C</t>
        </is>
      </c>
      <c r="B32" s="201" t="inlineStr">
        <is>
          <t>Masa de prueba</t>
        </is>
      </c>
      <c r="C32" s="145" t="inlineStr">
        <is>
          <t>g</t>
        </is>
      </c>
      <c r="D32" s="147" t="inlineStr">
        <is>
          <t>---</t>
        </is>
      </c>
      <c r="E32" s="158">
        <f>+DATOS!$H$12</f>
        <v/>
      </c>
      <c r="F32" s="145" t="n"/>
      <c r="G32" s="149">
        <f>SQRT((G33*G33)+(G34*G34)+(G35*G35))</f>
        <v/>
      </c>
      <c r="H32" s="642">
        <f>IF(E28=0,0,E28*E36*100/E40/E32/E32)</f>
        <v/>
      </c>
      <c r="I32" s="643">
        <f>+H32*G32</f>
        <v/>
      </c>
      <c r="J32" s="217">
        <f>+DATOS!$H$13</f>
        <v/>
      </c>
      <c r="K32" s="145" t="n"/>
      <c r="L32" s="149">
        <f>SQRT((L33*L33)+(L34*L34)+(L35*L35))</f>
        <v/>
      </c>
      <c r="M32" s="642">
        <f>IF(J28=0,0,J28*J36*100/J40/J32/J32)</f>
        <v/>
      </c>
      <c r="N32" s="643">
        <f>+M32*L32</f>
        <v/>
      </c>
      <c r="O32" s="217">
        <f>+DATOS!$H$14</f>
        <v/>
      </c>
      <c r="P32" s="145" t="n"/>
      <c r="Q32" s="149">
        <f>SQRT((Q33*Q33)+(Q34*Q34)+(Q35*Q35))</f>
        <v/>
      </c>
      <c r="R32" s="642">
        <f>IF(O28=0,0,O28*O36*100/O40/O32/O32)</f>
        <v/>
      </c>
      <c r="S32" s="643">
        <f>+R32*Q32</f>
        <v/>
      </c>
      <c r="T32" s="217">
        <f>+DATOS!$H$15</f>
        <v/>
      </c>
      <c r="U32" s="145" t="n"/>
      <c r="V32" s="149">
        <f>SQRT((V33*V33)+(V34*V34)+(V35*V35))</f>
        <v/>
      </c>
      <c r="W32" s="642">
        <f>IF(T28=0,0,T28*T36*100/T40/T32/T32)</f>
        <v/>
      </c>
      <c r="X32" s="643">
        <f>+W32*V32</f>
        <v/>
      </c>
      <c r="Y32" s="217">
        <f>+DATOS!$H$16</f>
        <v/>
      </c>
      <c r="Z32" s="145" t="n"/>
      <c r="AA32" s="149">
        <f>SQRT((AA33*AA33)+(AA34*AA34)+(AA35*AA35))</f>
        <v/>
      </c>
      <c r="AB32" s="642">
        <f>IF(Y28=0,0,Y28*Y36*100/Y40/Y32/Y32)</f>
        <v/>
      </c>
      <c r="AC32" s="643">
        <f>+AB32*AA32</f>
        <v/>
      </c>
      <c r="AD32" s="217">
        <f>+DATOS!$H$17</f>
        <v/>
      </c>
      <c r="AE32" s="145" t="n"/>
      <c r="AF32" s="149">
        <f>SQRT((AF33*AF33)+(AF34*AF34)+(AF35*AF35))</f>
        <v/>
      </c>
      <c r="AG32" s="642">
        <f>IF(AD28=0,0,AD28*AD36*100/AD40/AD32/AD32)</f>
        <v/>
      </c>
      <c r="AH32" s="643">
        <f>+AG32*AF32</f>
        <v/>
      </c>
      <c r="AJ32" s="223" t="n"/>
      <c r="AK32" s="644">
        <f>SUM(AK27:AK31)</f>
        <v/>
      </c>
      <c r="AL32" s="635">
        <f>SUM(AL27:AL31)</f>
        <v/>
      </c>
      <c r="AM32" s="97" t="n"/>
    </row>
    <row r="33" ht="16.15" customFormat="1" customHeight="1" s="173">
      <c r="B33" s="203" t="inlineStr">
        <is>
          <t>Repetibilidad de la pesada</t>
        </is>
      </c>
      <c r="C33" s="151" t="inlineStr">
        <is>
          <t>g</t>
        </is>
      </c>
      <c r="D33" s="154" t="inlineStr">
        <is>
          <t>Normal, K=1</t>
        </is>
      </c>
      <c r="E33" s="152" t="n"/>
      <c r="F33" s="153">
        <f>+BALANZA!$F$24</f>
        <v/>
      </c>
      <c r="G33" s="638">
        <f>+F33</f>
        <v/>
      </c>
      <c r="H33" s="639" t="inlineStr">
        <is>
          <t>---</t>
        </is>
      </c>
      <c r="I33" s="640" t="inlineStr">
        <is>
          <t>---</t>
        </is>
      </c>
      <c r="J33" s="216" t="n"/>
      <c r="K33" s="153">
        <f>+BALANZA!$F$25</f>
        <v/>
      </c>
      <c r="L33" s="638">
        <f>+K33</f>
        <v/>
      </c>
      <c r="M33" s="639" t="inlineStr">
        <is>
          <t>---</t>
        </is>
      </c>
      <c r="N33" s="640" t="inlineStr">
        <is>
          <t>---</t>
        </is>
      </c>
      <c r="O33" s="216" t="n"/>
      <c r="P33" s="153">
        <f>+BALANZA!$F$26</f>
        <v/>
      </c>
      <c r="Q33" s="638">
        <f>+P33</f>
        <v/>
      </c>
      <c r="R33" s="639" t="inlineStr">
        <is>
          <t>---</t>
        </is>
      </c>
      <c r="S33" s="640" t="inlineStr">
        <is>
          <t>---</t>
        </is>
      </c>
      <c r="T33" s="216" t="n"/>
      <c r="U33" s="153">
        <f>+BALANZA!$F$27</f>
        <v/>
      </c>
      <c r="V33" s="638">
        <f>+U33</f>
        <v/>
      </c>
      <c r="W33" s="639" t="inlineStr">
        <is>
          <t>---</t>
        </is>
      </c>
      <c r="X33" s="640" t="inlineStr">
        <is>
          <t>---</t>
        </is>
      </c>
      <c r="Y33" s="216" t="n"/>
      <c r="Z33" s="153">
        <f>+BALANZA!$F$28</f>
        <v/>
      </c>
      <c r="AA33" s="638">
        <f>+Z33</f>
        <v/>
      </c>
      <c r="AB33" s="639" t="inlineStr">
        <is>
          <t>---</t>
        </is>
      </c>
      <c r="AC33" s="640" t="inlineStr">
        <is>
          <t>---</t>
        </is>
      </c>
      <c r="AD33" s="216" t="n"/>
      <c r="AE33" s="153">
        <f>+BALANZA!$F$29</f>
        <v/>
      </c>
      <c r="AF33" s="638">
        <f>+AE33</f>
        <v/>
      </c>
      <c r="AG33" s="639" t="inlineStr">
        <is>
          <t>---</t>
        </is>
      </c>
      <c r="AH33" s="640" t="inlineStr">
        <is>
          <t>---</t>
        </is>
      </c>
    </row>
    <row r="34" ht="16.15" customFormat="1" customHeight="1" s="173">
      <c r="B34" s="203" t="inlineStr">
        <is>
          <t>Certificado de Calibración</t>
        </is>
      </c>
      <c r="C34" s="151" t="inlineStr">
        <is>
          <t>g</t>
        </is>
      </c>
      <c r="D34" s="154" t="inlineStr">
        <is>
          <t>Normal, K=2</t>
        </is>
      </c>
      <c r="E34" s="152" t="n"/>
      <c r="F34" s="153">
        <f>2*(SQRT(BALANZA!$C$8+BALANZA!$D$8*(POWER(E32,2))))</f>
        <v/>
      </c>
      <c r="G34" s="638">
        <f>+F34/2</f>
        <v/>
      </c>
      <c r="H34" s="639" t="inlineStr">
        <is>
          <t>---</t>
        </is>
      </c>
      <c r="I34" s="640" t="inlineStr">
        <is>
          <t>---</t>
        </is>
      </c>
      <c r="J34" s="216" t="n"/>
      <c r="K34" s="153">
        <f>2*(SQRT(BALANZA!$C$8+BALANZA!$D$8*(POWER(J32,2))))</f>
        <v/>
      </c>
      <c r="L34" s="638">
        <f>+K34/2</f>
        <v/>
      </c>
      <c r="M34" s="639" t="inlineStr">
        <is>
          <t>---</t>
        </is>
      </c>
      <c r="N34" s="640" t="inlineStr">
        <is>
          <t>---</t>
        </is>
      </c>
      <c r="O34" s="216" t="n"/>
      <c r="P34" s="153">
        <f>2*(SQRT(BALANZA!$C$8+BALANZA!$D$8*(POWER(O32,2))))</f>
        <v/>
      </c>
      <c r="Q34" s="638">
        <f>+P34/2</f>
        <v/>
      </c>
      <c r="R34" s="639" t="inlineStr">
        <is>
          <t>---</t>
        </is>
      </c>
      <c r="S34" s="640" t="inlineStr">
        <is>
          <t>---</t>
        </is>
      </c>
      <c r="T34" s="216" t="n"/>
      <c r="U34" s="153">
        <f>2*(SQRT(BALANZA!$C$8+BALANZA!$D$8*(POWER(T32,2))))</f>
        <v/>
      </c>
      <c r="V34" s="638">
        <f>+U34/2</f>
        <v/>
      </c>
      <c r="W34" s="639" t="inlineStr">
        <is>
          <t>---</t>
        </is>
      </c>
      <c r="X34" s="640" t="inlineStr">
        <is>
          <t>---</t>
        </is>
      </c>
      <c r="Y34" s="216" t="n"/>
      <c r="Z34" s="153">
        <f>2*(SQRT(BALANZA!$C$8+BALANZA!$D$8*(POWER(Y32,2))))</f>
        <v/>
      </c>
      <c r="AA34" s="638">
        <f>+Z34/2</f>
        <v/>
      </c>
      <c r="AB34" s="639" t="inlineStr">
        <is>
          <t>---</t>
        </is>
      </c>
      <c r="AC34" s="640" t="inlineStr">
        <is>
          <t>---</t>
        </is>
      </c>
      <c r="AD34" s="216" t="n"/>
      <c r="AE34" s="153">
        <f>2*(SQRT(BALANZA!$C$8+BALANZA!$D$8*(POWER(AD32,2))))</f>
        <v/>
      </c>
      <c r="AF34" s="638">
        <f>+AE34/2</f>
        <v/>
      </c>
      <c r="AG34" s="639" t="inlineStr">
        <is>
          <t>---</t>
        </is>
      </c>
      <c r="AH34" s="640" t="inlineStr">
        <is>
          <t>---</t>
        </is>
      </c>
    </row>
    <row r="35" ht="16.15" customFormat="1" customHeight="1" s="173">
      <c r="B35" s="203" t="inlineStr">
        <is>
          <t>Resolución</t>
        </is>
      </c>
      <c r="C35" s="151" t="inlineStr">
        <is>
          <t>g</t>
        </is>
      </c>
      <c r="D35" s="157" t="inlineStr">
        <is>
          <t>Rectangular</t>
        </is>
      </c>
      <c r="E35" s="152" t="n"/>
      <c r="F35" s="153">
        <f>+BALANZA!$C$10</f>
        <v/>
      </c>
      <c r="G35" s="638">
        <f>+F35/SQRT(3)/2</f>
        <v/>
      </c>
      <c r="H35" s="639" t="inlineStr">
        <is>
          <t>---</t>
        </is>
      </c>
      <c r="I35" s="640" t="inlineStr">
        <is>
          <t>---</t>
        </is>
      </c>
      <c r="J35" s="216" t="n"/>
      <c r="K35" s="153">
        <f>+BALANZA!$C$10</f>
        <v/>
      </c>
      <c r="L35" s="638">
        <f>+K35/SQRT(3)/2</f>
        <v/>
      </c>
      <c r="M35" s="639" t="inlineStr">
        <is>
          <t>---</t>
        </is>
      </c>
      <c r="N35" s="640" t="inlineStr">
        <is>
          <t>---</t>
        </is>
      </c>
      <c r="O35" s="216" t="n"/>
      <c r="P35" s="153">
        <f>+BALANZA!$C$10</f>
        <v/>
      </c>
      <c r="Q35" s="638">
        <f>+P35/SQRT(3)/2</f>
        <v/>
      </c>
      <c r="R35" s="639" t="inlineStr">
        <is>
          <t>---</t>
        </is>
      </c>
      <c r="S35" s="640" t="inlineStr">
        <is>
          <t>---</t>
        </is>
      </c>
      <c r="T35" s="216" t="n"/>
      <c r="U35" s="153">
        <f>+BALANZA!$C$10</f>
        <v/>
      </c>
      <c r="V35" s="638">
        <f>+U35/SQRT(3)/2</f>
        <v/>
      </c>
      <c r="W35" s="639" t="inlineStr">
        <is>
          <t>---</t>
        </is>
      </c>
      <c r="X35" s="640" t="inlineStr">
        <is>
          <t>---</t>
        </is>
      </c>
      <c r="Y35" s="216" t="n"/>
      <c r="Z35" s="153">
        <f>+BALANZA!$C$10</f>
        <v/>
      </c>
      <c r="AA35" s="638">
        <f>+Z35/SQRT(3)/2</f>
        <v/>
      </c>
      <c r="AB35" s="639" t="inlineStr">
        <is>
          <t>---</t>
        </is>
      </c>
      <c r="AC35" s="640" t="inlineStr">
        <is>
          <t>---</t>
        </is>
      </c>
      <c r="AD35" s="216" t="n"/>
      <c r="AE35" s="153">
        <f>+BALANZA!$C$10</f>
        <v/>
      </c>
      <c r="AF35" s="638">
        <f>+AE35/SQRT(3)/2</f>
        <v/>
      </c>
      <c r="AG35" s="639" t="inlineStr">
        <is>
          <t>---</t>
        </is>
      </c>
      <c r="AH35" s="640" t="inlineStr">
        <is>
          <t>---</t>
        </is>
      </c>
    </row>
    <row r="36" ht="16.15" customFormat="1" customHeight="1" s="173">
      <c r="A36" s="532" t="inlineStr">
        <is>
          <t>B</t>
        </is>
      </c>
      <c r="B36" s="201" t="inlineStr">
        <is>
          <t>Masa retenida</t>
        </is>
      </c>
      <c r="C36" s="145" t="inlineStr">
        <is>
          <t>g</t>
        </is>
      </c>
      <c r="D36" s="147" t="inlineStr">
        <is>
          <t>---</t>
        </is>
      </c>
      <c r="E36" s="158">
        <f>+DATOS!$D$12</f>
        <v/>
      </c>
      <c r="F36" s="145" t="n"/>
      <c r="G36" s="149">
        <f>SQRT((G37*G37)+(G38*G38)+(G39*G39))</f>
        <v/>
      </c>
      <c r="H36" s="642">
        <f>IF(E28=0,0,E28*100/E32/E40)</f>
        <v/>
      </c>
      <c r="I36" s="643">
        <f>+H36*G36</f>
        <v/>
      </c>
      <c r="J36" s="217">
        <f>+DATOS!$D$13</f>
        <v/>
      </c>
      <c r="K36" s="145" t="n"/>
      <c r="L36" s="149">
        <f>SQRT((L37*L37)+(L38*L38)+(L39*L39))</f>
        <v/>
      </c>
      <c r="M36" s="642">
        <f>IF(J28=0,0,J28*100/J32/J40)</f>
        <v/>
      </c>
      <c r="N36" s="643">
        <f>+M36*L36</f>
        <v/>
      </c>
      <c r="O36" s="217">
        <f>+DATOS!$D$14</f>
        <v/>
      </c>
      <c r="P36" s="145" t="n"/>
      <c r="Q36" s="149">
        <f>SQRT((Q37*Q37)+(Q38*Q38)+(Q39*Q39))</f>
        <v/>
      </c>
      <c r="R36" s="642">
        <f>IF(O28=0,0,O28*100/O32/O40)</f>
        <v/>
      </c>
      <c r="S36" s="643">
        <f>+R36*Q36</f>
        <v/>
      </c>
      <c r="T36" s="217">
        <f>+DATOS!$D$15</f>
        <v/>
      </c>
      <c r="U36" s="145" t="n"/>
      <c r="V36" s="149">
        <f>SQRT((V37*V37)+(V38*V38)+(V39*V39))</f>
        <v/>
      </c>
      <c r="W36" s="642">
        <f>IF(T28=0,0,T28*100/T32/T40)</f>
        <v/>
      </c>
      <c r="X36" s="643">
        <f>+W36*V36</f>
        <v/>
      </c>
      <c r="Y36" s="217">
        <f>+DATOS!$D$16</f>
        <v/>
      </c>
      <c r="Z36" s="145" t="n"/>
      <c r="AA36" s="149">
        <f>SQRT((AA37*AA37)+(AA38*AA38)+(AA39*AA39))</f>
        <v/>
      </c>
      <c r="AB36" s="642">
        <f>IF(Y28=0,0,Y28*100/Y32/Y40)</f>
        <v/>
      </c>
      <c r="AC36" s="643">
        <f>+AB36*AA36</f>
        <v/>
      </c>
      <c r="AD36" s="217">
        <f>+DATOS!$D$17</f>
        <v/>
      </c>
      <c r="AE36" s="145" t="n"/>
      <c r="AF36" s="149">
        <f>SQRT((AF37*AF37)+(AF38*AF38)+(AF39*AF39))</f>
        <v/>
      </c>
      <c r="AG36" s="642">
        <f>IF(AD28=0,0,AD28*100/AD32/AD40)</f>
        <v/>
      </c>
      <c r="AH36" s="643">
        <f>+AG36*AF36</f>
        <v/>
      </c>
    </row>
    <row r="37" ht="16.15" customFormat="1" customHeight="1" s="173">
      <c r="B37" s="203" t="inlineStr">
        <is>
          <t>Repetibilidad de la pesada</t>
        </is>
      </c>
      <c r="C37" s="151" t="inlineStr">
        <is>
          <t>g</t>
        </is>
      </c>
      <c r="D37" s="154" t="inlineStr">
        <is>
          <t>Normal, K=1</t>
        </is>
      </c>
      <c r="E37" s="152" t="n"/>
      <c r="F37" s="153">
        <f>+BALANZA!$H$24</f>
        <v/>
      </c>
      <c r="G37" s="638">
        <f>+F37</f>
        <v/>
      </c>
      <c r="H37" s="639" t="inlineStr">
        <is>
          <t>---</t>
        </is>
      </c>
      <c r="I37" s="640" t="inlineStr">
        <is>
          <t>---</t>
        </is>
      </c>
      <c r="J37" s="216" t="n"/>
      <c r="K37" s="153">
        <f>+BALANZA!$H$25</f>
        <v/>
      </c>
      <c r="L37" s="638">
        <f>+K37</f>
        <v/>
      </c>
      <c r="M37" s="639" t="inlineStr">
        <is>
          <t>---</t>
        </is>
      </c>
      <c r="N37" s="640" t="inlineStr">
        <is>
          <t>---</t>
        </is>
      </c>
      <c r="O37" s="216" t="n"/>
      <c r="P37" s="153">
        <f>+BALANZA!$H$26</f>
        <v/>
      </c>
      <c r="Q37" s="638">
        <f>+P37</f>
        <v/>
      </c>
      <c r="R37" s="639" t="inlineStr">
        <is>
          <t>---</t>
        </is>
      </c>
      <c r="S37" s="640" t="inlineStr">
        <is>
          <t>---</t>
        </is>
      </c>
      <c r="T37" s="216" t="n"/>
      <c r="U37" s="153">
        <f>+BALANZA!$H$27</f>
        <v/>
      </c>
      <c r="V37" s="638">
        <f>+U37</f>
        <v/>
      </c>
      <c r="W37" s="639" t="inlineStr">
        <is>
          <t>---</t>
        </is>
      </c>
      <c r="X37" s="640" t="inlineStr">
        <is>
          <t>---</t>
        </is>
      </c>
      <c r="Y37" s="216" t="n"/>
      <c r="Z37" s="153">
        <f>+BALANZA!$H$28</f>
        <v/>
      </c>
      <c r="AA37" s="638">
        <f>+Z37</f>
        <v/>
      </c>
      <c r="AB37" s="639" t="inlineStr">
        <is>
          <t>---</t>
        </is>
      </c>
      <c r="AC37" s="640" t="inlineStr">
        <is>
          <t>---</t>
        </is>
      </c>
      <c r="AD37" s="216" t="n"/>
      <c r="AE37" s="153">
        <f>+BALANZA!$H$29</f>
        <v/>
      </c>
      <c r="AF37" s="638">
        <f>+AE37</f>
        <v/>
      </c>
      <c r="AG37" s="639" t="inlineStr">
        <is>
          <t>---</t>
        </is>
      </c>
      <c r="AH37" s="640" t="inlineStr">
        <is>
          <t>---</t>
        </is>
      </c>
    </row>
    <row r="38" ht="16.15" customFormat="1" customHeight="1" s="173">
      <c r="B38" s="203" t="inlineStr">
        <is>
          <t>Certificado de Calibración</t>
        </is>
      </c>
      <c r="C38" s="151" t="inlineStr">
        <is>
          <t>g</t>
        </is>
      </c>
      <c r="D38" s="154" t="inlineStr">
        <is>
          <t>Normal, K=2</t>
        </is>
      </c>
      <c r="E38" s="152" t="n"/>
      <c r="F38" s="153">
        <f>2*(SQRT(BALANZA!$C$8+BALANZA!$D$8*(POWER(E36,2))))</f>
        <v/>
      </c>
      <c r="G38" s="638">
        <f>+F38/2</f>
        <v/>
      </c>
      <c r="H38" s="639" t="inlineStr">
        <is>
          <t>---</t>
        </is>
      </c>
      <c r="I38" s="640" t="inlineStr">
        <is>
          <t>---</t>
        </is>
      </c>
      <c r="J38" s="216" t="n"/>
      <c r="K38" s="153">
        <f>2*(SQRT(BALANZA!$C$8+BALANZA!$D$8*(POWER(J36,2))))</f>
        <v/>
      </c>
      <c r="L38" s="638">
        <f>+K38/2</f>
        <v/>
      </c>
      <c r="M38" s="639" t="inlineStr">
        <is>
          <t>---</t>
        </is>
      </c>
      <c r="N38" s="640" t="inlineStr">
        <is>
          <t>---</t>
        </is>
      </c>
      <c r="O38" s="216" t="n"/>
      <c r="P38" s="153">
        <f>2*(SQRT(BALANZA!$C$8+BALANZA!$D$8*(POWER(O36,2))))</f>
        <v/>
      </c>
      <c r="Q38" s="638">
        <f>+P38/2</f>
        <v/>
      </c>
      <c r="R38" s="639" t="inlineStr">
        <is>
          <t>---</t>
        </is>
      </c>
      <c r="S38" s="640" t="inlineStr">
        <is>
          <t>---</t>
        </is>
      </c>
      <c r="T38" s="216" t="n"/>
      <c r="U38" s="153">
        <f>2*(SQRT(BALANZA!$C$8+BALANZA!$D$8*(POWER(T36,2))))</f>
        <v/>
      </c>
      <c r="V38" s="638">
        <f>+U38/2</f>
        <v/>
      </c>
      <c r="W38" s="639" t="inlineStr">
        <is>
          <t>---</t>
        </is>
      </c>
      <c r="X38" s="640" t="inlineStr">
        <is>
          <t>---</t>
        </is>
      </c>
      <c r="Y38" s="216" t="n"/>
      <c r="Z38" s="153">
        <f>2*(SQRT(BALANZA!$C$8+BALANZA!$D$8*(POWER(Y36,2))))</f>
        <v/>
      </c>
      <c r="AA38" s="638">
        <f>+Z38/2</f>
        <v/>
      </c>
      <c r="AB38" s="639" t="inlineStr">
        <is>
          <t>---</t>
        </is>
      </c>
      <c r="AC38" s="640" t="inlineStr">
        <is>
          <t>---</t>
        </is>
      </c>
      <c r="AD38" s="216" t="n"/>
      <c r="AE38" s="153">
        <f>2*(SQRT(BALANZA!$C$8+BALANZA!$D$8*(POWER(AD36,2))))</f>
        <v/>
      </c>
      <c r="AF38" s="638">
        <f>+AE38/2</f>
        <v/>
      </c>
      <c r="AG38" s="639" t="inlineStr">
        <is>
          <t>---</t>
        </is>
      </c>
      <c r="AH38" s="640" t="inlineStr">
        <is>
          <t>---</t>
        </is>
      </c>
    </row>
    <row r="39" ht="16.15" customFormat="1" customHeight="1" s="173">
      <c r="B39" s="203" t="inlineStr">
        <is>
          <t>Resolución</t>
        </is>
      </c>
      <c r="C39" s="151" t="inlineStr">
        <is>
          <t>g</t>
        </is>
      </c>
      <c r="D39" s="157" t="inlineStr">
        <is>
          <t>Rectangular</t>
        </is>
      </c>
      <c r="E39" s="152" t="n"/>
      <c r="F39" s="153">
        <f>+BALANZA!$C$10</f>
        <v/>
      </c>
      <c r="G39" s="638">
        <f>+F39/SQRT(3)/2</f>
        <v/>
      </c>
      <c r="H39" s="639" t="inlineStr">
        <is>
          <t>---</t>
        </is>
      </c>
      <c r="I39" s="640" t="inlineStr">
        <is>
          <t>---</t>
        </is>
      </c>
      <c r="J39" s="216" t="n"/>
      <c r="K39" s="153">
        <f>+BALANZA!$C$10</f>
        <v/>
      </c>
      <c r="L39" s="638">
        <f>+K39/SQRT(3)/2</f>
        <v/>
      </c>
      <c r="M39" s="639" t="inlineStr">
        <is>
          <t>---</t>
        </is>
      </c>
      <c r="N39" s="640" t="inlineStr">
        <is>
          <t>---</t>
        </is>
      </c>
      <c r="O39" s="216" t="n"/>
      <c r="P39" s="153">
        <f>+BALANZA!$C$10</f>
        <v/>
      </c>
      <c r="Q39" s="638">
        <f>+P39/SQRT(3)/2</f>
        <v/>
      </c>
      <c r="R39" s="639" t="inlineStr">
        <is>
          <t>---</t>
        </is>
      </c>
      <c r="S39" s="640" t="inlineStr">
        <is>
          <t>---</t>
        </is>
      </c>
      <c r="T39" s="216" t="n"/>
      <c r="U39" s="153">
        <f>+BALANZA!$C$10</f>
        <v/>
      </c>
      <c r="V39" s="638">
        <f>+U39/SQRT(3)/2</f>
        <v/>
      </c>
      <c r="W39" s="639" t="inlineStr">
        <is>
          <t>---</t>
        </is>
      </c>
      <c r="X39" s="640" t="inlineStr">
        <is>
          <t>---</t>
        </is>
      </c>
      <c r="Y39" s="216" t="n"/>
      <c r="Z39" s="153">
        <f>+BALANZA!$C$10</f>
        <v/>
      </c>
      <c r="AA39" s="638">
        <f>+Z39/SQRT(3)/2</f>
        <v/>
      </c>
      <c r="AB39" s="639" t="inlineStr">
        <is>
          <t>---</t>
        </is>
      </c>
      <c r="AC39" s="640" t="inlineStr">
        <is>
          <t>---</t>
        </is>
      </c>
      <c r="AD39" s="216" t="n"/>
      <c r="AE39" s="153">
        <f>+BALANZA!$C$10</f>
        <v/>
      </c>
      <c r="AF39" s="638">
        <f>+AE39/SQRT(3)/2</f>
        <v/>
      </c>
      <c r="AG39" s="639" t="inlineStr">
        <is>
          <t>---</t>
        </is>
      </c>
      <c r="AH39" s="640" t="inlineStr">
        <is>
          <t>---</t>
        </is>
      </c>
    </row>
    <row r="40" ht="16.15" customFormat="1" customHeight="1" s="173">
      <c r="A40" s="532" t="inlineStr">
        <is>
          <t>D</t>
        </is>
      </c>
      <c r="B40" s="201" t="inlineStr">
        <is>
          <t>Masa total</t>
        </is>
      </c>
      <c r="C40" s="145" t="inlineStr">
        <is>
          <t>g</t>
        </is>
      </c>
      <c r="D40" s="147" t="inlineStr">
        <is>
          <t>---</t>
        </is>
      </c>
      <c r="E40" s="158">
        <f>+DATOS!$D$18</f>
        <v/>
      </c>
      <c r="F40" s="145" t="n"/>
      <c r="G40" s="149">
        <f>SQRT((G41*G41)+(G42*G42)+(G43*G43))</f>
        <v/>
      </c>
      <c r="H40" s="642">
        <f>IF(E28=0,0,E28*E36*100/E32/E40/E40)</f>
        <v/>
      </c>
      <c r="I40" s="643">
        <f>+H40*G40</f>
        <v/>
      </c>
      <c r="J40" s="217">
        <f>+DATOS!$D$18</f>
        <v/>
      </c>
      <c r="K40" s="145" t="n"/>
      <c r="L40" s="149">
        <f>SQRT((L41*L41)+(L42*L42)+(L43*L43))</f>
        <v/>
      </c>
      <c r="M40" s="642">
        <f>IF(J28=0,0,J28*J36*100/J32/J40/J40)</f>
        <v/>
      </c>
      <c r="N40" s="643">
        <f>+M40*L40</f>
        <v/>
      </c>
      <c r="O40" s="217">
        <f>+DATOS!$D$18</f>
        <v/>
      </c>
      <c r="P40" s="145" t="n"/>
      <c r="Q40" s="149">
        <f>SQRT((Q41*Q41)+(Q42*Q42)+(Q43*Q43))</f>
        <v/>
      </c>
      <c r="R40" s="642">
        <f>IF(O28=0,0,O28*O36*100/O32/O40/O40)</f>
        <v/>
      </c>
      <c r="S40" s="643">
        <f>+R40*Q40</f>
        <v/>
      </c>
      <c r="T40" s="217">
        <f>+DATOS!$D$18</f>
        <v/>
      </c>
      <c r="U40" s="145" t="n"/>
      <c r="V40" s="149">
        <f>SQRT((V41*V41)+(V42*V42)+(V43*V43))</f>
        <v/>
      </c>
      <c r="W40" s="642">
        <f>IF(T28=0,0,T28*T36*100/T32/T40/T40)</f>
        <v/>
      </c>
      <c r="X40" s="643">
        <f>+W40*V40</f>
        <v/>
      </c>
      <c r="Y40" s="217">
        <f>+DATOS!$D$18</f>
        <v/>
      </c>
      <c r="Z40" s="145" t="n"/>
      <c r="AA40" s="149">
        <f>SQRT((AA41*AA41)+(AA42*AA42)+(AA43*AA43))</f>
        <v/>
      </c>
      <c r="AB40" s="642">
        <f>IF(Y28=0,0,Y28*Y36*100/Y32/Y40/Y40)</f>
        <v/>
      </c>
      <c r="AC40" s="643">
        <f>+AB40*AA40</f>
        <v/>
      </c>
      <c r="AD40" s="217">
        <f>+DATOS!$D$18</f>
        <v/>
      </c>
      <c r="AE40" s="145" t="n"/>
      <c r="AF40" s="149">
        <f>SQRT((AF41*AF41)+(AF42*AF42)+(AF43*AF43))</f>
        <v/>
      </c>
      <c r="AG40" s="642">
        <f>IF(AD28=0,0,AD28*AD36*100/AD32/AD40/AD40)</f>
        <v/>
      </c>
      <c r="AH40" s="643">
        <f>+AG40*AF40</f>
        <v/>
      </c>
    </row>
    <row r="41" ht="16.15" customFormat="1" customHeight="1" s="173">
      <c r="B41" s="203" t="inlineStr">
        <is>
          <t>Repetibilidad de la pesada</t>
        </is>
      </c>
      <c r="C41" s="151" t="inlineStr">
        <is>
          <t>g</t>
        </is>
      </c>
      <c r="D41" s="154" t="inlineStr">
        <is>
          <t>Normal, K=1</t>
        </is>
      </c>
      <c r="E41" s="152" t="n"/>
      <c r="F41" s="153">
        <f>+BALANZA!$K$24</f>
        <v/>
      </c>
      <c r="G41" s="638">
        <f>+F41</f>
        <v/>
      </c>
      <c r="H41" s="639" t="inlineStr">
        <is>
          <t>---</t>
        </is>
      </c>
      <c r="I41" s="640" t="inlineStr">
        <is>
          <t>---</t>
        </is>
      </c>
      <c r="J41" s="216" t="n"/>
      <c r="K41" s="153">
        <f>+BALANZA!$K$24</f>
        <v/>
      </c>
      <c r="L41" s="638">
        <f>+K41</f>
        <v/>
      </c>
      <c r="M41" s="639" t="inlineStr">
        <is>
          <t>---</t>
        </is>
      </c>
      <c r="N41" s="640" t="inlineStr">
        <is>
          <t>---</t>
        </is>
      </c>
      <c r="O41" s="216" t="n"/>
      <c r="P41" s="153">
        <f>+BALANZA!$K$24</f>
        <v/>
      </c>
      <c r="Q41" s="638">
        <f>+P41</f>
        <v/>
      </c>
      <c r="R41" s="639" t="inlineStr">
        <is>
          <t>---</t>
        </is>
      </c>
      <c r="S41" s="640" t="inlineStr">
        <is>
          <t>---</t>
        </is>
      </c>
      <c r="T41" s="216" t="n"/>
      <c r="U41" s="153">
        <f>+BALANZA!$K$24</f>
        <v/>
      </c>
      <c r="V41" s="638">
        <f>+U41</f>
        <v/>
      </c>
      <c r="W41" s="639" t="inlineStr">
        <is>
          <t>---</t>
        </is>
      </c>
      <c r="X41" s="640" t="inlineStr">
        <is>
          <t>---</t>
        </is>
      </c>
      <c r="Y41" s="216" t="n"/>
      <c r="Z41" s="153">
        <f>+BALANZA!$K$24</f>
        <v/>
      </c>
      <c r="AA41" s="638">
        <f>+Z41</f>
        <v/>
      </c>
      <c r="AB41" s="639" t="inlineStr">
        <is>
          <t>---</t>
        </is>
      </c>
      <c r="AC41" s="640" t="inlineStr">
        <is>
          <t>---</t>
        </is>
      </c>
      <c r="AD41" s="216" t="n"/>
      <c r="AE41" s="153">
        <f>+BALANZA!$K$24</f>
        <v/>
      </c>
      <c r="AF41" s="638">
        <f>+AE41</f>
        <v/>
      </c>
      <c r="AG41" s="639" t="inlineStr">
        <is>
          <t>---</t>
        </is>
      </c>
      <c r="AH41" s="640" t="inlineStr">
        <is>
          <t>---</t>
        </is>
      </c>
    </row>
    <row r="42" ht="16.15" customFormat="1" customHeight="1" s="173">
      <c r="B42" s="203" t="inlineStr">
        <is>
          <t>Certificado de Calibración</t>
        </is>
      </c>
      <c r="C42" s="151" t="inlineStr">
        <is>
          <t>g</t>
        </is>
      </c>
      <c r="D42" s="154" t="inlineStr">
        <is>
          <t>Normal, K=2</t>
        </is>
      </c>
      <c r="E42" s="152" t="n"/>
      <c r="F42" s="153">
        <f>2*(SQRT(BALANZA!$C$8+BALANZA!$D$8*(POWER(E40,2))))</f>
        <v/>
      </c>
      <c r="G42" s="638">
        <f>+F42/2</f>
        <v/>
      </c>
      <c r="H42" s="639" t="inlineStr">
        <is>
          <t>---</t>
        </is>
      </c>
      <c r="I42" s="640" t="inlineStr">
        <is>
          <t>---</t>
        </is>
      </c>
      <c r="J42" s="216" t="n"/>
      <c r="K42" s="153">
        <f>2*(SQRT(BALANZA!$C$8+BALANZA!$D$8*(POWER(J40,2))))</f>
        <v/>
      </c>
      <c r="L42" s="638">
        <f>+K42/2</f>
        <v/>
      </c>
      <c r="M42" s="639" t="inlineStr">
        <is>
          <t>---</t>
        </is>
      </c>
      <c r="N42" s="640" t="inlineStr">
        <is>
          <t>---</t>
        </is>
      </c>
      <c r="O42" s="216" t="n"/>
      <c r="P42" s="153">
        <f>2*(SQRT(BALANZA!$C$8+BALANZA!$D$8*(POWER(O40,2))))</f>
        <v/>
      </c>
      <c r="Q42" s="638">
        <f>+P42/2</f>
        <v/>
      </c>
      <c r="R42" s="639" t="inlineStr">
        <is>
          <t>---</t>
        </is>
      </c>
      <c r="S42" s="640" t="inlineStr">
        <is>
          <t>---</t>
        </is>
      </c>
      <c r="T42" s="216" t="n"/>
      <c r="U42" s="153">
        <f>2*(SQRT(BALANZA!$C$8+BALANZA!$D$8*(POWER(T40,2))))</f>
        <v/>
      </c>
      <c r="V42" s="638">
        <f>+U42/2</f>
        <v/>
      </c>
      <c r="W42" s="639" t="inlineStr">
        <is>
          <t>---</t>
        </is>
      </c>
      <c r="X42" s="640" t="inlineStr">
        <is>
          <t>---</t>
        </is>
      </c>
      <c r="Y42" s="216" t="n"/>
      <c r="Z42" s="153">
        <f>2*(SQRT(BALANZA!$C$8+BALANZA!$D$8*(POWER(Y40,2))))</f>
        <v/>
      </c>
      <c r="AA42" s="638">
        <f>+Z42/2</f>
        <v/>
      </c>
      <c r="AB42" s="639" t="inlineStr">
        <is>
          <t>---</t>
        </is>
      </c>
      <c r="AC42" s="640" t="inlineStr">
        <is>
          <t>---</t>
        </is>
      </c>
      <c r="AD42" s="216" t="n"/>
      <c r="AE42" s="153">
        <f>2*(SQRT(BALANZA!$C$8+BALANZA!$D$8*(POWER(AD40,2))))</f>
        <v/>
      </c>
      <c r="AF42" s="638">
        <f>+AE42/2</f>
        <v/>
      </c>
      <c r="AG42" s="639" t="inlineStr">
        <is>
          <t>---</t>
        </is>
      </c>
      <c r="AH42" s="640" t="inlineStr">
        <is>
          <t>---</t>
        </is>
      </c>
    </row>
    <row r="43" ht="16.15" customFormat="1" customHeight="1" s="173" thickBot="1">
      <c r="B43" s="206" t="inlineStr">
        <is>
          <t>Resolución</t>
        </is>
      </c>
      <c r="C43" s="207" t="inlineStr">
        <is>
          <t>g</t>
        </is>
      </c>
      <c r="D43" s="208" t="inlineStr">
        <is>
          <t>Rectangular</t>
        </is>
      </c>
      <c r="E43" s="209" t="n"/>
      <c r="F43" s="210">
        <f>+BALANZA!$C$10</f>
        <v/>
      </c>
      <c r="G43" s="645">
        <f>+F43/SQRT(3)/2</f>
        <v/>
      </c>
      <c r="H43" s="646" t="inlineStr">
        <is>
          <t>---</t>
        </is>
      </c>
      <c r="I43" s="647" t="inlineStr">
        <is>
          <t>---</t>
        </is>
      </c>
      <c r="J43" s="218" t="n"/>
      <c r="K43" s="210">
        <f>+BALANZA!$C$10</f>
        <v/>
      </c>
      <c r="L43" s="645">
        <f>+K43/SQRT(3)/2</f>
        <v/>
      </c>
      <c r="M43" s="646" t="inlineStr">
        <is>
          <t>---</t>
        </is>
      </c>
      <c r="N43" s="647" t="inlineStr">
        <is>
          <t>---</t>
        </is>
      </c>
      <c r="O43" s="218" t="n"/>
      <c r="P43" s="210">
        <f>+BALANZA!$C$10</f>
        <v/>
      </c>
      <c r="Q43" s="645">
        <f>+P43/SQRT(3)/2</f>
        <v/>
      </c>
      <c r="R43" s="646" t="inlineStr">
        <is>
          <t>---</t>
        </is>
      </c>
      <c r="S43" s="647" t="inlineStr">
        <is>
          <t>---</t>
        </is>
      </c>
      <c r="T43" s="218" t="n"/>
      <c r="U43" s="210">
        <f>+BALANZA!$C$10</f>
        <v/>
      </c>
      <c r="V43" s="645">
        <f>+U43/SQRT(3)/2</f>
        <v/>
      </c>
      <c r="W43" s="646" t="inlineStr">
        <is>
          <t>---</t>
        </is>
      </c>
      <c r="X43" s="647" t="inlineStr">
        <is>
          <t>---</t>
        </is>
      </c>
      <c r="Y43" s="218" t="n"/>
      <c r="Z43" s="210">
        <f>+BALANZA!$C$10</f>
        <v/>
      </c>
      <c r="AA43" s="645">
        <f>+Z43/SQRT(3)/2</f>
        <v/>
      </c>
      <c r="AB43" s="646" t="inlineStr">
        <is>
          <t>---</t>
        </is>
      </c>
      <c r="AC43" s="647" t="inlineStr">
        <is>
          <t>---</t>
        </is>
      </c>
      <c r="AD43" s="218" t="n"/>
      <c r="AE43" s="210">
        <f>+BALANZA!$C$10</f>
        <v/>
      </c>
      <c r="AF43" s="645">
        <f>+AE43/SQRT(3)/2</f>
        <v/>
      </c>
      <c r="AG43" s="646" t="inlineStr">
        <is>
          <t>---</t>
        </is>
      </c>
      <c r="AH43" s="647" t="inlineStr">
        <is>
          <t>---</t>
        </is>
      </c>
    </row>
    <row r="44" ht="4.9" customFormat="1" customHeight="1" s="173">
      <c r="B44" s="190" t="n"/>
      <c r="C44" s="191" t="n"/>
      <c r="D44" s="192" t="n"/>
      <c r="E44" s="193" t="n"/>
      <c r="F44" s="194" t="n"/>
      <c r="G44" s="648" t="n"/>
      <c r="H44" s="649" t="n"/>
      <c r="I44" s="649" t="n"/>
      <c r="J44" s="226" t="n"/>
      <c r="K44" s="227" t="n"/>
      <c r="L44" s="650" t="n"/>
      <c r="M44" s="651" t="n"/>
      <c r="N44" s="651" t="n"/>
      <c r="O44" s="226" t="n"/>
      <c r="P44" s="227" t="n"/>
      <c r="Q44" s="650" t="n"/>
      <c r="R44" s="651" t="n"/>
      <c r="S44" s="651" t="n"/>
      <c r="T44" s="226" t="n"/>
      <c r="U44" s="227" t="n"/>
      <c r="V44" s="650" t="n"/>
      <c r="W44" s="651" t="n"/>
      <c r="X44" s="651" t="n"/>
      <c r="Y44" s="226" t="n"/>
      <c r="Z44" s="227" t="n"/>
      <c r="AA44" s="650" t="n"/>
      <c r="AB44" s="651" t="n"/>
      <c r="AC44" s="651" t="n"/>
      <c r="AD44" s="226" t="n"/>
      <c r="AE44" s="227" t="n"/>
      <c r="AF44" s="650" t="n"/>
      <c r="AG44" s="651" t="n"/>
      <c r="AH44" s="651" t="n"/>
    </row>
    <row r="45" ht="15.6" customHeight="1">
      <c r="B45" s="219" t="inlineStr">
        <is>
          <t xml:space="preserve">factor de presición </t>
        </is>
      </c>
      <c r="C45" s="112" t="inlineStr">
        <is>
          <t>%</t>
        </is>
      </c>
      <c r="D45" s="113" t="inlineStr">
        <is>
          <t>Norma, K=1</t>
        </is>
      </c>
      <c r="E45" s="652">
        <f>+PRECISION!B7</f>
        <v/>
      </c>
      <c r="F45" s="652" t="n"/>
      <c r="G45" s="652">
        <f>E45/SQRT(1)</f>
        <v/>
      </c>
      <c r="H45" s="653" t="n">
        <v>1</v>
      </c>
      <c r="I45" s="652">
        <f>+G45*H45</f>
        <v/>
      </c>
      <c r="J45" s="110" t="n"/>
      <c r="K45" s="173" t="n"/>
      <c r="L45" s="173" t="n"/>
      <c r="M45" s="173" t="n"/>
      <c r="N45" s="173" t="n"/>
      <c r="O45" s="173" t="n"/>
      <c r="P45" s="654" t="n"/>
      <c r="Q45" s="654" t="n"/>
      <c r="R45" s="110" t="n"/>
      <c r="S45" s="654" t="n"/>
      <c r="T45" s="173" t="n"/>
      <c r="U45" s="173" t="n"/>
      <c r="V45" s="173" t="n"/>
      <c r="W45" s="173" t="n"/>
      <c r="X45" s="173" t="n"/>
      <c r="Y45" s="173" t="n"/>
      <c r="Z45" s="173" t="n"/>
      <c r="AA45" s="173" t="n"/>
      <c r="AB45" s="173" t="n"/>
      <c r="AC45" s="173" t="n"/>
      <c r="AD45" s="173" t="n"/>
      <c r="AE45" s="173" t="n"/>
      <c r="AF45" s="173" t="n"/>
      <c r="AG45" s="173" t="n"/>
      <c r="AH45" s="173" t="n"/>
    </row>
    <row r="46" ht="21.75" customHeight="1">
      <c r="B46" s="115" t="inlineStr">
        <is>
          <t xml:space="preserve">Incertidumbre Estándar Combinada </t>
        </is>
      </c>
      <c r="C46" s="116" t="n"/>
      <c r="D46" s="116" t="n"/>
      <c r="E46" s="117" t="n"/>
      <c r="F46" s="117" t="n"/>
      <c r="G46" s="117" t="n"/>
      <c r="H46" s="118" t="inlineStr">
        <is>
          <t>%</t>
        </is>
      </c>
      <c r="I46" s="119">
        <f>SQRT(I45^2+I28^2+I32^2+I36^2+I40^2+N28^2+N32^2+N36^2+S28^2+S32^2+S36^2+X28^2+X32^2+X36^2+AC28^2+AC32^2+AC36^2+AH28^2+AH32^2+AH36^2)</f>
        <v/>
      </c>
      <c r="J46" s="110" t="n"/>
      <c r="K46" s="173" t="n"/>
      <c r="L46" s="173" t="n"/>
      <c r="M46" s="173" t="n"/>
      <c r="N46" s="173" t="n"/>
      <c r="O46" s="173" t="n"/>
      <c r="P46" s="107" t="n"/>
      <c r="Q46" s="107" t="n"/>
      <c r="R46" s="110" t="n"/>
      <c r="S46" s="107" t="n"/>
      <c r="T46" s="173" t="n"/>
      <c r="U46" s="173" t="n"/>
      <c r="V46" s="173" t="n"/>
      <c r="W46" s="173" t="n"/>
      <c r="X46" s="173" t="n"/>
      <c r="Y46" s="173" t="n"/>
      <c r="Z46" s="173" t="n"/>
      <c r="AA46" s="173" t="n"/>
      <c r="AB46" s="173" t="n"/>
      <c r="AC46" s="173" t="n"/>
      <c r="AD46" s="173" t="n"/>
      <c r="AE46" s="173" t="n"/>
      <c r="AF46" s="173" t="n"/>
      <c r="AG46" s="173" t="n"/>
      <c r="AH46" s="173" t="n"/>
    </row>
    <row r="47" ht="21.75" customHeight="1">
      <c r="B47" s="115" t="inlineStr">
        <is>
          <t>Incertidumbre Expandida, K = 2</t>
        </is>
      </c>
      <c r="C47" s="120" t="n"/>
      <c r="D47" s="120" t="n"/>
      <c r="E47" s="120" t="n"/>
      <c r="F47" s="116" t="n"/>
      <c r="G47" s="116" t="n"/>
      <c r="H47" s="121" t="inlineStr">
        <is>
          <t>%</t>
        </is>
      </c>
      <c r="I47" s="230">
        <f>+I46*2</f>
        <v/>
      </c>
      <c r="J47" s="108" t="n"/>
      <c r="K47" s="173" t="n"/>
      <c r="L47" s="173" t="n"/>
      <c r="M47" s="173" t="n"/>
      <c r="N47" s="173" t="n"/>
      <c r="O47" s="173" t="n"/>
      <c r="P47" s="108" t="n"/>
      <c r="Q47" s="108" t="n"/>
      <c r="R47" s="108" t="n"/>
      <c r="S47" s="108" t="n"/>
      <c r="T47" s="173" t="n"/>
      <c r="U47" s="173" t="n"/>
      <c r="V47" s="173" t="n"/>
      <c r="W47" s="173" t="n"/>
      <c r="X47" s="173" t="n"/>
      <c r="Y47" s="173" t="n"/>
      <c r="Z47" s="173" t="n"/>
      <c r="AA47" s="173" t="n"/>
      <c r="AB47" s="173" t="n"/>
      <c r="AC47" s="173" t="n"/>
      <c r="AD47" s="173" t="n"/>
      <c r="AE47" s="173" t="n"/>
      <c r="AF47" s="173" t="n"/>
      <c r="AG47" s="173" t="n"/>
      <c r="AH47" s="173" t="n"/>
    </row>
    <row r="48" ht="18" customHeight="1">
      <c r="B48" s="97" t="n"/>
      <c r="C48" s="97" t="n"/>
      <c r="D48" s="97" t="n"/>
      <c r="E48" s="97" t="n"/>
      <c r="F48" s="106" t="n"/>
      <c r="G48" s="106" t="n"/>
      <c r="H48" s="106" t="n"/>
      <c r="I48" s="654" t="n"/>
      <c r="J48" s="97" t="n"/>
      <c r="K48" s="173" t="n"/>
      <c r="L48" s="173" t="n"/>
      <c r="M48" s="173" t="n"/>
      <c r="N48" s="173" t="n"/>
      <c r="O48" s="173" t="n"/>
      <c r="P48" s="97" t="n"/>
      <c r="Q48" s="97" t="n"/>
      <c r="R48" s="97" t="n"/>
      <c r="S48" s="97" t="n"/>
      <c r="T48" s="173" t="n"/>
      <c r="U48" s="173" t="n"/>
      <c r="V48" s="173" t="n"/>
      <c r="W48" s="173" t="n"/>
      <c r="X48" s="173" t="n"/>
      <c r="Y48" s="173" t="n"/>
      <c r="Z48" s="173" t="n"/>
      <c r="AA48" s="173" t="n"/>
      <c r="AB48" s="173" t="n"/>
      <c r="AC48" s="173" t="n"/>
      <c r="AD48" s="173" t="n"/>
      <c r="AE48" s="173" t="n"/>
      <c r="AF48" s="173" t="n"/>
      <c r="AG48" s="173" t="n"/>
      <c r="AH48" s="173" t="n"/>
    </row>
    <row r="49" ht="21.75" customHeight="1" thickBot="1">
      <c r="B49" s="103" t="inlineStr">
        <is>
          <t>CÁLCULO:  PORCENTAJE DE PARTICULAS ALARGADAS</t>
        </is>
      </c>
      <c r="C49" s="104" t="n"/>
      <c r="D49" s="104" t="n"/>
      <c r="E49" s="104" t="n"/>
      <c r="F49" s="105" t="n"/>
      <c r="G49" s="104" t="n"/>
      <c r="H49" s="104" t="n"/>
      <c r="I49" s="104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</row>
    <row r="50" ht="21.75" customHeight="1">
      <c r="B50" s="499" t="inlineStr">
        <is>
          <t>Tamaño de tamiz 1 1/2</t>
        </is>
      </c>
      <c r="C50" s="632" t="n"/>
      <c r="D50" s="632" t="n"/>
      <c r="E50" s="632" t="n"/>
      <c r="F50" s="632" t="n"/>
      <c r="G50" s="632" t="n"/>
      <c r="H50" s="632" t="n"/>
      <c r="I50" s="633" t="n"/>
      <c r="J50" s="499" t="inlineStr">
        <is>
          <t>Tamaño de tamiz 1</t>
        </is>
      </c>
      <c r="K50" s="632" t="n"/>
      <c r="L50" s="632" t="n"/>
      <c r="M50" s="632" t="n"/>
      <c r="N50" s="633" t="n"/>
      <c r="O50" s="499" t="inlineStr">
        <is>
          <t>Tamaño de tamiz 3/4</t>
        </is>
      </c>
      <c r="P50" s="632" t="n"/>
      <c r="Q50" s="632" t="n"/>
      <c r="R50" s="632" t="n"/>
      <c r="S50" s="633" t="n"/>
      <c r="T50" s="499" t="inlineStr">
        <is>
          <t>Tamaño de tamiz 1/2</t>
        </is>
      </c>
      <c r="U50" s="632" t="n"/>
      <c r="V50" s="632" t="n"/>
      <c r="W50" s="632" t="n"/>
      <c r="X50" s="633" t="n"/>
      <c r="Y50" s="499" t="inlineStr">
        <is>
          <t>Tamaño de tamiz 3/8</t>
        </is>
      </c>
      <c r="Z50" s="632" t="n"/>
      <c r="AA50" s="632" t="n"/>
      <c r="AB50" s="632" t="n"/>
      <c r="AC50" s="633" t="n"/>
      <c r="AD50" s="499" t="inlineStr">
        <is>
          <t>Tamaño de tamiz No 4</t>
        </is>
      </c>
      <c r="AE50" s="632" t="n"/>
      <c r="AF50" s="632" t="n"/>
      <c r="AG50" s="632" t="n"/>
      <c r="AH50" s="633" t="n"/>
      <c r="AJ50" s="502" t="inlineStr">
        <is>
          <t>CONTRIBUCION</t>
        </is>
      </c>
      <c r="AK50" s="547" t="n"/>
      <c r="AL50" s="548" t="n"/>
    </row>
    <row r="51" ht="35.45" customHeight="1">
      <c r="B51" s="197" t="inlineStr">
        <is>
          <t>Fuentes</t>
        </is>
      </c>
      <c r="C51" s="189" t="inlineStr">
        <is>
          <t>Unidades</t>
        </is>
      </c>
      <c r="D51" s="189" t="inlineStr">
        <is>
          <t>Distribución</t>
        </is>
      </c>
      <c r="E51" s="188" t="inlineStr">
        <is>
          <t>Valor</t>
        </is>
      </c>
      <c r="F51" s="189" t="inlineStr">
        <is>
          <t>Incertidumbre Original</t>
        </is>
      </c>
      <c r="G51" s="189" t="inlineStr">
        <is>
          <t>Incertidumbre Estándar u(xi)</t>
        </is>
      </c>
      <c r="H51" s="189" t="inlineStr">
        <is>
          <t>Coeficiente de Sensibilidad</t>
        </is>
      </c>
      <c r="I51" s="198" t="inlineStr">
        <is>
          <t>Contribución ui(y)</t>
        </is>
      </c>
      <c r="J51" s="197" t="inlineStr">
        <is>
          <t>Valor</t>
        </is>
      </c>
      <c r="K51" s="189" t="inlineStr">
        <is>
          <t>Incertidumbre Original</t>
        </is>
      </c>
      <c r="L51" s="189" t="inlineStr">
        <is>
          <t>Incertidumbre Estándar u(xi)</t>
        </is>
      </c>
      <c r="M51" s="189" t="inlineStr">
        <is>
          <t>Coeficiente de Sensibilidad</t>
        </is>
      </c>
      <c r="N51" s="198" t="inlineStr">
        <is>
          <t>Contribución ui(y)</t>
        </is>
      </c>
      <c r="O51" s="197" t="inlineStr">
        <is>
          <t>Valor</t>
        </is>
      </c>
      <c r="P51" s="189" t="inlineStr">
        <is>
          <t>Incertidumbre Original</t>
        </is>
      </c>
      <c r="Q51" s="189" t="inlineStr">
        <is>
          <t>Incertidumbre Estándar u(xi)</t>
        </is>
      </c>
      <c r="R51" s="189" t="inlineStr">
        <is>
          <t>Coeficiente de Sensibilidad</t>
        </is>
      </c>
      <c r="S51" s="198" t="inlineStr">
        <is>
          <t>Contribución ui(y)</t>
        </is>
      </c>
      <c r="T51" s="197" t="inlineStr">
        <is>
          <t>Valor</t>
        </is>
      </c>
      <c r="U51" s="189" t="inlineStr">
        <is>
          <t>Incertidumbre Original</t>
        </is>
      </c>
      <c r="V51" s="189" t="inlineStr">
        <is>
          <t>Incertidumbre Estándar u(xi)</t>
        </is>
      </c>
      <c r="W51" s="189" t="inlineStr">
        <is>
          <t>Coeficiente de Sensibilidad</t>
        </is>
      </c>
      <c r="X51" s="198" t="inlineStr">
        <is>
          <t>Contribución ui(y)</t>
        </is>
      </c>
      <c r="Y51" s="197" t="inlineStr">
        <is>
          <t>Valor</t>
        </is>
      </c>
      <c r="Z51" s="189" t="inlineStr">
        <is>
          <t>Incertidumbre Original</t>
        </is>
      </c>
      <c r="AA51" s="189" t="inlineStr">
        <is>
          <t>Incertidumbre Estándar u(xi)</t>
        </is>
      </c>
      <c r="AB51" s="189" t="inlineStr">
        <is>
          <t>Coeficiente de Sensibilidad</t>
        </is>
      </c>
      <c r="AC51" s="198" t="inlineStr">
        <is>
          <t>Contribución ui(y)</t>
        </is>
      </c>
      <c r="AD51" s="197" t="inlineStr">
        <is>
          <t>Valor</t>
        </is>
      </c>
      <c r="AE51" s="189" t="inlineStr">
        <is>
          <t>Incertidumbre Original</t>
        </is>
      </c>
      <c r="AF51" s="189" t="inlineStr">
        <is>
          <t>Incertidumbre Estándar u(xi)</t>
        </is>
      </c>
      <c r="AG51" s="189" t="inlineStr">
        <is>
          <t>Coeficiente de Sensibilidad</t>
        </is>
      </c>
      <c r="AH51" s="198" t="inlineStr">
        <is>
          <t>Contribución ui(y)</t>
        </is>
      </c>
      <c r="AJ51" s="186" t="inlineStr">
        <is>
          <t>Factor de influencia</t>
        </is>
      </c>
      <c r="AK51" s="502" t="inlineStr">
        <is>
          <t>valor</t>
        </is>
      </c>
      <c r="AL51" s="502" t="inlineStr">
        <is>
          <t>%</t>
        </is>
      </c>
    </row>
    <row r="52" ht="20.45" customHeight="1">
      <c r="B52" s="199" t="n"/>
      <c r="C52" s="143" t="n"/>
      <c r="D52" s="144" t="inlineStr">
        <is>
          <t>---</t>
        </is>
      </c>
      <c r="E52" s="172">
        <f>IF(E53=0,"--",(E53*E61*100*1/E57/E65))</f>
        <v/>
      </c>
      <c r="F52" s="144" t="inlineStr">
        <is>
          <t>---</t>
        </is>
      </c>
      <c r="G52" s="144" t="inlineStr">
        <is>
          <t>---</t>
        </is>
      </c>
      <c r="H52" s="144" t="inlineStr">
        <is>
          <t>---</t>
        </is>
      </c>
      <c r="I52" s="200" t="inlineStr">
        <is>
          <t>---</t>
        </is>
      </c>
      <c r="J52" s="214">
        <f>IF(J53=0,"--",(J53*J61*100*1/J57/J65))</f>
        <v/>
      </c>
      <c r="K52" s="144" t="inlineStr">
        <is>
          <t>---</t>
        </is>
      </c>
      <c r="L52" s="144" t="inlineStr">
        <is>
          <t>---</t>
        </is>
      </c>
      <c r="M52" s="144" t="inlineStr">
        <is>
          <t>---</t>
        </is>
      </c>
      <c r="N52" s="200" t="inlineStr">
        <is>
          <t>---</t>
        </is>
      </c>
      <c r="O52" s="214">
        <f>IF(O53=0,"--",(O53*O61*100*1/O57/O65))</f>
        <v/>
      </c>
      <c r="P52" s="144" t="inlineStr">
        <is>
          <t>---</t>
        </is>
      </c>
      <c r="Q52" s="144" t="inlineStr">
        <is>
          <t>---</t>
        </is>
      </c>
      <c r="R52" s="144" t="inlineStr">
        <is>
          <t>---</t>
        </is>
      </c>
      <c r="S52" s="200" t="inlineStr">
        <is>
          <t>---</t>
        </is>
      </c>
      <c r="T52" s="214">
        <f>IF(T53=0,"--",(T53*T61*100*1/T57/T65))</f>
        <v/>
      </c>
      <c r="U52" s="144" t="inlineStr">
        <is>
          <t>---</t>
        </is>
      </c>
      <c r="V52" s="144" t="inlineStr">
        <is>
          <t>---</t>
        </is>
      </c>
      <c r="W52" s="144" t="inlineStr">
        <is>
          <t>---</t>
        </is>
      </c>
      <c r="X52" s="200" t="inlineStr">
        <is>
          <t>---</t>
        </is>
      </c>
      <c r="Y52" s="214">
        <f>IF(Y53=0,"--",(Y53*Y61*100*1/Y57/Y65))</f>
        <v/>
      </c>
      <c r="Z52" s="144" t="inlineStr">
        <is>
          <t>---</t>
        </is>
      </c>
      <c r="AA52" s="144" t="inlineStr">
        <is>
          <t>---</t>
        </is>
      </c>
      <c r="AB52" s="144" t="inlineStr">
        <is>
          <t>---</t>
        </is>
      </c>
      <c r="AC52" s="200" t="inlineStr">
        <is>
          <t>---</t>
        </is>
      </c>
      <c r="AD52" s="214">
        <f>IF(AD53=0,"--",(AD53*AD61*100*1/AD57/AD65))</f>
        <v/>
      </c>
      <c r="AE52" s="144" t="inlineStr">
        <is>
          <t>---</t>
        </is>
      </c>
      <c r="AF52" s="144" t="inlineStr">
        <is>
          <t>---</t>
        </is>
      </c>
      <c r="AG52" s="144" t="inlineStr">
        <is>
          <t>---</t>
        </is>
      </c>
      <c r="AH52" s="200" t="inlineStr">
        <is>
          <t>---</t>
        </is>
      </c>
      <c r="AJ52" s="221">
        <f>+B53</f>
        <v/>
      </c>
      <c r="AK52" s="634">
        <f>+N53</f>
        <v/>
      </c>
      <c r="AL52" s="635">
        <f>+AK52/$AK$32</f>
        <v/>
      </c>
    </row>
    <row r="53" ht="20.45" customHeight="1">
      <c r="B53" s="201" t="inlineStr">
        <is>
          <t>Masa partícula</t>
        </is>
      </c>
      <c r="C53" s="145" t="inlineStr">
        <is>
          <t>g</t>
        </is>
      </c>
      <c r="D53" s="148" t="inlineStr">
        <is>
          <t>---</t>
        </is>
      </c>
      <c r="E53" s="146">
        <f>+DATOS!R12</f>
        <v/>
      </c>
      <c r="F53" s="147" t="inlineStr">
        <is>
          <t>---</t>
        </is>
      </c>
      <c r="G53" s="149">
        <f>SQRT((G54*G54)+(G55*G55)+(G56*G56))</f>
        <v/>
      </c>
      <c r="H53" s="636">
        <f>IF(E53=0,0,E61*100/E57/E65)</f>
        <v/>
      </c>
      <c r="I53" s="220">
        <f>+H53*G53</f>
        <v/>
      </c>
      <c r="J53" s="215">
        <f>+DATOS!R13</f>
        <v/>
      </c>
      <c r="K53" s="147" t="inlineStr">
        <is>
          <t>---</t>
        </is>
      </c>
      <c r="L53" s="149">
        <f>SQRT((L54*L54)+(L55*L55)+(L56*L56))</f>
        <v/>
      </c>
      <c r="M53" s="636">
        <f>IF(J53=0,0,J61*100/J57/J65)</f>
        <v/>
      </c>
      <c r="N53" s="637">
        <f>+M53*L53</f>
        <v/>
      </c>
      <c r="O53" s="215">
        <f>+DATOS!R14</f>
        <v/>
      </c>
      <c r="P53" s="147" t="inlineStr">
        <is>
          <t>---</t>
        </is>
      </c>
      <c r="Q53" s="149">
        <f>SQRT((Q54*Q54)+(Q55*Q55)+(Q56*Q56))</f>
        <v/>
      </c>
      <c r="R53" s="636">
        <f>IF(O53=0,0,O61*100/O57/O65)</f>
        <v/>
      </c>
      <c r="S53" s="637">
        <f>+R53*Q53</f>
        <v/>
      </c>
      <c r="T53" s="215">
        <f>+DATOS!R15</f>
        <v/>
      </c>
      <c r="U53" s="147" t="inlineStr">
        <is>
          <t>---</t>
        </is>
      </c>
      <c r="V53" s="149">
        <f>SQRT((V54*V54)+(V55*V55)+(V56*V56))</f>
        <v/>
      </c>
      <c r="W53" s="636">
        <f>IF(T53=0,0,T61*100/T57/T65)</f>
        <v/>
      </c>
      <c r="X53" s="637">
        <f>+W53*V53</f>
        <v/>
      </c>
      <c r="Y53" s="215">
        <f>+DATOS!R16</f>
        <v/>
      </c>
      <c r="Z53" s="147" t="inlineStr">
        <is>
          <t>---</t>
        </is>
      </c>
      <c r="AA53" s="149">
        <f>SQRT((AA54*AA54)+(AA55*AA55)+(AA56*AA56))</f>
        <v/>
      </c>
      <c r="AB53" s="636">
        <f>IF(Y53=0,0,Y61*100/Y57/Y65)</f>
        <v/>
      </c>
      <c r="AC53" s="637">
        <f>+AB53*AA53</f>
        <v/>
      </c>
      <c r="AD53" s="215">
        <f>+DATOS!R17</f>
        <v/>
      </c>
      <c r="AE53" s="147" t="inlineStr">
        <is>
          <t>---</t>
        </is>
      </c>
      <c r="AF53" s="149">
        <f>SQRT((AF54*AF54)+(AF55*AF55)+(AF56*AF56))</f>
        <v/>
      </c>
      <c r="AG53" s="636">
        <f>IF(AD53=0,0,AD61*100/AD57/AD65)</f>
        <v/>
      </c>
      <c r="AH53" s="637">
        <f>+AG53*AF53</f>
        <v/>
      </c>
      <c r="AJ53" s="221">
        <f>+B57</f>
        <v/>
      </c>
      <c r="AK53" s="634">
        <f>+N57</f>
        <v/>
      </c>
      <c r="AL53" s="635">
        <f>+AK53/$AK$32</f>
        <v/>
      </c>
    </row>
    <row r="54" ht="20.45" customHeight="1">
      <c r="B54" s="203" t="inlineStr">
        <is>
          <t>Repetibilidad de la pesada</t>
        </is>
      </c>
      <c r="C54" s="151" t="inlineStr">
        <is>
          <t>g</t>
        </is>
      </c>
      <c r="D54" s="154" t="inlineStr">
        <is>
          <t>Normal, K=1</t>
        </is>
      </c>
      <c r="E54" s="152" t="n"/>
      <c r="F54" s="153">
        <f>+BALANZA!D33</f>
        <v/>
      </c>
      <c r="G54" s="638">
        <f>+F54</f>
        <v/>
      </c>
      <c r="H54" s="639" t="inlineStr">
        <is>
          <t>---</t>
        </is>
      </c>
      <c r="I54" s="640" t="inlineStr">
        <is>
          <t>---</t>
        </is>
      </c>
      <c r="J54" s="216" t="n"/>
      <c r="K54" s="153">
        <f>+BALANZA!D34</f>
        <v/>
      </c>
      <c r="L54" s="638">
        <f>+K54</f>
        <v/>
      </c>
      <c r="M54" s="639" t="inlineStr">
        <is>
          <t>---</t>
        </is>
      </c>
      <c r="N54" s="640" t="inlineStr">
        <is>
          <t>---</t>
        </is>
      </c>
      <c r="O54" s="216" t="n"/>
      <c r="P54" s="153">
        <f>+BALANZA!D35</f>
        <v/>
      </c>
      <c r="Q54" s="638">
        <f>+P54</f>
        <v/>
      </c>
      <c r="R54" s="639" t="inlineStr">
        <is>
          <t>---</t>
        </is>
      </c>
      <c r="S54" s="640" t="inlineStr">
        <is>
          <t>---</t>
        </is>
      </c>
      <c r="T54" s="216" t="n"/>
      <c r="U54" s="153">
        <f>+BALANZA!D36</f>
        <v/>
      </c>
      <c r="V54" s="638">
        <f>+U54</f>
        <v/>
      </c>
      <c r="W54" s="639" t="inlineStr">
        <is>
          <t>---</t>
        </is>
      </c>
      <c r="X54" s="640" t="inlineStr">
        <is>
          <t>---</t>
        </is>
      </c>
      <c r="Y54" s="216" t="n"/>
      <c r="Z54" s="153">
        <f>+BALANZA!D37</f>
        <v/>
      </c>
      <c r="AA54" s="638">
        <f>+Z54</f>
        <v/>
      </c>
      <c r="AB54" s="639" t="inlineStr">
        <is>
          <t>---</t>
        </is>
      </c>
      <c r="AC54" s="640" t="inlineStr">
        <is>
          <t>---</t>
        </is>
      </c>
      <c r="AD54" s="216" t="n"/>
      <c r="AE54" s="153">
        <f>+BALANZA!D38</f>
        <v/>
      </c>
      <c r="AF54" s="638">
        <f>+AE54</f>
        <v/>
      </c>
      <c r="AG54" s="639" t="inlineStr">
        <is>
          <t>---</t>
        </is>
      </c>
      <c r="AH54" s="640" t="inlineStr">
        <is>
          <t>---</t>
        </is>
      </c>
      <c r="AJ54" s="222">
        <f>+B61</f>
        <v/>
      </c>
      <c r="AK54" s="641">
        <f>+N61</f>
        <v/>
      </c>
      <c r="AL54" s="635">
        <f>+AK54/$AK$32</f>
        <v/>
      </c>
    </row>
    <row r="55" ht="20.45" customHeight="1">
      <c r="B55" s="203" t="inlineStr">
        <is>
          <t>Certificado de Calibración</t>
        </is>
      </c>
      <c r="C55" s="151" t="inlineStr">
        <is>
          <t>g</t>
        </is>
      </c>
      <c r="D55" s="154" t="inlineStr">
        <is>
          <t>Normal, K=2</t>
        </is>
      </c>
      <c r="E55" s="152" t="n"/>
      <c r="F55" s="153">
        <f>2*(SQRT(BALANZA!$C$8+BALANZA!$D$8*(POWER(E53,2))))</f>
        <v/>
      </c>
      <c r="G55" s="638">
        <f>+F55/2</f>
        <v/>
      </c>
      <c r="H55" s="639" t="inlineStr">
        <is>
          <t>---</t>
        </is>
      </c>
      <c r="I55" s="640" t="inlineStr">
        <is>
          <t>---</t>
        </is>
      </c>
      <c r="J55" s="216" t="n"/>
      <c r="K55" s="153">
        <f>2*(SQRT(BALANZA!$C$8+BALANZA!$D$8*(POWER(J53,2))))</f>
        <v/>
      </c>
      <c r="L55" s="638">
        <f>+K55/2</f>
        <v/>
      </c>
      <c r="M55" s="639" t="inlineStr">
        <is>
          <t>---</t>
        </is>
      </c>
      <c r="N55" s="640" t="inlineStr">
        <is>
          <t>---</t>
        </is>
      </c>
      <c r="O55" s="216" t="n"/>
      <c r="P55" s="153">
        <f>2*(SQRT(BALANZA!$C$8+BALANZA!$D$8*(POWER(O53,2))))</f>
        <v/>
      </c>
      <c r="Q55" s="638">
        <f>+P55/2</f>
        <v/>
      </c>
      <c r="R55" s="639" t="inlineStr">
        <is>
          <t>---</t>
        </is>
      </c>
      <c r="S55" s="640" t="inlineStr">
        <is>
          <t>---</t>
        </is>
      </c>
      <c r="T55" s="216" t="n"/>
      <c r="U55" s="153">
        <f>2*(SQRT(BALANZA!$C$8+BALANZA!$D$8*(POWER(T53,2))))</f>
        <v/>
      </c>
      <c r="V55" s="638">
        <f>+U55/2</f>
        <v/>
      </c>
      <c r="W55" s="639" t="inlineStr">
        <is>
          <t>---</t>
        </is>
      </c>
      <c r="X55" s="640" t="inlineStr">
        <is>
          <t>---</t>
        </is>
      </c>
      <c r="Y55" s="216" t="n"/>
      <c r="Z55" s="153">
        <f>2*(SQRT(BALANZA!$C$8+BALANZA!$D$8*(POWER(Y53,2))))</f>
        <v/>
      </c>
      <c r="AA55" s="638">
        <f>+Z55/2</f>
        <v/>
      </c>
      <c r="AB55" s="639" t="inlineStr">
        <is>
          <t>---</t>
        </is>
      </c>
      <c r="AC55" s="640" t="inlineStr">
        <is>
          <t>---</t>
        </is>
      </c>
      <c r="AD55" s="216" t="n"/>
      <c r="AE55" s="153">
        <f>2*(SQRT(BALANZA!$C$8+BALANZA!$D$8*(POWER(AD53,2))))</f>
        <v/>
      </c>
      <c r="AF55" s="638">
        <f>+AE55/2</f>
        <v/>
      </c>
      <c r="AG55" s="639" t="inlineStr">
        <is>
          <t>---</t>
        </is>
      </c>
      <c r="AH55" s="640" t="inlineStr">
        <is>
          <t>---</t>
        </is>
      </c>
      <c r="AJ55" s="222">
        <f>+B65</f>
        <v/>
      </c>
      <c r="AK55" s="641">
        <f>+N65</f>
        <v/>
      </c>
      <c r="AL55" s="635">
        <f>+AK55/$AK$32</f>
        <v/>
      </c>
    </row>
    <row r="56" ht="20.45" customHeight="1">
      <c r="B56" s="203" t="inlineStr">
        <is>
          <t>Resolución</t>
        </is>
      </c>
      <c r="C56" s="151" t="inlineStr">
        <is>
          <t>g</t>
        </is>
      </c>
      <c r="D56" s="157" t="inlineStr">
        <is>
          <t>Rectangular</t>
        </is>
      </c>
      <c r="E56" s="152" t="n"/>
      <c r="F56" s="153">
        <f>+BALANZA!$C$10</f>
        <v/>
      </c>
      <c r="G56" s="638">
        <f>+F56/SQRT(3)/2</f>
        <v/>
      </c>
      <c r="H56" s="639" t="inlineStr">
        <is>
          <t>---</t>
        </is>
      </c>
      <c r="I56" s="640" t="inlineStr">
        <is>
          <t>---</t>
        </is>
      </c>
      <c r="J56" s="216" t="n"/>
      <c r="K56" s="153">
        <f>+BALANZA!$C$10</f>
        <v/>
      </c>
      <c r="L56" s="638">
        <f>+K56/SQRT(3)/2</f>
        <v/>
      </c>
      <c r="M56" s="639" t="inlineStr">
        <is>
          <t>---</t>
        </is>
      </c>
      <c r="N56" s="640" t="inlineStr">
        <is>
          <t>---</t>
        </is>
      </c>
      <c r="O56" s="216" t="n"/>
      <c r="P56" s="153">
        <f>+BALANZA!$C$10</f>
        <v/>
      </c>
      <c r="Q56" s="638">
        <f>+P56/SQRT(3)/2</f>
        <v/>
      </c>
      <c r="R56" s="639" t="inlineStr">
        <is>
          <t>---</t>
        </is>
      </c>
      <c r="S56" s="640" t="inlineStr">
        <is>
          <t>---</t>
        </is>
      </c>
      <c r="T56" s="216" t="n"/>
      <c r="U56" s="153">
        <f>+BALANZA!$C$10</f>
        <v/>
      </c>
      <c r="V56" s="638">
        <f>+U56/SQRT(3)/2</f>
        <v/>
      </c>
      <c r="W56" s="639" t="inlineStr">
        <is>
          <t>---</t>
        </is>
      </c>
      <c r="X56" s="640" t="inlineStr">
        <is>
          <t>---</t>
        </is>
      </c>
      <c r="Y56" s="216" t="n"/>
      <c r="Z56" s="153">
        <f>+BALANZA!$C$10</f>
        <v/>
      </c>
      <c r="AA56" s="638">
        <f>+Z56/SQRT(3)/2</f>
        <v/>
      </c>
      <c r="AB56" s="639" t="inlineStr">
        <is>
          <t>---</t>
        </is>
      </c>
      <c r="AC56" s="640" t="inlineStr">
        <is>
          <t>---</t>
        </is>
      </c>
      <c r="AD56" s="216" t="n"/>
      <c r="AE56" s="153">
        <f>+BALANZA!$C$10</f>
        <v/>
      </c>
      <c r="AF56" s="638">
        <f>+AE56/SQRT(3)/2</f>
        <v/>
      </c>
      <c r="AG56" s="639" t="inlineStr">
        <is>
          <t>---</t>
        </is>
      </c>
      <c r="AH56" s="640" t="inlineStr">
        <is>
          <t>---</t>
        </is>
      </c>
      <c r="AJ56" s="221">
        <f>+B70</f>
        <v/>
      </c>
      <c r="AK56" s="634">
        <f>+I70</f>
        <v/>
      </c>
      <c r="AL56" s="635">
        <f>+AK56/$AK$32</f>
        <v/>
      </c>
    </row>
    <row r="57" ht="20.45" customHeight="1">
      <c r="B57" s="201" t="inlineStr">
        <is>
          <t>Masa de prueba</t>
        </is>
      </c>
      <c r="C57" s="145" t="inlineStr">
        <is>
          <t>g</t>
        </is>
      </c>
      <c r="D57" s="147" t="inlineStr">
        <is>
          <t>---</t>
        </is>
      </c>
      <c r="E57" s="158">
        <f>+DATOS!$H$12</f>
        <v/>
      </c>
      <c r="F57" s="145" t="n"/>
      <c r="G57" s="149">
        <f>SQRT((G58*G58)+(G59*G59)+(G60*G60))</f>
        <v/>
      </c>
      <c r="H57" s="642">
        <f>IF(E53=0,0,E53*E61*100/E65/E57/E57)</f>
        <v/>
      </c>
      <c r="I57" s="643">
        <f>+H57*G57</f>
        <v/>
      </c>
      <c r="J57" s="217">
        <f>+DATOS!$H$13</f>
        <v/>
      </c>
      <c r="K57" s="145" t="n"/>
      <c r="L57" s="149">
        <f>SQRT((L58*L58)+(L59*L59)+(L60*L60))</f>
        <v/>
      </c>
      <c r="M57" s="642">
        <f>IF(J53=0,0,J53*J61*100/J65/J57/J57)</f>
        <v/>
      </c>
      <c r="N57" s="643">
        <f>+M57*L57</f>
        <v/>
      </c>
      <c r="O57" s="217">
        <f>+DATOS!$H$14</f>
        <v/>
      </c>
      <c r="P57" s="145" t="n"/>
      <c r="Q57" s="149">
        <f>SQRT((Q58*Q58)+(Q59*Q59)+(Q60*Q60))</f>
        <v/>
      </c>
      <c r="R57" s="642">
        <f>IF(O53=0,0,O53*O61*100/O65/O57/O57)</f>
        <v/>
      </c>
      <c r="S57" s="643">
        <f>+R57*Q57</f>
        <v/>
      </c>
      <c r="T57" s="217">
        <f>+DATOS!$H$15</f>
        <v/>
      </c>
      <c r="U57" s="145" t="n"/>
      <c r="V57" s="149">
        <f>SQRT((V58*V58)+(V59*V59)+(V60*V60))</f>
        <v/>
      </c>
      <c r="W57" s="642">
        <f>IF(T53=0,0,T53*T61*100/T65/T57/T57)</f>
        <v/>
      </c>
      <c r="X57" s="643">
        <f>+W57*V57</f>
        <v/>
      </c>
      <c r="Y57" s="217">
        <f>+DATOS!$H$16</f>
        <v/>
      </c>
      <c r="Z57" s="145" t="n"/>
      <c r="AA57" s="149">
        <f>SQRT((AA58*AA58)+(AA59*AA59)+(AA60*AA60))</f>
        <v/>
      </c>
      <c r="AB57" s="642">
        <f>IF(Y53=0,0,Y53*Y61*100/Y65/Y57/Y57)</f>
        <v/>
      </c>
      <c r="AC57" s="643">
        <f>+AB57*AA57</f>
        <v/>
      </c>
      <c r="AD57" s="217">
        <f>+DATOS!$H$17</f>
        <v/>
      </c>
      <c r="AE57" s="145" t="n"/>
      <c r="AF57" s="149">
        <f>SQRT((AF58*AF58)+(AF59*AF59)+(AF60*AF60))</f>
        <v/>
      </c>
      <c r="AG57" s="642">
        <f>IF(AD53=0,0,AD53*AD61*100/AD65/AD57/AD57)</f>
        <v/>
      </c>
      <c r="AH57" s="643">
        <f>+AG57*AF57</f>
        <v/>
      </c>
      <c r="AJ57" s="223" t="n"/>
      <c r="AK57" s="644">
        <f>SUM(AK52:AK56)</f>
        <v/>
      </c>
      <c r="AL57" s="635">
        <f>SUM(AL52:AL56)</f>
        <v/>
      </c>
      <c r="AM57" s="97" t="n"/>
    </row>
    <row r="58" ht="20.45" customHeight="1">
      <c r="B58" s="203" t="inlineStr">
        <is>
          <t>Repetibilidad de la pesada</t>
        </is>
      </c>
      <c r="C58" s="151" t="inlineStr">
        <is>
          <t>g</t>
        </is>
      </c>
      <c r="D58" s="154" t="inlineStr">
        <is>
          <t>Normal, K=1</t>
        </is>
      </c>
      <c r="E58" s="152" t="n"/>
      <c r="F58" s="153">
        <f>+BALANZA!$F$24</f>
        <v/>
      </c>
      <c r="G58" s="638">
        <f>+F58</f>
        <v/>
      </c>
      <c r="H58" s="639" t="inlineStr">
        <is>
          <t>---</t>
        </is>
      </c>
      <c r="I58" s="640" t="inlineStr">
        <is>
          <t>---</t>
        </is>
      </c>
      <c r="J58" s="216" t="n"/>
      <c r="K58" s="153">
        <f>+BALANZA!$F$25</f>
        <v/>
      </c>
      <c r="L58" s="638">
        <f>+K58</f>
        <v/>
      </c>
      <c r="M58" s="639" t="inlineStr">
        <is>
          <t>---</t>
        </is>
      </c>
      <c r="N58" s="640" t="inlineStr">
        <is>
          <t>---</t>
        </is>
      </c>
      <c r="O58" s="216" t="n"/>
      <c r="P58" s="153">
        <f>+BALANZA!$F$26</f>
        <v/>
      </c>
      <c r="Q58" s="638">
        <f>+P58</f>
        <v/>
      </c>
      <c r="R58" s="639" t="inlineStr">
        <is>
          <t>---</t>
        </is>
      </c>
      <c r="S58" s="640" t="inlineStr">
        <is>
          <t>---</t>
        </is>
      </c>
      <c r="T58" s="216" t="n"/>
      <c r="U58" s="153">
        <f>+BALANZA!$F$27</f>
        <v/>
      </c>
      <c r="V58" s="638">
        <f>+U58</f>
        <v/>
      </c>
      <c r="W58" s="639" t="inlineStr">
        <is>
          <t>---</t>
        </is>
      </c>
      <c r="X58" s="640" t="inlineStr">
        <is>
          <t>---</t>
        </is>
      </c>
      <c r="Y58" s="216" t="n"/>
      <c r="Z58" s="153">
        <f>+BALANZA!$F$28</f>
        <v/>
      </c>
      <c r="AA58" s="638">
        <f>+Z58</f>
        <v/>
      </c>
      <c r="AB58" s="639" t="inlineStr">
        <is>
          <t>---</t>
        </is>
      </c>
      <c r="AC58" s="640" t="inlineStr">
        <is>
          <t>---</t>
        </is>
      </c>
      <c r="AD58" s="216" t="n"/>
      <c r="AE58" s="153">
        <f>+BALANZA!$F$29</f>
        <v/>
      </c>
      <c r="AF58" s="638">
        <f>+AE58</f>
        <v/>
      </c>
      <c r="AG58" s="639" t="inlineStr">
        <is>
          <t>---</t>
        </is>
      </c>
      <c r="AH58" s="640" t="inlineStr">
        <is>
          <t>---</t>
        </is>
      </c>
    </row>
    <row r="59" ht="20.45" customHeight="1">
      <c r="B59" s="203" t="inlineStr">
        <is>
          <t>Certificado de Calibración</t>
        </is>
      </c>
      <c r="C59" s="151" t="inlineStr">
        <is>
          <t>g</t>
        </is>
      </c>
      <c r="D59" s="154" t="inlineStr">
        <is>
          <t>Normal, K=2</t>
        </is>
      </c>
      <c r="E59" s="152" t="n"/>
      <c r="F59" s="153">
        <f>2*(SQRT(BALANZA!$C$8+BALANZA!$D$8*(POWER(E57,2))))</f>
        <v/>
      </c>
      <c r="G59" s="638">
        <f>+F59/2</f>
        <v/>
      </c>
      <c r="H59" s="639" t="inlineStr">
        <is>
          <t>---</t>
        </is>
      </c>
      <c r="I59" s="640" t="inlineStr">
        <is>
          <t>---</t>
        </is>
      </c>
      <c r="J59" s="216" t="n"/>
      <c r="K59" s="153">
        <f>2*(SQRT(BALANZA!$C$8+BALANZA!$D$8*(POWER(J57,2))))</f>
        <v/>
      </c>
      <c r="L59" s="638">
        <f>+K59/2</f>
        <v/>
      </c>
      <c r="M59" s="639" t="inlineStr">
        <is>
          <t>---</t>
        </is>
      </c>
      <c r="N59" s="640" t="inlineStr">
        <is>
          <t>---</t>
        </is>
      </c>
      <c r="O59" s="216" t="n"/>
      <c r="P59" s="153">
        <f>2*(SQRT(BALANZA!$C$8+BALANZA!$D$8*(POWER(O57,2))))</f>
        <v/>
      </c>
      <c r="Q59" s="638">
        <f>+P59/2</f>
        <v/>
      </c>
      <c r="R59" s="639" t="inlineStr">
        <is>
          <t>---</t>
        </is>
      </c>
      <c r="S59" s="640" t="inlineStr">
        <is>
          <t>---</t>
        </is>
      </c>
      <c r="T59" s="216" t="n"/>
      <c r="U59" s="153">
        <f>2*(SQRT(BALANZA!$C$8+BALANZA!$D$8*(POWER(T57,2))))</f>
        <v/>
      </c>
      <c r="V59" s="638">
        <f>+U59/2</f>
        <v/>
      </c>
      <c r="W59" s="639" t="inlineStr">
        <is>
          <t>---</t>
        </is>
      </c>
      <c r="X59" s="640" t="inlineStr">
        <is>
          <t>---</t>
        </is>
      </c>
      <c r="Y59" s="216" t="n"/>
      <c r="Z59" s="153">
        <f>2*(SQRT(BALANZA!$C$8+BALANZA!$D$8*(POWER(Y57,2))))</f>
        <v/>
      </c>
      <c r="AA59" s="638">
        <f>+Z59/2</f>
        <v/>
      </c>
      <c r="AB59" s="639" t="inlineStr">
        <is>
          <t>---</t>
        </is>
      </c>
      <c r="AC59" s="640" t="inlineStr">
        <is>
          <t>---</t>
        </is>
      </c>
      <c r="AD59" s="216" t="n"/>
      <c r="AE59" s="153">
        <f>2*(SQRT(BALANZA!$C$8+BALANZA!$D$8*(POWER(AD57,2))))</f>
        <v/>
      </c>
      <c r="AF59" s="638">
        <f>+AE59/2</f>
        <v/>
      </c>
      <c r="AG59" s="639" t="inlineStr">
        <is>
          <t>---</t>
        </is>
      </c>
      <c r="AH59" s="640" t="inlineStr">
        <is>
          <t>---</t>
        </is>
      </c>
    </row>
    <row r="60" ht="20.45" customHeight="1">
      <c r="B60" s="203" t="inlineStr">
        <is>
          <t>Resolución</t>
        </is>
      </c>
      <c r="C60" s="151" t="inlineStr">
        <is>
          <t>g</t>
        </is>
      </c>
      <c r="D60" s="157" t="inlineStr">
        <is>
          <t>Rectangular</t>
        </is>
      </c>
      <c r="E60" s="152" t="n"/>
      <c r="F60" s="153">
        <f>+BALANZA!$C$10</f>
        <v/>
      </c>
      <c r="G60" s="638">
        <f>+F60/SQRT(3)/2</f>
        <v/>
      </c>
      <c r="H60" s="639" t="inlineStr">
        <is>
          <t>---</t>
        </is>
      </c>
      <c r="I60" s="640" t="inlineStr">
        <is>
          <t>---</t>
        </is>
      </c>
      <c r="J60" s="216" t="n"/>
      <c r="K60" s="153">
        <f>+BALANZA!$C$10</f>
        <v/>
      </c>
      <c r="L60" s="638">
        <f>+K60/SQRT(3)/2</f>
        <v/>
      </c>
      <c r="M60" s="639" t="inlineStr">
        <is>
          <t>---</t>
        </is>
      </c>
      <c r="N60" s="640" t="inlineStr">
        <is>
          <t>---</t>
        </is>
      </c>
      <c r="O60" s="216" t="n"/>
      <c r="P60" s="153">
        <f>+BALANZA!$C$10</f>
        <v/>
      </c>
      <c r="Q60" s="638">
        <f>+P60/SQRT(3)/2</f>
        <v/>
      </c>
      <c r="R60" s="639" t="inlineStr">
        <is>
          <t>---</t>
        </is>
      </c>
      <c r="S60" s="640" t="inlineStr">
        <is>
          <t>---</t>
        </is>
      </c>
      <c r="T60" s="216" t="n"/>
      <c r="U60" s="153">
        <f>+BALANZA!$C$10</f>
        <v/>
      </c>
      <c r="V60" s="638">
        <f>+U60/SQRT(3)/2</f>
        <v/>
      </c>
      <c r="W60" s="639" t="inlineStr">
        <is>
          <t>---</t>
        </is>
      </c>
      <c r="X60" s="640" t="inlineStr">
        <is>
          <t>---</t>
        </is>
      </c>
      <c r="Y60" s="216" t="n"/>
      <c r="Z60" s="153">
        <f>+BALANZA!$C$10</f>
        <v/>
      </c>
      <c r="AA60" s="638">
        <f>+Z60/SQRT(3)/2</f>
        <v/>
      </c>
      <c r="AB60" s="639" t="inlineStr">
        <is>
          <t>---</t>
        </is>
      </c>
      <c r="AC60" s="640" t="inlineStr">
        <is>
          <t>---</t>
        </is>
      </c>
      <c r="AD60" s="216" t="n"/>
      <c r="AE60" s="153">
        <f>+BALANZA!$C$10</f>
        <v/>
      </c>
      <c r="AF60" s="638">
        <f>+AE60/SQRT(3)/2</f>
        <v/>
      </c>
      <c r="AG60" s="639" t="inlineStr">
        <is>
          <t>---</t>
        </is>
      </c>
      <c r="AH60" s="640" t="inlineStr">
        <is>
          <t>---</t>
        </is>
      </c>
    </row>
    <row r="61" ht="20.45" customHeight="1">
      <c r="B61" s="201" t="inlineStr">
        <is>
          <t>Masa retenida</t>
        </is>
      </c>
      <c r="C61" s="145" t="inlineStr">
        <is>
          <t>g</t>
        </is>
      </c>
      <c r="D61" s="147" t="inlineStr">
        <is>
          <t>---</t>
        </is>
      </c>
      <c r="E61" s="158">
        <f>+DATOS!$D$12</f>
        <v/>
      </c>
      <c r="F61" s="145" t="n"/>
      <c r="G61" s="149">
        <f>SQRT((G62*G62)+(G63*G63)+(G64*G64))</f>
        <v/>
      </c>
      <c r="H61" s="642">
        <f>IF(E53=0,0,E53*100/E57/E65)</f>
        <v/>
      </c>
      <c r="I61" s="643">
        <f>+H61*G61</f>
        <v/>
      </c>
      <c r="J61" s="217">
        <f>+DATOS!$D$13</f>
        <v/>
      </c>
      <c r="K61" s="145" t="n"/>
      <c r="L61" s="149">
        <f>SQRT((L62*L62)+(L63*L63)+(L64*L64))</f>
        <v/>
      </c>
      <c r="M61" s="642">
        <f>IF(J53=0,0,J53*100/J57/J65)</f>
        <v/>
      </c>
      <c r="N61" s="643">
        <f>+M61*L61</f>
        <v/>
      </c>
      <c r="O61" s="217">
        <f>+DATOS!$D$14</f>
        <v/>
      </c>
      <c r="P61" s="145" t="n"/>
      <c r="Q61" s="149">
        <f>SQRT((Q62*Q62)+(Q63*Q63)+(Q64*Q64))</f>
        <v/>
      </c>
      <c r="R61" s="642">
        <f>IF(O53=0,0,O53*100/O57/O65)</f>
        <v/>
      </c>
      <c r="S61" s="643">
        <f>+R61*Q61</f>
        <v/>
      </c>
      <c r="T61" s="217">
        <f>+DATOS!$D$15</f>
        <v/>
      </c>
      <c r="U61" s="145" t="n"/>
      <c r="V61" s="149">
        <f>SQRT((V62*V62)+(V63*V63)+(V64*V64))</f>
        <v/>
      </c>
      <c r="W61" s="642">
        <f>IF(T53=0,0,T53*100/T57/T65)</f>
        <v/>
      </c>
      <c r="X61" s="643">
        <f>+W61*V61</f>
        <v/>
      </c>
      <c r="Y61" s="217">
        <f>+DATOS!$D$16</f>
        <v/>
      </c>
      <c r="Z61" s="145" t="n"/>
      <c r="AA61" s="149">
        <f>SQRT((AA62*AA62)+(AA63*AA63)+(AA64*AA64))</f>
        <v/>
      </c>
      <c r="AB61" s="642">
        <f>IF(Y53=0,0,Y53*100/Y57/Y65)</f>
        <v/>
      </c>
      <c r="AC61" s="643">
        <f>+AB61*AA61</f>
        <v/>
      </c>
      <c r="AD61" s="217">
        <f>+DATOS!$D$17</f>
        <v/>
      </c>
      <c r="AE61" s="145" t="n"/>
      <c r="AF61" s="149">
        <f>SQRT((AF62*AF62)+(AF63*AF63)+(AF64*AF64))</f>
        <v/>
      </c>
      <c r="AG61" s="642">
        <f>IF(AD53=0,0,AD53*100/AD57/AD65)</f>
        <v/>
      </c>
      <c r="AH61" s="643">
        <f>+AG61*AF61</f>
        <v/>
      </c>
    </row>
    <row r="62" ht="20.45" customHeight="1">
      <c r="B62" s="203" t="inlineStr">
        <is>
          <t>Repetibilidad de la pesada</t>
        </is>
      </c>
      <c r="C62" s="151" t="inlineStr">
        <is>
          <t>g</t>
        </is>
      </c>
      <c r="D62" s="154" t="inlineStr">
        <is>
          <t>Normal, K=1</t>
        </is>
      </c>
      <c r="E62" s="152" t="n"/>
      <c r="F62" s="153">
        <f>+BALANZA!$H$24</f>
        <v/>
      </c>
      <c r="G62" s="638">
        <f>+F62</f>
        <v/>
      </c>
      <c r="H62" s="639" t="inlineStr">
        <is>
          <t>---</t>
        </is>
      </c>
      <c r="I62" s="640" t="inlineStr">
        <is>
          <t>---</t>
        </is>
      </c>
      <c r="J62" s="216" t="n"/>
      <c r="K62" s="153">
        <f>+BALANZA!$H$25</f>
        <v/>
      </c>
      <c r="L62" s="638">
        <f>+K62</f>
        <v/>
      </c>
      <c r="M62" s="639" t="inlineStr">
        <is>
          <t>---</t>
        </is>
      </c>
      <c r="N62" s="640" t="inlineStr">
        <is>
          <t>---</t>
        </is>
      </c>
      <c r="O62" s="216" t="n"/>
      <c r="P62" s="153">
        <f>+BALANZA!$H$26</f>
        <v/>
      </c>
      <c r="Q62" s="638">
        <f>+P62</f>
        <v/>
      </c>
      <c r="R62" s="639" t="inlineStr">
        <is>
          <t>---</t>
        </is>
      </c>
      <c r="S62" s="640" t="inlineStr">
        <is>
          <t>---</t>
        </is>
      </c>
      <c r="T62" s="216" t="n"/>
      <c r="U62" s="153">
        <f>+BALANZA!$H$27</f>
        <v/>
      </c>
      <c r="V62" s="638">
        <f>+U62</f>
        <v/>
      </c>
      <c r="W62" s="639" t="inlineStr">
        <is>
          <t>---</t>
        </is>
      </c>
      <c r="X62" s="640" t="inlineStr">
        <is>
          <t>---</t>
        </is>
      </c>
      <c r="Y62" s="216" t="n"/>
      <c r="Z62" s="153">
        <f>+BALANZA!$H$28</f>
        <v/>
      </c>
      <c r="AA62" s="638">
        <f>+Z62</f>
        <v/>
      </c>
      <c r="AB62" s="639" t="inlineStr">
        <is>
          <t>---</t>
        </is>
      </c>
      <c r="AC62" s="640" t="inlineStr">
        <is>
          <t>---</t>
        </is>
      </c>
      <c r="AD62" s="216" t="n"/>
      <c r="AE62" s="153">
        <f>+BALANZA!$H$29</f>
        <v/>
      </c>
      <c r="AF62" s="638">
        <f>+AE62</f>
        <v/>
      </c>
      <c r="AG62" s="639" t="inlineStr">
        <is>
          <t>---</t>
        </is>
      </c>
      <c r="AH62" s="640" t="inlineStr">
        <is>
          <t>---</t>
        </is>
      </c>
    </row>
    <row r="63" ht="20.45" customHeight="1">
      <c r="B63" s="203" t="inlineStr">
        <is>
          <t>Certificado de Calibración</t>
        </is>
      </c>
      <c r="C63" s="151" t="inlineStr">
        <is>
          <t>g</t>
        </is>
      </c>
      <c r="D63" s="154" t="inlineStr">
        <is>
          <t>Normal, K=2</t>
        </is>
      </c>
      <c r="E63" s="152" t="n"/>
      <c r="F63" s="153">
        <f>2*(SQRT(BALANZA!$C$8+BALANZA!$D$8*(POWER(E61,2))))</f>
        <v/>
      </c>
      <c r="G63" s="638">
        <f>+F63/2</f>
        <v/>
      </c>
      <c r="H63" s="639" t="inlineStr">
        <is>
          <t>---</t>
        </is>
      </c>
      <c r="I63" s="640" t="inlineStr">
        <is>
          <t>---</t>
        </is>
      </c>
      <c r="J63" s="216" t="n"/>
      <c r="K63" s="153">
        <f>2*(SQRT(BALANZA!$C$8+BALANZA!$D$8*(POWER(J61,2))))</f>
        <v/>
      </c>
      <c r="L63" s="638">
        <f>+K63/2</f>
        <v/>
      </c>
      <c r="M63" s="639" t="inlineStr">
        <is>
          <t>---</t>
        </is>
      </c>
      <c r="N63" s="640" t="inlineStr">
        <is>
          <t>---</t>
        </is>
      </c>
      <c r="O63" s="216" t="n"/>
      <c r="P63" s="153">
        <f>2*(SQRT(BALANZA!$C$8+BALANZA!$D$8*(POWER(O61,2))))</f>
        <v/>
      </c>
      <c r="Q63" s="638">
        <f>+P63/2</f>
        <v/>
      </c>
      <c r="R63" s="639" t="inlineStr">
        <is>
          <t>---</t>
        </is>
      </c>
      <c r="S63" s="640" t="inlineStr">
        <is>
          <t>---</t>
        </is>
      </c>
      <c r="T63" s="216" t="n"/>
      <c r="U63" s="153">
        <f>2*(SQRT(BALANZA!$C$8+BALANZA!$D$8*(POWER(T61,2))))</f>
        <v/>
      </c>
      <c r="V63" s="638">
        <f>+U63/2</f>
        <v/>
      </c>
      <c r="W63" s="639" t="inlineStr">
        <is>
          <t>---</t>
        </is>
      </c>
      <c r="X63" s="640" t="inlineStr">
        <is>
          <t>---</t>
        </is>
      </c>
      <c r="Y63" s="216" t="n"/>
      <c r="Z63" s="153">
        <f>2*(SQRT(BALANZA!$C$8+BALANZA!$D$8*(POWER(Y61,2))))</f>
        <v/>
      </c>
      <c r="AA63" s="638">
        <f>+Z63/2</f>
        <v/>
      </c>
      <c r="AB63" s="639" t="inlineStr">
        <is>
          <t>---</t>
        </is>
      </c>
      <c r="AC63" s="640" t="inlineStr">
        <is>
          <t>---</t>
        </is>
      </c>
      <c r="AD63" s="216" t="n"/>
      <c r="AE63" s="153">
        <f>2*(SQRT(BALANZA!$C$8+BALANZA!$D$8*(POWER(AD61,2))))</f>
        <v/>
      </c>
      <c r="AF63" s="638">
        <f>+AE63/2</f>
        <v/>
      </c>
      <c r="AG63" s="639" t="inlineStr">
        <is>
          <t>---</t>
        </is>
      </c>
      <c r="AH63" s="640" t="inlineStr">
        <is>
          <t>---</t>
        </is>
      </c>
    </row>
    <row r="64" ht="20.45" customHeight="1">
      <c r="B64" s="203" t="inlineStr">
        <is>
          <t>Resolución</t>
        </is>
      </c>
      <c r="C64" s="151" t="inlineStr">
        <is>
          <t>g</t>
        </is>
      </c>
      <c r="D64" s="157" t="inlineStr">
        <is>
          <t>Rectangular</t>
        </is>
      </c>
      <c r="E64" s="152" t="n"/>
      <c r="F64" s="153">
        <f>+BALANZA!$C$10</f>
        <v/>
      </c>
      <c r="G64" s="638">
        <f>+F64/SQRT(3)/2</f>
        <v/>
      </c>
      <c r="H64" s="639" t="inlineStr">
        <is>
          <t>---</t>
        </is>
      </c>
      <c r="I64" s="640" t="inlineStr">
        <is>
          <t>---</t>
        </is>
      </c>
      <c r="J64" s="216" t="n"/>
      <c r="K64" s="153">
        <f>+BALANZA!$C$10</f>
        <v/>
      </c>
      <c r="L64" s="638">
        <f>+K64/SQRT(3)/2</f>
        <v/>
      </c>
      <c r="M64" s="639" t="inlineStr">
        <is>
          <t>---</t>
        </is>
      </c>
      <c r="N64" s="640" t="inlineStr">
        <is>
          <t>---</t>
        </is>
      </c>
      <c r="O64" s="216" t="n"/>
      <c r="P64" s="153">
        <f>+BALANZA!$C$10</f>
        <v/>
      </c>
      <c r="Q64" s="638">
        <f>+P64/SQRT(3)/2</f>
        <v/>
      </c>
      <c r="R64" s="639" t="inlineStr">
        <is>
          <t>---</t>
        </is>
      </c>
      <c r="S64" s="640" t="inlineStr">
        <is>
          <t>---</t>
        </is>
      </c>
      <c r="T64" s="216" t="n"/>
      <c r="U64" s="153">
        <f>+BALANZA!$C$10</f>
        <v/>
      </c>
      <c r="V64" s="638">
        <f>+U64/SQRT(3)/2</f>
        <v/>
      </c>
      <c r="W64" s="639" t="inlineStr">
        <is>
          <t>---</t>
        </is>
      </c>
      <c r="X64" s="640" t="inlineStr">
        <is>
          <t>---</t>
        </is>
      </c>
      <c r="Y64" s="216" t="n"/>
      <c r="Z64" s="153">
        <f>+BALANZA!$C$10</f>
        <v/>
      </c>
      <c r="AA64" s="638">
        <f>+Z64/SQRT(3)/2</f>
        <v/>
      </c>
      <c r="AB64" s="639" t="inlineStr">
        <is>
          <t>---</t>
        </is>
      </c>
      <c r="AC64" s="640" t="inlineStr">
        <is>
          <t>---</t>
        </is>
      </c>
      <c r="AD64" s="216" t="n"/>
      <c r="AE64" s="153">
        <f>+BALANZA!$C$10</f>
        <v/>
      </c>
      <c r="AF64" s="638">
        <f>+AE64/SQRT(3)/2</f>
        <v/>
      </c>
      <c r="AG64" s="639" t="inlineStr">
        <is>
          <t>---</t>
        </is>
      </c>
      <c r="AH64" s="640" t="inlineStr">
        <is>
          <t>---</t>
        </is>
      </c>
    </row>
    <row r="65" ht="20.45" customHeight="1">
      <c r="B65" s="201" t="inlineStr">
        <is>
          <t>Masa total</t>
        </is>
      </c>
      <c r="C65" s="145" t="inlineStr">
        <is>
          <t>g</t>
        </is>
      </c>
      <c r="D65" s="147" t="inlineStr">
        <is>
          <t>---</t>
        </is>
      </c>
      <c r="E65" s="158">
        <f>+DATOS!$D$18</f>
        <v/>
      </c>
      <c r="F65" s="145" t="n"/>
      <c r="G65" s="149">
        <f>SQRT((G66*G66)+(G67*G67)+(G68*G68))</f>
        <v/>
      </c>
      <c r="H65" s="642">
        <f>IF(E53=0,0,E53*E61*100/E57/E65/E65)</f>
        <v/>
      </c>
      <c r="I65" s="643">
        <f>+H65*G65</f>
        <v/>
      </c>
      <c r="J65" s="217">
        <f>+DATOS!$D$18</f>
        <v/>
      </c>
      <c r="K65" s="145" t="n"/>
      <c r="L65" s="149">
        <f>SQRT((L66*L66)+(L67*L67)+(L68*L68))</f>
        <v/>
      </c>
      <c r="M65" s="642">
        <f>IF(J53=0,0,J53*J61*100/J57/J65/J65)</f>
        <v/>
      </c>
      <c r="N65" s="643">
        <f>+M65*L65</f>
        <v/>
      </c>
      <c r="O65" s="217">
        <f>+DATOS!$D$18</f>
        <v/>
      </c>
      <c r="P65" s="145" t="n"/>
      <c r="Q65" s="149">
        <f>SQRT((Q66*Q66)+(Q67*Q67)+(Q68*Q68))</f>
        <v/>
      </c>
      <c r="R65" s="642">
        <f>IF(O53=0,0,O53*O61*100/O57/O65/O65)</f>
        <v/>
      </c>
      <c r="S65" s="643">
        <f>+R65*Q65</f>
        <v/>
      </c>
      <c r="T65" s="217">
        <f>+DATOS!$D$18</f>
        <v/>
      </c>
      <c r="U65" s="145" t="n"/>
      <c r="V65" s="149">
        <f>SQRT((V66*V66)+(V67*V67)+(V68*V68))</f>
        <v/>
      </c>
      <c r="W65" s="642">
        <f>IF(T53=0,0,T53*T61*100/T57/T65/T65)</f>
        <v/>
      </c>
      <c r="X65" s="643">
        <f>+W65*V65</f>
        <v/>
      </c>
      <c r="Y65" s="217">
        <f>+DATOS!$D$18</f>
        <v/>
      </c>
      <c r="Z65" s="145" t="n"/>
      <c r="AA65" s="149">
        <f>SQRT((AA66*AA66)+(AA67*AA67)+(AA68*AA68))</f>
        <v/>
      </c>
      <c r="AB65" s="642">
        <f>IF(Y53=0,0,Y53*Y61*100/Y57/Y65/Y65)</f>
        <v/>
      </c>
      <c r="AC65" s="643">
        <f>+AB65*AA65</f>
        <v/>
      </c>
      <c r="AD65" s="217">
        <f>+DATOS!$D$18</f>
        <v/>
      </c>
      <c r="AE65" s="145" t="n"/>
      <c r="AF65" s="149">
        <f>SQRT((AF66*AF66)+(AF67*AF67)+(AF68*AF68))</f>
        <v/>
      </c>
      <c r="AG65" s="642">
        <f>IF(AD53=0,0,AD53*AD61*100/AD57/AD65/AD65)</f>
        <v/>
      </c>
      <c r="AH65" s="643">
        <f>+AG65*AF65</f>
        <v/>
      </c>
    </row>
    <row r="66" ht="20.45" customHeight="1">
      <c r="B66" s="203" t="inlineStr">
        <is>
          <t>Repetibilidad de la pesada</t>
        </is>
      </c>
      <c r="C66" s="151" t="inlineStr">
        <is>
          <t>g</t>
        </is>
      </c>
      <c r="D66" s="154" t="inlineStr">
        <is>
          <t>Normal, K=1</t>
        </is>
      </c>
      <c r="E66" s="152" t="n"/>
      <c r="F66" s="153">
        <f>+BALANZA!$K$24</f>
        <v/>
      </c>
      <c r="G66" s="638">
        <f>+F66</f>
        <v/>
      </c>
      <c r="H66" s="639" t="inlineStr">
        <is>
          <t>---</t>
        </is>
      </c>
      <c r="I66" s="640" t="inlineStr">
        <is>
          <t>---</t>
        </is>
      </c>
      <c r="J66" s="216" t="n"/>
      <c r="K66" s="153">
        <f>+BALANZA!$K$24</f>
        <v/>
      </c>
      <c r="L66" s="638">
        <f>+K66</f>
        <v/>
      </c>
      <c r="M66" s="639" t="inlineStr">
        <is>
          <t>---</t>
        </is>
      </c>
      <c r="N66" s="640" t="inlineStr">
        <is>
          <t>---</t>
        </is>
      </c>
      <c r="O66" s="216" t="n"/>
      <c r="P66" s="153">
        <f>+BALANZA!$K$24</f>
        <v/>
      </c>
      <c r="Q66" s="638">
        <f>+P66</f>
        <v/>
      </c>
      <c r="R66" s="639" t="inlineStr">
        <is>
          <t>---</t>
        </is>
      </c>
      <c r="S66" s="640" t="inlineStr">
        <is>
          <t>---</t>
        </is>
      </c>
      <c r="T66" s="216" t="n"/>
      <c r="U66" s="153">
        <f>+BALANZA!$K$24</f>
        <v/>
      </c>
      <c r="V66" s="638">
        <f>+U66</f>
        <v/>
      </c>
      <c r="W66" s="639" t="inlineStr">
        <is>
          <t>---</t>
        </is>
      </c>
      <c r="X66" s="640" t="inlineStr">
        <is>
          <t>---</t>
        </is>
      </c>
      <c r="Y66" s="216" t="n"/>
      <c r="Z66" s="153">
        <f>+BALANZA!$K$24</f>
        <v/>
      </c>
      <c r="AA66" s="638">
        <f>+Z66</f>
        <v/>
      </c>
      <c r="AB66" s="639" t="inlineStr">
        <is>
          <t>---</t>
        </is>
      </c>
      <c r="AC66" s="640" t="inlineStr">
        <is>
          <t>---</t>
        </is>
      </c>
      <c r="AD66" s="216" t="n"/>
      <c r="AE66" s="153">
        <f>+BALANZA!$K$24</f>
        <v/>
      </c>
      <c r="AF66" s="638">
        <f>+AE66</f>
        <v/>
      </c>
      <c r="AG66" s="639" t="inlineStr">
        <is>
          <t>---</t>
        </is>
      </c>
      <c r="AH66" s="640" t="inlineStr">
        <is>
          <t>---</t>
        </is>
      </c>
    </row>
    <row r="67" ht="20.45" customHeight="1">
      <c r="B67" s="203" t="inlineStr">
        <is>
          <t>Certificado de Calibración</t>
        </is>
      </c>
      <c r="C67" s="151" t="inlineStr">
        <is>
          <t>g</t>
        </is>
      </c>
      <c r="D67" s="154" t="inlineStr">
        <is>
          <t>Normal, K=2</t>
        </is>
      </c>
      <c r="E67" s="152" t="n"/>
      <c r="F67" s="153">
        <f>2*(SQRT(BALANZA!$C$8+BALANZA!$D$8*(POWER(E65,2))))</f>
        <v/>
      </c>
      <c r="G67" s="638">
        <f>+F67/2</f>
        <v/>
      </c>
      <c r="H67" s="639" t="inlineStr">
        <is>
          <t>---</t>
        </is>
      </c>
      <c r="I67" s="640" t="inlineStr">
        <is>
          <t>---</t>
        </is>
      </c>
      <c r="J67" s="216" t="n"/>
      <c r="K67" s="153">
        <f>2*(SQRT(BALANZA!$C$8+BALANZA!$D$8*(POWER(J65,2))))</f>
        <v/>
      </c>
      <c r="L67" s="638">
        <f>+K67/2</f>
        <v/>
      </c>
      <c r="M67" s="639" t="inlineStr">
        <is>
          <t>---</t>
        </is>
      </c>
      <c r="N67" s="640" t="inlineStr">
        <is>
          <t>---</t>
        </is>
      </c>
      <c r="O67" s="216" t="n"/>
      <c r="P67" s="153">
        <f>2*(SQRT(BALANZA!$C$8+BALANZA!$D$8*(POWER(O65,2))))</f>
        <v/>
      </c>
      <c r="Q67" s="638">
        <f>+P67/2</f>
        <v/>
      </c>
      <c r="R67" s="639" t="inlineStr">
        <is>
          <t>---</t>
        </is>
      </c>
      <c r="S67" s="640" t="inlineStr">
        <is>
          <t>---</t>
        </is>
      </c>
      <c r="T67" s="216" t="n"/>
      <c r="U67" s="153">
        <f>2*(SQRT(BALANZA!$C$8+BALANZA!$D$8*(POWER(T65,2))))</f>
        <v/>
      </c>
      <c r="V67" s="638">
        <f>+U67/2</f>
        <v/>
      </c>
      <c r="W67" s="639" t="inlineStr">
        <is>
          <t>---</t>
        </is>
      </c>
      <c r="X67" s="640" t="inlineStr">
        <is>
          <t>---</t>
        </is>
      </c>
      <c r="Y67" s="216" t="n"/>
      <c r="Z67" s="153">
        <f>2*(SQRT(BALANZA!$C$8+BALANZA!$D$8*(POWER(Y65,2))))</f>
        <v/>
      </c>
      <c r="AA67" s="638">
        <f>+Z67/2</f>
        <v/>
      </c>
      <c r="AB67" s="639" t="inlineStr">
        <is>
          <t>---</t>
        </is>
      </c>
      <c r="AC67" s="640" t="inlineStr">
        <is>
          <t>---</t>
        </is>
      </c>
      <c r="AD67" s="216" t="n"/>
      <c r="AE67" s="153">
        <f>2*(SQRT(BALANZA!$C$8+BALANZA!$D$8*(POWER(AD65,2))))</f>
        <v/>
      </c>
      <c r="AF67" s="638">
        <f>+AE67/2</f>
        <v/>
      </c>
      <c r="AG67" s="639" t="inlineStr">
        <is>
          <t>---</t>
        </is>
      </c>
      <c r="AH67" s="640" t="inlineStr">
        <is>
          <t>---</t>
        </is>
      </c>
    </row>
    <row r="68" ht="20.45" customHeight="1" thickBot="1">
      <c r="B68" s="206" t="inlineStr">
        <is>
          <t>Resolución</t>
        </is>
      </c>
      <c r="C68" s="207" t="inlineStr">
        <is>
          <t>g</t>
        </is>
      </c>
      <c r="D68" s="208" t="inlineStr">
        <is>
          <t>Rectangular</t>
        </is>
      </c>
      <c r="E68" s="209" t="n"/>
      <c r="F68" s="210">
        <f>+BALANZA!$C$10</f>
        <v/>
      </c>
      <c r="G68" s="645">
        <f>+F68/SQRT(3)/2</f>
        <v/>
      </c>
      <c r="H68" s="646" t="inlineStr">
        <is>
          <t>---</t>
        </is>
      </c>
      <c r="I68" s="647" t="inlineStr">
        <is>
          <t>---</t>
        </is>
      </c>
      <c r="J68" s="218" t="n"/>
      <c r="K68" s="210">
        <f>+BALANZA!$C$10</f>
        <v/>
      </c>
      <c r="L68" s="645">
        <f>+K68/SQRT(3)/2</f>
        <v/>
      </c>
      <c r="M68" s="646" t="inlineStr">
        <is>
          <t>---</t>
        </is>
      </c>
      <c r="N68" s="647" t="inlineStr">
        <is>
          <t>---</t>
        </is>
      </c>
      <c r="O68" s="218" t="n"/>
      <c r="P68" s="210">
        <f>+BALANZA!$C$10</f>
        <v/>
      </c>
      <c r="Q68" s="645">
        <f>+P68/SQRT(3)/2</f>
        <v/>
      </c>
      <c r="R68" s="646" t="inlineStr">
        <is>
          <t>---</t>
        </is>
      </c>
      <c r="S68" s="647" t="inlineStr">
        <is>
          <t>---</t>
        </is>
      </c>
      <c r="T68" s="218" t="n"/>
      <c r="U68" s="210">
        <f>+BALANZA!$C$10</f>
        <v/>
      </c>
      <c r="V68" s="645">
        <f>+U68/SQRT(3)/2</f>
        <v/>
      </c>
      <c r="W68" s="646" t="inlineStr">
        <is>
          <t>---</t>
        </is>
      </c>
      <c r="X68" s="647" t="inlineStr">
        <is>
          <t>---</t>
        </is>
      </c>
      <c r="Y68" s="218" t="n"/>
      <c r="Z68" s="210">
        <f>+BALANZA!$C$10</f>
        <v/>
      </c>
      <c r="AA68" s="645">
        <f>+Z68/SQRT(3)/2</f>
        <v/>
      </c>
      <c r="AB68" s="646" t="inlineStr">
        <is>
          <t>---</t>
        </is>
      </c>
      <c r="AC68" s="647" t="inlineStr">
        <is>
          <t>---</t>
        </is>
      </c>
      <c r="AD68" s="218" t="n"/>
      <c r="AE68" s="210">
        <f>+BALANZA!$C$10</f>
        <v/>
      </c>
      <c r="AF68" s="645">
        <f>+AE68/SQRT(3)/2</f>
        <v/>
      </c>
      <c r="AG68" s="646" t="inlineStr">
        <is>
          <t>---</t>
        </is>
      </c>
      <c r="AH68" s="647" t="inlineStr">
        <is>
          <t>---</t>
        </is>
      </c>
    </row>
    <row r="69" ht="9" customHeight="1">
      <c r="B69" s="190" t="n"/>
      <c r="C69" s="191" t="n"/>
      <c r="D69" s="192" t="n"/>
      <c r="E69" s="193" t="n"/>
      <c r="F69" s="194" t="n"/>
      <c r="G69" s="648" t="n"/>
      <c r="H69" s="649" t="n"/>
      <c r="I69" s="649" t="n"/>
      <c r="J69" s="226" t="n"/>
      <c r="K69" s="227" t="n"/>
      <c r="L69" s="650" t="n"/>
      <c r="M69" s="651" t="n"/>
      <c r="N69" s="651" t="n"/>
      <c r="O69" s="226" t="n"/>
      <c r="P69" s="227" t="n"/>
      <c r="Q69" s="650" t="n"/>
      <c r="R69" s="651" t="n"/>
      <c r="S69" s="651" t="n"/>
      <c r="T69" s="226" t="n"/>
      <c r="U69" s="227" t="n"/>
      <c r="V69" s="650" t="n"/>
      <c r="W69" s="651" t="n"/>
      <c r="X69" s="651" t="n"/>
      <c r="Y69" s="226" t="n"/>
      <c r="Z69" s="227" t="n"/>
      <c r="AA69" s="650" t="n"/>
      <c r="AB69" s="651" t="n"/>
      <c r="AC69" s="651" t="n"/>
      <c r="AD69" s="226" t="n"/>
      <c r="AE69" s="227" t="n"/>
      <c r="AF69" s="650" t="n"/>
      <c r="AG69" s="651" t="n"/>
      <c r="AH69" s="651" t="n"/>
    </row>
    <row r="70" ht="20.45" customHeight="1">
      <c r="B70" s="219" t="inlineStr">
        <is>
          <t xml:space="preserve">factor de presición </t>
        </is>
      </c>
      <c r="C70" s="112" t="inlineStr">
        <is>
          <t>%</t>
        </is>
      </c>
      <c r="D70" s="113" t="inlineStr">
        <is>
          <t>Norma, K=1</t>
        </is>
      </c>
      <c r="E70" s="652">
        <f>+PRECISION!H7</f>
        <v/>
      </c>
      <c r="F70" s="652" t="n"/>
      <c r="G70" s="652">
        <f>E70/SQRT(1)</f>
        <v/>
      </c>
      <c r="H70" s="653" t="n">
        <v>1</v>
      </c>
      <c r="I70" s="652">
        <f>+G70*H70</f>
        <v/>
      </c>
      <c r="J70" s="110" t="n"/>
      <c r="K70" s="173" t="n"/>
      <c r="L70" s="173" t="n"/>
      <c r="M70" s="173" t="n"/>
      <c r="N70" s="173" t="n"/>
      <c r="O70" s="173" t="n"/>
      <c r="P70" s="654" t="n"/>
      <c r="Q70" s="654" t="n"/>
      <c r="R70" s="110" t="n"/>
      <c r="S70" s="654" t="n"/>
      <c r="T70" s="173" t="n"/>
      <c r="U70" s="173" t="n"/>
      <c r="V70" s="173" t="n"/>
      <c r="W70" s="173" t="n"/>
      <c r="X70" s="173" t="n"/>
      <c r="Y70" s="173" t="n"/>
      <c r="Z70" s="173" t="n"/>
      <c r="AA70" s="173" t="n"/>
      <c r="AB70" s="173" t="n"/>
      <c r="AC70" s="173" t="n"/>
      <c r="AD70" s="173" t="n"/>
      <c r="AE70" s="173" t="n"/>
      <c r="AF70" s="173" t="n"/>
      <c r="AG70" s="173" t="n"/>
      <c r="AH70" s="173" t="n"/>
    </row>
    <row r="71" ht="20.45" customHeight="1">
      <c r="B71" s="115" t="inlineStr">
        <is>
          <t xml:space="preserve">Incertidumbre Estándar Combinada </t>
        </is>
      </c>
      <c r="C71" s="116" t="n"/>
      <c r="D71" s="116" t="n"/>
      <c r="E71" s="117" t="n"/>
      <c r="F71" s="117" t="n"/>
      <c r="G71" s="117" t="n"/>
      <c r="H71" s="118" t="inlineStr">
        <is>
          <t>%</t>
        </is>
      </c>
      <c r="I71" s="119">
        <f>SQRT(I70^2+I53^2+I57^2+I61^2+I65^2+N53^2+N57^2+N61^2+S53^2+S57^2+S61^2+X53^2+X57^2+X61^2+AC53^2+AC57^2+AC61^2+AH53^2+AH57^2+AH61^2)</f>
        <v/>
      </c>
      <c r="J71" s="110" t="n"/>
      <c r="K71" s="173" t="n"/>
      <c r="L71" s="173" t="n"/>
      <c r="M71" s="173" t="n"/>
      <c r="N71" s="173" t="n"/>
      <c r="O71" s="173" t="n"/>
      <c r="P71" s="107" t="n"/>
      <c r="Q71" s="107" t="n"/>
      <c r="R71" s="110" t="n"/>
      <c r="S71" s="107" t="n"/>
      <c r="T71" s="173" t="n"/>
      <c r="U71" s="173" t="n"/>
      <c r="V71" s="173" t="n"/>
      <c r="W71" s="173" t="n"/>
      <c r="X71" s="173" t="n"/>
      <c r="Y71" s="173" t="n"/>
      <c r="Z71" s="173" t="n"/>
      <c r="AA71" s="173" t="n"/>
      <c r="AB71" s="173" t="n"/>
      <c r="AC71" s="173" t="n"/>
      <c r="AD71" s="173" t="n"/>
      <c r="AE71" s="173" t="n"/>
      <c r="AF71" s="173" t="n"/>
      <c r="AG71" s="173" t="n"/>
      <c r="AH71" s="173" t="n"/>
    </row>
    <row r="72" ht="20.45" customHeight="1">
      <c r="B72" s="115" t="inlineStr">
        <is>
          <t>Incertidumbre Expandida, K = 2</t>
        </is>
      </c>
      <c r="C72" s="120" t="n"/>
      <c r="D72" s="120" t="n"/>
      <c r="E72" s="120" t="n"/>
      <c r="F72" s="116" t="n"/>
      <c r="G72" s="116" t="n"/>
      <c r="H72" s="121" t="inlineStr">
        <is>
          <t>%</t>
        </is>
      </c>
      <c r="I72" s="230">
        <f>+I71*2</f>
        <v/>
      </c>
      <c r="J72" s="108" t="n"/>
      <c r="K72" s="173" t="n"/>
      <c r="L72" s="173" t="n"/>
      <c r="M72" s="173" t="n"/>
      <c r="N72" s="173" t="n"/>
      <c r="O72" s="173" t="n"/>
      <c r="P72" s="108" t="n"/>
      <c r="Q72" s="108" t="n"/>
      <c r="R72" s="108" t="n"/>
      <c r="S72" s="108" t="n"/>
      <c r="T72" s="173" t="n"/>
      <c r="U72" s="173" t="n"/>
      <c r="V72" s="173" t="n"/>
      <c r="W72" s="173" t="n"/>
      <c r="X72" s="173" t="n"/>
      <c r="Y72" s="173" t="n"/>
      <c r="Z72" s="173" t="n"/>
      <c r="AA72" s="173" t="n"/>
      <c r="AB72" s="173" t="n"/>
      <c r="AC72" s="173" t="n"/>
      <c r="AD72" s="173" t="n"/>
      <c r="AE72" s="173" t="n"/>
      <c r="AF72" s="173" t="n"/>
      <c r="AG72" s="173" t="n"/>
      <c r="AH72" s="173" t="n"/>
    </row>
    <row r="73" ht="12.75" customHeight="1"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173" t="n"/>
      <c r="U73" s="173" t="n"/>
      <c r="V73" s="173" t="n"/>
      <c r="W73" s="173" t="n"/>
      <c r="X73" s="173" t="n"/>
      <c r="Y73" s="173" t="n"/>
      <c r="Z73" s="173" t="n"/>
      <c r="AA73" s="173" t="n"/>
      <c r="AB73" s="173" t="n"/>
      <c r="AC73" s="173" t="n"/>
      <c r="AD73" s="173" t="n"/>
      <c r="AE73" s="173" t="n"/>
      <c r="AF73" s="173" t="n"/>
      <c r="AG73" s="173" t="n"/>
      <c r="AH73" s="173" t="n"/>
    </row>
    <row r="74" ht="18" customHeight="1" thickBot="1">
      <c r="B74" s="103" t="inlineStr">
        <is>
          <t>CÁLCULO:  PORCENTAJE DE PARTICULAS PLANAS Y ALARGADAS</t>
        </is>
      </c>
      <c r="C74" s="104" t="n"/>
      <c r="D74" s="104" t="n"/>
      <c r="E74" s="104" t="n"/>
      <c r="F74" s="105" t="n"/>
      <c r="G74" s="104" t="n"/>
      <c r="H74" s="104" t="n"/>
      <c r="I74" s="104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</row>
    <row r="75" ht="18" customHeight="1">
      <c r="B75" s="499" t="inlineStr">
        <is>
          <t>Tamaño de tamiz 1 1/2</t>
        </is>
      </c>
      <c r="C75" s="632" t="n"/>
      <c r="D75" s="632" t="n"/>
      <c r="E75" s="632" t="n"/>
      <c r="F75" s="632" t="n"/>
      <c r="G75" s="632" t="n"/>
      <c r="H75" s="632" t="n"/>
      <c r="I75" s="633" t="n"/>
      <c r="J75" s="499" t="inlineStr">
        <is>
          <t>Tamaño de tamiz 1</t>
        </is>
      </c>
      <c r="K75" s="632" t="n"/>
      <c r="L75" s="632" t="n"/>
      <c r="M75" s="632" t="n"/>
      <c r="N75" s="633" t="n"/>
      <c r="O75" s="499" t="inlineStr">
        <is>
          <t>Tamaño de tamiz 3/4</t>
        </is>
      </c>
      <c r="P75" s="632" t="n"/>
      <c r="Q75" s="632" t="n"/>
      <c r="R75" s="632" t="n"/>
      <c r="S75" s="633" t="n"/>
      <c r="T75" s="499" t="inlineStr">
        <is>
          <t>Tamaño de tamiz 1/2</t>
        </is>
      </c>
      <c r="U75" s="632" t="n"/>
      <c r="V75" s="632" t="n"/>
      <c r="W75" s="632" t="n"/>
      <c r="X75" s="633" t="n"/>
      <c r="Y75" s="499" t="inlineStr">
        <is>
          <t>Tamaño de tamiz 3/8</t>
        </is>
      </c>
      <c r="Z75" s="632" t="n"/>
      <c r="AA75" s="632" t="n"/>
      <c r="AB75" s="632" t="n"/>
      <c r="AC75" s="633" t="n"/>
      <c r="AD75" s="499" t="inlineStr">
        <is>
          <t>Tamaño de tamiz No 4</t>
        </is>
      </c>
      <c r="AE75" s="632" t="n"/>
      <c r="AF75" s="632" t="n"/>
      <c r="AG75" s="632" t="n"/>
      <c r="AH75" s="633" t="n"/>
      <c r="AJ75" s="502" t="inlineStr">
        <is>
          <t>CONTRIBUCION</t>
        </is>
      </c>
      <c r="AK75" s="547" t="n"/>
      <c r="AL75" s="548" t="n"/>
    </row>
    <row r="76" ht="37.9" customHeight="1">
      <c r="B76" s="197" t="inlineStr">
        <is>
          <t>Fuentes</t>
        </is>
      </c>
      <c r="C76" s="189" t="inlineStr">
        <is>
          <t>Unidades</t>
        </is>
      </c>
      <c r="D76" s="189" t="inlineStr">
        <is>
          <t>Distribución</t>
        </is>
      </c>
      <c r="E76" s="188" t="inlineStr">
        <is>
          <t>Valor</t>
        </is>
      </c>
      <c r="F76" s="189" t="inlineStr">
        <is>
          <t>Incertidumbre Original</t>
        </is>
      </c>
      <c r="G76" s="189" t="inlineStr">
        <is>
          <t>Incertidumbre Estándar u(xi)</t>
        </is>
      </c>
      <c r="H76" s="189" t="inlineStr">
        <is>
          <t>Coeficiente de Sensibilidad</t>
        </is>
      </c>
      <c r="I76" s="198" t="inlineStr">
        <is>
          <t>Contribución ui(y)</t>
        </is>
      </c>
      <c r="J76" s="197" t="inlineStr">
        <is>
          <t>Valor</t>
        </is>
      </c>
      <c r="K76" s="189" t="inlineStr">
        <is>
          <t>Incertidumbre Original</t>
        </is>
      </c>
      <c r="L76" s="189" t="inlineStr">
        <is>
          <t>Incertidumbre Estándar u(xi)</t>
        </is>
      </c>
      <c r="M76" s="189" t="inlineStr">
        <is>
          <t>Coeficiente de Sensibilidad</t>
        </is>
      </c>
      <c r="N76" s="198" t="inlineStr">
        <is>
          <t>Contribución ui(y)</t>
        </is>
      </c>
      <c r="O76" s="197" t="inlineStr">
        <is>
          <t>Valor</t>
        </is>
      </c>
      <c r="P76" s="189" t="inlineStr">
        <is>
          <t>Incertidumbre Original</t>
        </is>
      </c>
      <c r="Q76" s="189" t="inlineStr">
        <is>
          <t>Incertidumbre Estándar u(xi)</t>
        </is>
      </c>
      <c r="R76" s="189" t="inlineStr">
        <is>
          <t>Coeficiente de Sensibilidad</t>
        </is>
      </c>
      <c r="S76" s="198" t="inlineStr">
        <is>
          <t>Contribución ui(y)</t>
        </is>
      </c>
      <c r="T76" s="197" t="inlineStr">
        <is>
          <t>Valor</t>
        </is>
      </c>
      <c r="U76" s="189" t="inlineStr">
        <is>
          <t>Incertidumbre Original</t>
        </is>
      </c>
      <c r="V76" s="189" t="inlineStr">
        <is>
          <t>Incertidumbre Estándar u(xi)</t>
        </is>
      </c>
      <c r="W76" s="189" t="inlineStr">
        <is>
          <t>Coeficiente de Sensibilidad</t>
        </is>
      </c>
      <c r="X76" s="198" t="inlineStr">
        <is>
          <t>Contribución ui(y)</t>
        </is>
      </c>
      <c r="Y76" s="197" t="inlineStr">
        <is>
          <t>Valor</t>
        </is>
      </c>
      <c r="Z76" s="189" t="inlineStr">
        <is>
          <t>Incertidumbre Original</t>
        </is>
      </c>
      <c r="AA76" s="189" t="inlineStr">
        <is>
          <t>Incertidumbre Estándar u(xi)</t>
        </is>
      </c>
      <c r="AB76" s="189" t="inlineStr">
        <is>
          <t>Coeficiente de Sensibilidad</t>
        </is>
      </c>
      <c r="AC76" s="198" t="inlineStr">
        <is>
          <t>Contribución ui(y)</t>
        </is>
      </c>
      <c r="AD76" s="197" t="inlineStr">
        <is>
          <t>Valor</t>
        </is>
      </c>
      <c r="AE76" s="189" t="inlineStr">
        <is>
          <t>Incertidumbre Original</t>
        </is>
      </c>
      <c r="AF76" s="189" t="inlineStr">
        <is>
          <t>Incertidumbre Estándar u(xi)</t>
        </is>
      </c>
      <c r="AG76" s="189" t="inlineStr">
        <is>
          <t>Coeficiente de Sensibilidad</t>
        </is>
      </c>
      <c r="AH76" s="198" t="inlineStr">
        <is>
          <t>Contribución ui(y)</t>
        </is>
      </c>
      <c r="AJ76" s="186" t="inlineStr">
        <is>
          <t>Factor de influencia</t>
        </is>
      </c>
      <c r="AK76" s="502" t="inlineStr">
        <is>
          <t>valor</t>
        </is>
      </c>
      <c r="AL76" s="502" t="inlineStr">
        <is>
          <t>%</t>
        </is>
      </c>
    </row>
    <row r="77" ht="20.45" customHeight="1">
      <c r="B77" s="199" t="n"/>
      <c r="C77" s="143" t="n"/>
      <c r="D77" s="144" t="inlineStr">
        <is>
          <t>---</t>
        </is>
      </c>
      <c r="E77" s="172">
        <f>IF(E78=0,"--",(E78*E86*100*1/E82/E90))</f>
        <v/>
      </c>
      <c r="F77" s="144" t="inlineStr">
        <is>
          <t>---</t>
        </is>
      </c>
      <c r="G77" s="144" t="inlineStr">
        <is>
          <t>---</t>
        </is>
      </c>
      <c r="H77" s="144" t="inlineStr">
        <is>
          <t>---</t>
        </is>
      </c>
      <c r="I77" s="200" t="inlineStr">
        <is>
          <t>---</t>
        </is>
      </c>
      <c r="J77" s="214">
        <f>IF(J78=0,"--",(J78*J86*100*1/J82/J90))</f>
        <v/>
      </c>
      <c r="K77" s="144" t="inlineStr">
        <is>
          <t>---</t>
        </is>
      </c>
      <c r="L77" s="144" t="inlineStr">
        <is>
          <t>---</t>
        </is>
      </c>
      <c r="M77" s="144" t="inlineStr">
        <is>
          <t>---</t>
        </is>
      </c>
      <c r="N77" s="200" t="inlineStr">
        <is>
          <t>---</t>
        </is>
      </c>
      <c r="O77" s="214">
        <f>IF(O78=0,"--",(O78*O86*100*1/O82/O90))</f>
        <v/>
      </c>
      <c r="P77" s="144" t="inlineStr">
        <is>
          <t>---</t>
        </is>
      </c>
      <c r="Q77" s="144" t="inlineStr">
        <is>
          <t>---</t>
        </is>
      </c>
      <c r="R77" s="144" t="inlineStr">
        <is>
          <t>---</t>
        </is>
      </c>
      <c r="S77" s="200" t="inlineStr">
        <is>
          <t>---</t>
        </is>
      </c>
      <c r="T77" s="214">
        <f>IF(T78=0,"--",(T78*T86*100*1/T82/T90))</f>
        <v/>
      </c>
      <c r="U77" s="144" t="inlineStr">
        <is>
          <t>---</t>
        </is>
      </c>
      <c r="V77" s="144" t="inlineStr">
        <is>
          <t>---</t>
        </is>
      </c>
      <c r="W77" s="144" t="inlineStr">
        <is>
          <t>---</t>
        </is>
      </c>
      <c r="X77" s="200" t="inlineStr">
        <is>
          <t>---</t>
        </is>
      </c>
      <c r="Y77" s="214">
        <f>IF(Y78=0,"--",(Y78*Y86*100*1/Y82/Y90))</f>
        <v/>
      </c>
      <c r="Z77" s="144" t="inlineStr">
        <is>
          <t>---</t>
        </is>
      </c>
      <c r="AA77" s="144" t="inlineStr">
        <is>
          <t>---</t>
        </is>
      </c>
      <c r="AB77" s="144" t="inlineStr">
        <is>
          <t>---</t>
        </is>
      </c>
      <c r="AC77" s="200" t="inlineStr">
        <is>
          <t>---</t>
        </is>
      </c>
      <c r="AD77" s="214">
        <f>IF(AD78=0,"--",(AD78*AD86*100*1/AD82/AD90))</f>
        <v/>
      </c>
      <c r="AE77" s="144" t="inlineStr">
        <is>
          <t>---</t>
        </is>
      </c>
      <c r="AF77" s="144" t="inlineStr">
        <is>
          <t>---</t>
        </is>
      </c>
      <c r="AG77" s="144" t="inlineStr">
        <is>
          <t>---</t>
        </is>
      </c>
      <c r="AH77" s="200" t="inlineStr">
        <is>
          <t>---</t>
        </is>
      </c>
      <c r="AJ77" s="221">
        <f>+B78</f>
        <v/>
      </c>
      <c r="AK77" s="634">
        <f>+N78</f>
        <v/>
      </c>
      <c r="AL77" s="635">
        <f>+AK77/$AK$32</f>
        <v/>
      </c>
    </row>
    <row r="78" ht="20.45" customHeight="1">
      <c r="B78" s="201" t="inlineStr">
        <is>
          <t>Masa partícula</t>
        </is>
      </c>
      <c r="C78" s="145" t="inlineStr">
        <is>
          <t>g</t>
        </is>
      </c>
      <c r="D78" s="148" t="inlineStr">
        <is>
          <t>---</t>
        </is>
      </c>
      <c r="E78" s="146">
        <f>+DATOS!W12</f>
        <v/>
      </c>
      <c r="F78" s="147" t="inlineStr">
        <is>
          <t>---</t>
        </is>
      </c>
      <c r="G78" s="149">
        <f>SQRT((G79*G79)+(G80*G80)+(G81*G81))</f>
        <v/>
      </c>
      <c r="H78" s="636">
        <f>IF(E78=0,0,E86*100/E82/E90)</f>
        <v/>
      </c>
      <c r="I78" s="220">
        <f>+H78*G78</f>
        <v/>
      </c>
      <c r="J78" s="215">
        <f>+DATOS!W13</f>
        <v/>
      </c>
      <c r="K78" s="147" t="inlineStr">
        <is>
          <t>---</t>
        </is>
      </c>
      <c r="L78" s="149">
        <f>SQRT((L79*L79)+(L80*L80)+(L81*L81))</f>
        <v/>
      </c>
      <c r="M78" s="636">
        <f>IF(J78=0,0,J86*100/J82/J90)</f>
        <v/>
      </c>
      <c r="N78" s="637">
        <f>+M78*L78</f>
        <v/>
      </c>
      <c r="O78" s="215">
        <f>+DATOS!W14</f>
        <v/>
      </c>
      <c r="P78" s="147" t="inlineStr">
        <is>
          <t>---</t>
        </is>
      </c>
      <c r="Q78" s="149">
        <f>SQRT((Q79*Q79)+(Q80*Q80)+(Q81*Q81))</f>
        <v/>
      </c>
      <c r="R78" s="636">
        <f>IF(O78=0,0,O86*100/O82/O90)</f>
        <v/>
      </c>
      <c r="S78" s="637">
        <f>+R78*Q78</f>
        <v/>
      </c>
      <c r="T78" s="215">
        <f>+DATOS!W15</f>
        <v/>
      </c>
      <c r="U78" s="147" t="inlineStr">
        <is>
          <t>---</t>
        </is>
      </c>
      <c r="V78" s="149">
        <f>SQRT((V79*V79)+(V80*V80)+(V81*V81))</f>
        <v/>
      </c>
      <c r="W78" s="636">
        <f>IF(T78=0,0,T86*100/T82/T90)</f>
        <v/>
      </c>
      <c r="X78" s="637">
        <f>+W78*V78</f>
        <v/>
      </c>
      <c r="Y78" s="215">
        <f>+DATOS!W16</f>
        <v/>
      </c>
      <c r="Z78" s="147" t="inlineStr">
        <is>
          <t>---</t>
        </is>
      </c>
      <c r="AA78" s="149">
        <f>SQRT((AA79*AA79)+(AA80*AA80)+(AA81*AA81))</f>
        <v/>
      </c>
      <c r="AB78" s="636">
        <f>IF(Y78=0,0,Y86*100/Y82/Y90)</f>
        <v/>
      </c>
      <c r="AC78" s="637">
        <f>+AB78*AA78</f>
        <v/>
      </c>
      <c r="AD78" s="215">
        <f>+DATOS!W17</f>
        <v/>
      </c>
      <c r="AE78" s="147" t="inlineStr">
        <is>
          <t>---</t>
        </is>
      </c>
      <c r="AF78" s="149">
        <f>SQRT((AF79*AF79)+(AF80*AF80)+(AF81*AF81))</f>
        <v/>
      </c>
      <c r="AG78" s="636">
        <f>IF(AD78=0,0,AD86*100/AD82/AD90)</f>
        <v/>
      </c>
      <c r="AH78" s="637">
        <f>+AG78*AF78</f>
        <v/>
      </c>
      <c r="AJ78" s="221">
        <f>+B82</f>
        <v/>
      </c>
      <c r="AK78" s="634">
        <f>+N82</f>
        <v/>
      </c>
      <c r="AL78" s="635">
        <f>+AK78/$AK$32</f>
        <v/>
      </c>
    </row>
    <row r="79" ht="20.45" customHeight="1">
      <c r="B79" s="203" t="inlineStr">
        <is>
          <t>Repetibilidad de la pesada</t>
        </is>
      </c>
      <c r="C79" s="151" t="inlineStr">
        <is>
          <t>g</t>
        </is>
      </c>
      <c r="D79" s="154" t="inlineStr">
        <is>
          <t>Normal, K=1</t>
        </is>
      </c>
      <c r="E79" s="152" t="n"/>
      <c r="F79" s="153">
        <f>+BALANZA!D42</f>
        <v/>
      </c>
      <c r="G79" s="638">
        <f>+F79</f>
        <v/>
      </c>
      <c r="H79" s="639" t="inlineStr">
        <is>
          <t>---</t>
        </is>
      </c>
      <c r="I79" s="640" t="inlineStr">
        <is>
          <t>---</t>
        </is>
      </c>
      <c r="J79" s="216" t="n"/>
      <c r="K79" s="153">
        <f>+BALANZA!D43</f>
        <v/>
      </c>
      <c r="L79" s="638">
        <f>+K79</f>
        <v/>
      </c>
      <c r="M79" s="639" t="inlineStr">
        <is>
          <t>---</t>
        </is>
      </c>
      <c r="N79" s="640" t="inlineStr">
        <is>
          <t>---</t>
        </is>
      </c>
      <c r="O79" s="216" t="n"/>
      <c r="P79" s="153">
        <f>+BALANZA!D44</f>
        <v/>
      </c>
      <c r="Q79" s="638">
        <f>+P79</f>
        <v/>
      </c>
      <c r="R79" s="639" t="inlineStr">
        <is>
          <t>---</t>
        </is>
      </c>
      <c r="S79" s="640" t="inlineStr">
        <is>
          <t>---</t>
        </is>
      </c>
      <c r="T79" s="216" t="n"/>
      <c r="U79" s="153">
        <f>+BALANZA!D45</f>
        <v/>
      </c>
      <c r="V79" s="638">
        <f>+U79</f>
        <v/>
      </c>
      <c r="W79" s="639" t="inlineStr">
        <is>
          <t>---</t>
        </is>
      </c>
      <c r="X79" s="640" t="inlineStr">
        <is>
          <t>---</t>
        </is>
      </c>
      <c r="Y79" s="216" t="n"/>
      <c r="Z79" s="153">
        <f>+BALANZA!D46</f>
        <v/>
      </c>
      <c r="AA79" s="638">
        <f>+Z79</f>
        <v/>
      </c>
      <c r="AB79" s="639" t="inlineStr">
        <is>
          <t>---</t>
        </is>
      </c>
      <c r="AC79" s="640" t="inlineStr">
        <is>
          <t>---</t>
        </is>
      </c>
      <c r="AD79" s="216" t="n"/>
      <c r="AE79" s="153">
        <f>+BALANZA!D47</f>
        <v/>
      </c>
      <c r="AF79" s="638">
        <f>+AE79</f>
        <v/>
      </c>
      <c r="AG79" s="639" t="inlineStr">
        <is>
          <t>---</t>
        </is>
      </c>
      <c r="AH79" s="640" t="inlineStr">
        <is>
          <t>---</t>
        </is>
      </c>
      <c r="AJ79" s="222">
        <f>+B86</f>
        <v/>
      </c>
      <c r="AK79" s="641">
        <f>+N86</f>
        <v/>
      </c>
      <c r="AL79" s="635">
        <f>+AK79/$AK$32</f>
        <v/>
      </c>
    </row>
    <row r="80" ht="20.45" customHeight="1">
      <c r="B80" s="203" t="inlineStr">
        <is>
          <t>Certificado de Calibración</t>
        </is>
      </c>
      <c r="C80" s="151" t="inlineStr">
        <is>
          <t>g</t>
        </is>
      </c>
      <c r="D80" s="154" t="inlineStr">
        <is>
          <t>Normal, K=2</t>
        </is>
      </c>
      <c r="E80" s="152" t="n"/>
      <c r="F80" s="153">
        <f>2*(SQRT(BALANZA!$C$8+BALANZA!$D$8*(POWER(E78,2))))</f>
        <v/>
      </c>
      <c r="G80" s="638">
        <f>+F80/2</f>
        <v/>
      </c>
      <c r="H80" s="639" t="inlineStr">
        <is>
          <t>---</t>
        </is>
      </c>
      <c r="I80" s="640" t="inlineStr">
        <is>
          <t>---</t>
        </is>
      </c>
      <c r="J80" s="216" t="n"/>
      <c r="K80" s="153">
        <f>2*(SQRT(BALANZA!$C$8+BALANZA!$D$8*(POWER(J78,2))))</f>
        <v/>
      </c>
      <c r="L80" s="638">
        <f>+K80/2</f>
        <v/>
      </c>
      <c r="M80" s="639" t="inlineStr">
        <is>
          <t>---</t>
        </is>
      </c>
      <c r="N80" s="640" t="inlineStr">
        <is>
          <t>---</t>
        </is>
      </c>
      <c r="O80" s="216" t="n"/>
      <c r="P80" s="153">
        <f>2*(SQRT(BALANZA!$C$8+BALANZA!$D$8*(POWER(O78,2))))</f>
        <v/>
      </c>
      <c r="Q80" s="638">
        <f>+P80/2</f>
        <v/>
      </c>
      <c r="R80" s="639" t="inlineStr">
        <is>
          <t>---</t>
        </is>
      </c>
      <c r="S80" s="640" t="inlineStr">
        <is>
          <t>---</t>
        </is>
      </c>
      <c r="T80" s="216" t="n"/>
      <c r="U80" s="153">
        <f>2*(SQRT(BALANZA!$C$8+BALANZA!$D$8*(POWER(T78,2))))</f>
        <v/>
      </c>
      <c r="V80" s="638">
        <f>+U80/2</f>
        <v/>
      </c>
      <c r="W80" s="639" t="inlineStr">
        <is>
          <t>---</t>
        </is>
      </c>
      <c r="X80" s="640" t="inlineStr">
        <is>
          <t>---</t>
        </is>
      </c>
      <c r="Y80" s="216" t="n"/>
      <c r="Z80" s="153">
        <f>2*(SQRT(BALANZA!$C$8+BALANZA!$D$8*(POWER(Y78,2))))</f>
        <v/>
      </c>
      <c r="AA80" s="638">
        <f>+Z80/2</f>
        <v/>
      </c>
      <c r="AB80" s="639" t="inlineStr">
        <is>
          <t>---</t>
        </is>
      </c>
      <c r="AC80" s="640" t="inlineStr">
        <is>
          <t>---</t>
        </is>
      </c>
      <c r="AD80" s="216" t="n"/>
      <c r="AE80" s="153">
        <f>2*(SQRT(BALANZA!$C$8+BALANZA!$D$8*(POWER(AD78,2))))</f>
        <v/>
      </c>
      <c r="AF80" s="638">
        <f>+AE80/2</f>
        <v/>
      </c>
      <c r="AG80" s="639" t="inlineStr">
        <is>
          <t>---</t>
        </is>
      </c>
      <c r="AH80" s="640" t="inlineStr">
        <is>
          <t>---</t>
        </is>
      </c>
      <c r="AJ80" s="222">
        <f>+B90</f>
        <v/>
      </c>
      <c r="AK80" s="641">
        <f>+N90</f>
        <v/>
      </c>
      <c r="AL80" s="635">
        <f>+AK80/$AK$32</f>
        <v/>
      </c>
    </row>
    <row r="81" ht="20.45" customHeight="1">
      <c r="B81" s="203" t="inlineStr">
        <is>
          <t>Resolución</t>
        </is>
      </c>
      <c r="C81" s="151" t="inlineStr">
        <is>
          <t>g</t>
        </is>
      </c>
      <c r="D81" s="157" t="inlineStr">
        <is>
          <t>Rectangular</t>
        </is>
      </c>
      <c r="E81" s="152" t="n"/>
      <c r="F81" s="153">
        <f>+BALANZA!$C$10</f>
        <v/>
      </c>
      <c r="G81" s="638">
        <f>+F81/SQRT(3)/2</f>
        <v/>
      </c>
      <c r="H81" s="639" t="inlineStr">
        <is>
          <t>---</t>
        </is>
      </c>
      <c r="I81" s="640" t="inlineStr">
        <is>
          <t>---</t>
        </is>
      </c>
      <c r="J81" s="216" t="n"/>
      <c r="K81" s="153">
        <f>+BALANZA!$C$10</f>
        <v/>
      </c>
      <c r="L81" s="638">
        <f>+K81/SQRT(3)/2</f>
        <v/>
      </c>
      <c r="M81" s="639" t="inlineStr">
        <is>
          <t>---</t>
        </is>
      </c>
      <c r="N81" s="640" t="inlineStr">
        <is>
          <t>---</t>
        </is>
      </c>
      <c r="O81" s="216" t="n"/>
      <c r="P81" s="153">
        <f>+BALANZA!$C$10</f>
        <v/>
      </c>
      <c r="Q81" s="638">
        <f>+P81/SQRT(3)/2</f>
        <v/>
      </c>
      <c r="R81" s="639" t="inlineStr">
        <is>
          <t>---</t>
        </is>
      </c>
      <c r="S81" s="640" t="inlineStr">
        <is>
          <t>---</t>
        </is>
      </c>
      <c r="T81" s="216" t="n"/>
      <c r="U81" s="153">
        <f>+BALANZA!$C$10</f>
        <v/>
      </c>
      <c r="V81" s="638">
        <f>+U81/SQRT(3)/2</f>
        <v/>
      </c>
      <c r="W81" s="639" t="inlineStr">
        <is>
          <t>---</t>
        </is>
      </c>
      <c r="X81" s="640" t="inlineStr">
        <is>
          <t>---</t>
        </is>
      </c>
      <c r="Y81" s="216" t="n"/>
      <c r="Z81" s="153">
        <f>+BALANZA!$C$10</f>
        <v/>
      </c>
      <c r="AA81" s="638">
        <f>+Z81/SQRT(3)/2</f>
        <v/>
      </c>
      <c r="AB81" s="639" t="inlineStr">
        <is>
          <t>---</t>
        </is>
      </c>
      <c r="AC81" s="640" t="inlineStr">
        <is>
          <t>---</t>
        </is>
      </c>
      <c r="AD81" s="216" t="n"/>
      <c r="AE81" s="153">
        <f>+BALANZA!$C$10</f>
        <v/>
      </c>
      <c r="AF81" s="638">
        <f>+AE81/SQRT(3)/2</f>
        <v/>
      </c>
      <c r="AG81" s="639" t="inlineStr">
        <is>
          <t>---</t>
        </is>
      </c>
      <c r="AH81" s="640" t="inlineStr">
        <is>
          <t>---</t>
        </is>
      </c>
      <c r="AJ81" s="221">
        <f>+B95</f>
        <v/>
      </c>
      <c r="AK81" s="634">
        <f>+I95</f>
        <v/>
      </c>
      <c r="AL81" s="635">
        <f>+AK81/$AK$32</f>
        <v/>
      </c>
    </row>
    <row r="82" ht="20.45" customHeight="1">
      <c r="B82" s="201" t="inlineStr">
        <is>
          <t>Masa de prueba</t>
        </is>
      </c>
      <c r="C82" s="145" t="inlineStr">
        <is>
          <t>g</t>
        </is>
      </c>
      <c r="D82" s="147" t="inlineStr">
        <is>
          <t>---</t>
        </is>
      </c>
      <c r="E82" s="158">
        <f>+DATOS!$H$12</f>
        <v/>
      </c>
      <c r="F82" s="145" t="n"/>
      <c r="G82" s="149">
        <f>SQRT((G83*G83)+(G84*G84)+(G85*G85))</f>
        <v/>
      </c>
      <c r="H82" s="642">
        <f>IF(E78=0,0,E78*E86*100/E90/E82/E82)</f>
        <v/>
      </c>
      <c r="I82" s="643">
        <f>+H82*G82</f>
        <v/>
      </c>
      <c r="J82" s="217">
        <f>+DATOS!$H$13</f>
        <v/>
      </c>
      <c r="K82" s="145" t="n"/>
      <c r="L82" s="149">
        <f>SQRT((L83*L83)+(L84*L84)+(L85*L85))</f>
        <v/>
      </c>
      <c r="M82" s="642">
        <f>IF(J78=0,0,J78*J86*100/J90/J82/J82)</f>
        <v/>
      </c>
      <c r="N82" s="643">
        <f>+M82*L82</f>
        <v/>
      </c>
      <c r="O82" s="217">
        <f>+DATOS!$H$14</f>
        <v/>
      </c>
      <c r="P82" s="145" t="n"/>
      <c r="Q82" s="149">
        <f>SQRT((Q83*Q83)+(Q84*Q84)+(Q85*Q85))</f>
        <v/>
      </c>
      <c r="R82" s="642">
        <f>IF(O78=0,0,O78*O86*100/O90/O82/O82)</f>
        <v/>
      </c>
      <c r="S82" s="643">
        <f>+R82*Q82</f>
        <v/>
      </c>
      <c r="T82" s="217">
        <f>+DATOS!$H$15</f>
        <v/>
      </c>
      <c r="U82" s="145" t="n"/>
      <c r="V82" s="149">
        <f>SQRT((V83*V83)+(V84*V84)+(V85*V85))</f>
        <v/>
      </c>
      <c r="W82" s="642">
        <f>IF(T78=0,0,T78*T86*100/T90/T82/T82)</f>
        <v/>
      </c>
      <c r="X82" s="643">
        <f>+W82*V82</f>
        <v/>
      </c>
      <c r="Y82" s="217">
        <f>+DATOS!$H$16</f>
        <v/>
      </c>
      <c r="Z82" s="145" t="n"/>
      <c r="AA82" s="149">
        <f>SQRT((AA83*AA83)+(AA84*AA84)+(AA85*AA85))</f>
        <v/>
      </c>
      <c r="AB82" s="642">
        <f>IF(Y78=0,0,Y78*Y86*100/Y90/Y82/Y82)</f>
        <v/>
      </c>
      <c r="AC82" s="643">
        <f>+AB82*AA82</f>
        <v/>
      </c>
      <c r="AD82" s="217">
        <f>+DATOS!$H$17</f>
        <v/>
      </c>
      <c r="AE82" s="145" t="n"/>
      <c r="AF82" s="149">
        <f>SQRT((AF83*AF83)+(AF84*AF84)+(AF85*AF85))</f>
        <v/>
      </c>
      <c r="AG82" s="642">
        <f>IF(AD78=0,0,AD78*AD86*100/AD90/AD82/AD82)</f>
        <v/>
      </c>
      <c r="AH82" s="643">
        <f>+AG82*AF82</f>
        <v/>
      </c>
      <c r="AJ82" s="223" t="n"/>
      <c r="AK82" s="644">
        <f>SUM(AK77:AK81)</f>
        <v/>
      </c>
      <c r="AL82" s="635">
        <f>SUM(AL77:AL81)</f>
        <v/>
      </c>
      <c r="AM82" s="97" t="n"/>
    </row>
    <row r="83" ht="20.45" customHeight="1">
      <c r="B83" s="203" t="inlineStr">
        <is>
          <t>Repetibilidad de la pesada</t>
        </is>
      </c>
      <c r="C83" s="151" t="inlineStr">
        <is>
          <t>g</t>
        </is>
      </c>
      <c r="D83" s="154" t="inlineStr">
        <is>
          <t>Normal, K=1</t>
        </is>
      </c>
      <c r="E83" s="152" t="n"/>
      <c r="F83" s="153">
        <f>+BALANZA!$F$24</f>
        <v/>
      </c>
      <c r="G83" s="638">
        <f>+F83</f>
        <v/>
      </c>
      <c r="H83" s="639" t="inlineStr">
        <is>
          <t>---</t>
        </is>
      </c>
      <c r="I83" s="640" t="inlineStr">
        <is>
          <t>---</t>
        </is>
      </c>
      <c r="J83" s="216" t="n"/>
      <c r="K83" s="153">
        <f>+BALANZA!$F$25</f>
        <v/>
      </c>
      <c r="L83" s="638">
        <f>+K83</f>
        <v/>
      </c>
      <c r="M83" s="639" t="inlineStr">
        <is>
          <t>---</t>
        </is>
      </c>
      <c r="N83" s="640" t="inlineStr">
        <is>
          <t>---</t>
        </is>
      </c>
      <c r="O83" s="216" t="n"/>
      <c r="P83" s="153">
        <f>+BALANZA!$F$26</f>
        <v/>
      </c>
      <c r="Q83" s="638">
        <f>+P83</f>
        <v/>
      </c>
      <c r="R83" s="639" t="inlineStr">
        <is>
          <t>---</t>
        </is>
      </c>
      <c r="S83" s="640" t="inlineStr">
        <is>
          <t>---</t>
        </is>
      </c>
      <c r="T83" s="216" t="n"/>
      <c r="U83" s="153">
        <f>+BALANZA!$F$27</f>
        <v/>
      </c>
      <c r="V83" s="638">
        <f>+U83</f>
        <v/>
      </c>
      <c r="W83" s="639" t="inlineStr">
        <is>
          <t>---</t>
        </is>
      </c>
      <c r="X83" s="640" t="inlineStr">
        <is>
          <t>---</t>
        </is>
      </c>
      <c r="Y83" s="216" t="n"/>
      <c r="Z83" s="153">
        <f>+BALANZA!$F$28</f>
        <v/>
      </c>
      <c r="AA83" s="638">
        <f>+Z83</f>
        <v/>
      </c>
      <c r="AB83" s="639" t="inlineStr">
        <is>
          <t>---</t>
        </is>
      </c>
      <c r="AC83" s="640" t="inlineStr">
        <is>
          <t>---</t>
        </is>
      </c>
      <c r="AD83" s="216" t="n"/>
      <c r="AE83" s="153">
        <f>+BALANZA!$F$29</f>
        <v/>
      </c>
      <c r="AF83" s="638">
        <f>+AE83</f>
        <v/>
      </c>
      <c r="AG83" s="639" t="inlineStr">
        <is>
          <t>---</t>
        </is>
      </c>
      <c r="AH83" s="640" t="inlineStr">
        <is>
          <t>---</t>
        </is>
      </c>
    </row>
    <row r="84" ht="20.45" customHeight="1">
      <c r="B84" s="203" t="inlineStr">
        <is>
          <t>Certificado de Calibración</t>
        </is>
      </c>
      <c r="C84" s="151" t="inlineStr">
        <is>
          <t>g</t>
        </is>
      </c>
      <c r="D84" s="154" t="inlineStr">
        <is>
          <t>Normal, K=2</t>
        </is>
      </c>
      <c r="E84" s="152" t="n"/>
      <c r="F84" s="153">
        <f>2*(SQRT(BALANZA!$C$8+BALANZA!$D$8*(POWER(E82,2))))</f>
        <v/>
      </c>
      <c r="G84" s="638">
        <f>+F84/2</f>
        <v/>
      </c>
      <c r="H84" s="639" t="inlineStr">
        <is>
          <t>---</t>
        </is>
      </c>
      <c r="I84" s="640" t="inlineStr">
        <is>
          <t>---</t>
        </is>
      </c>
      <c r="J84" s="216" t="n"/>
      <c r="K84" s="153">
        <f>2*(SQRT(BALANZA!$C$8+BALANZA!$D$8*(POWER(J82,2))))</f>
        <v/>
      </c>
      <c r="L84" s="638">
        <f>+K84/2</f>
        <v/>
      </c>
      <c r="M84" s="639" t="inlineStr">
        <is>
          <t>---</t>
        </is>
      </c>
      <c r="N84" s="640" t="inlineStr">
        <is>
          <t>---</t>
        </is>
      </c>
      <c r="O84" s="216" t="n"/>
      <c r="P84" s="153">
        <f>2*(SQRT(BALANZA!$C$8+BALANZA!$D$8*(POWER(O82,2))))</f>
        <v/>
      </c>
      <c r="Q84" s="638">
        <f>+P84/2</f>
        <v/>
      </c>
      <c r="R84" s="639" t="inlineStr">
        <is>
          <t>---</t>
        </is>
      </c>
      <c r="S84" s="640" t="inlineStr">
        <is>
          <t>---</t>
        </is>
      </c>
      <c r="T84" s="216" t="n"/>
      <c r="U84" s="153">
        <f>2*(SQRT(BALANZA!$C$8+BALANZA!$D$8*(POWER(T82,2))))</f>
        <v/>
      </c>
      <c r="V84" s="638">
        <f>+U84/2</f>
        <v/>
      </c>
      <c r="W84" s="639" t="inlineStr">
        <is>
          <t>---</t>
        </is>
      </c>
      <c r="X84" s="640" t="inlineStr">
        <is>
          <t>---</t>
        </is>
      </c>
      <c r="Y84" s="216" t="n"/>
      <c r="Z84" s="153">
        <f>2*(SQRT(BALANZA!$C$8+BALANZA!$D$8*(POWER(Y82,2))))</f>
        <v/>
      </c>
      <c r="AA84" s="638">
        <f>+Z84/2</f>
        <v/>
      </c>
      <c r="AB84" s="639" t="inlineStr">
        <is>
          <t>---</t>
        </is>
      </c>
      <c r="AC84" s="640" t="inlineStr">
        <is>
          <t>---</t>
        </is>
      </c>
      <c r="AD84" s="216" t="n"/>
      <c r="AE84" s="153">
        <f>2*(SQRT(BALANZA!$C$8+BALANZA!$D$8*(POWER(AD82,2))))</f>
        <v/>
      </c>
      <c r="AF84" s="638">
        <f>+AE84/2</f>
        <v/>
      </c>
      <c r="AG84" s="639" t="inlineStr">
        <is>
          <t>---</t>
        </is>
      </c>
      <c r="AH84" s="640" t="inlineStr">
        <is>
          <t>---</t>
        </is>
      </c>
    </row>
    <row r="85" ht="20.45" customHeight="1">
      <c r="B85" s="203" t="inlineStr">
        <is>
          <t>Resolución</t>
        </is>
      </c>
      <c r="C85" s="151" t="inlineStr">
        <is>
          <t>g</t>
        </is>
      </c>
      <c r="D85" s="157" t="inlineStr">
        <is>
          <t>Rectangular</t>
        </is>
      </c>
      <c r="E85" s="152" t="n"/>
      <c r="F85" s="153">
        <f>+BALANZA!$C$10</f>
        <v/>
      </c>
      <c r="G85" s="638">
        <f>+F85/SQRT(3)/2</f>
        <v/>
      </c>
      <c r="H85" s="639" t="inlineStr">
        <is>
          <t>---</t>
        </is>
      </c>
      <c r="I85" s="640" t="inlineStr">
        <is>
          <t>---</t>
        </is>
      </c>
      <c r="J85" s="216" t="n"/>
      <c r="K85" s="153">
        <f>+BALANZA!$C$10</f>
        <v/>
      </c>
      <c r="L85" s="638">
        <f>+K85/SQRT(3)/2</f>
        <v/>
      </c>
      <c r="M85" s="639" t="inlineStr">
        <is>
          <t>---</t>
        </is>
      </c>
      <c r="N85" s="640" t="inlineStr">
        <is>
          <t>---</t>
        </is>
      </c>
      <c r="O85" s="216" t="n"/>
      <c r="P85" s="153">
        <f>+BALANZA!$C$10</f>
        <v/>
      </c>
      <c r="Q85" s="638">
        <f>+P85/SQRT(3)/2</f>
        <v/>
      </c>
      <c r="R85" s="639" t="inlineStr">
        <is>
          <t>---</t>
        </is>
      </c>
      <c r="S85" s="640" t="inlineStr">
        <is>
          <t>---</t>
        </is>
      </c>
      <c r="T85" s="216" t="n"/>
      <c r="U85" s="153">
        <f>+BALANZA!$C$10</f>
        <v/>
      </c>
      <c r="V85" s="638">
        <f>+U85/SQRT(3)/2</f>
        <v/>
      </c>
      <c r="W85" s="639" t="inlineStr">
        <is>
          <t>---</t>
        </is>
      </c>
      <c r="X85" s="640" t="inlineStr">
        <is>
          <t>---</t>
        </is>
      </c>
      <c r="Y85" s="216" t="n"/>
      <c r="Z85" s="153">
        <f>+BALANZA!$C$10</f>
        <v/>
      </c>
      <c r="AA85" s="638">
        <f>+Z85/SQRT(3)/2</f>
        <v/>
      </c>
      <c r="AB85" s="639" t="inlineStr">
        <is>
          <t>---</t>
        </is>
      </c>
      <c r="AC85" s="640" t="inlineStr">
        <is>
          <t>---</t>
        </is>
      </c>
      <c r="AD85" s="216" t="n"/>
      <c r="AE85" s="153">
        <f>+BALANZA!$C$10</f>
        <v/>
      </c>
      <c r="AF85" s="638">
        <f>+AE85/SQRT(3)/2</f>
        <v/>
      </c>
      <c r="AG85" s="639" t="inlineStr">
        <is>
          <t>---</t>
        </is>
      </c>
      <c r="AH85" s="640" t="inlineStr">
        <is>
          <t>---</t>
        </is>
      </c>
    </row>
    <row r="86" ht="20.45" customHeight="1">
      <c r="B86" s="201" t="inlineStr">
        <is>
          <t>Masa retenida</t>
        </is>
      </c>
      <c r="C86" s="145" t="inlineStr">
        <is>
          <t>g</t>
        </is>
      </c>
      <c r="D86" s="147" t="inlineStr">
        <is>
          <t>---</t>
        </is>
      </c>
      <c r="E86" s="158">
        <f>+DATOS!$D$12</f>
        <v/>
      </c>
      <c r="F86" s="145" t="n"/>
      <c r="G86" s="149">
        <f>SQRT((G87*G87)+(G88*G88)+(G89*G89))</f>
        <v/>
      </c>
      <c r="H86" s="642">
        <f>IF(E78=0,0,E78*100/E82/E90)</f>
        <v/>
      </c>
      <c r="I86" s="643">
        <f>+H86*G86</f>
        <v/>
      </c>
      <c r="J86" s="217">
        <f>+DATOS!$D$13</f>
        <v/>
      </c>
      <c r="K86" s="145" t="n"/>
      <c r="L86" s="149">
        <f>SQRT((L87*L87)+(L88*L88)+(L89*L89))</f>
        <v/>
      </c>
      <c r="M86" s="642">
        <f>IF(J78=0,0,J78*100/J82/J90)</f>
        <v/>
      </c>
      <c r="N86" s="643">
        <f>+M86*L86</f>
        <v/>
      </c>
      <c r="O86" s="217">
        <f>+DATOS!$D$14</f>
        <v/>
      </c>
      <c r="P86" s="145" t="n"/>
      <c r="Q86" s="149">
        <f>SQRT((Q87*Q87)+(Q88*Q88)+(Q89*Q89))</f>
        <v/>
      </c>
      <c r="R86" s="642">
        <f>IF(O78=0,0,O78*100/O82/O90)</f>
        <v/>
      </c>
      <c r="S86" s="643">
        <f>+R86*Q86</f>
        <v/>
      </c>
      <c r="T86" s="217">
        <f>+DATOS!$D$15</f>
        <v/>
      </c>
      <c r="U86" s="145" t="n"/>
      <c r="V86" s="149">
        <f>SQRT((V87*V87)+(V88*V88)+(V89*V89))</f>
        <v/>
      </c>
      <c r="W86" s="642">
        <f>IF(T78=0,0,T78*100/T82/T90)</f>
        <v/>
      </c>
      <c r="X86" s="643">
        <f>+W86*V86</f>
        <v/>
      </c>
      <c r="Y86" s="217">
        <f>+DATOS!$D$16</f>
        <v/>
      </c>
      <c r="Z86" s="145" t="n"/>
      <c r="AA86" s="149">
        <f>SQRT((AA87*AA87)+(AA88*AA88)+(AA89*AA89))</f>
        <v/>
      </c>
      <c r="AB86" s="642">
        <f>IF(Y78=0,0,Y78*100/Y82/Y90)</f>
        <v/>
      </c>
      <c r="AC86" s="643">
        <f>+AB86*AA86</f>
        <v/>
      </c>
      <c r="AD86" s="217">
        <f>+DATOS!$D$17</f>
        <v/>
      </c>
      <c r="AE86" s="145" t="n"/>
      <c r="AF86" s="149">
        <f>SQRT((AF87*AF87)+(AF88*AF88)+(AF89*AF89))</f>
        <v/>
      </c>
      <c r="AG86" s="642">
        <f>IF(AD78=0,0,AD78*100/AD82/AD90)</f>
        <v/>
      </c>
      <c r="AH86" s="643">
        <f>+AG86*AF86</f>
        <v/>
      </c>
    </row>
    <row r="87" ht="20.45" customHeight="1">
      <c r="B87" s="203" t="inlineStr">
        <is>
          <t>Repetibilidad de la pesada</t>
        </is>
      </c>
      <c r="C87" s="151" t="inlineStr">
        <is>
          <t>g</t>
        </is>
      </c>
      <c r="D87" s="154" t="inlineStr">
        <is>
          <t>Normal, K=1</t>
        </is>
      </c>
      <c r="E87" s="152" t="n"/>
      <c r="F87" s="153">
        <f>+BALANZA!$H$24</f>
        <v/>
      </c>
      <c r="G87" s="638">
        <f>+F87</f>
        <v/>
      </c>
      <c r="H87" s="639" t="inlineStr">
        <is>
          <t>---</t>
        </is>
      </c>
      <c r="I87" s="640" t="inlineStr">
        <is>
          <t>---</t>
        </is>
      </c>
      <c r="J87" s="216" t="n"/>
      <c r="K87" s="153">
        <f>+BALANZA!$H$25</f>
        <v/>
      </c>
      <c r="L87" s="638">
        <f>+K87</f>
        <v/>
      </c>
      <c r="M87" s="639" t="inlineStr">
        <is>
          <t>---</t>
        </is>
      </c>
      <c r="N87" s="640" t="inlineStr">
        <is>
          <t>---</t>
        </is>
      </c>
      <c r="O87" s="216" t="n"/>
      <c r="P87" s="153">
        <f>+BALANZA!$H$26</f>
        <v/>
      </c>
      <c r="Q87" s="638">
        <f>+P87</f>
        <v/>
      </c>
      <c r="R87" s="639" t="inlineStr">
        <is>
          <t>---</t>
        </is>
      </c>
      <c r="S87" s="640" t="inlineStr">
        <is>
          <t>---</t>
        </is>
      </c>
      <c r="T87" s="216" t="n"/>
      <c r="U87" s="153">
        <f>+BALANZA!$H$27</f>
        <v/>
      </c>
      <c r="V87" s="638">
        <f>+U87</f>
        <v/>
      </c>
      <c r="W87" s="639" t="inlineStr">
        <is>
          <t>---</t>
        </is>
      </c>
      <c r="X87" s="640" t="inlineStr">
        <is>
          <t>---</t>
        </is>
      </c>
      <c r="Y87" s="216" t="n"/>
      <c r="Z87" s="153">
        <f>+BALANZA!$H$28</f>
        <v/>
      </c>
      <c r="AA87" s="638">
        <f>+Z87</f>
        <v/>
      </c>
      <c r="AB87" s="639" t="inlineStr">
        <is>
          <t>---</t>
        </is>
      </c>
      <c r="AC87" s="640" t="inlineStr">
        <is>
          <t>---</t>
        </is>
      </c>
      <c r="AD87" s="216" t="n"/>
      <c r="AE87" s="153">
        <f>+BALANZA!$H$29</f>
        <v/>
      </c>
      <c r="AF87" s="638">
        <f>+AE87</f>
        <v/>
      </c>
      <c r="AG87" s="639" t="inlineStr">
        <is>
          <t>---</t>
        </is>
      </c>
      <c r="AH87" s="640" t="inlineStr">
        <is>
          <t>---</t>
        </is>
      </c>
    </row>
    <row r="88" ht="20.45" customHeight="1">
      <c r="B88" s="203" t="inlineStr">
        <is>
          <t>Certificado de Calibración</t>
        </is>
      </c>
      <c r="C88" s="151" t="inlineStr">
        <is>
          <t>g</t>
        </is>
      </c>
      <c r="D88" s="154" t="inlineStr">
        <is>
          <t>Normal, K=2</t>
        </is>
      </c>
      <c r="E88" s="152" t="n"/>
      <c r="F88" s="153">
        <f>2*(SQRT(BALANZA!$C$8+BALANZA!$D$8*(POWER(E86,2))))</f>
        <v/>
      </c>
      <c r="G88" s="638">
        <f>+F88/2</f>
        <v/>
      </c>
      <c r="H88" s="639" t="inlineStr">
        <is>
          <t>---</t>
        </is>
      </c>
      <c r="I88" s="640" t="inlineStr">
        <is>
          <t>---</t>
        </is>
      </c>
      <c r="J88" s="216" t="n"/>
      <c r="K88" s="153">
        <f>2*(SQRT(BALANZA!$C$8+BALANZA!$D$8*(POWER(J86,2))))</f>
        <v/>
      </c>
      <c r="L88" s="638">
        <f>+K88/2</f>
        <v/>
      </c>
      <c r="M88" s="639" t="inlineStr">
        <is>
          <t>---</t>
        </is>
      </c>
      <c r="N88" s="640" t="inlineStr">
        <is>
          <t>---</t>
        </is>
      </c>
      <c r="O88" s="216" t="n"/>
      <c r="P88" s="153">
        <f>2*(SQRT(BALANZA!$C$8+BALANZA!$D$8*(POWER(O86,2))))</f>
        <v/>
      </c>
      <c r="Q88" s="638">
        <f>+P88/2</f>
        <v/>
      </c>
      <c r="R88" s="639" t="inlineStr">
        <is>
          <t>---</t>
        </is>
      </c>
      <c r="S88" s="640" t="inlineStr">
        <is>
          <t>---</t>
        </is>
      </c>
      <c r="T88" s="216" t="n"/>
      <c r="U88" s="153">
        <f>2*(SQRT(BALANZA!$C$8+BALANZA!$D$8*(POWER(T86,2))))</f>
        <v/>
      </c>
      <c r="V88" s="638">
        <f>+U88/2</f>
        <v/>
      </c>
      <c r="W88" s="639" t="inlineStr">
        <is>
          <t>---</t>
        </is>
      </c>
      <c r="X88" s="640" t="inlineStr">
        <is>
          <t>---</t>
        </is>
      </c>
      <c r="Y88" s="216" t="n"/>
      <c r="Z88" s="153">
        <f>2*(SQRT(BALANZA!$C$8+BALANZA!$D$8*(POWER(Y86,2))))</f>
        <v/>
      </c>
      <c r="AA88" s="638">
        <f>+Z88/2</f>
        <v/>
      </c>
      <c r="AB88" s="639" t="inlineStr">
        <is>
          <t>---</t>
        </is>
      </c>
      <c r="AC88" s="640" t="inlineStr">
        <is>
          <t>---</t>
        </is>
      </c>
      <c r="AD88" s="216" t="n"/>
      <c r="AE88" s="153">
        <f>2*(SQRT(BALANZA!$C$8+BALANZA!$D$8*(POWER(AD86,2))))</f>
        <v/>
      </c>
      <c r="AF88" s="638">
        <f>+AE88/2</f>
        <v/>
      </c>
      <c r="AG88" s="639" t="inlineStr">
        <is>
          <t>---</t>
        </is>
      </c>
      <c r="AH88" s="640" t="inlineStr">
        <is>
          <t>---</t>
        </is>
      </c>
    </row>
    <row r="89" ht="20.45" customHeight="1">
      <c r="B89" s="203" t="inlineStr">
        <is>
          <t>Resolución</t>
        </is>
      </c>
      <c r="C89" s="151" t="inlineStr">
        <is>
          <t>g</t>
        </is>
      </c>
      <c r="D89" s="157" t="inlineStr">
        <is>
          <t>Rectangular</t>
        </is>
      </c>
      <c r="E89" s="152" t="n"/>
      <c r="F89" s="153">
        <f>+BALANZA!$C$10</f>
        <v/>
      </c>
      <c r="G89" s="638">
        <f>+F89/SQRT(3)/2</f>
        <v/>
      </c>
      <c r="H89" s="639" t="inlineStr">
        <is>
          <t>---</t>
        </is>
      </c>
      <c r="I89" s="640" t="inlineStr">
        <is>
          <t>---</t>
        </is>
      </c>
      <c r="J89" s="216" t="n"/>
      <c r="K89" s="153">
        <f>+BALANZA!$C$10</f>
        <v/>
      </c>
      <c r="L89" s="638">
        <f>+K89/SQRT(3)/2</f>
        <v/>
      </c>
      <c r="M89" s="639" t="inlineStr">
        <is>
          <t>---</t>
        </is>
      </c>
      <c r="N89" s="640" t="inlineStr">
        <is>
          <t>---</t>
        </is>
      </c>
      <c r="O89" s="216" t="n"/>
      <c r="P89" s="153">
        <f>+BALANZA!$C$10</f>
        <v/>
      </c>
      <c r="Q89" s="638">
        <f>+P89/SQRT(3)/2</f>
        <v/>
      </c>
      <c r="R89" s="639" t="inlineStr">
        <is>
          <t>---</t>
        </is>
      </c>
      <c r="S89" s="640" t="inlineStr">
        <is>
          <t>---</t>
        </is>
      </c>
      <c r="T89" s="216" t="n"/>
      <c r="U89" s="153">
        <f>+BALANZA!$C$10</f>
        <v/>
      </c>
      <c r="V89" s="638">
        <f>+U89/SQRT(3)/2</f>
        <v/>
      </c>
      <c r="W89" s="639" t="inlineStr">
        <is>
          <t>---</t>
        </is>
      </c>
      <c r="X89" s="640" t="inlineStr">
        <is>
          <t>---</t>
        </is>
      </c>
      <c r="Y89" s="216" t="n"/>
      <c r="Z89" s="153">
        <f>+BALANZA!$C$10</f>
        <v/>
      </c>
      <c r="AA89" s="638">
        <f>+Z89/SQRT(3)/2</f>
        <v/>
      </c>
      <c r="AB89" s="639" t="inlineStr">
        <is>
          <t>---</t>
        </is>
      </c>
      <c r="AC89" s="640" t="inlineStr">
        <is>
          <t>---</t>
        </is>
      </c>
      <c r="AD89" s="216" t="n"/>
      <c r="AE89" s="153">
        <f>+BALANZA!$C$10</f>
        <v/>
      </c>
      <c r="AF89" s="638">
        <f>+AE89/SQRT(3)/2</f>
        <v/>
      </c>
      <c r="AG89" s="639" t="inlineStr">
        <is>
          <t>---</t>
        </is>
      </c>
      <c r="AH89" s="640" t="inlineStr">
        <is>
          <t>---</t>
        </is>
      </c>
    </row>
    <row r="90" ht="20.45" customHeight="1">
      <c r="B90" s="201" t="inlineStr">
        <is>
          <t>Masa total</t>
        </is>
      </c>
      <c r="C90" s="145" t="inlineStr">
        <is>
          <t>g</t>
        </is>
      </c>
      <c r="D90" s="147" t="inlineStr">
        <is>
          <t>---</t>
        </is>
      </c>
      <c r="E90" s="158">
        <f>+DATOS!$D$18</f>
        <v/>
      </c>
      <c r="F90" s="145" t="n"/>
      <c r="G90" s="149">
        <f>SQRT((G91*G91)+(G92*G92)+(G93*G93))</f>
        <v/>
      </c>
      <c r="H90" s="642">
        <f>IF(E78=0,0,E78*E86*100/E82/E90/E90)</f>
        <v/>
      </c>
      <c r="I90" s="643">
        <f>+H90*G90</f>
        <v/>
      </c>
      <c r="J90" s="217">
        <f>+DATOS!$D$18</f>
        <v/>
      </c>
      <c r="K90" s="145" t="n"/>
      <c r="L90" s="149">
        <f>SQRT((L91*L91)+(L92*L92)+(L93*L93))</f>
        <v/>
      </c>
      <c r="M90" s="642">
        <f>IF(J78=0,0,J78*J86*100/J82/J90/J90)</f>
        <v/>
      </c>
      <c r="N90" s="643">
        <f>+M90*L90</f>
        <v/>
      </c>
      <c r="O90" s="217">
        <f>+DATOS!$D$18</f>
        <v/>
      </c>
      <c r="P90" s="145" t="n"/>
      <c r="Q90" s="149">
        <f>SQRT((Q91*Q91)+(Q92*Q92)+(Q93*Q93))</f>
        <v/>
      </c>
      <c r="R90" s="642">
        <f>IF(O78=0,0,O78*O86*100/O82/O90/O90)</f>
        <v/>
      </c>
      <c r="S90" s="643">
        <f>+R90*Q90</f>
        <v/>
      </c>
      <c r="T90" s="217">
        <f>+DATOS!$D$18</f>
        <v/>
      </c>
      <c r="U90" s="145" t="n"/>
      <c r="V90" s="149">
        <f>SQRT((V91*V91)+(V92*V92)+(V93*V93))</f>
        <v/>
      </c>
      <c r="W90" s="642">
        <f>IF(T78=0,0,T78*T86*100/T82/T90/T90)</f>
        <v/>
      </c>
      <c r="X90" s="643">
        <f>+W90*V90</f>
        <v/>
      </c>
      <c r="Y90" s="217">
        <f>+DATOS!$D$18</f>
        <v/>
      </c>
      <c r="Z90" s="145" t="n"/>
      <c r="AA90" s="149">
        <f>SQRT((AA91*AA91)+(AA92*AA92)+(AA93*AA93))</f>
        <v/>
      </c>
      <c r="AB90" s="642">
        <f>IF(Y78=0,0,Y78*Y86*100/Y82/Y90/Y90)</f>
        <v/>
      </c>
      <c r="AC90" s="643">
        <f>+AB90*AA90</f>
        <v/>
      </c>
      <c r="AD90" s="217">
        <f>+DATOS!$D$18</f>
        <v/>
      </c>
      <c r="AE90" s="145" t="n"/>
      <c r="AF90" s="149">
        <f>SQRT((AF91*AF91)+(AF92*AF92)+(AF93*AF93))</f>
        <v/>
      </c>
      <c r="AG90" s="642">
        <f>IF(AD78=0,0,AD78*AD86*100/AD82/AD90/AD90)</f>
        <v/>
      </c>
      <c r="AH90" s="643">
        <f>+AG90*AF90</f>
        <v/>
      </c>
    </row>
    <row r="91" ht="20.45" customHeight="1">
      <c r="B91" s="203" t="inlineStr">
        <is>
          <t>Repetibilidad de la pesada</t>
        </is>
      </c>
      <c r="C91" s="151" t="inlineStr">
        <is>
          <t>g</t>
        </is>
      </c>
      <c r="D91" s="154" t="inlineStr">
        <is>
          <t>Normal, K=1</t>
        </is>
      </c>
      <c r="E91" s="152" t="n"/>
      <c r="F91" s="153">
        <f>+BALANZA!$K$24</f>
        <v/>
      </c>
      <c r="G91" s="638">
        <f>+F91</f>
        <v/>
      </c>
      <c r="H91" s="639" t="inlineStr">
        <is>
          <t>---</t>
        </is>
      </c>
      <c r="I91" s="640" t="inlineStr">
        <is>
          <t>---</t>
        </is>
      </c>
      <c r="J91" s="216" t="n"/>
      <c r="K91" s="153">
        <f>+BALANZA!$K$24</f>
        <v/>
      </c>
      <c r="L91" s="638">
        <f>+K91</f>
        <v/>
      </c>
      <c r="M91" s="639" t="inlineStr">
        <is>
          <t>---</t>
        </is>
      </c>
      <c r="N91" s="640" t="inlineStr">
        <is>
          <t>---</t>
        </is>
      </c>
      <c r="O91" s="216" t="n"/>
      <c r="P91" s="153">
        <f>+BALANZA!$K$24</f>
        <v/>
      </c>
      <c r="Q91" s="638">
        <f>+P91</f>
        <v/>
      </c>
      <c r="R91" s="639" t="inlineStr">
        <is>
          <t>---</t>
        </is>
      </c>
      <c r="S91" s="640" t="inlineStr">
        <is>
          <t>---</t>
        </is>
      </c>
      <c r="T91" s="216" t="n"/>
      <c r="U91" s="153">
        <f>+BALANZA!$K$24</f>
        <v/>
      </c>
      <c r="V91" s="638">
        <f>+U91</f>
        <v/>
      </c>
      <c r="W91" s="639" t="inlineStr">
        <is>
          <t>---</t>
        </is>
      </c>
      <c r="X91" s="640" t="inlineStr">
        <is>
          <t>---</t>
        </is>
      </c>
      <c r="Y91" s="216" t="n"/>
      <c r="Z91" s="153">
        <f>+BALANZA!$K$24</f>
        <v/>
      </c>
      <c r="AA91" s="638">
        <f>+Z91</f>
        <v/>
      </c>
      <c r="AB91" s="639" t="inlineStr">
        <is>
          <t>---</t>
        </is>
      </c>
      <c r="AC91" s="640" t="inlineStr">
        <is>
          <t>---</t>
        </is>
      </c>
      <c r="AD91" s="216" t="n"/>
      <c r="AE91" s="153">
        <f>+BALANZA!$K$24</f>
        <v/>
      </c>
      <c r="AF91" s="638">
        <f>+AE91</f>
        <v/>
      </c>
      <c r="AG91" s="639" t="inlineStr">
        <is>
          <t>---</t>
        </is>
      </c>
      <c r="AH91" s="640" t="inlineStr">
        <is>
          <t>---</t>
        </is>
      </c>
    </row>
    <row r="92" ht="20.45" customHeight="1">
      <c r="B92" s="203" t="inlineStr">
        <is>
          <t>Certificado de Calibración</t>
        </is>
      </c>
      <c r="C92" s="151" t="inlineStr">
        <is>
          <t>g</t>
        </is>
      </c>
      <c r="D92" s="154" t="inlineStr">
        <is>
          <t>Normal, K=2</t>
        </is>
      </c>
      <c r="E92" s="152" t="n"/>
      <c r="F92" s="153">
        <f>2*(SQRT(BALANZA!$C$8+BALANZA!$D$8*(POWER(E90,2))))</f>
        <v/>
      </c>
      <c r="G92" s="638">
        <f>+F92/2</f>
        <v/>
      </c>
      <c r="H92" s="639" t="inlineStr">
        <is>
          <t>---</t>
        </is>
      </c>
      <c r="I92" s="640" t="inlineStr">
        <is>
          <t>---</t>
        </is>
      </c>
      <c r="J92" s="216" t="n"/>
      <c r="K92" s="153">
        <f>2*(SQRT(BALANZA!$C$8+BALANZA!$D$8*(POWER(J90,2))))</f>
        <v/>
      </c>
      <c r="L92" s="638">
        <f>+K92/2</f>
        <v/>
      </c>
      <c r="M92" s="639" t="inlineStr">
        <is>
          <t>---</t>
        </is>
      </c>
      <c r="N92" s="640" t="inlineStr">
        <is>
          <t>---</t>
        </is>
      </c>
      <c r="O92" s="216" t="n"/>
      <c r="P92" s="153">
        <f>2*(SQRT(BALANZA!$C$8+BALANZA!$D$8*(POWER(O90,2))))</f>
        <v/>
      </c>
      <c r="Q92" s="638">
        <f>+P92/2</f>
        <v/>
      </c>
      <c r="R92" s="639" t="inlineStr">
        <is>
          <t>---</t>
        </is>
      </c>
      <c r="S92" s="640" t="inlineStr">
        <is>
          <t>---</t>
        </is>
      </c>
      <c r="T92" s="216" t="n"/>
      <c r="U92" s="153">
        <f>2*(SQRT(BALANZA!$C$8+BALANZA!$D$8*(POWER(T90,2))))</f>
        <v/>
      </c>
      <c r="V92" s="638">
        <f>+U92/2</f>
        <v/>
      </c>
      <c r="W92" s="639" t="inlineStr">
        <is>
          <t>---</t>
        </is>
      </c>
      <c r="X92" s="640" t="inlineStr">
        <is>
          <t>---</t>
        </is>
      </c>
      <c r="Y92" s="216" t="n"/>
      <c r="Z92" s="153">
        <f>2*(SQRT(BALANZA!$C$8+BALANZA!$D$8*(POWER(Y90,2))))</f>
        <v/>
      </c>
      <c r="AA92" s="638">
        <f>+Z92/2</f>
        <v/>
      </c>
      <c r="AB92" s="639" t="inlineStr">
        <is>
          <t>---</t>
        </is>
      </c>
      <c r="AC92" s="640" t="inlineStr">
        <is>
          <t>---</t>
        </is>
      </c>
      <c r="AD92" s="216" t="n"/>
      <c r="AE92" s="153">
        <f>2*(SQRT(BALANZA!$C$8+BALANZA!$D$8*(POWER(AD90,2))))</f>
        <v/>
      </c>
      <c r="AF92" s="638">
        <f>+AE92/2</f>
        <v/>
      </c>
      <c r="AG92" s="639" t="inlineStr">
        <is>
          <t>---</t>
        </is>
      </c>
      <c r="AH92" s="640" t="inlineStr">
        <is>
          <t>---</t>
        </is>
      </c>
    </row>
    <row r="93" ht="20.45" customHeight="1" thickBot="1">
      <c r="B93" s="206" t="inlineStr">
        <is>
          <t>Resolución</t>
        </is>
      </c>
      <c r="C93" s="207" t="inlineStr">
        <is>
          <t>g</t>
        </is>
      </c>
      <c r="D93" s="208" t="inlineStr">
        <is>
          <t>Rectangular</t>
        </is>
      </c>
      <c r="E93" s="209" t="n"/>
      <c r="F93" s="210">
        <f>+BALANZA!$C$10</f>
        <v/>
      </c>
      <c r="G93" s="645">
        <f>+F93/SQRT(3)/2</f>
        <v/>
      </c>
      <c r="H93" s="646" t="inlineStr">
        <is>
          <t>---</t>
        </is>
      </c>
      <c r="I93" s="647" t="inlineStr">
        <is>
          <t>---</t>
        </is>
      </c>
      <c r="J93" s="218" t="n"/>
      <c r="K93" s="210">
        <f>+BALANZA!$C$10</f>
        <v/>
      </c>
      <c r="L93" s="645">
        <f>+K93/SQRT(3)/2</f>
        <v/>
      </c>
      <c r="M93" s="646" t="inlineStr">
        <is>
          <t>---</t>
        </is>
      </c>
      <c r="N93" s="647" t="inlineStr">
        <is>
          <t>---</t>
        </is>
      </c>
      <c r="O93" s="218" t="n"/>
      <c r="P93" s="210">
        <f>+BALANZA!$C$10</f>
        <v/>
      </c>
      <c r="Q93" s="645">
        <f>+P93/SQRT(3)/2</f>
        <v/>
      </c>
      <c r="R93" s="646" t="inlineStr">
        <is>
          <t>---</t>
        </is>
      </c>
      <c r="S93" s="647" t="inlineStr">
        <is>
          <t>---</t>
        </is>
      </c>
      <c r="T93" s="218" t="n"/>
      <c r="U93" s="210">
        <f>+BALANZA!$C$10</f>
        <v/>
      </c>
      <c r="V93" s="645">
        <f>+U93/SQRT(3)/2</f>
        <v/>
      </c>
      <c r="W93" s="646" t="inlineStr">
        <is>
          <t>---</t>
        </is>
      </c>
      <c r="X93" s="647" t="inlineStr">
        <is>
          <t>---</t>
        </is>
      </c>
      <c r="Y93" s="218" t="n"/>
      <c r="Z93" s="210">
        <f>+BALANZA!$C$10</f>
        <v/>
      </c>
      <c r="AA93" s="645">
        <f>+Z93/SQRT(3)/2</f>
        <v/>
      </c>
      <c r="AB93" s="646" t="inlineStr">
        <is>
          <t>---</t>
        </is>
      </c>
      <c r="AC93" s="647" t="inlineStr">
        <is>
          <t>---</t>
        </is>
      </c>
      <c r="AD93" s="218" t="n"/>
      <c r="AE93" s="210">
        <f>+BALANZA!$C$10</f>
        <v/>
      </c>
      <c r="AF93" s="645">
        <f>+AE93/SQRT(3)/2</f>
        <v/>
      </c>
      <c r="AG93" s="646" t="inlineStr">
        <is>
          <t>---</t>
        </is>
      </c>
      <c r="AH93" s="647" t="inlineStr">
        <is>
          <t>---</t>
        </is>
      </c>
    </row>
    <row r="94" ht="6.6" customHeight="1">
      <c r="B94" s="190" t="n"/>
      <c r="C94" s="191" t="n"/>
      <c r="D94" s="192" t="n"/>
      <c r="E94" s="193" t="n"/>
      <c r="F94" s="194" t="n"/>
      <c r="G94" s="648" t="n"/>
      <c r="H94" s="649" t="n"/>
      <c r="I94" s="649" t="n"/>
      <c r="J94" s="226" t="n"/>
      <c r="K94" s="227" t="n"/>
      <c r="L94" s="650" t="n"/>
      <c r="M94" s="651" t="n"/>
      <c r="N94" s="651" t="n"/>
      <c r="O94" s="226" t="n"/>
      <c r="P94" s="227" t="n"/>
      <c r="Q94" s="650" t="n"/>
      <c r="R94" s="651" t="n"/>
      <c r="S94" s="651" t="n"/>
      <c r="T94" s="226" t="n"/>
      <c r="U94" s="227" t="n"/>
      <c r="V94" s="650" t="n"/>
      <c r="W94" s="651" t="n"/>
      <c r="X94" s="651" t="n"/>
      <c r="Y94" s="226" t="n"/>
      <c r="Z94" s="227" t="n"/>
      <c r="AA94" s="650" t="n"/>
      <c r="AB94" s="651" t="n"/>
      <c r="AC94" s="651" t="n"/>
      <c r="AD94" s="226" t="n"/>
      <c r="AE94" s="227" t="n"/>
      <c r="AF94" s="650" t="n"/>
      <c r="AG94" s="651" t="n"/>
      <c r="AH94" s="651" t="n"/>
    </row>
    <row r="95" ht="20.45" customHeight="1">
      <c r="B95" s="219" t="inlineStr">
        <is>
          <t xml:space="preserve">factor de presición </t>
        </is>
      </c>
      <c r="C95" s="112" t="inlineStr">
        <is>
          <t>%</t>
        </is>
      </c>
      <c r="D95" s="113" t="inlineStr">
        <is>
          <t>Norma, K=1</t>
        </is>
      </c>
      <c r="E95" s="652">
        <f>+PRECISION!N7</f>
        <v/>
      </c>
      <c r="F95" s="652" t="n"/>
      <c r="G95" s="652">
        <f>E95/SQRT(1)</f>
        <v/>
      </c>
      <c r="H95" s="653" t="n">
        <v>1</v>
      </c>
      <c r="I95" s="652">
        <f>+G95*H95</f>
        <v/>
      </c>
      <c r="J95" s="110" t="n"/>
      <c r="K95" s="173" t="n"/>
      <c r="L95" s="173" t="n"/>
      <c r="M95" s="173" t="n"/>
      <c r="N95" s="173" t="n"/>
      <c r="O95" s="173" t="n"/>
      <c r="P95" s="654" t="n"/>
      <c r="Q95" s="654" t="n"/>
      <c r="R95" s="110" t="n"/>
      <c r="S95" s="654" t="n"/>
      <c r="T95" s="173" t="n"/>
      <c r="U95" s="173" t="n"/>
      <c r="V95" s="173" t="n"/>
      <c r="W95" s="173" t="n"/>
      <c r="X95" s="173" t="n"/>
      <c r="Y95" s="173" t="n"/>
      <c r="Z95" s="173" t="n"/>
      <c r="AA95" s="173" t="n"/>
      <c r="AB95" s="173" t="n"/>
      <c r="AC95" s="173" t="n"/>
      <c r="AD95" s="173" t="n"/>
      <c r="AE95" s="173" t="n"/>
      <c r="AF95" s="173" t="n"/>
      <c r="AG95" s="173" t="n"/>
      <c r="AH95" s="173" t="n"/>
    </row>
    <row r="96" ht="20.45" customHeight="1">
      <c r="B96" s="115" t="inlineStr">
        <is>
          <t xml:space="preserve">Incertidumbre Estándar Combinada </t>
        </is>
      </c>
      <c r="C96" s="116" t="n"/>
      <c r="D96" s="116" t="n"/>
      <c r="E96" s="117" t="n"/>
      <c r="F96" s="117" t="n"/>
      <c r="G96" s="117" t="n"/>
      <c r="H96" s="118" t="inlineStr">
        <is>
          <t>%</t>
        </is>
      </c>
      <c r="I96" s="119">
        <f>SQRT(I95^2+I78^2+I82^2+I86^2+I90^2+N78^2+N82^2+N86^2+S78^2+S82^2+S86^2+X78^2+X82^2+X86^2+AC78^2+AC82^2+AC86^2+AH78^2+AH82^2+AH86^2)</f>
        <v/>
      </c>
      <c r="J96" s="110" t="n"/>
      <c r="K96" s="173" t="n"/>
      <c r="L96" s="173" t="n"/>
      <c r="M96" s="173" t="n"/>
      <c r="N96" s="173" t="n"/>
      <c r="O96" s="173" t="n"/>
      <c r="P96" s="107" t="n"/>
      <c r="Q96" s="107" t="n"/>
      <c r="R96" s="110" t="n"/>
      <c r="S96" s="107" t="n"/>
      <c r="T96" s="173" t="n"/>
      <c r="U96" s="173" t="n"/>
      <c r="V96" s="173" t="n"/>
      <c r="W96" s="173" t="n"/>
      <c r="X96" s="173" t="n"/>
      <c r="Y96" s="173" t="n"/>
      <c r="Z96" s="173" t="n"/>
      <c r="AA96" s="173" t="n"/>
      <c r="AB96" s="173" t="n"/>
      <c r="AC96" s="173" t="n"/>
      <c r="AD96" s="173" t="n"/>
      <c r="AE96" s="173" t="n"/>
      <c r="AF96" s="173" t="n"/>
      <c r="AG96" s="173" t="n"/>
      <c r="AH96" s="173" t="n"/>
    </row>
    <row r="97" ht="20.45" customHeight="1">
      <c r="B97" s="115" t="inlineStr">
        <is>
          <t>Incertidumbre Expandida, K = 2</t>
        </is>
      </c>
      <c r="C97" s="120" t="n"/>
      <c r="D97" s="120" t="n"/>
      <c r="E97" s="120" t="n"/>
      <c r="F97" s="116" t="n"/>
      <c r="G97" s="116" t="n"/>
      <c r="H97" s="121" t="inlineStr">
        <is>
          <t>%</t>
        </is>
      </c>
      <c r="I97" s="230">
        <f>+I96*2</f>
        <v/>
      </c>
      <c r="J97" s="108" t="n"/>
      <c r="K97" s="173" t="n"/>
      <c r="L97" s="173" t="n"/>
      <c r="M97" s="173" t="n"/>
      <c r="N97" s="173" t="n"/>
      <c r="O97" s="173" t="n"/>
      <c r="P97" s="108" t="n"/>
      <c r="Q97" s="108" t="n"/>
      <c r="R97" s="108" t="n"/>
      <c r="S97" s="108" t="n"/>
      <c r="T97" s="173" t="n"/>
      <c r="U97" s="173" t="n"/>
      <c r="V97" s="173" t="n"/>
      <c r="W97" s="173" t="n"/>
      <c r="X97" s="173" t="n"/>
      <c r="Y97" s="173" t="n"/>
      <c r="Z97" s="173" t="n"/>
      <c r="AA97" s="173" t="n"/>
      <c r="AB97" s="173" t="n"/>
      <c r="AC97" s="173" t="n"/>
      <c r="AD97" s="173" t="n"/>
      <c r="AE97" s="173" t="n"/>
      <c r="AF97" s="173" t="n"/>
      <c r="AG97" s="173" t="n"/>
      <c r="AH97" s="173" t="n"/>
    </row>
    <row r="98" ht="12.75" customHeight="1"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173" t="n"/>
      <c r="U98" s="173" t="n"/>
      <c r="V98" s="173" t="n"/>
      <c r="W98" s="173" t="n"/>
      <c r="X98" s="173" t="n"/>
      <c r="Y98" s="173" t="n"/>
      <c r="Z98" s="173" t="n"/>
      <c r="AA98" s="173" t="n"/>
      <c r="AB98" s="173" t="n"/>
      <c r="AC98" s="173" t="n"/>
      <c r="AD98" s="173" t="n"/>
      <c r="AE98" s="173" t="n"/>
      <c r="AF98" s="173" t="n"/>
      <c r="AG98" s="173" t="n"/>
      <c r="AH98" s="173" t="n"/>
    </row>
    <row r="99" ht="12.75" customHeight="1" thickBot="1">
      <c r="B99" s="103" t="inlineStr">
        <is>
          <t>CÁLCULO:  PORCENTAJE DE PARTICULAS NI PLANAS NI ALARGADAS</t>
        </is>
      </c>
      <c r="C99" s="104" t="n"/>
      <c r="D99" s="104" t="n"/>
      <c r="E99" s="104" t="n"/>
      <c r="F99" s="105" t="n"/>
      <c r="G99" s="104" t="n"/>
      <c r="H99" s="104" t="n"/>
      <c r="I99" s="104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</row>
    <row r="100" ht="20.45" customHeight="1">
      <c r="B100" s="499" t="inlineStr">
        <is>
          <t>Tamaño de tamiz 1 1/2</t>
        </is>
      </c>
      <c r="C100" s="632" t="n"/>
      <c r="D100" s="632" t="n"/>
      <c r="E100" s="632" t="n"/>
      <c r="F100" s="632" t="n"/>
      <c r="G100" s="632" t="n"/>
      <c r="H100" s="632" t="n"/>
      <c r="I100" s="633" t="n"/>
      <c r="J100" s="499" t="inlineStr">
        <is>
          <t>Tamaño de tamiz 1</t>
        </is>
      </c>
      <c r="K100" s="632" t="n"/>
      <c r="L100" s="632" t="n"/>
      <c r="M100" s="632" t="n"/>
      <c r="N100" s="633" t="n"/>
      <c r="O100" s="499" t="inlineStr">
        <is>
          <t>Tamaño de tamiz 3/4</t>
        </is>
      </c>
      <c r="P100" s="632" t="n"/>
      <c r="Q100" s="632" t="n"/>
      <c r="R100" s="632" t="n"/>
      <c r="S100" s="633" t="n"/>
      <c r="T100" s="499" t="inlineStr">
        <is>
          <t>Tamaño de tamiz 1/2</t>
        </is>
      </c>
      <c r="U100" s="632" t="n"/>
      <c r="V100" s="632" t="n"/>
      <c r="W100" s="632" t="n"/>
      <c r="X100" s="633" t="n"/>
      <c r="Y100" s="499" t="inlineStr">
        <is>
          <t>Tamaño de tamiz 3/8</t>
        </is>
      </c>
      <c r="Z100" s="632" t="n"/>
      <c r="AA100" s="632" t="n"/>
      <c r="AB100" s="632" t="n"/>
      <c r="AC100" s="633" t="n"/>
      <c r="AD100" s="499" t="inlineStr">
        <is>
          <t>Tamaño de tamiz No 4</t>
        </is>
      </c>
      <c r="AE100" s="632" t="n"/>
      <c r="AF100" s="632" t="n"/>
      <c r="AG100" s="632" t="n"/>
      <c r="AH100" s="633" t="n"/>
      <c r="AJ100" s="502" t="inlineStr">
        <is>
          <t>CONTRIBUCION</t>
        </is>
      </c>
      <c r="AK100" s="547" t="n"/>
      <c r="AL100" s="548" t="n"/>
    </row>
    <row r="101" ht="33" customHeight="1">
      <c r="B101" s="197" t="inlineStr">
        <is>
          <t>Fuentes</t>
        </is>
      </c>
      <c r="C101" s="189" t="inlineStr">
        <is>
          <t>Unidades</t>
        </is>
      </c>
      <c r="D101" s="189" t="inlineStr">
        <is>
          <t>Distribución</t>
        </is>
      </c>
      <c r="E101" s="188" t="inlineStr">
        <is>
          <t>Valor</t>
        </is>
      </c>
      <c r="F101" s="189" t="inlineStr">
        <is>
          <t>Incertidumbre Original</t>
        </is>
      </c>
      <c r="G101" s="189" t="inlineStr">
        <is>
          <t>Incertidumbre Estándar u(xi)</t>
        </is>
      </c>
      <c r="H101" s="189" t="inlineStr">
        <is>
          <t>Coeficiente de Sensibilidad</t>
        </is>
      </c>
      <c r="I101" s="198" t="inlineStr">
        <is>
          <t>Contribución ui(y)</t>
        </is>
      </c>
      <c r="J101" s="197" t="inlineStr">
        <is>
          <t>Valor</t>
        </is>
      </c>
      <c r="K101" s="189" t="inlineStr">
        <is>
          <t>Incertidumbre Original</t>
        </is>
      </c>
      <c r="L101" s="189" t="inlineStr">
        <is>
          <t>Incertidumbre Estándar u(xi)</t>
        </is>
      </c>
      <c r="M101" s="189" t="inlineStr">
        <is>
          <t>Coeficiente de Sensibilidad</t>
        </is>
      </c>
      <c r="N101" s="198" t="inlineStr">
        <is>
          <t>Contribución ui(y)</t>
        </is>
      </c>
      <c r="O101" s="197" t="inlineStr">
        <is>
          <t>Valor</t>
        </is>
      </c>
      <c r="P101" s="189" t="inlineStr">
        <is>
          <t>Incertidumbre Original</t>
        </is>
      </c>
      <c r="Q101" s="189" t="inlineStr">
        <is>
          <t>Incertidumbre Estándar u(xi)</t>
        </is>
      </c>
      <c r="R101" s="189" t="inlineStr">
        <is>
          <t>Coeficiente de Sensibilidad</t>
        </is>
      </c>
      <c r="S101" s="198" t="inlineStr">
        <is>
          <t>Contribución ui(y)</t>
        </is>
      </c>
      <c r="T101" s="197" t="inlineStr">
        <is>
          <t>Valor</t>
        </is>
      </c>
      <c r="U101" s="189" t="inlineStr">
        <is>
          <t>Incertidumbre Original</t>
        </is>
      </c>
      <c r="V101" s="189" t="inlineStr">
        <is>
          <t>Incertidumbre Estándar u(xi)</t>
        </is>
      </c>
      <c r="W101" s="189" t="inlineStr">
        <is>
          <t>Coeficiente de Sensibilidad</t>
        </is>
      </c>
      <c r="X101" s="198" t="inlineStr">
        <is>
          <t>Contribución ui(y)</t>
        </is>
      </c>
      <c r="Y101" s="197" t="inlineStr">
        <is>
          <t>Valor</t>
        </is>
      </c>
      <c r="Z101" s="189" t="inlineStr">
        <is>
          <t>Incertidumbre Original</t>
        </is>
      </c>
      <c r="AA101" s="189" t="inlineStr">
        <is>
          <t>Incertidumbre Estándar u(xi)</t>
        </is>
      </c>
      <c r="AB101" s="189" t="inlineStr">
        <is>
          <t>Coeficiente de Sensibilidad</t>
        </is>
      </c>
      <c r="AC101" s="198" t="inlineStr">
        <is>
          <t>Contribución ui(y)</t>
        </is>
      </c>
      <c r="AD101" s="197" t="inlineStr">
        <is>
          <t>Valor</t>
        </is>
      </c>
      <c r="AE101" s="189" t="inlineStr">
        <is>
          <t>Incertidumbre Original</t>
        </is>
      </c>
      <c r="AF101" s="189" t="inlineStr">
        <is>
          <t>Incertidumbre Estándar u(xi)</t>
        </is>
      </c>
      <c r="AG101" s="189" t="inlineStr">
        <is>
          <t>Coeficiente de Sensibilidad</t>
        </is>
      </c>
      <c r="AH101" s="198" t="inlineStr">
        <is>
          <t>Contribución ui(y)</t>
        </is>
      </c>
      <c r="AJ101" s="186" t="inlineStr">
        <is>
          <t>Factor de influencia</t>
        </is>
      </c>
      <c r="AK101" s="502" t="inlineStr">
        <is>
          <t>valor</t>
        </is>
      </c>
      <c r="AL101" s="502" t="inlineStr">
        <is>
          <t>%</t>
        </is>
      </c>
    </row>
    <row r="102" ht="20.45" customHeight="1">
      <c r="B102" s="199" t="n"/>
      <c r="C102" s="143" t="n"/>
      <c r="D102" s="144" t="inlineStr">
        <is>
          <t>---</t>
        </is>
      </c>
      <c r="E102" s="172">
        <f>IF(E103=0,"--",(E103*E111*100*1/E107/E115))</f>
        <v/>
      </c>
      <c r="F102" s="144" t="inlineStr">
        <is>
          <t>---</t>
        </is>
      </c>
      <c r="G102" s="144" t="inlineStr">
        <is>
          <t>---</t>
        </is>
      </c>
      <c r="H102" s="144" t="inlineStr">
        <is>
          <t>---</t>
        </is>
      </c>
      <c r="I102" s="200" t="inlineStr">
        <is>
          <t>---</t>
        </is>
      </c>
      <c r="J102" s="214">
        <f>IF(J103=0,"--",(J103*J111*100*1/J107/J115))</f>
        <v/>
      </c>
      <c r="K102" s="144" t="inlineStr">
        <is>
          <t>---</t>
        </is>
      </c>
      <c r="L102" s="144" t="inlineStr">
        <is>
          <t>---</t>
        </is>
      </c>
      <c r="M102" s="144" t="inlineStr">
        <is>
          <t>---</t>
        </is>
      </c>
      <c r="N102" s="200" t="inlineStr">
        <is>
          <t>---</t>
        </is>
      </c>
      <c r="O102" s="214">
        <f>IF(O103=0,"--",(O103*O111*100*1/O107/O115))</f>
        <v/>
      </c>
      <c r="P102" s="144" t="inlineStr">
        <is>
          <t>---</t>
        </is>
      </c>
      <c r="Q102" s="144" t="inlineStr">
        <is>
          <t>---</t>
        </is>
      </c>
      <c r="R102" s="144" t="inlineStr">
        <is>
          <t>---</t>
        </is>
      </c>
      <c r="S102" s="200" t="inlineStr">
        <is>
          <t>---</t>
        </is>
      </c>
      <c r="T102" s="214">
        <f>IF(T103=0,"--",(T103*T111*100*1/T107/T115))</f>
        <v/>
      </c>
      <c r="U102" s="144" t="inlineStr">
        <is>
          <t>---</t>
        </is>
      </c>
      <c r="V102" s="144" t="inlineStr">
        <is>
          <t>---</t>
        </is>
      </c>
      <c r="W102" s="144" t="inlineStr">
        <is>
          <t>---</t>
        </is>
      </c>
      <c r="X102" s="200" t="inlineStr">
        <is>
          <t>---</t>
        </is>
      </c>
      <c r="Y102" s="214">
        <f>IF(Y103=0,"--",(Y103*Y111*100*1/Y107/Y115))</f>
        <v/>
      </c>
      <c r="Z102" s="144" t="inlineStr">
        <is>
          <t>---</t>
        </is>
      </c>
      <c r="AA102" s="144" t="inlineStr">
        <is>
          <t>---</t>
        </is>
      </c>
      <c r="AB102" s="144" t="inlineStr">
        <is>
          <t>---</t>
        </is>
      </c>
      <c r="AC102" s="200" t="inlineStr">
        <is>
          <t>---</t>
        </is>
      </c>
      <c r="AD102" s="214">
        <f>IF(AD103=0,"--",(AD103*AD111*100*1/AD107/AD115))</f>
        <v/>
      </c>
      <c r="AE102" s="144" t="inlineStr">
        <is>
          <t>---</t>
        </is>
      </c>
      <c r="AF102" s="144" t="inlineStr">
        <is>
          <t>---</t>
        </is>
      </c>
      <c r="AG102" s="144" t="inlineStr">
        <is>
          <t>---</t>
        </is>
      </c>
      <c r="AH102" s="200" t="inlineStr">
        <is>
          <t>---</t>
        </is>
      </c>
      <c r="AJ102" s="221">
        <f>+B103</f>
        <v/>
      </c>
      <c r="AK102" s="634">
        <f>+N103</f>
        <v/>
      </c>
      <c r="AL102" s="635">
        <f>+AK102/$AK$32</f>
        <v/>
      </c>
    </row>
    <row r="103" ht="20.45" customHeight="1">
      <c r="B103" s="201" t="inlineStr">
        <is>
          <t>Masa partícula</t>
        </is>
      </c>
      <c r="C103" s="145" t="inlineStr">
        <is>
          <t>g</t>
        </is>
      </c>
      <c r="D103" s="148" t="inlineStr">
        <is>
          <t>---</t>
        </is>
      </c>
      <c r="E103" s="146">
        <f>+DATOS!AA12</f>
        <v/>
      </c>
      <c r="F103" s="147" t="inlineStr">
        <is>
          <t>---</t>
        </is>
      </c>
      <c r="G103" s="149">
        <f>SQRT((G104*G104)+(G105*G105)+(G106*G106))</f>
        <v/>
      </c>
      <c r="H103" s="636">
        <f>IF(E103=0,0,E111*100/E107/E115)</f>
        <v/>
      </c>
      <c r="I103" s="220">
        <f>+H103*G103</f>
        <v/>
      </c>
      <c r="J103" s="215">
        <f>+DATOS!AA13</f>
        <v/>
      </c>
      <c r="K103" s="147" t="inlineStr">
        <is>
          <t>---</t>
        </is>
      </c>
      <c r="L103" s="149">
        <f>SQRT((L104*L104)+(L105*L105)+(L106*L106))</f>
        <v/>
      </c>
      <c r="M103" s="636">
        <f>IF(J103=0,0,J111*100/J107/J115)</f>
        <v/>
      </c>
      <c r="N103" s="637">
        <f>+M103*L103</f>
        <v/>
      </c>
      <c r="O103" s="215">
        <f>+DATOS!AA14</f>
        <v/>
      </c>
      <c r="P103" s="147" t="inlineStr">
        <is>
          <t>---</t>
        </is>
      </c>
      <c r="Q103" s="149">
        <f>SQRT((Q104*Q104)+(Q105*Q105)+(Q106*Q106))</f>
        <v/>
      </c>
      <c r="R103" s="636">
        <f>IF(O103=0,0,O111*100/O107/O115)</f>
        <v/>
      </c>
      <c r="S103" s="637">
        <f>+R103*Q103</f>
        <v/>
      </c>
      <c r="T103" s="215">
        <f>+DATOS!AA15</f>
        <v/>
      </c>
      <c r="U103" s="147" t="inlineStr">
        <is>
          <t>---</t>
        </is>
      </c>
      <c r="V103" s="149">
        <f>SQRT((V104*V104)+(V105*V105)+(V106*V106))</f>
        <v/>
      </c>
      <c r="W103" s="636">
        <f>IF(T103=0,0,T111*100/T107/T115)</f>
        <v/>
      </c>
      <c r="X103" s="637">
        <f>+W103*V103</f>
        <v/>
      </c>
      <c r="Y103" s="215">
        <f>+DATOS!AA16</f>
        <v/>
      </c>
      <c r="Z103" s="147" t="inlineStr">
        <is>
          <t>---</t>
        </is>
      </c>
      <c r="AA103" s="149">
        <f>SQRT((AA104*AA104)+(AA105*AA105)+(AA106*AA106))</f>
        <v/>
      </c>
      <c r="AB103" s="636">
        <f>IF(Y103=0,0,Y111*100/Y107/Y115)</f>
        <v/>
      </c>
      <c r="AC103" s="637">
        <f>+AB103*AA103</f>
        <v/>
      </c>
      <c r="AD103" s="215">
        <f>+DATOS!AA17</f>
        <v/>
      </c>
      <c r="AE103" s="147" t="inlineStr">
        <is>
          <t>---</t>
        </is>
      </c>
      <c r="AF103" s="149">
        <f>SQRT((AF104*AF104)+(AF105*AF105)+(AF106*AF106))</f>
        <v/>
      </c>
      <c r="AG103" s="636">
        <f>IF(AD103=0,0,AD111*100/AD107/AD115)</f>
        <v/>
      </c>
      <c r="AH103" s="637">
        <f>+AG103*AF103</f>
        <v/>
      </c>
      <c r="AJ103" s="221">
        <f>+B107</f>
        <v/>
      </c>
      <c r="AK103" s="634">
        <f>+N107</f>
        <v/>
      </c>
      <c r="AL103" s="635">
        <f>+AK103/$AK$32</f>
        <v/>
      </c>
    </row>
    <row r="104" ht="20.45" customHeight="1">
      <c r="B104" s="203" t="inlineStr">
        <is>
          <t>Repetibilidad de la pesada</t>
        </is>
      </c>
      <c r="C104" s="151" t="inlineStr">
        <is>
          <t>g</t>
        </is>
      </c>
      <c r="D104" s="154" t="inlineStr">
        <is>
          <t>Normal, K=1</t>
        </is>
      </c>
      <c r="E104" s="152" t="n"/>
      <c r="F104" s="153">
        <f>+BALANZA!D51</f>
        <v/>
      </c>
      <c r="G104" s="638">
        <f>+F104</f>
        <v/>
      </c>
      <c r="H104" s="639" t="inlineStr">
        <is>
          <t>---</t>
        </is>
      </c>
      <c r="I104" s="640" t="inlineStr">
        <is>
          <t>---</t>
        </is>
      </c>
      <c r="J104" s="216" t="n"/>
      <c r="K104" s="153">
        <f>+BALANZA!D52</f>
        <v/>
      </c>
      <c r="L104" s="638">
        <f>+K104</f>
        <v/>
      </c>
      <c r="M104" s="639" t="inlineStr">
        <is>
          <t>---</t>
        </is>
      </c>
      <c r="N104" s="640" t="inlineStr">
        <is>
          <t>---</t>
        </is>
      </c>
      <c r="O104" s="216" t="n"/>
      <c r="P104" s="153">
        <f>+BALANZA!D53</f>
        <v/>
      </c>
      <c r="Q104" s="638">
        <f>+P104</f>
        <v/>
      </c>
      <c r="R104" s="639" t="inlineStr">
        <is>
          <t>---</t>
        </is>
      </c>
      <c r="S104" s="640" t="inlineStr">
        <is>
          <t>---</t>
        </is>
      </c>
      <c r="T104" s="216" t="n"/>
      <c r="U104" s="153">
        <f>+BALANZA!D54</f>
        <v/>
      </c>
      <c r="V104" s="638">
        <f>+U104</f>
        <v/>
      </c>
      <c r="W104" s="639" t="inlineStr">
        <is>
          <t>---</t>
        </is>
      </c>
      <c r="X104" s="640" t="inlineStr">
        <is>
          <t>---</t>
        </is>
      </c>
      <c r="Y104" s="216" t="n"/>
      <c r="Z104" s="153">
        <f>+BALANZA!D55</f>
        <v/>
      </c>
      <c r="AA104" s="638">
        <f>+Z104</f>
        <v/>
      </c>
      <c r="AB104" s="639" t="inlineStr">
        <is>
          <t>---</t>
        </is>
      </c>
      <c r="AC104" s="640" t="inlineStr">
        <is>
          <t>---</t>
        </is>
      </c>
      <c r="AD104" s="216" t="n"/>
      <c r="AE104" s="153">
        <f>+BALANZA!D56</f>
        <v/>
      </c>
      <c r="AF104" s="638">
        <f>+AE104</f>
        <v/>
      </c>
      <c r="AG104" s="639" t="inlineStr">
        <is>
          <t>---</t>
        </is>
      </c>
      <c r="AH104" s="640" t="inlineStr">
        <is>
          <t>---</t>
        </is>
      </c>
      <c r="AJ104" s="222">
        <f>+B111</f>
        <v/>
      </c>
      <c r="AK104" s="641">
        <f>+N111</f>
        <v/>
      </c>
      <c r="AL104" s="635">
        <f>+AK104/$AK$32</f>
        <v/>
      </c>
    </row>
    <row r="105" ht="20.45" customHeight="1">
      <c r="B105" s="203" t="inlineStr">
        <is>
          <t>Certificado de Calibración</t>
        </is>
      </c>
      <c r="C105" s="151" t="inlineStr">
        <is>
          <t>g</t>
        </is>
      </c>
      <c r="D105" s="154" t="inlineStr">
        <is>
          <t>Normal, K=2</t>
        </is>
      </c>
      <c r="E105" s="152" t="n"/>
      <c r="F105" s="153">
        <f>2*(SQRT(BALANZA!$C$8+BALANZA!$D$8*(POWER(E103,2))))</f>
        <v/>
      </c>
      <c r="G105" s="638">
        <f>+F105/2</f>
        <v/>
      </c>
      <c r="H105" s="639" t="inlineStr">
        <is>
          <t>---</t>
        </is>
      </c>
      <c r="I105" s="640" t="inlineStr">
        <is>
          <t>---</t>
        </is>
      </c>
      <c r="J105" s="216" t="n"/>
      <c r="K105" s="153">
        <f>2*(SQRT(BALANZA!$C$8+BALANZA!$D$8*(POWER(J103,2))))</f>
        <v/>
      </c>
      <c r="L105" s="638">
        <f>+K105/2</f>
        <v/>
      </c>
      <c r="M105" s="639" t="inlineStr">
        <is>
          <t>---</t>
        </is>
      </c>
      <c r="N105" s="640" t="inlineStr">
        <is>
          <t>---</t>
        </is>
      </c>
      <c r="O105" s="216" t="n"/>
      <c r="P105" s="153">
        <f>2*(SQRT(BALANZA!$C$8+BALANZA!$D$8*(POWER(O103,2))))</f>
        <v/>
      </c>
      <c r="Q105" s="638">
        <f>+P105/2</f>
        <v/>
      </c>
      <c r="R105" s="639" t="inlineStr">
        <is>
          <t>---</t>
        </is>
      </c>
      <c r="S105" s="640" t="inlineStr">
        <is>
          <t>---</t>
        </is>
      </c>
      <c r="T105" s="216" t="n"/>
      <c r="U105" s="153">
        <f>2*(SQRT(BALANZA!$C$8+BALANZA!$D$8*(POWER(T103,2))))</f>
        <v/>
      </c>
      <c r="V105" s="638">
        <f>+U105/2</f>
        <v/>
      </c>
      <c r="W105" s="639" t="inlineStr">
        <is>
          <t>---</t>
        </is>
      </c>
      <c r="X105" s="640" t="inlineStr">
        <is>
          <t>---</t>
        </is>
      </c>
      <c r="Y105" s="216" t="n"/>
      <c r="Z105" s="153">
        <f>2*(SQRT(BALANZA!$C$8+BALANZA!$D$8*(POWER(Y103,2))))</f>
        <v/>
      </c>
      <c r="AA105" s="638">
        <f>+Z105/2</f>
        <v/>
      </c>
      <c r="AB105" s="639" t="inlineStr">
        <is>
          <t>---</t>
        </is>
      </c>
      <c r="AC105" s="640" t="inlineStr">
        <is>
          <t>---</t>
        </is>
      </c>
      <c r="AD105" s="216" t="n"/>
      <c r="AE105" s="153">
        <f>2*(SQRT(BALANZA!$C$8+BALANZA!$D$8*(POWER(AD103,2))))</f>
        <v/>
      </c>
      <c r="AF105" s="638">
        <f>+AE105/2</f>
        <v/>
      </c>
      <c r="AG105" s="639" t="inlineStr">
        <is>
          <t>---</t>
        </is>
      </c>
      <c r="AH105" s="640" t="inlineStr">
        <is>
          <t>---</t>
        </is>
      </c>
      <c r="AJ105" s="222">
        <f>+B115</f>
        <v/>
      </c>
      <c r="AK105" s="641">
        <f>+N115</f>
        <v/>
      </c>
      <c r="AL105" s="635">
        <f>+AK105/$AK$32</f>
        <v/>
      </c>
    </row>
    <row r="106" ht="20.45" customHeight="1">
      <c r="B106" s="203" t="inlineStr">
        <is>
          <t>Resolución</t>
        </is>
      </c>
      <c r="C106" s="151" t="inlineStr">
        <is>
          <t>g</t>
        </is>
      </c>
      <c r="D106" s="157" t="inlineStr">
        <is>
          <t>Rectangular</t>
        </is>
      </c>
      <c r="E106" s="152" t="n"/>
      <c r="F106" s="153">
        <f>+BALANZA!$C$10</f>
        <v/>
      </c>
      <c r="G106" s="638">
        <f>+F106/SQRT(3)/2</f>
        <v/>
      </c>
      <c r="H106" s="639" t="inlineStr">
        <is>
          <t>---</t>
        </is>
      </c>
      <c r="I106" s="640" t="inlineStr">
        <is>
          <t>---</t>
        </is>
      </c>
      <c r="J106" s="216" t="n"/>
      <c r="K106" s="153">
        <f>+BALANZA!$C$10</f>
        <v/>
      </c>
      <c r="L106" s="638">
        <f>+K106/SQRT(3)/2</f>
        <v/>
      </c>
      <c r="M106" s="639" t="inlineStr">
        <is>
          <t>---</t>
        </is>
      </c>
      <c r="N106" s="640" t="inlineStr">
        <is>
          <t>---</t>
        </is>
      </c>
      <c r="O106" s="216" t="n"/>
      <c r="P106" s="153">
        <f>+BALANZA!$C$10</f>
        <v/>
      </c>
      <c r="Q106" s="638">
        <f>+P106/SQRT(3)/2</f>
        <v/>
      </c>
      <c r="R106" s="639" t="inlineStr">
        <is>
          <t>---</t>
        </is>
      </c>
      <c r="S106" s="640" t="inlineStr">
        <is>
          <t>---</t>
        </is>
      </c>
      <c r="T106" s="216" t="n"/>
      <c r="U106" s="153">
        <f>+BALANZA!$C$10</f>
        <v/>
      </c>
      <c r="V106" s="638">
        <f>+U106/SQRT(3)/2</f>
        <v/>
      </c>
      <c r="W106" s="639" t="inlineStr">
        <is>
          <t>---</t>
        </is>
      </c>
      <c r="X106" s="640" t="inlineStr">
        <is>
          <t>---</t>
        </is>
      </c>
      <c r="Y106" s="216" t="n"/>
      <c r="Z106" s="153">
        <f>+BALANZA!$C$10</f>
        <v/>
      </c>
      <c r="AA106" s="638">
        <f>+Z106/SQRT(3)/2</f>
        <v/>
      </c>
      <c r="AB106" s="639" t="inlineStr">
        <is>
          <t>---</t>
        </is>
      </c>
      <c r="AC106" s="640" t="inlineStr">
        <is>
          <t>---</t>
        </is>
      </c>
      <c r="AD106" s="216" t="n"/>
      <c r="AE106" s="153">
        <f>+BALANZA!$C$10</f>
        <v/>
      </c>
      <c r="AF106" s="638">
        <f>+AE106/SQRT(3)/2</f>
        <v/>
      </c>
      <c r="AG106" s="639" t="inlineStr">
        <is>
          <t>---</t>
        </is>
      </c>
      <c r="AH106" s="640" t="inlineStr">
        <is>
          <t>---</t>
        </is>
      </c>
      <c r="AJ106" s="221">
        <f>+B120</f>
        <v/>
      </c>
      <c r="AK106" s="634">
        <f>+I120</f>
        <v/>
      </c>
      <c r="AL106" s="635">
        <f>+AK106/$AK$32</f>
        <v/>
      </c>
    </row>
    <row r="107" ht="20.45" customHeight="1">
      <c r="B107" s="201" t="inlineStr">
        <is>
          <t>Masa de prueba</t>
        </is>
      </c>
      <c r="C107" s="145" t="inlineStr">
        <is>
          <t>g</t>
        </is>
      </c>
      <c r="D107" s="147" t="inlineStr">
        <is>
          <t>---</t>
        </is>
      </c>
      <c r="E107" s="158">
        <f>+DATOS!$H$12</f>
        <v/>
      </c>
      <c r="F107" s="145" t="n"/>
      <c r="G107" s="149">
        <f>SQRT((G108*G108)+(G109*G109)+(G110*G110))</f>
        <v/>
      </c>
      <c r="H107" s="642">
        <f>IF(E103=0,0,E103*E111*100/E115/E107/E107)</f>
        <v/>
      </c>
      <c r="I107" s="643">
        <f>+H107*G107</f>
        <v/>
      </c>
      <c r="J107" s="217">
        <f>+DATOS!$H$13</f>
        <v/>
      </c>
      <c r="K107" s="145" t="n"/>
      <c r="L107" s="149">
        <f>SQRT((L108*L108)+(L109*L109)+(L110*L110))</f>
        <v/>
      </c>
      <c r="M107" s="642">
        <f>IF(J103=0,0,J103*J111*100/J115/J107/J107)</f>
        <v/>
      </c>
      <c r="N107" s="643">
        <f>+M107*L107</f>
        <v/>
      </c>
      <c r="O107" s="217">
        <f>+DATOS!$H$14</f>
        <v/>
      </c>
      <c r="P107" s="145" t="n"/>
      <c r="Q107" s="149">
        <f>SQRT((Q108*Q108)+(Q109*Q109)+(Q110*Q110))</f>
        <v/>
      </c>
      <c r="R107" s="642">
        <f>IF(O103=0,0,O103*O111*100/O115/O107/O107)</f>
        <v/>
      </c>
      <c r="S107" s="643">
        <f>+R107*Q107</f>
        <v/>
      </c>
      <c r="T107" s="217">
        <f>+DATOS!$H$15</f>
        <v/>
      </c>
      <c r="U107" s="145" t="n"/>
      <c r="V107" s="149">
        <f>SQRT((V108*V108)+(V109*V109)+(V110*V110))</f>
        <v/>
      </c>
      <c r="W107" s="642">
        <f>IF(T103=0,0,T103*T111*100/T115/T107/T107)</f>
        <v/>
      </c>
      <c r="X107" s="643">
        <f>+W107*V107</f>
        <v/>
      </c>
      <c r="Y107" s="217">
        <f>+DATOS!$H$16</f>
        <v/>
      </c>
      <c r="Z107" s="145" t="n"/>
      <c r="AA107" s="149">
        <f>SQRT((AA108*AA108)+(AA109*AA109)+(AA110*AA110))</f>
        <v/>
      </c>
      <c r="AB107" s="642">
        <f>IF(Y103=0,0,Y103*Y111*100/Y115/Y107/Y107)</f>
        <v/>
      </c>
      <c r="AC107" s="643">
        <f>+AB107*AA107</f>
        <v/>
      </c>
      <c r="AD107" s="217">
        <f>+DATOS!$H$17</f>
        <v/>
      </c>
      <c r="AE107" s="145" t="n"/>
      <c r="AF107" s="149">
        <f>SQRT((AF108*AF108)+(AF109*AF109)+(AF110*AF110))</f>
        <v/>
      </c>
      <c r="AG107" s="642">
        <f>IF(AD103=0,0,AD103*AD111*100/AD115/AD107/AD107)</f>
        <v/>
      </c>
      <c r="AH107" s="643">
        <f>+AG107*AF107</f>
        <v/>
      </c>
      <c r="AJ107" s="223" t="n"/>
      <c r="AK107" s="644">
        <f>SUM(AK102:AK106)</f>
        <v/>
      </c>
      <c r="AL107" s="635">
        <f>SUM(AL102:AL106)</f>
        <v/>
      </c>
      <c r="AM107" s="97" t="n"/>
    </row>
    <row r="108" ht="20.45" customHeight="1">
      <c r="B108" s="203" t="inlineStr">
        <is>
          <t>Repetibilidad de la pesada</t>
        </is>
      </c>
      <c r="C108" s="151" t="inlineStr">
        <is>
          <t>g</t>
        </is>
      </c>
      <c r="D108" s="154" t="inlineStr">
        <is>
          <t>Normal, K=1</t>
        </is>
      </c>
      <c r="E108" s="152" t="n"/>
      <c r="F108" s="153">
        <f>+BALANZA!$F$24</f>
        <v/>
      </c>
      <c r="G108" s="638">
        <f>+F108</f>
        <v/>
      </c>
      <c r="H108" s="639" t="inlineStr">
        <is>
          <t>---</t>
        </is>
      </c>
      <c r="I108" s="640" t="inlineStr">
        <is>
          <t>---</t>
        </is>
      </c>
      <c r="J108" s="216" t="n"/>
      <c r="K108" s="153">
        <f>+BALANZA!$F$25</f>
        <v/>
      </c>
      <c r="L108" s="638">
        <f>+K108</f>
        <v/>
      </c>
      <c r="M108" s="639" t="inlineStr">
        <is>
          <t>---</t>
        </is>
      </c>
      <c r="N108" s="640" t="inlineStr">
        <is>
          <t>---</t>
        </is>
      </c>
      <c r="O108" s="216" t="n"/>
      <c r="P108" s="153">
        <f>+BALANZA!$F$26</f>
        <v/>
      </c>
      <c r="Q108" s="638">
        <f>+P108</f>
        <v/>
      </c>
      <c r="R108" s="639" t="inlineStr">
        <is>
          <t>---</t>
        </is>
      </c>
      <c r="S108" s="640" t="inlineStr">
        <is>
          <t>---</t>
        </is>
      </c>
      <c r="T108" s="216" t="n"/>
      <c r="U108" s="153">
        <f>+BALANZA!$F$27</f>
        <v/>
      </c>
      <c r="V108" s="638">
        <f>+U108</f>
        <v/>
      </c>
      <c r="W108" s="639" t="inlineStr">
        <is>
          <t>---</t>
        </is>
      </c>
      <c r="X108" s="640" t="inlineStr">
        <is>
          <t>---</t>
        </is>
      </c>
      <c r="Y108" s="216" t="n"/>
      <c r="Z108" s="153">
        <f>+BALANZA!$F$28</f>
        <v/>
      </c>
      <c r="AA108" s="638">
        <f>+Z108</f>
        <v/>
      </c>
      <c r="AB108" s="639" t="inlineStr">
        <is>
          <t>---</t>
        </is>
      </c>
      <c r="AC108" s="640" t="inlineStr">
        <is>
          <t>---</t>
        </is>
      </c>
      <c r="AD108" s="216" t="n"/>
      <c r="AE108" s="153">
        <f>+BALANZA!$F$29</f>
        <v/>
      </c>
      <c r="AF108" s="638">
        <f>+AE108</f>
        <v/>
      </c>
      <c r="AG108" s="639" t="inlineStr">
        <is>
          <t>---</t>
        </is>
      </c>
      <c r="AH108" s="640" t="inlineStr">
        <is>
          <t>---</t>
        </is>
      </c>
    </row>
    <row r="109" ht="20.45" customHeight="1">
      <c r="B109" s="203" t="inlineStr">
        <is>
          <t>Certificado de Calibración</t>
        </is>
      </c>
      <c r="C109" s="151" t="inlineStr">
        <is>
          <t>g</t>
        </is>
      </c>
      <c r="D109" s="154" t="inlineStr">
        <is>
          <t>Normal, K=2</t>
        </is>
      </c>
      <c r="E109" s="152" t="n"/>
      <c r="F109" s="153">
        <f>2*(SQRT(BALANZA!$C$8+BALANZA!$D$8*(POWER(E107,2))))</f>
        <v/>
      </c>
      <c r="G109" s="638">
        <f>+F109/2</f>
        <v/>
      </c>
      <c r="H109" s="639" t="inlineStr">
        <is>
          <t>---</t>
        </is>
      </c>
      <c r="I109" s="640" t="inlineStr">
        <is>
          <t>---</t>
        </is>
      </c>
      <c r="J109" s="216" t="n"/>
      <c r="K109" s="153">
        <f>2*(SQRT(BALANZA!$C$8+BALANZA!$D$8*(POWER(J107,2))))</f>
        <v/>
      </c>
      <c r="L109" s="638">
        <f>+K109/2</f>
        <v/>
      </c>
      <c r="M109" s="639" t="inlineStr">
        <is>
          <t>---</t>
        </is>
      </c>
      <c r="N109" s="640" t="inlineStr">
        <is>
          <t>---</t>
        </is>
      </c>
      <c r="O109" s="216" t="n"/>
      <c r="P109" s="153">
        <f>2*(SQRT(BALANZA!$C$8+BALANZA!$D$8*(POWER(O107,2))))</f>
        <v/>
      </c>
      <c r="Q109" s="638">
        <f>+P109/2</f>
        <v/>
      </c>
      <c r="R109" s="639" t="inlineStr">
        <is>
          <t>---</t>
        </is>
      </c>
      <c r="S109" s="640" t="inlineStr">
        <is>
          <t>---</t>
        </is>
      </c>
      <c r="T109" s="216" t="n"/>
      <c r="U109" s="153">
        <f>2*(SQRT(BALANZA!$C$8+BALANZA!$D$8*(POWER(T107,2))))</f>
        <v/>
      </c>
      <c r="V109" s="638">
        <f>+U109/2</f>
        <v/>
      </c>
      <c r="W109" s="639" t="inlineStr">
        <is>
          <t>---</t>
        </is>
      </c>
      <c r="X109" s="640" t="inlineStr">
        <is>
          <t>---</t>
        </is>
      </c>
      <c r="Y109" s="216" t="n"/>
      <c r="Z109" s="153">
        <f>2*(SQRT(BALANZA!$C$8+BALANZA!$D$8*(POWER(Y107,2))))</f>
        <v/>
      </c>
      <c r="AA109" s="638">
        <f>+Z109/2</f>
        <v/>
      </c>
      <c r="AB109" s="639" t="inlineStr">
        <is>
          <t>---</t>
        </is>
      </c>
      <c r="AC109" s="640" t="inlineStr">
        <is>
          <t>---</t>
        </is>
      </c>
      <c r="AD109" s="216" t="n"/>
      <c r="AE109" s="153">
        <f>2*(SQRT(BALANZA!$C$8+BALANZA!$D$8*(POWER(AD107,2))))</f>
        <v/>
      </c>
      <c r="AF109" s="638">
        <f>+AE109/2</f>
        <v/>
      </c>
      <c r="AG109" s="639" t="inlineStr">
        <is>
          <t>---</t>
        </is>
      </c>
      <c r="AH109" s="640" t="inlineStr">
        <is>
          <t>---</t>
        </is>
      </c>
    </row>
    <row r="110" ht="20.45" customHeight="1">
      <c r="B110" s="203" t="inlineStr">
        <is>
          <t>Resolución</t>
        </is>
      </c>
      <c r="C110" s="151" t="inlineStr">
        <is>
          <t>g</t>
        </is>
      </c>
      <c r="D110" s="157" t="inlineStr">
        <is>
          <t>Rectangular</t>
        </is>
      </c>
      <c r="E110" s="152" t="n"/>
      <c r="F110" s="153">
        <f>+BALANZA!$C$10</f>
        <v/>
      </c>
      <c r="G110" s="638">
        <f>+F110/SQRT(3)/2</f>
        <v/>
      </c>
      <c r="H110" s="639" t="inlineStr">
        <is>
          <t>---</t>
        </is>
      </c>
      <c r="I110" s="640" t="inlineStr">
        <is>
          <t>---</t>
        </is>
      </c>
      <c r="J110" s="216" t="n"/>
      <c r="K110" s="153">
        <f>+BALANZA!$C$10</f>
        <v/>
      </c>
      <c r="L110" s="638">
        <f>+K110/SQRT(3)/2</f>
        <v/>
      </c>
      <c r="M110" s="639" t="inlineStr">
        <is>
          <t>---</t>
        </is>
      </c>
      <c r="N110" s="640" t="inlineStr">
        <is>
          <t>---</t>
        </is>
      </c>
      <c r="O110" s="216" t="n"/>
      <c r="P110" s="153">
        <f>+BALANZA!$C$10</f>
        <v/>
      </c>
      <c r="Q110" s="638">
        <f>+P110/SQRT(3)/2</f>
        <v/>
      </c>
      <c r="R110" s="639" t="inlineStr">
        <is>
          <t>---</t>
        </is>
      </c>
      <c r="S110" s="640" t="inlineStr">
        <is>
          <t>---</t>
        </is>
      </c>
      <c r="T110" s="216" t="n"/>
      <c r="U110" s="153">
        <f>+BALANZA!$C$10</f>
        <v/>
      </c>
      <c r="V110" s="638">
        <f>+U110/SQRT(3)/2</f>
        <v/>
      </c>
      <c r="W110" s="639" t="inlineStr">
        <is>
          <t>---</t>
        </is>
      </c>
      <c r="X110" s="640" t="inlineStr">
        <is>
          <t>---</t>
        </is>
      </c>
      <c r="Y110" s="216" t="n"/>
      <c r="Z110" s="153">
        <f>+BALANZA!$C$10</f>
        <v/>
      </c>
      <c r="AA110" s="638">
        <f>+Z110/SQRT(3)/2</f>
        <v/>
      </c>
      <c r="AB110" s="639" t="inlineStr">
        <is>
          <t>---</t>
        </is>
      </c>
      <c r="AC110" s="640" t="inlineStr">
        <is>
          <t>---</t>
        </is>
      </c>
      <c r="AD110" s="216" t="n"/>
      <c r="AE110" s="153">
        <f>+BALANZA!$C$10</f>
        <v/>
      </c>
      <c r="AF110" s="638">
        <f>+AE110/SQRT(3)/2</f>
        <v/>
      </c>
      <c r="AG110" s="639" t="inlineStr">
        <is>
          <t>---</t>
        </is>
      </c>
      <c r="AH110" s="640" t="inlineStr">
        <is>
          <t>---</t>
        </is>
      </c>
    </row>
    <row r="111" ht="20.45" customHeight="1">
      <c r="B111" s="201" t="inlineStr">
        <is>
          <t>Masa retenida</t>
        </is>
      </c>
      <c r="C111" s="145" t="inlineStr">
        <is>
          <t>g</t>
        </is>
      </c>
      <c r="D111" s="147" t="inlineStr">
        <is>
          <t>---</t>
        </is>
      </c>
      <c r="E111" s="158">
        <f>+DATOS!$D$12</f>
        <v/>
      </c>
      <c r="F111" s="145" t="n"/>
      <c r="G111" s="149">
        <f>SQRT((G112*G112)+(G113*G113)+(G114*G114))</f>
        <v/>
      </c>
      <c r="H111" s="642">
        <f>IF(E103=0,0,E103*100/E107/E115)</f>
        <v/>
      </c>
      <c r="I111" s="643">
        <f>+H111*G111</f>
        <v/>
      </c>
      <c r="J111" s="217">
        <f>+DATOS!$D$13</f>
        <v/>
      </c>
      <c r="K111" s="145" t="n"/>
      <c r="L111" s="149">
        <f>SQRT((L112*L112)+(L113*L113)+(L114*L114))</f>
        <v/>
      </c>
      <c r="M111" s="642">
        <f>IF(J103=0,0,J103*100/J107/J115)</f>
        <v/>
      </c>
      <c r="N111" s="643">
        <f>+M111*L111</f>
        <v/>
      </c>
      <c r="O111" s="217">
        <f>+DATOS!$D$14</f>
        <v/>
      </c>
      <c r="P111" s="145" t="n"/>
      <c r="Q111" s="149">
        <f>SQRT((Q112*Q112)+(Q113*Q113)+(Q114*Q114))</f>
        <v/>
      </c>
      <c r="R111" s="642">
        <f>IF(O103=0,0,O103*100/O107/O115)</f>
        <v/>
      </c>
      <c r="S111" s="643">
        <f>+R111*Q111</f>
        <v/>
      </c>
      <c r="T111" s="217">
        <f>+DATOS!$D$15</f>
        <v/>
      </c>
      <c r="U111" s="145" t="n"/>
      <c r="V111" s="149">
        <f>SQRT((V112*V112)+(V113*V113)+(V114*V114))</f>
        <v/>
      </c>
      <c r="W111" s="642">
        <f>IF(T103=0,0,T103*100/T107/T115)</f>
        <v/>
      </c>
      <c r="X111" s="643">
        <f>+W111*V111</f>
        <v/>
      </c>
      <c r="Y111" s="217">
        <f>+DATOS!$D$16</f>
        <v/>
      </c>
      <c r="Z111" s="145" t="n"/>
      <c r="AA111" s="149">
        <f>SQRT((AA112*AA112)+(AA113*AA113)+(AA114*AA114))</f>
        <v/>
      </c>
      <c r="AB111" s="642">
        <f>IF(Y103=0,0,Y103*100/Y107/Y115)</f>
        <v/>
      </c>
      <c r="AC111" s="643">
        <f>+AB111*AA111</f>
        <v/>
      </c>
      <c r="AD111" s="217">
        <f>+DATOS!$D$17</f>
        <v/>
      </c>
      <c r="AE111" s="145" t="n"/>
      <c r="AF111" s="149">
        <f>SQRT((AF112*AF112)+(AF113*AF113)+(AF114*AF114))</f>
        <v/>
      </c>
      <c r="AG111" s="642">
        <f>IF(AD103=0,0,AD103*100/AD107/AD115)</f>
        <v/>
      </c>
      <c r="AH111" s="643">
        <f>+AG111*AF111</f>
        <v/>
      </c>
    </row>
    <row r="112" ht="20.45" customHeight="1">
      <c r="B112" s="203" t="inlineStr">
        <is>
          <t>Repetibilidad de la pesada</t>
        </is>
      </c>
      <c r="C112" s="151" t="inlineStr">
        <is>
          <t>g</t>
        </is>
      </c>
      <c r="D112" s="154" t="inlineStr">
        <is>
          <t>Normal, K=1</t>
        </is>
      </c>
      <c r="E112" s="152" t="n"/>
      <c r="F112" s="153">
        <f>+BALANZA!$H$24</f>
        <v/>
      </c>
      <c r="G112" s="638">
        <f>+F112</f>
        <v/>
      </c>
      <c r="H112" s="639" t="inlineStr">
        <is>
          <t>---</t>
        </is>
      </c>
      <c r="I112" s="640" t="inlineStr">
        <is>
          <t>---</t>
        </is>
      </c>
      <c r="J112" s="216" t="n"/>
      <c r="K112" s="153">
        <f>+BALANZA!$H$25</f>
        <v/>
      </c>
      <c r="L112" s="638">
        <f>+K112</f>
        <v/>
      </c>
      <c r="M112" s="639" t="inlineStr">
        <is>
          <t>---</t>
        </is>
      </c>
      <c r="N112" s="640" t="inlineStr">
        <is>
          <t>---</t>
        </is>
      </c>
      <c r="O112" s="216" t="n"/>
      <c r="P112" s="153">
        <f>+BALANZA!$H$26</f>
        <v/>
      </c>
      <c r="Q112" s="638">
        <f>+P112</f>
        <v/>
      </c>
      <c r="R112" s="639" t="inlineStr">
        <is>
          <t>---</t>
        </is>
      </c>
      <c r="S112" s="640" t="inlineStr">
        <is>
          <t>---</t>
        </is>
      </c>
      <c r="T112" s="216" t="n"/>
      <c r="U112" s="153">
        <f>+BALANZA!$H$27</f>
        <v/>
      </c>
      <c r="V112" s="638">
        <f>+U112</f>
        <v/>
      </c>
      <c r="W112" s="639" t="inlineStr">
        <is>
          <t>---</t>
        </is>
      </c>
      <c r="X112" s="640" t="inlineStr">
        <is>
          <t>---</t>
        </is>
      </c>
      <c r="Y112" s="216" t="n"/>
      <c r="Z112" s="153">
        <f>+BALANZA!$H$28</f>
        <v/>
      </c>
      <c r="AA112" s="638">
        <f>+Z112</f>
        <v/>
      </c>
      <c r="AB112" s="639" t="inlineStr">
        <is>
          <t>---</t>
        </is>
      </c>
      <c r="AC112" s="640" t="inlineStr">
        <is>
          <t>---</t>
        </is>
      </c>
      <c r="AD112" s="216" t="n"/>
      <c r="AE112" s="153">
        <f>+BALANZA!$H$29</f>
        <v/>
      </c>
      <c r="AF112" s="638">
        <f>+AE112</f>
        <v/>
      </c>
      <c r="AG112" s="639" t="inlineStr">
        <is>
          <t>---</t>
        </is>
      </c>
      <c r="AH112" s="640" t="inlineStr">
        <is>
          <t>---</t>
        </is>
      </c>
    </row>
    <row r="113" ht="20.45" customHeight="1">
      <c r="B113" s="203" t="inlineStr">
        <is>
          <t>Certificado de Calibración</t>
        </is>
      </c>
      <c r="C113" s="151" t="inlineStr">
        <is>
          <t>g</t>
        </is>
      </c>
      <c r="D113" s="154" t="inlineStr">
        <is>
          <t>Normal, K=2</t>
        </is>
      </c>
      <c r="E113" s="152" t="n"/>
      <c r="F113" s="153">
        <f>2*(SQRT(BALANZA!$C$8+BALANZA!$D$8*(POWER(E111,2))))</f>
        <v/>
      </c>
      <c r="G113" s="638">
        <f>+F113/2</f>
        <v/>
      </c>
      <c r="H113" s="639" t="inlineStr">
        <is>
          <t>---</t>
        </is>
      </c>
      <c r="I113" s="640" t="inlineStr">
        <is>
          <t>---</t>
        </is>
      </c>
      <c r="J113" s="216" t="n"/>
      <c r="K113" s="153">
        <f>2*(SQRT(BALANZA!$C$8+BALANZA!$D$8*(POWER(J111,2))))</f>
        <v/>
      </c>
      <c r="L113" s="638">
        <f>+K113/2</f>
        <v/>
      </c>
      <c r="M113" s="639" t="inlineStr">
        <is>
          <t>---</t>
        </is>
      </c>
      <c r="N113" s="640" t="inlineStr">
        <is>
          <t>---</t>
        </is>
      </c>
      <c r="O113" s="216" t="n"/>
      <c r="P113" s="153">
        <f>2*(SQRT(BALANZA!$C$8+BALANZA!$D$8*(POWER(O111,2))))</f>
        <v/>
      </c>
      <c r="Q113" s="638">
        <f>+P113/2</f>
        <v/>
      </c>
      <c r="R113" s="639" t="inlineStr">
        <is>
          <t>---</t>
        </is>
      </c>
      <c r="S113" s="640" t="inlineStr">
        <is>
          <t>---</t>
        </is>
      </c>
      <c r="T113" s="216" t="n"/>
      <c r="U113" s="153">
        <f>2*(SQRT(BALANZA!$C$8+BALANZA!$D$8*(POWER(T111,2))))</f>
        <v/>
      </c>
      <c r="V113" s="638">
        <f>+U113/2</f>
        <v/>
      </c>
      <c r="W113" s="639" t="inlineStr">
        <is>
          <t>---</t>
        </is>
      </c>
      <c r="X113" s="640" t="inlineStr">
        <is>
          <t>---</t>
        </is>
      </c>
      <c r="Y113" s="216" t="n"/>
      <c r="Z113" s="153">
        <f>2*(SQRT(BALANZA!$C$8+BALANZA!$D$8*(POWER(Y111,2))))</f>
        <v/>
      </c>
      <c r="AA113" s="638">
        <f>+Z113/2</f>
        <v/>
      </c>
      <c r="AB113" s="639" t="inlineStr">
        <is>
          <t>---</t>
        </is>
      </c>
      <c r="AC113" s="640" t="inlineStr">
        <is>
          <t>---</t>
        </is>
      </c>
      <c r="AD113" s="216" t="n"/>
      <c r="AE113" s="153">
        <f>2*(SQRT(BALANZA!$C$8+BALANZA!$D$8*(POWER(AD111,2))))</f>
        <v/>
      </c>
      <c r="AF113" s="638">
        <f>+AE113/2</f>
        <v/>
      </c>
      <c r="AG113" s="639" t="inlineStr">
        <is>
          <t>---</t>
        </is>
      </c>
      <c r="AH113" s="640" t="inlineStr">
        <is>
          <t>---</t>
        </is>
      </c>
    </row>
    <row r="114" ht="20.45" customHeight="1">
      <c r="B114" s="203" t="inlineStr">
        <is>
          <t>Resolución</t>
        </is>
      </c>
      <c r="C114" s="151" t="inlineStr">
        <is>
          <t>g</t>
        </is>
      </c>
      <c r="D114" s="157" t="inlineStr">
        <is>
          <t>Rectangular</t>
        </is>
      </c>
      <c r="E114" s="152" t="n"/>
      <c r="F114" s="153">
        <f>+BALANZA!$C$10</f>
        <v/>
      </c>
      <c r="G114" s="638">
        <f>+F114/SQRT(3)/2</f>
        <v/>
      </c>
      <c r="H114" s="639" t="inlineStr">
        <is>
          <t>---</t>
        </is>
      </c>
      <c r="I114" s="640" t="inlineStr">
        <is>
          <t>---</t>
        </is>
      </c>
      <c r="J114" s="216" t="n"/>
      <c r="K114" s="153">
        <f>+BALANZA!$C$10</f>
        <v/>
      </c>
      <c r="L114" s="638">
        <f>+K114/SQRT(3)/2</f>
        <v/>
      </c>
      <c r="M114" s="639" t="inlineStr">
        <is>
          <t>---</t>
        </is>
      </c>
      <c r="N114" s="640" t="inlineStr">
        <is>
          <t>---</t>
        </is>
      </c>
      <c r="O114" s="216" t="n"/>
      <c r="P114" s="153">
        <f>+BALANZA!$C$10</f>
        <v/>
      </c>
      <c r="Q114" s="638">
        <f>+P114/SQRT(3)/2</f>
        <v/>
      </c>
      <c r="R114" s="639" t="inlineStr">
        <is>
          <t>---</t>
        </is>
      </c>
      <c r="S114" s="640" t="inlineStr">
        <is>
          <t>---</t>
        </is>
      </c>
      <c r="T114" s="216" t="n"/>
      <c r="U114" s="153">
        <f>+BALANZA!$C$10</f>
        <v/>
      </c>
      <c r="V114" s="638">
        <f>+U114/SQRT(3)/2</f>
        <v/>
      </c>
      <c r="W114" s="639" t="inlineStr">
        <is>
          <t>---</t>
        </is>
      </c>
      <c r="X114" s="640" t="inlineStr">
        <is>
          <t>---</t>
        </is>
      </c>
      <c r="Y114" s="216" t="n"/>
      <c r="Z114" s="153">
        <f>+BALANZA!$C$10</f>
        <v/>
      </c>
      <c r="AA114" s="638">
        <f>+Z114/SQRT(3)/2</f>
        <v/>
      </c>
      <c r="AB114" s="639" t="inlineStr">
        <is>
          <t>---</t>
        </is>
      </c>
      <c r="AC114" s="640" t="inlineStr">
        <is>
          <t>---</t>
        </is>
      </c>
      <c r="AD114" s="216" t="n"/>
      <c r="AE114" s="153">
        <f>+BALANZA!$C$10</f>
        <v/>
      </c>
      <c r="AF114" s="638">
        <f>+AE114/SQRT(3)/2</f>
        <v/>
      </c>
      <c r="AG114" s="639" t="inlineStr">
        <is>
          <t>---</t>
        </is>
      </c>
      <c r="AH114" s="640" t="inlineStr">
        <is>
          <t>---</t>
        </is>
      </c>
    </row>
    <row r="115" ht="20.45" customHeight="1">
      <c r="B115" s="201" t="inlineStr">
        <is>
          <t>Masa total</t>
        </is>
      </c>
      <c r="C115" s="145" t="inlineStr">
        <is>
          <t>g</t>
        </is>
      </c>
      <c r="D115" s="147" t="inlineStr">
        <is>
          <t>---</t>
        </is>
      </c>
      <c r="E115" s="158">
        <f>+DATOS!$D$18</f>
        <v/>
      </c>
      <c r="F115" s="145" t="n"/>
      <c r="G115" s="149">
        <f>SQRT((G116*G116)+(G117*G117)+(G118*G118))</f>
        <v/>
      </c>
      <c r="H115" s="642">
        <f>IF(E103=0,0,E103*E111*100/E107/E115/E115)</f>
        <v/>
      </c>
      <c r="I115" s="643">
        <f>+H115*G115</f>
        <v/>
      </c>
      <c r="J115" s="217">
        <f>+DATOS!$D$18</f>
        <v/>
      </c>
      <c r="K115" s="145" t="n"/>
      <c r="L115" s="149">
        <f>SQRT((L116*L116)+(L117*L117)+(L118*L118))</f>
        <v/>
      </c>
      <c r="M115" s="642">
        <f>IF(J103=0,0,J103*J111*100/J107/J115/J115)</f>
        <v/>
      </c>
      <c r="N115" s="643">
        <f>+M115*L115</f>
        <v/>
      </c>
      <c r="O115" s="217">
        <f>+DATOS!$D$18</f>
        <v/>
      </c>
      <c r="P115" s="145" t="n"/>
      <c r="Q115" s="149">
        <f>SQRT((Q116*Q116)+(Q117*Q117)+(Q118*Q118))</f>
        <v/>
      </c>
      <c r="R115" s="642">
        <f>IF(O103=0,0,O103*O111*100/O107/O115/O115)</f>
        <v/>
      </c>
      <c r="S115" s="643">
        <f>+R115*Q115</f>
        <v/>
      </c>
      <c r="T115" s="217">
        <f>+DATOS!$D$18</f>
        <v/>
      </c>
      <c r="U115" s="145" t="n"/>
      <c r="V115" s="149">
        <f>SQRT((V116*V116)+(V117*V117)+(V118*V118))</f>
        <v/>
      </c>
      <c r="W115" s="642">
        <f>IF(T103=0,0,T103*T111*100/T107/T115/T115)</f>
        <v/>
      </c>
      <c r="X115" s="643">
        <f>+W115*V115</f>
        <v/>
      </c>
      <c r="Y115" s="217">
        <f>+DATOS!$D$18</f>
        <v/>
      </c>
      <c r="Z115" s="145" t="n"/>
      <c r="AA115" s="149">
        <f>SQRT((AA116*AA116)+(AA117*AA117)+(AA118*AA118))</f>
        <v/>
      </c>
      <c r="AB115" s="642">
        <f>IF(Y103=0,0,Y103*Y111*100/Y107/Y115/Y115)</f>
        <v/>
      </c>
      <c r="AC115" s="643">
        <f>+AB115*AA115</f>
        <v/>
      </c>
      <c r="AD115" s="217">
        <f>+DATOS!$D$18</f>
        <v/>
      </c>
      <c r="AE115" s="145" t="n"/>
      <c r="AF115" s="149">
        <f>SQRT((AF116*AF116)+(AF117*AF117)+(AF118*AF118))</f>
        <v/>
      </c>
      <c r="AG115" s="642">
        <f>IF(AD103=0,0,AD103*AD111*100/AD107/AD115/AD115)</f>
        <v/>
      </c>
      <c r="AH115" s="643">
        <f>+AG115*AF115</f>
        <v/>
      </c>
    </row>
    <row r="116" ht="20.45" customHeight="1">
      <c r="B116" s="203" t="inlineStr">
        <is>
          <t>Repetibilidad de la pesada</t>
        </is>
      </c>
      <c r="C116" s="151" t="inlineStr">
        <is>
          <t>g</t>
        </is>
      </c>
      <c r="D116" s="154" t="inlineStr">
        <is>
          <t>Normal, K=1</t>
        </is>
      </c>
      <c r="E116" s="152" t="n"/>
      <c r="F116" s="153">
        <f>+BALANZA!$K$24</f>
        <v/>
      </c>
      <c r="G116" s="638">
        <f>+F116</f>
        <v/>
      </c>
      <c r="H116" s="639" t="inlineStr">
        <is>
          <t>---</t>
        </is>
      </c>
      <c r="I116" s="640" t="inlineStr">
        <is>
          <t>---</t>
        </is>
      </c>
      <c r="J116" s="216" t="n"/>
      <c r="K116" s="153">
        <f>+BALANZA!$K$24</f>
        <v/>
      </c>
      <c r="L116" s="638">
        <f>+K116</f>
        <v/>
      </c>
      <c r="M116" s="639" t="inlineStr">
        <is>
          <t>---</t>
        </is>
      </c>
      <c r="N116" s="640" t="inlineStr">
        <is>
          <t>---</t>
        </is>
      </c>
      <c r="O116" s="216" t="n"/>
      <c r="P116" s="153">
        <f>+BALANZA!$K$24</f>
        <v/>
      </c>
      <c r="Q116" s="638">
        <f>+P116</f>
        <v/>
      </c>
      <c r="R116" s="639" t="inlineStr">
        <is>
          <t>---</t>
        </is>
      </c>
      <c r="S116" s="640" t="inlineStr">
        <is>
          <t>---</t>
        </is>
      </c>
      <c r="T116" s="216" t="n"/>
      <c r="U116" s="153">
        <f>+BALANZA!$K$24</f>
        <v/>
      </c>
      <c r="V116" s="638">
        <f>+U116</f>
        <v/>
      </c>
      <c r="W116" s="639" t="inlineStr">
        <is>
          <t>---</t>
        </is>
      </c>
      <c r="X116" s="640" t="inlineStr">
        <is>
          <t>---</t>
        </is>
      </c>
      <c r="Y116" s="216" t="n"/>
      <c r="Z116" s="153">
        <f>+BALANZA!$K$24</f>
        <v/>
      </c>
      <c r="AA116" s="638">
        <f>+Z116</f>
        <v/>
      </c>
      <c r="AB116" s="639" t="inlineStr">
        <is>
          <t>---</t>
        </is>
      </c>
      <c r="AC116" s="640" t="inlineStr">
        <is>
          <t>---</t>
        </is>
      </c>
      <c r="AD116" s="216" t="n"/>
      <c r="AE116" s="153">
        <f>+BALANZA!$K$24</f>
        <v/>
      </c>
      <c r="AF116" s="638">
        <f>+AE116</f>
        <v/>
      </c>
      <c r="AG116" s="639" t="inlineStr">
        <is>
          <t>---</t>
        </is>
      </c>
      <c r="AH116" s="640" t="inlineStr">
        <is>
          <t>---</t>
        </is>
      </c>
    </row>
    <row r="117" ht="20.45" customHeight="1">
      <c r="B117" s="203" t="inlineStr">
        <is>
          <t>Certificado de Calibración</t>
        </is>
      </c>
      <c r="C117" s="151" t="inlineStr">
        <is>
          <t>g</t>
        </is>
      </c>
      <c r="D117" s="154" t="inlineStr">
        <is>
          <t>Normal, K=2</t>
        </is>
      </c>
      <c r="E117" s="152" t="n"/>
      <c r="F117" s="153">
        <f>2*(SQRT(BALANZA!$C$8+BALANZA!$D$8*(POWER(E115,2))))</f>
        <v/>
      </c>
      <c r="G117" s="638">
        <f>+F117/2</f>
        <v/>
      </c>
      <c r="H117" s="639" t="inlineStr">
        <is>
          <t>---</t>
        </is>
      </c>
      <c r="I117" s="640" t="inlineStr">
        <is>
          <t>---</t>
        </is>
      </c>
      <c r="J117" s="216" t="n"/>
      <c r="K117" s="153">
        <f>2*(SQRT(BALANZA!$C$8+BALANZA!$D$8*(POWER(J115,2))))</f>
        <v/>
      </c>
      <c r="L117" s="638">
        <f>+K117/2</f>
        <v/>
      </c>
      <c r="M117" s="639" t="inlineStr">
        <is>
          <t>---</t>
        </is>
      </c>
      <c r="N117" s="640" t="inlineStr">
        <is>
          <t>---</t>
        </is>
      </c>
      <c r="O117" s="216" t="n"/>
      <c r="P117" s="153">
        <f>2*(SQRT(BALANZA!$C$8+BALANZA!$D$8*(POWER(O115,2))))</f>
        <v/>
      </c>
      <c r="Q117" s="638">
        <f>+P117/2</f>
        <v/>
      </c>
      <c r="R117" s="639" t="inlineStr">
        <is>
          <t>---</t>
        </is>
      </c>
      <c r="S117" s="640" t="inlineStr">
        <is>
          <t>---</t>
        </is>
      </c>
      <c r="T117" s="216" t="n"/>
      <c r="U117" s="153">
        <f>2*(SQRT(BALANZA!$C$8+BALANZA!$D$8*(POWER(T115,2))))</f>
        <v/>
      </c>
      <c r="V117" s="638">
        <f>+U117/2</f>
        <v/>
      </c>
      <c r="W117" s="639" t="inlineStr">
        <is>
          <t>---</t>
        </is>
      </c>
      <c r="X117" s="640" t="inlineStr">
        <is>
          <t>---</t>
        </is>
      </c>
      <c r="Y117" s="216" t="n"/>
      <c r="Z117" s="153">
        <f>2*(SQRT(BALANZA!$C$8+BALANZA!$D$8*(POWER(Y115,2))))</f>
        <v/>
      </c>
      <c r="AA117" s="638">
        <f>+Z117/2</f>
        <v/>
      </c>
      <c r="AB117" s="639" t="inlineStr">
        <is>
          <t>---</t>
        </is>
      </c>
      <c r="AC117" s="640" t="inlineStr">
        <is>
          <t>---</t>
        </is>
      </c>
      <c r="AD117" s="216" t="n"/>
      <c r="AE117" s="153">
        <f>2*(SQRT(BALANZA!$C$8+BALANZA!$D$8*(POWER(AD115,2))))</f>
        <v/>
      </c>
      <c r="AF117" s="638">
        <f>+AE117/2</f>
        <v/>
      </c>
      <c r="AG117" s="639" t="inlineStr">
        <is>
          <t>---</t>
        </is>
      </c>
      <c r="AH117" s="640" t="inlineStr">
        <is>
          <t>---</t>
        </is>
      </c>
    </row>
    <row r="118" ht="20.45" customHeight="1" thickBot="1">
      <c r="B118" s="206" t="inlineStr">
        <is>
          <t>Resolución</t>
        </is>
      </c>
      <c r="C118" s="207" t="inlineStr">
        <is>
          <t>g</t>
        </is>
      </c>
      <c r="D118" s="208" t="inlineStr">
        <is>
          <t>Rectangular</t>
        </is>
      </c>
      <c r="E118" s="209" t="n"/>
      <c r="F118" s="210">
        <f>+BALANZA!$C$10</f>
        <v/>
      </c>
      <c r="G118" s="645">
        <f>+F118/SQRT(3)/2</f>
        <v/>
      </c>
      <c r="H118" s="646" t="inlineStr">
        <is>
          <t>---</t>
        </is>
      </c>
      <c r="I118" s="647" t="inlineStr">
        <is>
          <t>---</t>
        </is>
      </c>
      <c r="J118" s="218" t="n"/>
      <c r="K118" s="210">
        <f>+BALANZA!$C$10</f>
        <v/>
      </c>
      <c r="L118" s="645">
        <f>+K118/SQRT(3)/2</f>
        <v/>
      </c>
      <c r="M118" s="646" t="inlineStr">
        <is>
          <t>---</t>
        </is>
      </c>
      <c r="N118" s="647" t="inlineStr">
        <is>
          <t>---</t>
        </is>
      </c>
      <c r="O118" s="218" t="n"/>
      <c r="P118" s="210">
        <f>+BALANZA!$C$10</f>
        <v/>
      </c>
      <c r="Q118" s="645">
        <f>+P118/SQRT(3)/2</f>
        <v/>
      </c>
      <c r="R118" s="646" t="inlineStr">
        <is>
          <t>---</t>
        </is>
      </c>
      <c r="S118" s="647" t="inlineStr">
        <is>
          <t>---</t>
        </is>
      </c>
      <c r="T118" s="218" t="n"/>
      <c r="U118" s="210">
        <f>+BALANZA!$C$10</f>
        <v/>
      </c>
      <c r="V118" s="645">
        <f>+U118/SQRT(3)/2</f>
        <v/>
      </c>
      <c r="W118" s="646" t="inlineStr">
        <is>
          <t>---</t>
        </is>
      </c>
      <c r="X118" s="647" t="inlineStr">
        <is>
          <t>---</t>
        </is>
      </c>
      <c r="Y118" s="218" t="n"/>
      <c r="Z118" s="210">
        <f>+BALANZA!$C$10</f>
        <v/>
      </c>
      <c r="AA118" s="645">
        <f>+Z118/SQRT(3)/2</f>
        <v/>
      </c>
      <c r="AB118" s="646" t="inlineStr">
        <is>
          <t>---</t>
        </is>
      </c>
      <c r="AC118" s="647" t="inlineStr">
        <is>
          <t>---</t>
        </is>
      </c>
      <c r="AD118" s="218" t="n"/>
      <c r="AE118" s="210">
        <f>+BALANZA!$C$10</f>
        <v/>
      </c>
      <c r="AF118" s="645">
        <f>+AE118/SQRT(3)/2</f>
        <v/>
      </c>
      <c r="AG118" s="646" t="inlineStr">
        <is>
          <t>---</t>
        </is>
      </c>
      <c r="AH118" s="647" t="inlineStr">
        <is>
          <t>---</t>
        </is>
      </c>
    </row>
    <row r="119" ht="6.6" customHeight="1">
      <c r="B119" s="190" t="n"/>
      <c r="C119" s="191" t="n"/>
      <c r="D119" s="192" t="n"/>
      <c r="E119" s="193" t="n"/>
      <c r="F119" s="194" t="n"/>
      <c r="G119" s="648" t="n"/>
      <c r="H119" s="649" t="n"/>
      <c r="I119" s="649" t="n"/>
      <c r="J119" s="226" t="n"/>
      <c r="K119" s="227" t="n"/>
      <c r="L119" s="650" t="n"/>
      <c r="M119" s="651" t="n"/>
      <c r="N119" s="651" t="n"/>
      <c r="O119" s="226" t="n"/>
      <c r="P119" s="227" t="n"/>
      <c r="Q119" s="650" t="n"/>
      <c r="R119" s="651" t="n"/>
      <c r="S119" s="651" t="n"/>
      <c r="T119" s="226" t="n"/>
      <c r="U119" s="227" t="n"/>
      <c r="V119" s="650" t="n"/>
      <c r="W119" s="651" t="n"/>
      <c r="X119" s="651" t="n"/>
      <c r="Y119" s="226" t="n"/>
      <c r="Z119" s="227" t="n"/>
      <c r="AA119" s="650" t="n"/>
      <c r="AB119" s="651" t="n"/>
      <c r="AC119" s="651" t="n"/>
      <c r="AD119" s="226" t="n"/>
      <c r="AE119" s="227" t="n"/>
      <c r="AF119" s="650" t="n"/>
      <c r="AG119" s="651" t="n"/>
      <c r="AH119" s="651" t="n"/>
    </row>
    <row r="120" ht="20.45" customHeight="1">
      <c r="B120" s="219" t="inlineStr">
        <is>
          <t xml:space="preserve">factor de presición </t>
        </is>
      </c>
      <c r="C120" s="112" t="inlineStr">
        <is>
          <t>%</t>
        </is>
      </c>
      <c r="D120" s="113" t="inlineStr">
        <is>
          <t>Norma, K=1</t>
        </is>
      </c>
      <c r="E120" s="652">
        <f>+PRECISION!T7</f>
        <v/>
      </c>
      <c r="F120" s="652" t="n"/>
      <c r="G120" s="652">
        <f>E120/SQRT(1)</f>
        <v/>
      </c>
      <c r="H120" s="653" t="n">
        <v>1</v>
      </c>
      <c r="I120" s="652">
        <f>+G120*H120</f>
        <v/>
      </c>
      <c r="J120" s="110" t="n"/>
      <c r="K120" s="173" t="n"/>
      <c r="L120" s="173" t="n"/>
      <c r="M120" s="173" t="n"/>
      <c r="N120" s="173" t="n"/>
      <c r="O120" s="173" t="n"/>
      <c r="P120" s="654" t="n"/>
      <c r="Q120" s="654" t="n"/>
      <c r="R120" s="110" t="n"/>
      <c r="S120" s="654" t="n"/>
      <c r="T120" s="173" t="n"/>
      <c r="U120" s="173" t="n"/>
      <c r="V120" s="173" t="n"/>
      <c r="W120" s="173" t="n"/>
      <c r="X120" s="173" t="n"/>
      <c r="Y120" s="173" t="n"/>
      <c r="Z120" s="173" t="n"/>
      <c r="AA120" s="173" t="n"/>
      <c r="AB120" s="173" t="n"/>
      <c r="AC120" s="173" t="n"/>
      <c r="AD120" s="173" t="n"/>
      <c r="AE120" s="173" t="n"/>
      <c r="AF120" s="173" t="n"/>
      <c r="AG120" s="173" t="n"/>
      <c r="AH120" s="173" t="n"/>
    </row>
    <row r="121" ht="20.45" customHeight="1">
      <c r="B121" s="115" t="inlineStr">
        <is>
          <t xml:space="preserve">Incertidumbre Estándar Combinada </t>
        </is>
      </c>
      <c r="C121" s="116" t="n"/>
      <c r="D121" s="116" t="n"/>
      <c r="E121" s="117" t="n"/>
      <c r="F121" s="117" t="n"/>
      <c r="G121" s="117" t="n"/>
      <c r="H121" s="118" t="inlineStr">
        <is>
          <t>%</t>
        </is>
      </c>
      <c r="I121" s="119">
        <f>SQRT(I120^2+I103^2+I107^2+I111^2+I115^2+N103^2+N107^2+N111^2+S103^2+S107^2+S111^2+X103^2+X107^2+X111^2+AC103^2+AC107^2+AC111^2+AH103^2+AH107^2+AH111^2)</f>
        <v/>
      </c>
      <c r="J121" s="110" t="n"/>
      <c r="K121" s="173" t="n"/>
      <c r="L121" s="173" t="n"/>
      <c r="M121" s="173" t="n"/>
      <c r="N121" s="173" t="n"/>
      <c r="O121" s="173" t="n"/>
      <c r="P121" s="107" t="n"/>
      <c r="Q121" s="107" t="n"/>
      <c r="R121" s="110" t="n"/>
      <c r="S121" s="107" t="n"/>
      <c r="T121" s="173" t="n"/>
      <c r="U121" s="173" t="n"/>
      <c r="V121" s="173" t="n"/>
      <c r="W121" s="173" t="n"/>
      <c r="X121" s="173" t="n"/>
      <c r="Y121" s="173" t="n"/>
      <c r="Z121" s="173" t="n"/>
      <c r="AA121" s="173" t="n"/>
      <c r="AB121" s="173" t="n"/>
      <c r="AC121" s="173" t="n"/>
      <c r="AD121" s="173" t="n"/>
      <c r="AE121" s="173" t="n"/>
      <c r="AF121" s="173" t="n"/>
      <c r="AG121" s="173" t="n"/>
      <c r="AH121" s="173" t="n"/>
    </row>
    <row r="122" ht="20.45" customHeight="1">
      <c r="B122" s="115" t="inlineStr">
        <is>
          <t>Incertidumbre Expandida, K = 2</t>
        </is>
      </c>
      <c r="C122" s="120" t="n"/>
      <c r="D122" s="120" t="n"/>
      <c r="E122" s="120" t="n"/>
      <c r="F122" s="116" t="n"/>
      <c r="G122" s="116" t="n"/>
      <c r="H122" s="121" t="inlineStr">
        <is>
          <t>%</t>
        </is>
      </c>
      <c r="I122" s="230">
        <f>+I121*2</f>
        <v/>
      </c>
      <c r="J122" s="108" t="n"/>
      <c r="K122" s="173" t="n"/>
      <c r="L122" s="173" t="n"/>
      <c r="M122" s="173" t="n"/>
      <c r="N122" s="173" t="n"/>
      <c r="O122" s="173" t="n"/>
      <c r="P122" s="108" t="n"/>
      <c r="Q122" s="108" t="n"/>
      <c r="R122" s="108" t="n"/>
      <c r="S122" s="108" t="n"/>
      <c r="T122" s="173" t="n"/>
      <c r="U122" s="173" t="n"/>
      <c r="V122" s="173" t="n"/>
      <c r="W122" s="173" t="n"/>
      <c r="X122" s="173" t="n"/>
      <c r="Y122" s="173" t="n"/>
      <c r="Z122" s="173" t="n"/>
      <c r="AA122" s="173" t="n"/>
      <c r="AB122" s="173" t="n"/>
      <c r="AC122" s="173" t="n"/>
      <c r="AD122" s="173" t="n"/>
      <c r="AE122" s="173" t="n"/>
      <c r="AF122" s="173" t="n"/>
      <c r="AG122" s="173" t="n"/>
      <c r="AH122" s="173" t="n"/>
    </row>
    <row r="123" ht="12.75" customHeight="1"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173" t="n"/>
      <c r="U123" s="173" t="n"/>
      <c r="V123" s="173" t="n"/>
      <c r="W123" s="173" t="n"/>
      <c r="X123" s="173" t="n"/>
      <c r="Y123" s="173" t="n"/>
      <c r="Z123" s="173" t="n"/>
      <c r="AA123" s="173" t="n"/>
      <c r="AB123" s="173" t="n"/>
      <c r="AC123" s="173" t="n"/>
      <c r="AD123" s="173" t="n"/>
      <c r="AE123" s="173" t="n"/>
      <c r="AF123" s="173" t="n"/>
      <c r="AG123" s="173" t="n"/>
      <c r="AH123" s="173" t="n"/>
    </row>
    <row r="124" ht="12.75" customHeight="1"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173" t="n"/>
      <c r="U124" s="173" t="n"/>
      <c r="V124" s="173" t="n"/>
      <c r="W124" s="173" t="n"/>
      <c r="X124" s="173" t="n"/>
      <c r="Y124" s="173" t="n"/>
      <c r="Z124" s="173" t="n"/>
      <c r="AA124" s="173" t="n"/>
      <c r="AB124" s="173" t="n"/>
      <c r="AC124" s="173" t="n"/>
      <c r="AD124" s="173" t="n"/>
      <c r="AE124" s="173" t="n"/>
      <c r="AF124" s="173" t="n"/>
      <c r="AG124" s="173" t="n"/>
      <c r="AH124" s="173" t="n"/>
    </row>
    <row r="125" ht="12.75" customHeight="1"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173" t="n"/>
      <c r="U125" s="173" t="n"/>
      <c r="V125" s="173" t="n"/>
      <c r="W125" s="173" t="n"/>
      <c r="X125" s="173" t="n"/>
      <c r="Y125" s="173" t="n"/>
      <c r="Z125" s="173" t="n"/>
      <c r="AA125" s="173" t="n"/>
      <c r="AB125" s="173" t="n"/>
      <c r="AC125" s="173" t="n"/>
      <c r="AD125" s="173" t="n"/>
      <c r="AE125" s="173" t="n"/>
      <c r="AF125" s="173" t="n"/>
      <c r="AG125" s="173" t="n"/>
      <c r="AH125" s="173" t="n"/>
    </row>
    <row r="126" ht="12.75" customHeight="1">
      <c r="B126" s="324" t="inlineStr">
        <is>
          <t>REVISADO POR:</t>
        </is>
      </c>
      <c r="C126" s="655" t="inlineStr">
        <is>
          <t>FABIAN LA ROSA</t>
        </is>
      </c>
      <c r="D126" s="550" t="n"/>
      <c r="E126" s="325" t="n"/>
      <c r="F126" s="524" t="inlineStr">
        <is>
          <t>APROBADO POR:</t>
        </is>
      </c>
      <c r="G126" s="564" t="n"/>
      <c r="H126" s="656" t="inlineStr">
        <is>
          <t>IRMA COAQUIRA</t>
        </is>
      </c>
      <c r="I126" s="550" t="n"/>
      <c r="J126" s="312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173" t="n"/>
      <c r="U126" s="173" t="n"/>
      <c r="V126" s="173" t="n"/>
      <c r="W126" s="173" t="n"/>
      <c r="X126" s="173" t="n"/>
      <c r="Y126" s="173" t="n"/>
      <c r="Z126" s="173" t="n"/>
      <c r="AA126" s="173" t="n"/>
      <c r="AB126" s="173" t="n"/>
      <c r="AC126" s="173" t="n"/>
      <c r="AD126" s="173" t="n"/>
      <c r="AE126" s="173" t="n"/>
      <c r="AF126" s="173" t="n"/>
      <c r="AG126" s="173" t="n"/>
      <c r="AH126" s="173" t="n"/>
    </row>
    <row r="127" ht="12.75" customHeight="1">
      <c r="B127" s="312" t="n"/>
      <c r="C127" s="312" t="n"/>
      <c r="D127" s="312" t="n"/>
      <c r="E127" s="312" t="n"/>
      <c r="F127" s="312" t="n"/>
      <c r="G127" s="312" t="n"/>
      <c r="H127" s="312" t="n"/>
      <c r="I127" s="312" t="n"/>
      <c r="J127" s="312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173" t="n"/>
      <c r="U127" s="173" t="n"/>
      <c r="V127" s="173" t="n"/>
      <c r="W127" s="173" t="n"/>
      <c r="X127" s="173" t="n"/>
      <c r="Y127" s="173" t="n"/>
      <c r="Z127" s="173" t="n"/>
      <c r="AA127" s="173" t="n"/>
      <c r="AB127" s="173" t="n"/>
      <c r="AC127" s="173" t="n"/>
      <c r="AD127" s="173" t="n"/>
      <c r="AE127" s="173" t="n"/>
      <c r="AF127" s="173" t="n"/>
      <c r="AG127" s="173" t="n"/>
      <c r="AH127" s="173" t="n"/>
    </row>
    <row r="128" ht="12.75" customHeight="1">
      <c r="B128" s="529" t="inlineStr">
        <is>
          <t>FECHA DE REVISIÓN:</t>
        </is>
      </c>
      <c r="C128" s="657" t="n">
        <v>45604</v>
      </c>
      <c r="D128" s="550" t="n"/>
      <c r="E128" s="312" t="n"/>
      <c r="F128" s="530" t="inlineStr">
        <is>
          <t>FECHA DE APROBACIÓN:</t>
        </is>
      </c>
      <c r="G128" s="564" t="n"/>
      <c r="H128" s="657" t="n">
        <v>45605</v>
      </c>
      <c r="I128" s="550" t="n"/>
      <c r="J128" s="312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173" t="n"/>
      <c r="U128" s="173" t="n"/>
      <c r="V128" s="173" t="n"/>
      <c r="W128" s="173" t="n"/>
      <c r="X128" s="173" t="n"/>
      <c r="Y128" s="173" t="n"/>
      <c r="Z128" s="173" t="n"/>
      <c r="AA128" s="173" t="n"/>
      <c r="AB128" s="173" t="n"/>
      <c r="AC128" s="173" t="n"/>
      <c r="AD128" s="173" t="n"/>
      <c r="AE128" s="173" t="n"/>
      <c r="AF128" s="173" t="n"/>
      <c r="AG128" s="173" t="n"/>
      <c r="AH128" s="173" t="n"/>
    </row>
    <row r="129" ht="12.75" customHeight="1"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173" t="n"/>
      <c r="U129" s="173" t="n"/>
      <c r="V129" s="173" t="n"/>
      <c r="W129" s="173" t="n"/>
      <c r="X129" s="173" t="n"/>
      <c r="Y129" s="173" t="n"/>
      <c r="Z129" s="173" t="n"/>
      <c r="AA129" s="173" t="n"/>
      <c r="AB129" s="173" t="n"/>
      <c r="AC129" s="173" t="n"/>
      <c r="AD129" s="173" t="n"/>
      <c r="AE129" s="173" t="n"/>
      <c r="AF129" s="173" t="n"/>
      <c r="AG129" s="173" t="n"/>
      <c r="AH129" s="173" t="n"/>
    </row>
    <row r="130" ht="12.75" customHeight="1"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173" t="n"/>
      <c r="U130" s="173" t="n"/>
      <c r="V130" s="173" t="n"/>
      <c r="W130" s="173" t="n"/>
      <c r="X130" s="173" t="n"/>
      <c r="Y130" s="173" t="n"/>
      <c r="Z130" s="173" t="n"/>
      <c r="AA130" s="173" t="n"/>
      <c r="AB130" s="173" t="n"/>
      <c r="AC130" s="173" t="n"/>
      <c r="AD130" s="173" t="n"/>
      <c r="AE130" s="173" t="n"/>
      <c r="AF130" s="173" t="n"/>
      <c r="AG130" s="173" t="n"/>
      <c r="AH130" s="173" t="n"/>
    </row>
    <row r="131" ht="12.75" customHeight="1"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173" t="n"/>
      <c r="U131" s="173" t="n"/>
      <c r="V131" s="173" t="n"/>
      <c r="W131" s="173" t="n"/>
      <c r="X131" s="173" t="n"/>
      <c r="Y131" s="173" t="n"/>
      <c r="Z131" s="173" t="n"/>
      <c r="AA131" s="173" t="n"/>
      <c r="AB131" s="173" t="n"/>
      <c r="AC131" s="173" t="n"/>
      <c r="AD131" s="173" t="n"/>
      <c r="AE131" s="173" t="n"/>
      <c r="AF131" s="173" t="n"/>
      <c r="AG131" s="173" t="n"/>
      <c r="AH131" s="173" t="n"/>
    </row>
    <row r="132" ht="12.75" customHeight="1"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173" t="n"/>
      <c r="U132" s="173" t="n"/>
      <c r="V132" s="173" t="n"/>
      <c r="W132" s="173" t="n"/>
      <c r="X132" s="173" t="n"/>
      <c r="Y132" s="173" t="n"/>
      <c r="Z132" s="173" t="n"/>
      <c r="AA132" s="173" t="n"/>
      <c r="AB132" s="173" t="n"/>
      <c r="AC132" s="173" t="n"/>
      <c r="AD132" s="173" t="n"/>
      <c r="AE132" s="173" t="n"/>
      <c r="AF132" s="173" t="n"/>
      <c r="AG132" s="173" t="n"/>
      <c r="AH132" s="173" t="n"/>
    </row>
    <row r="133" ht="12.75" customHeight="1"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173" t="n"/>
      <c r="U133" s="173" t="n"/>
      <c r="V133" s="173" t="n"/>
      <c r="W133" s="173" t="n"/>
      <c r="X133" s="173" t="n"/>
      <c r="Y133" s="173" t="n"/>
      <c r="Z133" s="173" t="n"/>
      <c r="AA133" s="173" t="n"/>
      <c r="AB133" s="173" t="n"/>
      <c r="AC133" s="173" t="n"/>
      <c r="AD133" s="173" t="n"/>
      <c r="AE133" s="173" t="n"/>
      <c r="AF133" s="173" t="n"/>
      <c r="AG133" s="173" t="n"/>
      <c r="AH133" s="173" t="n"/>
    </row>
    <row r="134" ht="12.75" customHeight="1"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173" t="n"/>
      <c r="U134" s="173" t="n"/>
      <c r="V134" s="173" t="n"/>
      <c r="W134" s="173" t="n"/>
      <c r="X134" s="173" t="n"/>
      <c r="Y134" s="173" t="n"/>
      <c r="Z134" s="173" t="n"/>
      <c r="AA134" s="173" t="n"/>
      <c r="AB134" s="173" t="n"/>
      <c r="AC134" s="173" t="n"/>
      <c r="AD134" s="173" t="n"/>
      <c r="AE134" s="173" t="n"/>
      <c r="AF134" s="173" t="n"/>
      <c r="AG134" s="173" t="n"/>
      <c r="AH134" s="173" t="n"/>
    </row>
    <row r="135" ht="12.75" customHeight="1"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173" t="n"/>
      <c r="U135" s="173" t="n"/>
      <c r="V135" s="173" t="n"/>
      <c r="W135" s="173" t="n"/>
      <c r="X135" s="173" t="n"/>
      <c r="Y135" s="173" t="n"/>
      <c r="Z135" s="173" t="n"/>
      <c r="AA135" s="173" t="n"/>
      <c r="AB135" s="173" t="n"/>
      <c r="AC135" s="173" t="n"/>
      <c r="AD135" s="173" t="n"/>
      <c r="AE135" s="173" t="n"/>
      <c r="AF135" s="173" t="n"/>
      <c r="AG135" s="173" t="n"/>
      <c r="AH135" s="173" t="n"/>
    </row>
    <row r="136" ht="12.75" customHeight="1"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173" t="n"/>
      <c r="U136" s="173" t="n"/>
      <c r="V136" s="173" t="n"/>
      <c r="W136" s="173" t="n"/>
      <c r="X136" s="173" t="n"/>
      <c r="Y136" s="173" t="n"/>
      <c r="Z136" s="173" t="n"/>
      <c r="AA136" s="173" t="n"/>
      <c r="AB136" s="173" t="n"/>
      <c r="AC136" s="173" t="n"/>
      <c r="AD136" s="173" t="n"/>
      <c r="AE136" s="173" t="n"/>
      <c r="AF136" s="173" t="n"/>
      <c r="AG136" s="173" t="n"/>
      <c r="AH136" s="173" t="n"/>
    </row>
    <row r="137" ht="12.75" customHeight="1"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173" t="n"/>
      <c r="U137" s="173" t="n"/>
      <c r="V137" s="173" t="n"/>
      <c r="W137" s="173" t="n"/>
      <c r="X137" s="173" t="n"/>
      <c r="Y137" s="173" t="n"/>
      <c r="Z137" s="173" t="n"/>
      <c r="AA137" s="173" t="n"/>
      <c r="AB137" s="173" t="n"/>
      <c r="AC137" s="173" t="n"/>
      <c r="AD137" s="173" t="n"/>
      <c r="AE137" s="173" t="n"/>
      <c r="AF137" s="173" t="n"/>
      <c r="AG137" s="173" t="n"/>
      <c r="AH137" s="173" t="n"/>
    </row>
    <row r="138" ht="12.75" customHeight="1"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173" t="n"/>
      <c r="U138" s="173" t="n"/>
      <c r="V138" s="173" t="n"/>
      <c r="W138" s="173" t="n"/>
      <c r="X138" s="173" t="n"/>
      <c r="Y138" s="173" t="n"/>
      <c r="Z138" s="173" t="n"/>
      <c r="AA138" s="173" t="n"/>
      <c r="AB138" s="173" t="n"/>
      <c r="AC138" s="173" t="n"/>
      <c r="AD138" s="173" t="n"/>
      <c r="AE138" s="173" t="n"/>
      <c r="AF138" s="173" t="n"/>
      <c r="AG138" s="173" t="n"/>
      <c r="AH138" s="173" t="n"/>
    </row>
    <row r="139" ht="12.75" customHeight="1"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173" t="n"/>
      <c r="U139" s="173" t="n"/>
      <c r="V139" s="173" t="n"/>
      <c r="W139" s="173" t="n"/>
      <c r="X139" s="173" t="n"/>
      <c r="Y139" s="173" t="n"/>
      <c r="Z139" s="173" t="n"/>
      <c r="AA139" s="173" t="n"/>
      <c r="AB139" s="173" t="n"/>
      <c r="AC139" s="173" t="n"/>
      <c r="AD139" s="173" t="n"/>
      <c r="AE139" s="173" t="n"/>
      <c r="AF139" s="173" t="n"/>
      <c r="AG139" s="173" t="n"/>
      <c r="AH139" s="173" t="n"/>
    </row>
    <row r="140" ht="12.75" customHeight="1"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173" t="n"/>
      <c r="U140" s="173" t="n"/>
      <c r="V140" s="173" t="n"/>
      <c r="W140" s="173" t="n"/>
      <c r="X140" s="173" t="n"/>
      <c r="Y140" s="173" t="n"/>
      <c r="Z140" s="173" t="n"/>
      <c r="AA140" s="173" t="n"/>
      <c r="AB140" s="173" t="n"/>
      <c r="AC140" s="173" t="n"/>
      <c r="AD140" s="173" t="n"/>
      <c r="AE140" s="173" t="n"/>
      <c r="AF140" s="173" t="n"/>
      <c r="AG140" s="173" t="n"/>
      <c r="AH140" s="173" t="n"/>
    </row>
    <row r="141" ht="12.75" customHeight="1"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173" t="n"/>
      <c r="U141" s="173" t="n"/>
      <c r="V141" s="173" t="n"/>
      <c r="W141" s="173" t="n"/>
      <c r="X141" s="173" t="n"/>
      <c r="Y141" s="173" t="n"/>
      <c r="Z141" s="173" t="n"/>
      <c r="AA141" s="173" t="n"/>
      <c r="AB141" s="173" t="n"/>
      <c r="AC141" s="173" t="n"/>
      <c r="AD141" s="173" t="n"/>
      <c r="AE141" s="173" t="n"/>
      <c r="AF141" s="173" t="n"/>
      <c r="AG141" s="173" t="n"/>
      <c r="AH141" s="173" t="n"/>
    </row>
    <row r="142" ht="12.75" customHeight="1"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173" t="n"/>
      <c r="U142" s="173" t="n"/>
      <c r="V142" s="173" t="n"/>
      <c r="W142" s="173" t="n"/>
      <c r="X142" s="173" t="n"/>
      <c r="Y142" s="173" t="n"/>
      <c r="Z142" s="173" t="n"/>
      <c r="AA142" s="173" t="n"/>
      <c r="AB142" s="173" t="n"/>
      <c r="AC142" s="173" t="n"/>
      <c r="AD142" s="173" t="n"/>
      <c r="AE142" s="173" t="n"/>
      <c r="AF142" s="173" t="n"/>
      <c r="AG142" s="173" t="n"/>
      <c r="AH142" s="173" t="n"/>
    </row>
    <row r="143" ht="12.75" customHeight="1"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173" t="n"/>
      <c r="U143" s="173" t="n"/>
      <c r="V143" s="173" t="n"/>
      <c r="W143" s="173" t="n"/>
      <c r="X143" s="173" t="n"/>
      <c r="Y143" s="173" t="n"/>
      <c r="Z143" s="173" t="n"/>
      <c r="AA143" s="173" t="n"/>
      <c r="AB143" s="173" t="n"/>
      <c r="AC143" s="173" t="n"/>
      <c r="AD143" s="173" t="n"/>
      <c r="AE143" s="173" t="n"/>
      <c r="AF143" s="173" t="n"/>
      <c r="AG143" s="173" t="n"/>
      <c r="AH143" s="173" t="n"/>
    </row>
    <row r="144" ht="12.75" customHeight="1"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173" t="n"/>
      <c r="U144" s="173" t="n"/>
      <c r="V144" s="173" t="n"/>
      <c r="W144" s="173" t="n"/>
      <c r="X144" s="173" t="n"/>
      <c r="Y144" s="173" t="n"/>
      <c r="Z144" s="173" t="n"/>
      <c r="AA144" s="173" t="n"/>
      <c r="AB144" s="173" t="n"/>
      <c r="AC144" s="173" t="n"/>
      <c r="AD144" s="173" t="n"/>
      <c r="AE144" s="173" t="n"/>
      <c r="AF144" s="173" t="n"/>
      <c r="AG144" s="173" t="n"/>
      <c r="AH144" s="173" t="n"/>
    </row>
    <row r="145" ht="12.75" customHeight="1"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173" t="n"/>
      <c r="U145" s="173" t="n"/>
      <c r="V145" s="173" t="n"/>
      <c r="W145" s="173" t="n"/>
      <c r="X145" s="173" t="n"/>
      <c r="Y145" s="173" t="n"/>
      <c r="Z145" s="173" t="n"/>
      <c r="AA145" s="173" t="n"/>
      <c r="AB145" s="173" t="n"/>
      <c r="AC145" s="173" t="n"/>
      <c r="AD145" s="173" t="n"/>
      <c r="AE145" s="173" t="n"/>
      <c r="AF145" s="173" t="n"/>
      <c r="AG145" s="173" t="n"/>
      <c r="AH145" s="173" t="n"/>
    </row>
    <row r="146" ht="12.75" customHeight="1"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173" t="n"/>
      <c r="U146" s="173" t="n"/>
      <c r="V146" s="173" t="n"/>
      <c r="W146" s="173" t="n"/>
      <c r="X146" s="173" t="n"/>
      <c r="Y146" s="173" t="n"/>
      <c r="Z146" s="173" t="n"/>
      <c r="AA146" s="173" t="n"/>
      <c r="AB146" s="173" t="n"/>
      <c r="AC146" s="173" t="n"/>
      <c r="AD146" s="173" t="n"/>
      <c r="AE146" s="173" t="n"/>
      <c r="AF146" s="173" t="n"/>
      <c r="AG146" s="173" t="n"/>
      <c r="AH146" s="173" t="n"/>
    </row>
    <row r="147" ht="12.75" customHeight="1"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173" t="n"/>
      <c r="U147" s="173" t="n"/>
      <c r="V147" s="173" t="n"/>
      <c r="W147" s="173" t="n"/>
      <c r="X147" s="173" t="n"/>
      <c r="Y147" s="173" t="n"/>
      <c r="Z147" s="173" t="n"/>
      <c r="AA147" s="173" t="n"/>
      <c r="AB147" s="173" t="n"/>
      <c r="AC147" s="173" t="n"/>
      <c r="AD147" s="173" t="n"/>
      <c r="AE147" s="173" t="n"/>
      <c r="AF147" s="173" t="n"/>
      <c r="AG147" s="173" t="n"/>
      <c r="AH147" s="173" t="n"/>
    </row>
    <row r="148" ht="12.75" customHeight="1"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173" t="n"/>
      <c r="U148" s="173" t="n"/>
      <c r="V148" s="173" t="n"/>
      <c r="W148" s="173" t="n"/>
      <c r="X148" s="173" t="n"/>
      <c r="Y148" s="173" t="n"/>
      <c r="Z148" s="173" t="n"/>
      <c r="AA148" s="173" t="n"/>
      <c r="AB148" s="173" t="n"/>
      <c r="AC148" s="173" t="n"/>
      <c r="AD148" s="173" t="n"/>
      <c r="AE148" s="173" t="n"/>
      <c r="AF148" s="173" t="n"/>
      <c r="AG148" s="173" t="n"/>
      <c r="AH148" s="173" t="n"/>
    </row>
    <row r="149" ht="12.75" customHeight="1"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173" t="n"/>
      <c r="U149" s="173" t="n"/>
      <c r="V149" s="173" t="n"/>
      <c r="W149" s="173" t="n"/>
      <c r="X149" s="173" t="n"/>
      <c r="Y149" s="173" t="n"/>
      <c r="Z149" s="173" t="n"/>
      <c r="AA149" s="173" t="n"/>
      <c r="AB149" s="173" t="n"/>
      <c r="AC149" s="173" t="n"/>
      <c r="AD149" s="173" t="n"/>
      <c r="AE149" s="173" t="n"/>
      <c r="AF149" s="173" t="n"/>
      <c r="AG149" s="173" t="n"/>
      <c r="AH149" s="173" t="n"/>
    </row>
    <row r="150" ht="12.75" customHeight="1"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173" t="n"/>
      <c r="U150" s="173" t="n"/>
      <c r="V150" s="173" t="n"/>
      <c r="W150" s="173" t="n"/>
      <c r="X150" s="173" t="n"/>
      <c r="Y150" s="173" t="n"/>
      <c r="Z150" s="173" t="n"/>
      <c r="AA150" s="173" t="n"/>
      <c r="AB150" s="173" t="n"/>
      <c r="AC150" s="173" t="n"/>
      <c r="AD150" s="173" t="n"/>
      <c r="AE150" s="173" t="n"/>
      <c r="AF150" s="173" t="n"/>
      <c r="AG150" s="173" t="n"/>
      <c r="AH150" s="173" t="n"/>
    </row>
    <row r="151" ht="12.75" customHeight="1"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173" t="n"/>
      <c r="U151" s="173" t="n"/>
      <c r="V151" s="173" t="n"/>
      <c r="W151" s="173" t="n"/>
      <c r="X151" s="173" t="n"/>
      <c r="Y151" s="173" t="n"/>
      <c r="Z151" s="173" t="n"/>
      <c r="AA151" s="173" t="n"/>
      <c r="AB151" s="173" t="n"/>
      <c r="AC151" s="173" t="n"/>
      <c r="AD151" s="173" t="n"/>
      <c r="AE151" s="173" t="n"/>
      <c r="AF151" s="173" t="n"/>
      <c r="AG151" s="173" t="n"/>
      <c r="AH151" s="173" t="n"/>
    </row>
    <row r="152" ht="12.75" customHeight="1"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173" t="n"/>
      <c r="U152" s="173" t="n"/>
      <c r="V152" s="173" t="n"/>
      <c r="W152" s="173" t="n"/>
      <c r="X152" s="173" t="n"/>
      <c r="Y152" s="173" t="n"/>
      <c r="Z152" s="173" t="n"/>
      <c r="AA152" s="173" t="n"/>
      <c r="AB152" s="173" t="n"/>
      <c r="AC152" s="173" t="n"/>
      <c r="AD152" s="173" t="n"/>
      <c r="AE152" s="173" t="n"/>
      <c r="AF152" s="173" t="n"/>
      <c r="AG152" s="173" t="n"/>
      <c r="AH152" s="173" t="n"/>
    </row>
    <row r="153" ht="12.75" customHeight="1"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173" t="n"/>
      <c r="U153" s="173" t="n"/>
      <c r="V153" s="173" t="n"/>
      <c r="W153" s="173" t="n"/>
      <c r="X153" s="173" t="n"/>
      <c r="Y153" s="173" t="n"/>
      <c r="Z153" s="173" t="n"/>
      <c r="AA153" s="173" t="n"/>
      <c r="AB153" s="173" t="n"/>
      <c r="AC153" s="173" t="n"/>
      <c r="AD153" s="173" t="n"/>
      <c r="AE153" s="173" t="n"/>
      <c r="AF153" s="173" t="n"/>
      <c r="AG153" s="173" t="n"/>
      <c r="AH153" s="173" t="n"/>
    </row>
    <row r="154" ht="12.75" customHeight="1"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173" t="n"/>
      <c r="U154" s="173" t="n"/>
      <c r="V154" s="173" t="n"/>
      <c r="W154" s="173" t="n"/>
      <c r="X154" s="173" t="n"/>
      <c r="Y154" s="173" t="n"/>
      <c r="Z154" s="173" t="n"/>
      <c r="AA154" s="173" t="n"/>
      <c r="AB154" s="173" t="n"/>
      <c r="AC154" s="173" t="n"/>
      <c r="AD154" s="173" t="n"/>
      <c r="AE154" s="173" t="n"/>
      <c r="AF154" s="173" t="n"/>
      <c r="AG154" s="173" t="n"/>
      <c r="AH154" s="173" t="n"/>
    </row>
    <row r="155" ht="12.75" customHeight="1"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173" t="n"/>
      <c r="U155" s="173" t="n"/>
      <c r="V155" s="173" t="n"/>
      <c r="W155" s="173" t="n"/>
      <c r="X155" s="173" t="n"/>
      <c r="Y155" s="173" t="n"/>
      <c r="Z155" s="173" t="n"/>
      <c r="AA155" s="173" t="n"/>
      <c r="AB155" s="173" t="n"/>
      <c r="AC155" s="173" t="n"/>
      <c r="AD155" s="173" t="n"/>
      <c r="AE155" s="173" t="n"/>
      <c r="AF155" s="173" t="n"/>
      <c r="AG155" s="173" t="n"/>
      <c r="AH155" s="173" t="n"/>
    </row>
    <row r="156" ht="12.75" customHeight="1"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173" t="n"/>
      <c r="U156" s="173" t="n"/>
      <c r="V156" s="173" t="n"/>
      <c r="W156" s="173" t="n"/>
      <c r="X156" s="173" t="n"/>
      <c r="Y156" s="173" t="n"/>
      <c r="Z156" s="173" t="n"/>
      <c r="AA156" s="173" t="n"/>
      <c r="AB156" s="173" t="n"/>
      <c r="AC156" s="173" t="n"/>
      <c r="AD156" s="173" t="n"/>
      <c r="AE156" s="173" t="n"/>
      <c r="AF156" s="173" t="n"/>
      <c r="AG156" s="173" t="n"/>
      <c r="AH156" s="173" t="n"/>
    </row>
    <row r="157" ht="12.75" customHeight="1"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173" t="n"/>
      <c r="U157" s="173" t="n"/>
      <c r="V157" s="173" t="n"/>
      <c r="W157" s="173" t="n"/>
      <c r="X157" s="173" t="n"/>
      <c r="Y157" s="173" t="n"/>
      <c r="Z157" s="173" t="n"/>
      <c r="AA157" s="173" t="n"/>
      <c r="AB157" s="173" t="n"/>
      <c r="AC157" s="173" t="n"/>
      <c r="AD157" s="173" t="n"/>
      <c r="AE157" s="173" t="n"/>
      <c r="AF157" s="173" t="n"/>
      <c r="AG157" s="173" t="n"/>
      <c r="AH157" s="173" t="n"/>
    </row>
    <row r="158" ht="12.75" customHeight="1"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173" t="n"/>
      <c r="U158" s="173" t="n"/>
      <c r="V158" s="173" t="n"/>
      <c r="W158" s="173" t="n"/>
      <c r="X158" s="173" t="n"/>
      <c r="Y158" s="173" t="n"/>
      <c r="Z158" s="173" t="n"/>
      <c r="AA158" s="173" t="n"/>
      <c r="AB158" s="173" t="n"/>
      <c r="AC158" s="173" t="n"/>
      <c r="AD158" s="173" t="n"/>
      <c r="AE158" s="173" t="n"/>
      <c r="AF158" s="173" t="n"/>
      <c r="AG158" s="173" t="n"/>
      <c r="AH158" s="173" t="n"/>
    </row>
    <row r="159" ht="12.75" customHeight="1"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173" t="n"/>
      <c r="U159" s="173" t="n"/>
      <c r="V159" s="173" t="n"/>
      <c r="W159" s="173" t="n"/>
      <c r="X159" s="173" t="n"/>
      <c r="Y159" s="173" t="n"/>
      <c r="Z159" s="173" t="n"/>
      <c r="AA159" s="173" t="n"/>
      <c r="AB159" s="173" t="n"/>
      <c r="AC159" s="173" t="n"/>
      <c r="AD159" s="173" t="n"/>
      <c r="AE159" s="173" t="n"/>
      <c r="AF159" s="173" t="n"/>
      <c r="AG159" s="173" t="n"/>
      <c r="AH159" s="173" t="n"/>
    </row>
    <row r="160" ht="12.75" customHeight="1"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173" t="n"/>
      <c r="U160" s="173" t="n"/>
      <c r="V160" s="173" t="n"/>
      <c r="W160" s="173" t="n"/>
      <c r="X160" s="173" t="n"/>
      <c r="Y160" s="173" t="n"/>
      <c r="Z160" s="173" t="n"/>
      <c r="AA160" s="173" t="n"/>
      <c r="AB160" s="173" t="n"/>
      <c r="AC160" s="173" t="n"/>
      <c r="AD160" s="173" t="n"/>
      <c r="AE160" s="173" t="n"/>
      <c r="AF160" s="173" t="n"/>
      <c r="AG160" s="173" t="n"/>
      <c r="AH160" s="173" t="n"/>
    </row>
    <row r="161" ht="12.75" customHeight="1"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173" t="n"/>
      <c r="U161" s="173" t="n"/>
      <c r="V161" s="173" t="n"/>
      <c r="W161" s="173" t="n"/>
      <c r="X161" s="173" t="n"/>
      <c r="Y161" s="173" t="n"/>
      <c r="Z161" s="173" t="n"/>
      <c r="AA161" s="173" t="n"/>
      <c r="AB161" s="173" t="n"/>
      <c r="AC161" s="173" t="n"/>
      <c r="AD161" s="173" t="n"/>
      <c r="AE161" s="173" t="n"/>
      <c r="AF161" s="173" t="n"/>
      <c r="AG161" s="173" t="n"/>
      <c r="AH161" s="173" t="n"/>
    </row>
    <row r="162" ht="12.75" customHeight="1"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173" t="n"/>
      <c r="U162" s="173" t="n"/>
      <c r="V162" s="173" t="n"/>
      <c r="W162" s="173" t="n"/>
      <c r="X162" s="173" t="n"/>
      <c r="Y162" s="173" t="n"/>
      <c r="Z162" s="173" t="n"/>
      <c r="AA162" s="173" t="n"/>
      <c r="AB162" s="173" t="n"/>
      <c r="AC162" s="173" t="n"/>
      <c r="AD162" s="173" t="n"/>
      <c r="AE162" s="173" t="n"/>
      <c r="AF162" s="173" t="n"/>
      <c r="AG162" s="173" t="n"/>
      <c r="AH162" s="173" t="n"/>
    </row>
    <row r="163" ht="12.75" customHeight="1"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173" t="n"/>
      <c r="U163" s="173" t="n"/>
      <c r="V163" s="173" t="n"/>
      <c r="W163" s="173" t="n"/>
      <c r="X163" s="173" t="n"/>
      <c r="Y163" s="173" t="n"/>
      <c r="Z163" s="173" t="n"/>
      <c r="AA163" s="173" t="n"/>
      <c r="AB163" s="173" t="n"/>
      <c r="AC163" s="173" t="n"/>
      <c r="AD163" s="173" t="n"/>
      <c r="AE163" s="173" t="n"/>
      <c r="AF163" s="173" t="n"/>
      <c r="AG163" s="173" t="n"/>
      <c r="AH163" s="173" t="n"/>
    </row>
    <row r="164" ht="12.75" customHeight="1"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173" t="n"/>
      <c r="U164" s="173" t="n"/>
      <c r="V164" s="173" t="n"/>
      <c r="W164" s="173" t="n"/>
      <c r="X164" s="173" t="n"/>
      <c r="Y164" s="173" t="n"/>
      <c r="Z164" s="173" t="n"/>
      <c r="AA164" s="173" t="n"/>
      <c r="AB164" s="173" t="n"/>
      <c r="AC164" s="173" t="n"/>
      <c r="AD164" s="173" t="n"/>
      <c r="AE164" s="173" t="n"/>
      <c r="AF164" s="173" t="n"/>
      <c r="AG164" s="173" t="n"/>
      <c r="AH164" s="173" t="n"/>
    </row>
    <row r="165" ht="12.75" customHeight="1"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173" t="n"/>
      <c r="U165" s="173" t="n"/>
      <c r="V165" s="173" t="n"/>
      <c r="W165" s="173" t="n"/>
      <c r="X165" s="173" t="n"/>
      <c r="Y165" s="173" t="n"/>
      <c r="Z165" s="173" t="n"/>
      <c r="AA165" s="173" t="n"/>
      <c r="AB165" s="173" t="n"/>
      <c r="AC165" s="173" t="n"/>
      <c r="AD165" s="173" t="n"/>
      <c r="AE165" s="173" t="n"/>
      <c r="AF165" s="173" t="n"/>
      <c r="AG165" s="173" t="n"/>
      <c r="AH165" s="173" t="n"/>
    </row>
    <row r="166" ht="12.75" customHeight="1"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173" t="n"/>
      <c r="U166" s="173" t="n"/>
      <c r="V166" s="173" t="n"/>
      <c r="W166" s="173" t="n"/>
      <c r="X166" s="173" t="n"/>
      <c r="Y166" s="173" t="n"/>
      <c r="Z166" s="173" t="n"/>
      <c r="AA166" s="173" t="n"/>
      <c r="AB166" s="173" t="n"/>
      <c r="AC166" s="173" t="n"/>
      <c r="AD166" s="173" t="n"/>
      <c r="AE166" s="173" t="n"/>
      <c r="AF166" s="173" t="n"/>
      <c r="AG166" s="173" t="n"/>
      <c r="AH166" s="173" t="n"/>
    </row>
    <row r="167" ht="12.75" customHeight="1"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173" t="n"/>
      <c r="U167" s="173" t="n"/>
      <c r="V167" s="173" t="n"/>
      <c r="W167" s="173" t="n"/>
      <c r="X167" s="173" t="n"/>
      <c r="Y167" s="173" t="n"/>
      <c r="Z167" s="173" t="n"/>
      <c r="AA167" s="173" t="n"/>
      <c r="AB167" s="173" t="n"/>
      <c r="AC167" s="173" t="n"/>
      <c r="AD167" s="173" t="n"/>
      <c r="AE167" s="173" t="n"/>
      <c r="AF167" s="173" t="n"/>
      <c r="AG167" s="173" t="n"/>
      <c r="AH167" s="173" t="n"/>
    </row>
    <row r="168" ht="12.75" customHeight="1"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173" t="n"/>
      <c r="U168" s="173" t="n"/>
      <c r="V168" s="173" t="n"/>
      <c r="W168" s="173" t="n"/>
      <c r="X168" s="173" t="n"/>
      <c r="Y168" s="173" t="n"/>
      <c r="Z168" s="173" t="n"/>
      <c r="AA168" s="173" t="n"/>
      <c r="AB168" s="173" t="n"/>
      <c r="AC168" s="173" t="n"/>
      <c r="AD168" s="173" t="n"/>
      <c r="AE168" s="173" t="n"/>
      <c r="AF168" s="173" t="n"/>
      <c r="AG168" s="173" t="n"/>
      <c r="AH168" s="173" t="n"/>
    </row>
    <row r="169" ht="12.75" customHeight="1"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173" t="n"/>
      <c r="U169" s="173" t="n"/>
      <c r="V169" s="173" t="n"/>
      <c r="W169" s="173" t="n"/>
      <c r="X169" s="173" t="n"/>
      <c r="Y169" s="173" t="n"/>
      <c r="Z169" s="173" t="n"/>
      <c r="AA169" s="173" t="n"/>
      <c r="AB169" s="173" t="n"/>
      <c r="AC169" s="173" t="n"/>
      <c r="AD169" s="173" t="n"/>
      <c r="AE169" s="173" t="n"/>
      <c r="AF169" s="173" t="n"/>
      <c r="AG169" s="173" t="n"/>
      <c r="AH169" s="173" t="n"/>
    </row>
    <row r="170" ht="12.75" customHeight="1"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173" t="n"/>
      <c r="U170" s="173" t="n"/>
      <c r="V170" s="173" t="n"/>
      <c r="W170" s="173" t="n"/>
      <c r="X170" s="173" t="n"/>
      <c r="Y170" s="173" t="n"/>
      <c r="Z170" s="173" t="n"/>
      <c r="AA170" s="173" t="n"/>
      <c r="AB170" s="173" t="n"/>
      <c r="AC170" s="173" t="n"/>
      <c r="AD170" s="173" t="n"/>
      <c r="AE170" s="173" t="n"/>
      <c r="AF170" s="173" t="n"/>
      <c r="AG170" s="173" t="n"/>
      <c r="AH170" s="173" t="n"/>
    </row>
    <row r="171" ht="12.75" customHeight="1"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173" t="n"/>
      <c r="U171" s="173" t="n"/>
      <c r="V171" s="173" t="n"/>
      <c r="W171" s="173" t="n"/>
      <c r="X171" s="173" t="n"/>
      <c r="Y171" s="173" t="n"/>
      <c r="Z171" s="173" t="n"/>
      <c r="AA171" s="173" t="n"/>
      <c r="AB171" s="173" t="n"/>
      <c r="AC171" s="173" t="n"/>
      <c r="AD171" s="173" t="n"/>
      <c r="AE171" s="173" t="n"/>
      <c r="AF171" s="173" t="n"/>
      <c r="AG171" s="173" t="n"/>
      <c r="AH171" s="173" t="n"/>
    </row>
    <row r="172" ht="12.75" customHeight="1"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173" t="n"/>
      <c r="U172" s="173" t="n"/>
      <c r="V172" s="173" t="n"/>
      <c r="W172" s="173" t="n"/>
      <c r="X172" s="173" t="n"/>
      <c r="Y172" s="173" t="n"/>
      <c r="Z172" s="173" t="n"/>
      <c r="AA172" s="173" t="n"/>
      <c r="AB172" s="173" t="n"/>
      <c r="AC172" s="173" t="n"/>
      <c r="AD172" s="173" t="n"/>
      <c r="AE172" s="173" t="n"/>
      <c r="AF172" s="173" t="n"/>
      <c r="AG172" s="173" t="n"/>
      <c r="AH172" s="173" t="n"/>
    </row>
    <row r="173" ht="12.75" customHeight="1"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173" t="n"/>
      <c r="U173" s="173" t="n"/>
      <c r="V173" s="173" t="n"/>
      <c r="W173" s="173" t="n"/>
      <c r="X173" s="173" t="n"/>
      <c r="Y173" s="173" t="n"/>
      <c r="Z173" s="173" t="n"/>
      <c r="AA173" s="173" t="n"/>
      <c r="AB173" s="173" t="n"/>
      <c r="AC173" s="173" t="n"/>
      <c r="AD173" s="173" t="n"/>
      <c r="AE173" s="173" t="n"/>
      <c r="AF173" s="173" t="n"/>
      <c r="AG173" s="173" t="n"/>
      <c r="AH173" s="173" t="n"/>
    </row>
    <row r="174" ht="12.75" customHeight="1"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173" t="n"/>
      <c r="U174" s="173" t="n"/>
      <c r="V174" s="173" t="n"/>
      <c r="W174" s="173" t="n"/>
      <c r="X174" s="173" t="n"/>
      <c r="Y174" s="173" t="n"/>
      <c r="Z174" s="173" t="n"/>
      <c r="AA174" s="173" t="n"/>
      <c r="AB174" s="173" t="n"/>
      <c r="AC174" s="173" t="n"/>
      <c r="AD174" s="173" t="n"/>
      <c r="AE174" s="173" t="n"/>
      <c r="AF174" s="173" t="n"/>
      <c r="AG174" s="173" t="n"/>
      <c r="AH174" s="173" t="n"/>
    </row>
    <row r="175" ht="12.75" customHeight="1"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173" t="n"/>
      <c r="U175" s="173" t="n"/>
      <c r="V175" s="173" t="n"/>
      <c r="W175" s="173" t="n"/>
      <c r="X175" s="173" t="n"/>
      <c r="Y175" s="173" t="n"/>
      <c r="Z175" s="173" t="n"/>
      <c r="AA175" s="173" t="n"/>
      <c r="AB175" s="173" t="n"/>
      <c r="AC175" s="173" t="n"/>
      <c r="AD175" s="173" t="n"/>
      <c r="AE175" s="173" t="n"/>
      <c r="AF175" s="173" t="n"/>
      <c r="AG175" s="173" t="n"/>
      <c r="AH175" s="173" t="n"/>
    </row>
    <row r="176" ht="12.75" customHeight="1"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173" t="n"/>
      <c r="U176" s="173" t="n"/>
      <c r="V176" s="173" t="n"/>
      <c r="W176" s="173" t="n"/>
      <c r="X176" s="173" t="n"/>
      <c r="Y176" s="173" t="n"/>
      <c r="Z176" s="173" t="n"/>
      <c r="AA176" s="173" t="n"/>
      <c r="AB176" s="173" t="n"/>
      <c r="AC176" s="173" t="n"/>
      <c r="AD176" s="173" t="n"/>
      <c r="AE176" s="173" t="n"/>
      <c r="AF176" s="173" t="n"/>
      <c r="AG176" s="173" t="n"/>
      <c r="AH176" s="173" t="n"/>
    </row>
    <row r="177" ht="12.75" customHeight="1"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173" t="n"/>
      <c r="U177" s="173" t="n"/>
      <c r="V177" s="173" t="n"/>
      <c r="W177" s="173" t="n"/>
      <c r="X177" s="173" t="n"/>
      <c r="Y177" s="173" t="n"/>
      <c r="Z177" s="173" t="n"/>
      <c r="AA177" s="173" t="n"/>
      <c r="AB177" s="173" t="n"/>
      <c r="AC177" s="173" t="n"/>
      <c r="AD177" s="173" t="n"/>
      <c r="AE177" s="173" t="n"/>
      <c r="AF177" s="173" t="n"/>
      <c r="AG177" s="173" t="n"/>
      <c r="AH177" s="173" t="n"/>
    </row>
    <row r="178" ht="12.75" customHeight="1"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173" t="n"/>
      <c r="U178" s="173" t="n"/>
      <c r="V178" s="173" t="n"/>
      <c r="W178" s="173" t="n"/>
      <c r="X178" s="173" t="n"/>
      <c r="Y178" s="173" t="n"/>
      <c r="Z178" s="173" t="n"/>
      <c r="AA178" s="173" t="n"/>
      <c r="AB178" s="173" t="n"/>
      <c r="AC178" s="173" t="n"/>
      <c r="AD178" s="173" t="n"/>
      <c r="AE178" s="173" t="n"/>
      <c r="AF178" s="173" t="n"/>
      <c r="AG178" s="173" t="n"/>
      <c r="AH178" s="173" t="n"/>
    </row>
    <row r="179" ht="12.75" customHeight="1"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173" t="n"/>
      <c r="U179" s="173" t="n"/>
      <c r="V179" s="173" t="n"/>
      <c r="W179" s="173" t="n"/>
      <c r="X179" s="173" t="n"/>
      <c r="Y179" s="173" t="n"/>
      <c r="Z179" s="173" t="n"/>
      <c r="AA179" s="173" t="n"/>
      <c r="AB179" s="173" t="n"/>
      <c r="AC179" s="173" t="n"/>
      <c r="AD179" s="173" t="n"/>
      <c r="AE179" s="173" t="n"/>
      <c r="AF179" s="173" t="n"/>
      <c r="AG179" s="173" t="n"/>
      <c r="AH179" s="173" t="n"/>
    </row>
    <row r="180" ht="12.75" customHeight="1"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173" t="n"/>
      <c r="U180" s="173" t="n"/>
      <c r="V180" s="173" t="n"/>
      <c r="W180" s="173" t="n"/>
      <c r="X180" s="173" t="n"/>
      <c r="Y180" s="173" t="n"/>
      <c r="Z180" s="173" t="n"/>
      <c r="AA180" s="173" t="n"/>
      <c r="AB180" s="173" t="n"/>
      <c r="AC180" s="173" t="n"/>
      <c r="AD180" s="173" t="n"/>
      <c r="AE180" s="173" t="n"/>
      <c r="AF180" s="173" t="n"/>
      <c r="AG180" s="173" t="n"/>
      <c r="AH180" s="173" t="n"/>
    </row>
    <row r="181" ht="12.75" customHeight="1"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173" t="n"/>
      <c r="U181" s="173" t="n"/>
      <c r="V181" s="173" t="n"/>
      <c r="W181" s="173" t="n"/>
      <c r="X181" s="173" t="n"/>
      <c r="Y181" s="173" t="n"/>
      <c r="Z181" s="173" t="n"/>
      <c r="AA181" s="173" t="n"/>
      <c r="AB181" s="173" t="n"/>
      <c r="AC181" s="173" t="n"/>
      <c r="AD181" s="173" t="n"/>
      <c r="AE181" s="173" t="n"/>
      <c r="AF181" s="173" t="n"/>
      <c r="AG181" s="173" t="n"/>
      <c r="AH181" s="173" t="n"/>
    </row>
    <row r="182" ht="12.75" customHeight="1"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173" t="n"/>
      <c r="U182" s="173" t="n"/>
      <c r="V182" s="173" t="n"/>
      <c r="W182" s="173" t="n"/>
      <c r="X182" s="173" t="n"/>
      <c r="Y182" s="173" t="n"/>
      <c r="Z182" s="173" t="n"/>
      <c r="AA182" s="173" t="n"/>
      <c r="AB182" s="173" t="n"/>
      <c r="AC182" s="173" t="n"/>
      <c r="AD182" s="173" t="n"/>
      <c r="AE182" s="173" t="n"/>
      <c r="AF182" s="173" t="n"/>
      <c r="AG182" s="173" t="n"/>
      <c r="AH182" s="173" t="n"/>
    </row>
    <row r="183" ht="12.75" customHeight="1"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</row>
    <row r="184" ht="12.75" customHeight="1"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</row>
    <row r="185" ht="12.75" customHeight="1"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</row>
    <row r="186" ht="12.75" customHeight="1"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</row>
    <row r="187" ht="12.75" customHeight="1"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</row>
    <row r="188" ht="12.75" customHeight="1"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</row>
    <row r="189" ht="12.75" customHeight="1"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</row>
    <row r="190" ht="12.75" customHeight="1"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</row>
    <row r="191" ht="12.75" customHeight="1"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</row>
    <row r="192" ht="12.75" customHeight="1"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</row>
    <row r="193" ht="12.75" customHeight="1"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</row>
    <row r="194" ht="12.75" customHeight="1"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</row>
    <row r="195" ht="12.75" customHeight="1"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</row>
    <row r="196" ht="12.75" customHeight="1"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</row>
    <row r="197" ht="12.75" customHeight="1"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</row>
    <row r="198" ht="12.75" customHeight="1"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</row>
    <row r="199" ht="12.75" customHeight="1"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</row>
    <row r="200" ht="12.75" customHeight="1"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</row>
    <row r="201" ht="12.75" customHeight="1"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</row>
    <row r="202" ht="12.75" customHeight="1"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</row>
    <row r="203" ht="12.75" customHeight="1"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</row>
    <row r="204" ht="12.75" customHeight="1"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</row>
    <row r="205" ht="12.75" customHeight="1"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</row>
    <row r="206" ht="12.75" customHeight="1"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</row>
    <row r="207" ht="12.75" customHeight="1"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</row>
    <row r="208" ht="12.75" customHeight="1"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</row>
    <row r="209" ht="12.75" customHeight="1"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</row>
    <row r="210" ht="12.75" customHeight="1"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</row>
    <row r="211" ht="12.75" customHeight="1"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</row>
    <row r="212" ht="12.75" customHeight="1"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</row>
    <row r="213" ht="12.75" customHeight="1"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</row>
    <row r="214" ht="12.75" customHeight="1"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</row>
    <row r="215" ht="12.75" customHeight="1"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</row>
    <row r="216" ht="12.75" customHeight="1"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</row>
    <row r="217" ht="12.75" customHeight="1"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</row>
    <row r="218" ht="12.75" customHeight="1"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</row>
    <row r="219" ht="12.75" customHeight="1"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</row>
    <row r="220" ht="12.75" customHeight="1"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</row>
    <row r="221" ht="12.75" customHeight="1"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</row>
    <row r="222" ht="12.75" customHeight="1"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</row>
    <row r="223" ht="12.75" customHeight="1"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</row>
    <row r="224" ht="12.75" customHeight="1"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</row>
    <row r="225" ht="12.75" customHeight="1"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</row>
    <row r="226" ht="12.75" customHeight="1"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</row>
    <row r="227" ht="12.75" customHeight="1"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</row>
    <row r="228" ht="12.75" customHeight="1"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</row>
    <row r="229" ht="12.75" customHeight="1"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</row>
    <row r="230" ht="12.75" customHeight="1"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</row>
    <row r="231" ht="12.75" customHeight="1"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</row>
    <row r="232" ht="12.75" customHeight="1"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</row>
    <row r="233" ht="12.75" customHeight="1"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</row>
    <row r="234" ht="12.75" customHeight="1"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</row>
    <row r="235" ht="12.75" customHeight="1"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</row>
    <row r="236" ht="12.75" customHeight="1"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</row>
    <row r="237" ht="12.75" customHeight="1"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</row>
    <row r="238" ht="12.75" customHeight="1"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</row>
    <row r="239" ht="12.75" customHeight="1"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</row>
    <row r="240" ht="12.75" customHeight="1"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</row>
    <row r="241" ht="12.75" customHeight="1"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</row>
    <row r="242" ht="12.75" customHeight="1"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</row>
    <row r="243" ht="12.75" customHeight="1"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</row>
    <row r="244" ht="12.75" customHeight="1"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</row>
    <row r="245" ht="12.75" customHeight="1"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</row>
    <row r="246" ht="12.75" customHeight="1"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</row>
    <row r="247" ht="12.75" customHeight="1"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</row>
    <row r="248" ht="12.75" customHeight="1"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</row>
    <row r="249" ht="12.75" customHeight="1"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</row>
    <row r="250" ht="12.75" customHeight="1"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</row>
    <row r="251" ht="12.75" customHeight="1"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</row>
    <row r="252" ht="12.75" customHeight="1"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</row>
    <row r="253" ht="12.75" customHeight="1"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</row>
    <row r="254" ht="12.75" customHeight="1"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</row>
    <row r="255" ht="12.75" customHeight="1"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</row>
    <row r="256" ht="12.75" customHeight="1"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</row>
    <row r="257" ht="12.75" customHeight="1"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</row>
    <row r="258" ht="12.75" customHeight="1"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</row>
    <row r="259" ht="12.75" customHeight="1"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</row>
    <row r="260" ht="12.75" customHeight="1"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</row>
    <row r="261" ht="12.75" customHeight="1"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</row>
    <row r="262" ht="12.75" customHeight="1"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</row>
    <row r="263" ht="12.75" customHeight="1"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</row>
    <row r="264" ht="12.75" customHeight="1"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</row>
    <row r="265" ht="12.75" customHeight="1"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</row>
    <row r="266" ht="12.75" customHeight="1"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</row>
    <row r="267" ht="12.75" customHeight="1"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</row>
    <row r="268" ht="12.75" customHeight="1"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</row>
    <row r="269" ht="12.75" customHeight="1"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</row>
    <row r="270" ht="12.75" customHeight="1"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</row>
    <row r="271" ht="12.75" customHeight="1"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</row>
    <row r="272" ht="12.75" customHeight="1"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</row>
    <row r="273" ht="12.75" customHeight="1"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</row>
    <row r="274" ht="12.75" customHeight="1"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</row>
    <row r="275" ht="12.75" customHeight="1"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</row>
    <row r="276" ht="12.75" customHeight="1"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</row>
    <row r="277" ht="12.75" customHeight="1"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</row>
    <row r="278" ht="12.75" customHeight="1"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</row>
    <row r="279" ht="12.75" customHeight="1"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</row>
    <row r="280" ht="12.75" customHeight="1"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</row>
    <row r="281" ht="12.75" customHeight="1"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</row>
    <row r="282" ht="12.75" customHeight="1"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</row>
    <row r="283" ht="12.75" customHeight="1"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</row>
    <row r="284" ht="12.75" customHeight="1"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</row>
    <row r="285" ht="12.75" customHeight="1"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</row>
    <row r="286" ht="12.75" customHeight="1"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</row>
    <row r="287" ht="12.75" customHeight="1"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</row>
    <row r="288" ht="12.75" customHeight="1"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</row>
    <row r="289" ht="12.75" customHeight="1"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</row>
    <row r="290" ht="12.75" customHeight="1"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</row>
    <row r="291" ht="12.75" customHeight="1"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</row>
    <row r="292" ht="12.75" customHeight="1"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</row>
    <row r="293" ht="12.75" customHeight="1"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</row>
    <row r="294" ht="12.75" customHeight="1"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</row>
    <row r="295" ht="12.75" customHeight="1"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</row>
    <row r="296" ht="12.75" customHeight="1"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</row>
    <row r="297" ht="12.75" customHeight="1"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</row>
    <row r="298" ht="12.75" customHeight="1"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</row>
    <row r="299" ht="12.75" customHeight="1"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</row>
    <row r="300" ht="12.75" customHeight="1"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</row>
    <row r="301" ht="12.75" customHeight="1"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</row>
    <row r="302" ht="12.75" customHeight="1"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</row>
    <row r="303" ht="12.75" customHeight="1"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</row>
    <row r="304" ht="12.75" customHeight="1"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</row>
    <row r="305" ht="12.75" customHeight="1"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</row>
    <row r="306" ht="12.75" customHeight="1"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</row>
    <row r="307" ht="12.75" customHeight="1"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</row>
    <row r="308" ht="12.75" customHeight="1"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</row>
    <row r="309" ht="12.75" customHeight="1"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</row>
    <row r="310" ht="12.75" customHeight="1"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</row>
    <row r="311" ht="12.75" customHeight="1"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</row>
    <row r="312" ht="12.75" customHeight="1"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</row>
    <row r="313" ht="12.75" customHeight="1"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</row>
    <row r="314" ht="12.75" customHeight="1"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</row>
    <row r="315" ht="12.75" customHeight="1"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</row>
    <row r="316" ht="12.75" customHeight="1"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</row>
    <row r="317" ht="12.75" customHeight="1"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</row>
    <row r="318" ht="12.75" customHeight="1"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</row>
    <row r="319" ht="12.75" customHeight="1"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</row>
    <row r="320" ht="12.75" customHeight="1"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</row>
    <row r="321" ht="12.75" customHeight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</row>
    <row r="322" ht="12.75" customHeight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</row>
    <row r="323" ht="12.75" customHeight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</row>
    <row r="324" ht="12.75" customHeight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</row>
    <row r="325" ht="12.75" customHeight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</row>
    <row r="326" ht="12.75" customHeight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</row>
    <row r="327" ht="12.75" customHeight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</row>
    <row r="328" ht="12.75" customHeight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</row>
    <row r="329" ht="12.75" customHeight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</row>
    <row r="330" ht="12.75" customHeight="1"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</row>
    <row r="331" ht="12.75" customHeight="1"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</row>
    <row r="332" ht="12.75" customHeight="1"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</row>
    <row r="333" ht="12.75" customHeight="1"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</row>
    <row r="334" ht="12.75" customHeight="1"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</row>
    <row r="335" ht="12.75" customHeight="1"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</row>
    <row r="336" ht="12.75" customHeight="1"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</row>
    <row r="337" ht="12.75" customHeight="1"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</row>
    <row r="338" ht="12.75" customHeight="1"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</row>
    <row r="339" ht="12.75" customHeight="1"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</row>
    <row r="340" ht="12.75" customHeight="1"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</row>
    <row r="341" ht="12.75" customHeight="1"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</row>
    <row r="342" ht="12.75" customHeight="1"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</row>
    <row r="343" ht="12.75" customHeight="1"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</row>
    <row r="344" ht="12.75" customHeight="1"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</row>
    <row r="345" ht="12.75" customHeight="1"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</row>
    <row r="346" ht="12.75" customHeight="1"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</row>
    <row r="347" ht="12.75" customHeight="1"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</row>
    <row r="348" ht="12.75" customHeight="1"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</row>
    <row r="349" ht="12.75" customHeight="1"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</row>
    <row r="350" ht="12.75" customHeight="1"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</row>
    <row r="351" ht="12.75" customHeight="1"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</row>
    <row r="352" ht="12.75" customHeight="1"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</row>
    <row r="353" ht="12.75" customHeight="1"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</row>
    <row r="354" ht="12.75" customHeight="1"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</row>
    <row r="355" ht="12.75" customHeight="1"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</row>
    <row r="356" ht="12.75" customHeight="1"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</row>
    <row r="357" ht="12.75" customHeight="1"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</row>
    <row r="358" ht="12.75" customHeight="1"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</row>
    <row r="359" ht="12.75" customHeight="1"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</row>
    <row r="360" ht="12.75" customHeight="1"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</row>
    <row r="361" ht="12.75" customHeight="1"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</row>
    <row r="362" ht="12.75" customHeight="1"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</row>
    <row r="363" ht="12.75" customHeight="1"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</row>
    <row r="364" ht="12.75" customHeight="1"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</row>
    <row r="365" ht="12.75" customHeight="1"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</row>
    <row r="366" ht="12.75" customHeight="1"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</row>
    <row r="367" ht="12.75" customHeight="1"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</row>
    <row r="368" ht="12.75" customHeight="1"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</row>
    <row r="369" ht="12.75" customHeight="1"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</row>
    <row r="370" ht="12.75" customHeight="1"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</row>
    <row r="371" ht="12.75" customHeight="1"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</row>
    <row r="372" ht="12.75" customHeight="1"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</row>
    <row r="373" ht="12.75" customHeight="1"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</row>
    <row r="374" ht="12.75" customHeight="1"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</row>
    <row r="375" ht="12.75" customHeight="1"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</row>
    <row r="376" ht="12.75" customHeight="1"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</row>
    <row r="377" ht="12.75" customHeight="1"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</row>
    <row r="378" ht="12.75" customHeight="1"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</row>
    <row r="379" ht="12.75" customHeight="1"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</row>
    <row r="380" ht="12.75" customHeight="1"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</row>
    <row r="381" ht="12.75" customHeight="1"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</row>
    <row r="382" ht="12.75" customHeight="1"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</row>
    <row r="383" ht="12.75" customHeight="1"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</row>
    <row r="384" ht="12.75" customHeight="1"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</row>
    <row r="385" ht="12.75" customHeight="1"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</row>
    <row r="386" ht="12.75" customHeight="1"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</row>
    <row r="387" ht="12.75" customHeight="1"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</row>
    <row r="388" ht="12.75" customHeight="1"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</row>
    <row r="389" ht="12.75" customHeight="1"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</row>
    <row r="390" ht="12.75" customHeight="1"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</row>
    <row r="391" ht="12.75" customHeight="1"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</row>
    <row r="392" ht="12.75" customHeight="1"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</row>
    <row r="393" ht="12.75" customHeight="1"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</row>
    <row r="394" ht="12.75" customHeight="1"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</row>
    <row r="395" ht="12.75" customHeight="1"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</row>
    <row r="396" ht="12.75" customHeight="1"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</row>
    <row r="397" ht="12.75" customHeight="1"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</row>
    <row r="398" ht="12.75" customHeight="1"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</row>
    <row r="399" ht="12.75" customHeight="1"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</row>
    <row r="400" ht="12.75" customHeight="1"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</row>
    <row r="401" ht="12.75" customHeight="1"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</row>
    <row r="402" ht="12.75" customHeight="1"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</row>
    <row r="403" ht="12.75" customHeight="1"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</row>
    <row r="404" ht="12.75" customHeight="1"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</row>
    <row r="405" ht="12.75" customHeight="1"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</row>
    <row r="406" ht="12.75" customHeight="1"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</row>
    <row r="407" ht="12.75" customHeight="1"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</row>
    <row r="408" ht="12.75" customHeight="1"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</row>
    <row r="409" ht="12.75" customHeight="1"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</row>
    <row r="410" ht="12.75" customHeight="1"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</row>
    <row r="411" ht="12.75" customHeight="1"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</row>
    <row r="412" ht="12.75" customHeight="1"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</row>
    <row r="413" ht="12.75" customHeight="1"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</row>
    <row r="414" ht="12.75" customHeight="1"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</row>
    <row r="415" ht="12.75" customHeight="1"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</row>
    <row r="416" ht="12.75" customHeight="1"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</row>
    <row r="417" ht="12.75" customHeight="1"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</row>
    <row r="418" ht="12.75" customHeight="1"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</row>
    <row r="419" ht="12.75" customHeight="1"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</row>
    <row r="420" ht="12.75" customHeight="1"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</row>
    <row r="421" ht="12.75" customHeight="1"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</row>
    <row r="422" ht="12.75" customHeight="1"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</row>
    <row r="423" ht="12.75" customHeight="1"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</row>
    <row r="424" ht="12.75" customHeight="1"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</row>
    <row r="425" ht="12.75" customHeight="1"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</row>
    <row r="426" ht="12.75" customHeight="1"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</row>
    <row r="427" ht="12.75" customHeight="1"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</row>
    <row r="428" ht="12.75" customHeight="1"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</row>
    <row r="429" ht="12.75" customHeight="1"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</row>
    <row r="430" ht="12.75" customHeight="1"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</row>
    <row r="431" ht="12.75" customHeight="1"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</row>
    <row r="432" ht="12.75" customHeight="1"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</row>
    <row r="433" ht="12.75" customHeight="1"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</row>
    <row r="434" ht="12.75" customHeight="1"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</row>
    <row r="435" ht="12.75" customHeight="1"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</row>
    <row r="436" ht="12.75" customHeight="1"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</row>
    <row r="437" ht="12.75" customHeight="1"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</row>
    <row r="438" ht="12.75" customHeight="1"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</row>
    <row r="439" ht="12.75" customHeight="1"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</row>
    <row r="440" ht="12.75" customHeight="1"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</row>
    <row r="441" ht="12.75" customHeight="1"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</row>
    <row r="442" ht="12.75" customHeight="1"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</row>
    <row r="443" ht="12.75" customHeight="1"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</row>
    <row r="444" ht="12.75" customHeight="1"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</row>
    <row r="445" ht="12.75" customHeight="1"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</row>
    <row r="446" ht="12.75" customHeight="1"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</row>
    <row r="447" ht="12.75" customHeight="1"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</row>
    <row r="448" ht="12.75" customHeight="1"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</row>
    <row r="449" ht="12.75" customHeight="1"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</row>
    <row r="450" ht="12.75" customHeight="1"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</row>
    <row r="451" ht="12.75" customHeight="1"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</row>
    <row r="452" ht="12.75" customHeight="1"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</row>
    <row r="453" ht="12.75" customHeight="1"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</row>
    <row r="454" ht="12.75" customHeight="1"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</row>
    <row r="455" ht="12.75" customHeight="1"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</row>
    <row r="456" ht="12.75" customHeight="1"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</row>
    <row r="457" ht="12.75" customHeight="1"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</row>
    <row r="458" ht="12.75" customHeight="1"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</row>
    <row r="459" ht="12.75" customHeight="1"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</row>
    <row r="460" ht="12.75" customHeight="1"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</row>
    <row r="461" ht="12.75" customHeight="1"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</row>
    <row r="462" ht="12.75" customHeight="1"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</row>
    <row r="463" ht="12.75" customHeight="1"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</row>
    <row r="464" ht="12.75" customHeight="1"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</row>
    <row r="465" ht="12.75" customHeight="1"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</row>
    <row r="466" ht="12.75" customHeight="1"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</row>
    <row r="467" ht="12.75" customHeight="1"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</row>
    <row r="468" ht="12.75" customHeight="1"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</row>
    <row r="469" ht="12.75" customHeight="1"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</row>
    <row r="470" ht="12.75" customHeight="1"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</row>
    <row r="471" ht="12.75" customHeight="1"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</row>
    <row r="472" ht="12.75" customHeight="1"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</row>
    <row r="473" ht="12.75" customHeight="1"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</row>
    <row r="474" ht="12.75" customHeight="1"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</row>
    <row r="475" ht="12.75" customHeight="1"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</row>
    <row r="476" ht="12.75" customHeight="1"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</row>
    <row r="477" ht="12.75" customHeight="1"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</row>
    <row r="478" ht="12.75" customHeight="1"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</row>
    <row r="479" ht="12.75" customHeight="1"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</row>
    <row r="480" ht="12.75" customHeight="1"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</row>
    <row r="481" ht="12.75" customHeight="1"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</row>
    <row r="482" ht="12.75" customHeight="1"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</row>
    <row r="483" ht="12.75" customHeight="1"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</row>
    <row r="484" ht="12.75" customHeight="1"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</row>
    <row r="485" ht="12.75" customHeight="1"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</row>
    <row r="486" ht="12.75" customHeight="1"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</row>
    <row r="487" ht="12.75" customHeight="1"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</row>
    <row r="488" ht="12.75" customHeight="1"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</row>
    <row r="489" ht="12.75" customHeight="1"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</row>
    <row r="490" ht="12.75" customHeight="1"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</row>
    <row r="491" ht="12.75" customHeight="1"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</row>
    <row r="492" ht="12.75" customHeight="1"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</row>
    <row r="493" ht="12.75" customHeight="1"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</row>
    <row r="494" ht="12.75" customHeight="1"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</row>
    <row r="495" ht="12.75" customHeight="1"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</row>
    <row r="496" ht="12.75" customHeight="1"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</row>
    <row r="497" ht="12.75" customHeight="1"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</row>
    <row r="498" ht="12.75" customHeight="1"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</row>
    <row r="499" ht="12.75" customHeight="1"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</row>
    <row r="500" ht="12.75" customHeight="1"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</row>
    <row r="501" ht="12.75" customHeight="1"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</row>
    <row r="502" ht="12.75" customHeight="1"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</row>
    <row r="503" ht="12.75" customHeight="1"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</row>
    <row r="504" ht="12.75" customHeight="1"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</row>
    <row r="505" ht="12.75" customHeight="1"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</row>
    <row r="506" ht="12.75" customHeight="1"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</row>
    <row r="507" ht="12.75" customHeight="1"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</row>
    <row r="508" ht="12.75" customHeight="1"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</row>
    <row r="509" ht="12.75" customHeight="1"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</row>
    <row r="510" ht="12.75" customHeight="1"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</row>
    <row r="511" ht="12.75" customHeight="1"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</row>
    <row r="512" ht="12.75" customHeight="1"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</row>
    <row r="513" ht="12.75" customHeight="1"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</row>
    <row r="514" ht="12.75" customHeight="1"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</row>
    <row r="515" ht="12.75" customHeight="1"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</row>
    <row r="516" ht="12.75" customHeight="1"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</row>
    <row r="517" ht="12.75" customHeight="1"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</row>
    <row r="518" ht="12.75" customHeight="1"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</row>
    <row r="519" ht="12.75" customHeight="1"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</row>
    <row r="520" ht="12.75" customHeight="1"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</row>
    <row r="521" ht="12.75" customHeight="1"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</row>
    <row r="522" ht="12.75" customHeight="1"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</row>
    <row r="523" ht="12.75" customHeight="1"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</row>
    <row r="524" ht="12.75" customHeight="1"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</row>
    <row r="525" ht="12.75" customHeight="1"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</row>
    <row r="526" ht="12.75" customHeight="1"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</row>
    <row r="527" ht="12.75" customHeight="1"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</row>
    <row r="528" ht="12.75" customHeight="1"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</row>
    <row r="529" ht="12.75" customHeight="1"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</row>
    <row r="530" ht="12.75" customHeight="1"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</row>
    <row r="531" ht="12.75" customHeight="1"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</row>
    <row r="532" ht="12.75" customHeight="1"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</row>
    <row r="533" ht="12.75" customHeight="1"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</row>
    <row r="534" ht="12.75" customHeight="1"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</row>
    <row r="535" ht="12.75" customHeight="1"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</row>
    <row r="536" ht="12.75" customHeight="1"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</row>
    <row r="537" ht="12.75" customHeight="1"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</row>
    <row r="538" ht="12.75" customHeight="1"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</row>
    <row r="539" ht="12.75" customHeight="1"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</row>
    <row r="540" ht="12.75" customHeight="1"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</row>
    <row r="541" ht="12.75" customHeight="1"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</row>
    <row r="542" ht="12.75" customHeight="1"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</row>
    <row r="543" ht="12.75" customHeight="1"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</row>
    <row r="544" ht="12.75" customHeight="1"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</row>
    <row r="545" ht="12.75" customHeight="1"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</row>
    <row r="546" ht="12.75" customHeight="1"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</row>
    <row r="547" ht="12.75" customHeight="1"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</row>
    <row r="548" ht="12.75" customHeight="1"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</row>
    <row r="549" ht="12.75" customHeight="1"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</row>
    <row r="550" ht="12.75" customHeight="1"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</row>
    <row r="551" ht="12.75" customHeight="1"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</row>
    <row r="552" ht="12.75" customHeight="1"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</row>
    <row r="553" ht="12.75" customHeight="1"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</row>
    <row r="554" ht="12.75" customHeight="1"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</row>
    <row r="555" ht="12.75" customHeight="1"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</row>
    <row r="556" ht="12.75" customHeight="1"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</row>
    <row r="557" ht="12.75" customHeight="1"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</row>
    <row r="558" ht="12.75" customHeight="1"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</row>
    <row r="559" ht="12.75" customHeight="1"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</row>
    <row r="560" ht="12.75" customHeight="1"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</row>
    <row r="561" ht="12.75" customHeight="1"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</row>
    <row r="562" ht="12.75" customHeight="1"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</row>
    <row r="563" ht="12.75" customHeight="1"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</row>
    <row r="564" ht="12.75" customHeight="1"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</row>
    <row r="565" ht="12.75" customHeight="1"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</row>
    <row r="566" ht="12.75" customHeight="1"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</row>
    <row r="567" ht="12.75" customHeight="1"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</row>
    <row r="568" ht="12.75" customHeight="1"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</row>
    <row r="569" ht="12.75" customHeight="1"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</row>
    <row r="570" ht="12.75" customHeight="1"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</row>
    <row r="571" ht="12.75" customHeight="1"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</row>
    <row r="572" ht="12.75" customHeight="1"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</row>
    <row r="573" ht="12.75" customHeight="1"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</row>
    <row r="574" ht="12.75" customHeight="1"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</row>
    <row r="575" ht="12.75" customHeight="1"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</row>
    <row r="576" ht="12.75" customHeight="1"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</row>
    <row r="577" ht="12.75" customHeight="1"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</row>
    <row r="578" ht="12.75" customHeight="1"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</row>
    <row r="579" ht="12.75" customHeight="1"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</row>
    <row r="580" ht="12.75" customHeight="1"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</row>
    <row r="581" ht="12.75" customHeight="1"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</row>
    <row r="582" ht="12.75" customHeight="1"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</row>
    <row r="583" ht="12.75" customHeight="1"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</row>
    <row r="584" ht="12.75" customHeight="1"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</row>
    <row r="585" ht="12.75" customHeight="1"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</row>
    <row r="586" ht="12.75" customHeight="1"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</row>
    <row r="587" ht="12.75" customHeight="1"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</row>
    <row r="588" ht="12.75" customHeight="1"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</row>
    <row r="589" ht="12.75" customHeight="1"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</row>
    <row r="590" ht="12.75" customHeight="1"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</row>
    <row r="591" ht="12.75" customHeight="1"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</row>
    <row r="592" ht="12.75" customHeight="1"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</row>
    <row r="593" ht="12.75" customHeight="1"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</row>
    <row r="594" ht="12.75" customHeight="1"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</row>
    <row r="595" ht="12.75" customHeight="1"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</row>
    <row r="596" ht="12.75" customHeight="1"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</row>
    <row r="597" ht="12.75" customHeight="1"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</row>
    <row r="598" ht="12.75" customHeight="1"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</row>
    <row r="599" ht="12.75" customHeight="1"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</row>
    <row r="600" ht="12.75" customHeight="1"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</row>
    <row r="601" ht="12.75" customHeight="1"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</row>
    <row r="602" ht="12.75" customHeight="1"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</row>
    <row r="603" ht="12.75" customHeight="1"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</row>
    <row r="604" ht="12.75" customHeight="1"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</row>
    <row r="605" ht="12.75" customHeight="1"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</row>
    <row r="606" ht="12.75" customHeight="1"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</row>
    <row r="607" ht="12.75" customHeight="1"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</row>
    <row r="608" ht="12.75" customHeight="1"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</row>
    <row r="609" ht="12.75" customHeight="1"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</row>
    <row r="610" ht="12.75" customHeight="1"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</row>
    <row r="611" ht="12.75" customHeight="1"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</row>
    <row r="612" ht="12.75" customHeight="1"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</row>
    <row r="613" ht="12.75" customHeight="1"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</row>
    <row r="614" ht="12.75" customHeight="1"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</row>
    <row r="615" ht="12.75" customHeight="1"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</row>
    <row r="616" ht="12.75" customHeight="1"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</row>
    <row r="617" ht="12.75" customHeight="1"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</row>
    <row r="618" ht="12.75" customHeight="1"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</row>
    <row r="619" ht="12.75" customHeight="1"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</row>
    <row r="620" ht="12.75" customHeight="1"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</row>
    <row r="621" ht="12.75" customHeight="1"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</row>
    <row r="622" ht="12.75" customHeight="1"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</row>
    <row r="623" ht="12.75" customHeight="1"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</row>
    <row r="624" ht="12.75" customHeight="1"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</row>
    <row r="625" ht="12.75" customHeight="1"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</row>
    <row r="626" ht="12.75" customHeight="1"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</row>
    <row r="627" ht="12.75" customHeight="1"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</row>
    <row r="628" ht="12.75" customHeight="1"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</row>
    <row r="629" ht="12.75" customHeight="1"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</row>
    <row r="630" ht="12.75" customHeight="1"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</row>
    <row r="631" ht="12.75" customHeight="1"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</row>
    <row r="632" ht="12.75" customHeight="1"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</row>
    <row r="633" ht="12.75" customHeight="1"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</row>
    <row r="634" ht="12.75" customHeight="1"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</row>
    <row r="635" ht="12.75" customHeight="1"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</row>
    <row r="636" ht="12.75" customHeight="1"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</row>
    <row r="637" ht="12.75" customHeight="1"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</row>
    <row r="638" ht="12.75" customHeight="1"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</row>
    <row r="639" ht="12.75" customHeight="1"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</row>
    <row r="640" ht="12.75" customHeight="1"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</row>
    <row r="641" ht="12.75" customHeight="1"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</row>
    <row r="642" ht="12.75" customHeight="1"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</row>
    <row r="643" ht="12.75" customHeight="1"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</row>
    <row r="644" ht="12.75" customHeight="1"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</row>
    <row r="645" ht="12.75" customHeight="1"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</row>
    <row r="646" ht="12.75" customHeight="1"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</row>
    <row r="647" ht="12.75" customHeight="1"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</row>
    <row r="648" ht="12.75" customHeight="1"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</row>
    <row r="649" ht="12.75" customHeight="1"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</row>
    <row r="650" ht="12.75" customHeight="1"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</row>
    <row r="651" ht="12.75" customHeight="1"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</row>
    <row r="652" ht="12.75" customHeight="1"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</row>
    <row r="653" ht="12.75" customHeight="1"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</row>
    <row r="654" ht="12.75" customHeight="1"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</row>
    <row r="655" ht="12.75" customHeight="1"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</row>
    <row r="656" ht="12.75" customHeight="1"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</row>
    <row r="657" ht="12.75" customHeight="1"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</row>
    <row r="658" ht="12.75" customHeight="1"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</row>
    <row r="659" ht="12.75" customHeight="1"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</row>
    <row r="660" ht="12.75" customHeight="1"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</row>
    <row r="661" ht="12.75" customHeight="1"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</row>
    <row r="662" ht="12.75" customHeight="1"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</row>
    <row r="663" ht="12.75" customHeight="1"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</row>
    <row r="664" ht="12.75" customHeight="1"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</row>
    <row r="665" ht="12.75" customHeight="1"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</row>
    <row r="666" ht="12.75" customHeight="1"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</row>
    <row r="667" ht="12.75" customHeight="1"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</row>
    <row r="668" ht="12.75" customHeight="1"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</row>
    <row r="669" ht="12.75" customHeight="1"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</row>
    <row r="670" ht="12.75" customHeight="1"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</row>
    <row r="671" ht="12.75" customHeight="1"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</row>
    <row r="672" ht="12.75" customHeight="1"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</row>
    <row r="673" ht="12.75" customHeight="1"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</row>
    <row r="674" ht="12.75" customHeight="1"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</row>
    <row r="675" ht="12.75" customHeight="1"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</row>
    <row r="676" ht="12.75" customHeight="1"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</row>
    <row r="677" ht="12.75" customHeight="1"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</row>
    <row r="678" ht="12.75" customHeight="1"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</row>
    <row r="679" ht="12.75" customHeight="1"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</row>
    <row r="680" ht="12.75" customHeight="1"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</row>
    <row r="681" ht="12.75" customHeight="1"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</row>
    <row r="682" ht="12.75" customHeight="1"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</row>
    <row r="683" ht="12.75" customHeight="1"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</row>
    <row r="684" ht="12.75" customHeight="1"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</row>
    <row r="685" ht="12.75" customHeight="1"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</row>
    <row r="686" ht="12.75" customHeight="1"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</row>
    <row r="687" ht="12.75" customHeight="1"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</row>
    <row r="688" ht="12.75" customHeight="1"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</row>
    <row r="689" ht="12.75" customHeight="1"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</row>
    <row r="690" ht="12.75" customHeight="1"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</row>
    <row r="691" ht="12.75" customHeight="1"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</row>
    <row r="692" ht="12.75" customHeight="1"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</row>
    <row r="693" ht="12.75" customHeight="1"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</row>
    <row r="694" ht="12.75" customHeight="1"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</row>
    <row r="695" ht="12.75" customHeight="1"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</row>
    <row r="696" ht="12.75" customHeight="1"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</row>
    <row r="697" ht="12.75" customHeight="1"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</row>
    <row r="698" ht="12.75" customHeight="1"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</row>
    <row r="699" ht="12.75" customHeight="1"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</row>
    <row r="700" ht="12.75" customHeight="1"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</row>
    <row r="701" ht="12.75" customHeight="1"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</row>
    <row r="702" ht="12.75" customHeight="1"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</row>
    <row r="703" ht="12.75" customHeight="1"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</row>
    <row r="704" ht="12.75" customHeight="1"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</row>
    <row r="705" ht="12.75" customHeight="1"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</row>
    <row r="706" ht="12.75" customHeight="1"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</row>
    <row r="707" ht="12.75" customHeight="1"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</row>
    <row r="708" ht="12.75" customHeight="1"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</row>
    <row r="709" ht="12.75" customHeight="1"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</row>
    <row r="710" ht="12.75" customHeight="1"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</row>
    <row r="711" ht="12.75" customHeight="1"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</row>
    <row r="712" ht="12.75" customHeight="1"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</row>
    <row r="713" ht="12.75" customHeight="1"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</row>
    <row r="714" ht="12.75" customHeight="1"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</row>
    <row r="715" ht="12.75" customHeight="1"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</row>
    <row r="716" ht="12.75" customHeight="1"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</row>
    <row r="717" ht="12.75" customHeight="1"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</row>
    <row r="718" ht="12.75" customHeight="1"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</row>
    <row r="719" ht="12.75" customHeight="1"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</row>
    <row r="720" ht="12.75" customHeight="1"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</row>
    <row r="721" ht="12.75" customHeight="1"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</row>
    <row r="722" ht="12.75" customHeight="1"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</row>
    <row r="723" ht="12.75" customHeight="1"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</row>
    <row r="724" ht="12.75" customHeight="1"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</row>
    <row r="725" ht="12.75" customHeight="1"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</row>
    <row r="726" ht="12.75" customHeight="1"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</row>
    <row r="727" ht="12.75" customHeight="1"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</row>
    <row r="728" ht="12.75" customHeight="1"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</row>
    <row r="729" ht="12.75" customHeight="1"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</row>
    <row r="730" ht="12.75" customHeight="1"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</row>
    <row r="731" ht="12.75" customHeight="1"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</row>
    <row r="732" ht="12.75" customHeight="1"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</row>
    <row r="733" ht="12.75" customHeight="1"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</row>
    <row r="734" ht="12.75" customHeight="1"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</row>
    <row r="735" ht="12.75" customHeight="1"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</row>
    <row r="736" ht="12.75" customHeight="1"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</row>
    <row r="737" ht="12.75" customHeight="1"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</row>
    <row r="738" ht="12.75" customHeight="1"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</row>
    <row r="739" ht="12.75" customHeight="1"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</row>
    <row r="740" ht="12.75" customHeight="1"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</row>
    <row r="741" ht="12.75" customHeight="1"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</row>
    <row r="742" ht="12.75" customHeight="1"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</row>
    <row r="743" ht="12.75" customHeight="1"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</row>
    <row r="744" ht="12.75" customHeight="1"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</row>
    <row r="745" ht="12.75" customHeight="1"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</row>
    <row r="746" ht="12.75" customHeight="1"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</row>
    <row r="747" ht="12.75" customHeight="1"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</row>
    <row r="748" ht="12.75" customHeight="1"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</row>
    <row r="749" ht="12.75" customHeight="1"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</row>
    <row r="750" ht="12.75" customHeight="1"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</row>
    <row r="751" ht="12.75" customHeight="1"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</row>
    <row r="752" ht="12.75" customHeight="1"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</row>
    <row r="753" ht="12.75" customHeight="1"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</row>
    <row r="754" ht="12.75" customHeight="1"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</row>
    <row r="755" ht="12.75" customHeight="1"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</row>
    <row r="756" ht="12.75" customHeight="1"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</row>
    <row r="757" ht="12.75" customHeight="1"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</row>
    <row r="758" ht="12.75" customHeight="1"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</row>
    <row r="759" ht="12.75" customHeight="1"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</row>
    <row r="760" ht="12.75" customHeight="1"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</row>
    <row r="761" ht="12.75" customHeight="1"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</row>
    <row r="762" ht="12.75" customHeight="1"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</row>
    <row r="763" ht="12.75" customHeight="1"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</row>
    <row r="764" ht="12.75" customHeight="1"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</row>
    <row r="765" ht="12.75" customHeight="1"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</row>
    <row r="766" ht="12.75" customHeight="1"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</row>
    <row r="767" ht="12.75" customHeight="1"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</row>
    <row r="768" ht="12.75" customHeight="1"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</row>
    <row r="769" ht="12.75" customHeight="1"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</row>
    <row r="770" ht="12.75" customHeight="1"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</row>
    <row r="771" ht="12.75" customHeight="1"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</row>
    <row r="772" ht="12.75" customHeight="1"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</row>
    <row r="773" ht="12.75" customHeight="1"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</row>
    <row r="774" ht="12.75" customHeight="1"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</row>
    <row r="775" ht="12.75" customHeight="1"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</row>
    <row r="776" ht="12.75" customHeight="1"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</row>
    <row r="777" ht="12.75" customHeight="1"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</row>
    <row r="778" ht="12.75" customHeight="1"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</row>
    <row r="779" ht="12.75" customHeight="1"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</row>
    <row r="780" ht="12.75" customHeight="1"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</row>
    <row r="781" ht="12.75" customHeight="1"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</row>
    <row r="782" ht="12.75" customHeight="1"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</row>
    <row r="783" ht="12.75" customHeight="1"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</row>
    <row r="784" ht="12.75" customHeight="1"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</row>
    <row r="785" ht="12.75" customHeight="1"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</row>
    <row r="786" ht="12.75" customHeight="1"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</row>
    <row r="787" ht="12.75" customHeight="1"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</row>
    <row r="788" ht="12.75" customHeight="1"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</row>
    <row r="789" ht="12.75" customHeight="1"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</row>
    <row r="790" ht="12.75" customHeight="1"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</row>
    <row r="791" ht="12.75" customHeight="1"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</row>
    <row r="792" ht="12.75" customHeight="1"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</row>
    <row r="793" ht="12.75" customHeight="1"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</row>
    <row r="794" ht="12.75" customHeight="1"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</row>
    <row r="795" ht="12.75" customHeight="1"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</row>
    <row r="796" ht="12.75" customHeight="1"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</row>
    <row r="797" ht="12.75" customHeight="1"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</row>
    <row r="798" ht="12.75" customHeight="1"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</row>
    <row r="799" ht="12.75" customHeight="1"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</row>
    <row r="800" ht="12.75" customHeight="1"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</row>
    <row r="801" ht="12.75" customHeight="1"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</row>
    <row r="802" ht="12.75" customHeight="1"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</row>
    <row r="803" ht="12.75" customHeight="1"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</row>
    <row r="804" ht="12.75" customHeight="1"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</row>
    <row r="805" ht="12.75" customHeight="1"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</row>
    <row r="806" ht="12.75" customHeight="1"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</row>
    <row r="807" ht="12.75" customHeight="1"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</row>
    <row r="808" ht="12.75" customHeight="1"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</row>
    <row r="809" ht="12.75" customHeight="1"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</row>
    <row r="810" ht="12.75" customHeight="1"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</row>
    <row r="811" ht="12.75" customHeight="1"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</row>
    <row r="812" ht="12.75" customHeight="1"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</row>
    <row r="813" ht="12.75" customHeight="1"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</row>
    <row r="814" ht="12.75" customHeight="1"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</row>
    <row r="815" ht="12.75" customHeight="1"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</row>
    <row r="816" ht="12.75" customHeight="1"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</row>
    <row r="817" ht="12.75" customHeight="1"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</row>
    <row r="818" ht="12.75" customHeight="1"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</row>
    <row r="819" ht="12.75" customHeight="1"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</row>
    <row r="820" ht="12.75" customHeight="1"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</row>
    <row r="821" ht="12.75" customHeight="1"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</row>
    <row r="822" ht="12.75" customHeight="1"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</row>
    <row r="823" ht="12.75" customHeight="1"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</row>
    <row r="824" ht="12.75" customHeight="1"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</row>
    <row r="825" ht="12.75" customHeight="1"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</row>
    <row r="826" ht="12.75" customHeight="1"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</row>
    <row r="827" ht="12.75" customHeight="1"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</row>
    <row r="828" ht="12.75" customHeight="1"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</row>
    <row r="829" ht="12.75" customHeight="1"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</row>
    <row r="830" ht="12.75" customHeight="1"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</row>
    <row r="831" ht="12.75" customHeight="1"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</row>
    <row r="832" ht="12.75" customHeight="1"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</row>
    <row r="833" ht="12.75" customHeight="1"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</row>
    <row r="834" ht="12.75" customHeight="1"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</row>
    <row r="835" ht="12.75" customHeight="1"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</row>
    <row r="836" ht="12.75" customHeight="1"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</row>
    <row r="837" ht="12.75" customHeight="1"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</row>
    <row r="838" ht="12.75" customHeight="1"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</row>
    <row r="839" ht="12.75" customHeight="1"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</row>
    <row r="840" ht="12.75" customHeight="1"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</row>
    <row r="841" ht="12.75" customHeight="1"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</row>
    <row r="842" ht="12.75" customHeight="1"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</row>
    <row r="843" ht="12.75" customHeight="1"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</row>
    <row r="844" ht="12.75" customHeight="1"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</row>
    <row r="845" ht="12.75" customHeight="1"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</row>
    <row r="846" ht="12.75" customHeight="1"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</row>
    <row r="847" ht="12.75" customHeight="1"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</row>
    <row r="848" ht="12.75" customHeight="1"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</row>
    <row r="849" ht="12.75" customHeight="1"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</row>
    <row r="850" ht="12.75" customHeight="1"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</row>
    <row r="851" ht="12.75" customHeight="1"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</row>
    <row r="852" ht="12.75" customHeight="1"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</row>
    <row r="853" ht="12.75" customHeight="1"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</row>
    <row r="854" ht="12.75" customHeight="1"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</row>
    <row r="855" ht="12.75" customHeight="1"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</row>
    <row r="856" ht="12.75" customHeight="1"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</row>
    <row r="857" ht="12.75" customHeight="1"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</row>
    <row r="858" ht="12.75" customHeight="1"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</row>
    <row r="859" ht="12.75" customHeight="1"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</row>
    <row r="860" ht="12.75" customHeight="1"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</row>
    <row r="861" ht="12.75" customHeight="1"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</row>
    <row r="862" ht="12.75" customHeight="1"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</row>
    <row r="863" ht="12.75" customHeight="1"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</row>
    <row r="864" ht="12.75" customHeight="1"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</row>
    <row r="865" ht="12.75" customHeight="1"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</row>
    <row r="866" ht="12.75" customHeight="1"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</row>
    <row r="867" ht="12.75" customHeight="1"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</row>
    <row r="868" ht="12.75" customHeight="1"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</row>
    <row r="869" ht="12.75" customHeight="1"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</row>
    <row r="870" ht="12.75" customHeight="1"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</row>
    <row r="871" ht="12.75" customHeight="1"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</row>
    <row r="872" ht="12.75" customHeight="1"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</row>
    <row r="873" ht="12.75" customHeight="1"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</row>
    <row r="874" ht="12.75" customHeight="1"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</row>
    <row r="875" ht="12.75" customHeight="1"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</row>
    <row r="876" ht="12.75" customHeight="1"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</row>
    <row r="877" ht="12.75" customHeight="1"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</row>
    <row r="878" ht="12.75" customHeight="1"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</row>
    <row r="879" ht="12.75" customHeight="1"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</row>
    <row r="880" ht="12.75" customHeight="1"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</row>
    <row r="881" ht="12.75" customHeight="1"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</row>
    <row r="882" ht="12.75" customHeight="1"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</row>
    <row r="883" ht="12.75" customHeight="1"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</row>
    <row r="884" ht="12.75" customHeight="1"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</row>
    <row r="885" ht="12.75" customHeight="1"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</row>
    <row r="886" ht="12.75" customHeight="1"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</row>
    <row r="887" ht="12.75" customHeight="1"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</row>
    <row r="888" ht="12.75" customHeight="1"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</row>
    <row r="889" ht="12.75" customHeight="1"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</row>
    <row r="890" ht="12.75" customHeight="1"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</row>
    <row r="891" ht="12.75" customHeight="1"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</row>
    <row r="892" ht="12.75" customHeight="1"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</row>
    <row r="893" ht="12.75" customHeight="1"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</row>
    <row r="894" ht="12.75" customHeight="1"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</row>
    <row r="895" ht="12.75" customHeight="1"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</row>
    <row r="896" ht="12.75" customHeight="1"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</row>
    <row r="897" ht="12.75" customHeight="1"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</row>
    <row r="898" ht="12.75" customHeight="1"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</row>
    <row r="899" ht="12.75" customHeight="1"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</row>
    <row r="900" ht="12.75" customHeight="1"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</row>
    <row r="901" ht="12.75" customHeight="1"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</row>
    <row r="902" ht="12.75" customHeight="1"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</row>
    <row r="903" ht="12.75" customHeight="1"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</row>
    <row r="904" ht="12.75" customHeight="1"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</row>
    <row r="905" ht="12.75" customHeight="1"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</row>
    <row r="906" ht="12.75" customHeight="1"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</row>
    <row r="907" ht="12.75" customHeight="1"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</row>
    <row r="908" ht="12.75" customHeight="1"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</row>
    <row r="909" ht="12.75" customHeight="1"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</row>
    <row r="910" ht="12.75" customHeight="1"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</row>
    <row r="911" ht="12.75" customHeight="1"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</row>
    <row r="912" ht="12.75" customHeight="1"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</row>
    <row r="913" ht="12.75" customHeight="1"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</row>
    <row r="914" ht="12.75" customHeight="1"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</row>
    <row r="915" ht="12.75" customHeight="1"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</row>
    <row r="916" ht="12.75" customHeight="1"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</row>
    <row r="917" ht="12.75" customHeight="1"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</row>
    <row r="918" ht="12.75" customHeight="1"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</row>
    <row r="919" ht="12.75" customHeight="1"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</row>
    <row r="920" ht="12.75" customHeight="1"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</row>
    <row r="921" ht="12.75" customHeight="1"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</row>
    <row r="922" ht="12.75" customHeight="1"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</row>
    <row r="923" ht="12.75" customHeight="1"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</row>
    <row r="924" ht="12.75" customHeight="1"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</row>
    <row r="925" ht="12.75" customHeight="1"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</row>
    <row r="926" ht="12.75" customHeight="1"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</row>
    <row r="927" ht="12.75" customHeight="1"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</row>
    <row r="928" ht="12.75" customHeight="1"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</row>
    <row r="929" ht="12.75" customHeight="1"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</row>
    <row r="930" ht="12.75" customHeight="1"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</row>
    <row r="931" ht="12.75" customHeight="1"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</row>
    <row r="932" ht="12.75" customHeight="1"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</row>
    <row r="933" ht="12.75" customHeight="1"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</row>
    <row r="934" ht="12.75" customHeight="1"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</row>
    <row r="935" ht="12.75" customHeight="1"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</row>
    <row r="936" ht="12.75" customHeight="1"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</row>
    <row r="937" ht="12.75" customHeight="1"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</row>
    <row r="938" ht="12.75" customHeight="1"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</row>
    <row r="939" ht="12.75" customHeight="1"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</row>
    <row r="940" ht="12.75" customHeight="1"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</row>
    <row r="941" ht="12.75" customHeight="1"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</row>
    <row r="942" ht="12.75" customHeight="1"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</row>
    <row r="943" ht="12.75" customHeight="1"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</row>
    <row r="944" ht="12.75" customHeight="1"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</row>
    <row r="945" ht="12.75" customHeight="1"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</row>
    <row r="946" ht="12.75" customHeight="1"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</row>
    <row r="947" ht="12.75" customHeight="1"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</row>
    <row r="948" ht="12.75" customHeight="1"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</row>
    <row r="949" ht="12.75" customHeight="1"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</row>
    <row r="950" ht="12.75" customHeight="1"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</row>
    <row r="951" ht="12.75" customHeight="1"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</row>
    <row r="952" ht="12.75" customHeight="1"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</row>
    <row r="953" ht="12.75" customHeight="1"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</row>
    <row r="954" ht="12.75" customHeight="1"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</row>
    <row r="955" ht="12.75" customHeight="1"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</row>
    <row r="956" ht="12.75" customHeight="1"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</row>
    <row r="957" ht="12.75" customHeight="1"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</row>
    <row r="958" ht="12.75" customHeight="1"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</row>
    <row r="959" ht="12.75" customHeight="1"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</row>
    <row r="960" ht="12.75" customHeight="1"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</row>
    <row r="961" ht="12.75" customHeight="1"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</row>
    <row r="962" ht="12.75" customHeight="1"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</row>
    <row r="963" ht="12.75" customHeight="1"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</row>
    <row r="964" ht="12.75" customHeight="1"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</row>
    <row r="965" ht="12.75" customHeight="1"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</row>
    <row r="966" ht="12.75" customHeight="1"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</row>
    <row r="967" ht="12.75" customHeight="1"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</row>
    <row r="968" ht="12.75" customHeight="1"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</row>
    <row r="969" ht="12.75" customHeight="1"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</row>
    <row r="970" ht="12.75" customHeight="1"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</row>
    <row r="971" ht="12.75" customHeight="1"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</row>
    <row r="972" ht="12.75" customHeight="1"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</row>
    <row r="973" ht="12.75" customHeight="1"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</row>
    <row r="974" ht="12.75" customHeight="1"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</row>
    <row r="975" ht="12.75" customHeight="1"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</row>
    <row r="976" ht="12.75" customHeight="1"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</row>
    <row r="977" ht="12.75" customHeight="1"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</row>
    <row r="978" ht="12.75" customHeight="1"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</row>
    <row r="979" ht="12.75" customHeight="1"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</row>
    <row r="980" ht="12.75" customHeight="1"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</row>
    <row r="981" ht="12.75" customHeight="1"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</row>
    <row r="982" ht="12.75" customHeight="1"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</row>
    <row r="983" ht="12.75" customHeight="1"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</row>
    <row r="984" ht="12.75" customHeight="1"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</row>
    <row r="985" ht="12.75" customHeight="1"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</row>
    <row r="986" ht="12.75" customHeight="1"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</row>
    <row r="987" ht="12.75" customHeight="1"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</row>
    <row r="988" ht="12.75" customHeight="1"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</row>
    <row r="989" ht="12.75" customHeight="1"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</row>
    <row r="990" ht="12.75" customHeight="1"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</row>
    <row r="991" ht="12.75" customHeight="1"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</row>
    <row r="992" ht="12.75" customHeight="1"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</row>
    <row r="993" ht="12.75" customHeight="1"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</row>
    <row r="994" ht="12.75" customHeight="1"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</row>
    <row r="995" ht="12.75" customHeight="1"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</row>
    <row r="996" ht="12.75" customHeight="1"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</row>
    <row r="997" ht="12.75" customHeight="1"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</row>
    <row r="998" ht="12.75" customHeight="1"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</row>
    <row r="999" ht="12.75" customHeight="1"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</row>
    <row r="1000" ht="12.75" customHeight="1"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</row>
    <row r="1001" ht="12.75" customHeight="1">
      <c r="B1001" s="97" t="n"/>
      <c r="C1001" s="97" t="n"/>
      <c r="D1001" s="97" t="n"/>
      <c r="E1001" s="97" t="n"/>
      <c r="F1001" s="97" t="n"/>
      <c r="G1001" s="97" t="n"/>
      <c r="H1001" s="97" t="n"/>
      <c r="I1001" s="97" t="n"/>
      <c r="J1001" s="97" t="n"/>
      <c r="K1001" s="97" t="n"/>
      <c r="L1001" s="97" t="n"/>
      <c r="M1001" s="97" t="n"/>
      <c r="N1001" s="97" t="n"/>
      <c r="O1001" s="97" t="n"/>
      <c r="P1001" s="97" t="n"/>
      <c r="Q1001" s="97" t="n"/>
      <c r="R1001" s="97" t="n"/>
      <c r="S1001" s="97" t="n"/>
    </row>
    <row r="1002" ht="12.75" customHeight="1">
      <c r="B1002" s="97" t="n"/>
      <c r="C1002" s="97" t="n"/>
      <c r="D1002" s="97" t="n"/>
      <c r="E1002" s="97" t="n"/>
      <c r="F1002" s="97" t="n"/>
      <c r="G1002" s="97" t="n"/>
      <c r="H1002" s="97" t="n"/>
      <c r="I1002" s="97" t="n"/>
      <c r="J1002" s="97" t="n"/>
      <c r="K1002" s="97" t="n"/>
      <c r="L1002" s="97" t="n"/>
      <c r="M1002" s="97" t="n"/>
      <c r="N1002" s="97" t="n"/>
      <c r="O1002" s="97" t="n"/>
      <c r="P1002" s="97" t="n"/>
      <c r="Q1002" s="97" t="n"/>
      <c r="R1002" s="97" t="n"/>
      <c r="S1002" s="97" t="n"/>
    </row>
    <row r="1003" ht="12.75" customHeight="1">
      <c r="B1003" s="97" t="n"/>
      <c r="C1003" s="97" t="n"/>
      <c r="D1003" s="97" t="n"/>
      <c r="E1003" s="97" t="n"/>
      <c r="F1003" s="97" t="n"/>
      <c r="G1003" s="97" t="n"/>
      <c r="H1003" s="97" t="n"/>
      <c r="I1003" s="97" t="n"/>
      <c r="J1003" s="97" t="n"/>
      <c r="K1003" s="97" t="n"/>
      <c r="L1003" s="97" t="n"/>
      <c r="M1003" s="97" t="n"/>
      <c r="N1003" s="97" t="n"/>
      <c r="O1003" s="97" t="n"/>
      <c r="P1003" s="97" t="n"/>
      <c r="Q1003" s="97" t="n"/>
      <c r="R1003" s="97" t="n"/>
      <c r="S1003" s="97" t="n"/>
    </row>
    <row r="1004" ht="12.75" customHeight="1">
      <c r="B1004" s="97" t="n"/>
      <c r="C1004" s="97" t="n"/>
      <c r="D1004" s="97" t="n"/>
      <c r="E1004" s="97" t="n"/>
      <c r="F1004" s="97" t="n"/>
      <c r="G1004" s="97" t="n"/>
      <c r="H1004" s="97" t="n"/>
      <c r="I1004" s="97" t="n"/>
      <c r="J1004" s="97" t="n"/>
      <c r="K1004" s="97" t="n"/>
      <c r="L1004" s="97" t="n"/>
      <c r="M1004" s="97" t="n"/>
      <c r="N1004" s="97" t="n"/>
      <c r="O1004" s="97" t="n"/>
      <c r="P1004" s="97" t="n"/>
      <c r="Q1004" s="97" t="n"/>
      <c r="R1004" s="97" t="n"/>
      <c r="S1004" s="97" t="n"/>
    </row>
    <row r="1005" ht="12.75" customHeight="1">
      <c r="B1005" s="97" t="n"/>
      <c r="C1005" s="97" t="n"/>
      <c r="D1005" s="97" t="n"/>
      <c r="E1005" s="97" t="n"/>
      <c r="F1005" s="97" t="n"/>
      <c r="G1005" s="97" t="n"/>
      <c r="H1005" s="97" t="n"/>
      <c r="I1005" s="97" t="n"/>
      <c r="J1005" s="97" t="n"/>
      <c r="K1005" s="97" t="n"/>
      <c r="L1005" s="97" t="n"/>
      <c r="M1005" s="97" t="n"/>
      <c r="N1005" s="97" t="n"/>
      <c r="O1005" s="97" t="n"/>
      <c r="P1005" s="97" t="n"/>
      <c r="Q1005" s="97" t="n"/>
      <c r="R1005" s="97" t="n"/>
      <c r="S1005" s="97" t="n"/>
    </row>
    <row r="1006" ht="12.75" customHeight="1">
      <c r="B1006" s="97" t="n"/>
      <c r="C1006" s="97" t="n"/>
      <c r="D1006" s="97" t="n"/>
      <c r="E1006" s="97" t="n"/>
      <c r="F1006" s="97" t="n"/>
      <c r="G1006" s="97" t="n"/>
      <c r="H1006" s="97" t="n"/>
      <c r="I1006" s="97" t="n"/>
      <c r="J1006" s="97" t="n"/>
      <c r="K1006" s="97" t="n"/>
      <c r="L1006" s="97" t="n"/>
      <c r="M1006" s="97" t="n"/>
      <c r="N1006" s="97" t="n"/>
      <c r="O1006" s="97" t="n"/>
      <c r="P1006" s="97" t="n"/>
      <c r="Q1006" s="97" t="n"/>
      <c r="R1006" s="97" t="n"/>
      <c r="S1006" s="9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lLgRHEBytACb09rvEJj3Hg==" formatRows="1" sort="1" spinCount="100000" hashValue="CmBALoUUoL3yIoOU4kx2Oe282McfrzqVRHveyy7imOmqn40rBkP08raXJ6iloerlRqfLYVrRWvEM21kjIOXfMA=="/>
  <mergeCells count="40">
    <mergeCell ref="B100:I100"/>
    <mergeCell ref="B75:I75"/>
    <mergeCell ref="B25:I25"/>
    <mergeCell ref="F128:G128"/>
    <mergeCell ref="C9:K9"/>
    <mergeCell ref="B1:C4"/>
    <mergeCell ref="C126:D126"/>
    <mergeCell ref="C128:D128"/>
    <mergeCell ref="D1:I4"/>
    <mergeCell ref="T25:X25"/>
    <mergeCell ref="B50:I50"/>
    <mergeCell ref="T50:X50"/>
    <mergeCell ref="AD25:AH25"/>
    <mergeCell ref="C8:K8"/>
    <mergeCell ref="F126:G126"/>
    <mergeCell ref="Y50:AC50"/>
    <mergeCell ref="C7:K7"/>
    <mergeCell ref="O75:S75"/>
    <mergeCell ref="AJ100:AL100"/>
    <mergeCell ref="AJ25:AL25"/>
    <mergeCell ref="O50:S50"/>
    <mergeCell ref="O25:S25"/>
    <mergeCell ref="Y25:AC25"/>
    <mergeCell ref="J25:N25"/>
    <mergeCell ref="J100:N100"/>
    <mergeCell ref="H128:I128"/>
    <mergeCell ref="T100:X100"/>
    <mergeCell ref="AJ75:AL75"/>
    <mergeCell ref="J75:N75"/>
    <mergeCell ref="C6:K6"/>
    <mergeCell ref="AJ50:AL50"/>
    <mergeCell ref="AD75:AH75"/>
    <mergeCell ref="T75:X75"/>
    <mergeCell ref="J50:N50"/>
    <mergeCell ref="AD100:AH100"/>
    <mergeCell ref="O100:S100"/>
    <mergeCell ref="AD50:AH50"/>
    <mergeCell ref="Y100:AC100"/>
    <mergeCell ref="Y75:AC75"/>
    <mergeCell ref="H126:I1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6"/>
  <sheetViews>
    <sheetView topLeftCell="A11" workbookViewId="0">
      <selection activeCell="J41" sqref="J41"/>
    </sheetView>
  </sheetViews>
  <sheetFormatPr baseColWidth="10" defaultColWidth="12.5703125" defaultRowHeight="15" customHeight="1"/>
  <cols>
    <col width="3.28515625" customWidth="1" style="173" min="1" max="1"/>
    <col width="10.5703125" customWidth="1" style="173" min="2" max="2"/>
    <col width="13.7109375" customWidth="1" style="173" min="3" max="3"/>
    <col width="10.5703125" customWidth="1" style="173" min="4" max="26"/>
    <col width="12.5703125" customWidth="1" style="173" min="27" max="16384"/>
  </cols>
  <sheetData>
    <row r="1" ht="12.75" customHeight="1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</row>
    <row r="2" ht="12.75" customHeight="1">
      <c r="A2" s="97" t="n"/>
      <c r="B2" s="531" t="inlineStr">
        <is>
          <t>CALIBRACION DE LA BALANZA</t>
        </is>
      </c>
      <c r="H2" s="97" t="n"/>
      <c r="I2" s="97" t="n"/>
      <c r="J2" s="97" t="n"/>
      <c r="K2" s="97" t="n"/>
    </row>
    <row r="3" ht="12.75" customHeight="1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</row>
    <row r="4" ht="12.75" customHeight="1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</row>
    <row r="5" ht="12.75" customHeight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</row>
    <row r="6" ht="12.75" customHeight="1">
      <c r="A6" s="97" t="n"/>
      <c r="B6" s="97" t="n"/>
      <c r="C6" s="97" t="n"/>
      <c r="D6" s="97" t="n"/>
      <c r="E6" s="97" t="n"/>
      <c r="F6" s="97" t="n"/>
      <c r="G6" s="97" t="n"/>
      <c r="H6" s="97" t="n"/>
      <c r="I6" s="533" t="n"/>
      <c r="K6" s="97" t="n"/>
    </row>
    <row r="7" ht="12.75" customHeight="1">
      <c r="A7" s="97" t="n"/>
      <c r="B7" s="252" t="inlineStr">
        <is>
          <t>Corrección</t>
        </is>
      </c>
      <c r="C7" s="246" t="n">
        <v>-3.29e-06</v>
      </c>
      <c r="D7" s="247" t="n"/>
      <c r="E7" s="247" t="n"/>
      <c r="G7" s="97" t="n"/>
      <c r="H7" s="97" t="n"/>
      <c r="I7" s="533" t="n"/>
      <c r="J7" s="533" t="n"/>
      <c r="K7" s="97" t="n"/>
    </row>
    <row r="8" ht="12.75" customHeight="1">
      <c r="A8" s="97" t="n"/>
      <c r="B8" s="253" t="inlineStr">
        <is>
          <t>Variables</t>
        </is>
      </c>
      <c r="C8" s="181" t="n">
        <v>0.00416</v>
      </c>
      <c r="D8" s="246" t="n">
        <v>2.43e-10</v>
      </c>
      <c r="E8" s="247" t="n"/>
      <c r="G8" s="97" t="n"/>
      <c r="H8" s="97" t="n"/>
      <c r="I8" s="97" t="n"/>
      <c r="J8" s="97" t="n"/>
      <c r="K8" s="97" t="n"/>
    </row>
    <row r="9" ht="12.75" customHeight="1">
      <c r="A9" s="97" t="n"/>
      <c r="B9" s="253" t="inlineStr">
        <is>
          <t>Ecuación</t>
        </is>
      </c>
      <c r="C9" s="182" t="inlineStr">
        <is>
          <t>2*RAIZ(0.00416+0.000000000243*R2)</t>
        </is>
      </c>
      <c r="D9" s="181" t="n"/>
      <c r="E9" s="247" t="n"/>
      <c r="G9" s="97" t="n"/>
      <c r="H9" s="97" t="n"/>
      <c r="I9" s="97" t="n"/>
      <c r="J9" s="97" t="n"/>
      <c r="K9" s="97" t="n"/>
    </row>
    <row r="10" ht="12.75" customHeight="1">
      <c r="A10" s="97" t="n"/>
      <c r="B10" s="253" t="inlineStr">
        <is>
          <t>Resolución</t>
        </is>
      </c>
      <c r="C10" s="182" t="n">
        <v>0.1</v>
      </c>
      <c r="D10" s="181" t="inlineStr">
        <is>
          <t>g</t>
        </is>
      </c>
      <c r="G10" s="97" t="n"/>
      <c r="H10" s="97" t="n"/>
      <c r="I10" s="97" t="n"/>
      <c r="J10" s="97" t="n"/>
      <c r="K10" s="97" t="n"/>
    </row>
    <row r="11" ht="12.75" customHeight="1">
      <c r="A11" s="97" t="n"/>
      <c r="B11" s="253" t="inlineStr">
        <is>
          <t xml:space="preserve">Código </t>
        </is>
      </c>
      <c r="C11" s="181" t="inlineStr">
        <is>
          <t>EQP-0046</t>
        </is>
      </c>
      <c r="D11" s="247" t="n"/>
      <c r="G11" s="97" t="n"/>
      <c r="H11" s="97" t="n"/>
      <c r="I11" s="97" t="n"/>
      <c r="J11" s="97" t="n"/>
      <c r="K11" s="97" t="n"/>
    </row>
    <row r="12" ht="12.75" customHeight="1">
      <c r="A12" s="97" t="n"/>
      <c r="B12" s="253" t="inlineStr">
        <is>
          <t>Fecha ultima calibracion</t>
        </is>
      </c>
      <c r="D12" s="658" t="n">
        <v>46132</v>
      </c>
      <c r="G12" s="97" t="n"/>
      <c r="H12" s="97" t="n"/>
      <c r="I12" s="97" t="n"/>
      <c r="J12" s="97" t="n"/>
      <c r="K12" s="97" t="n"/>
    </row>
    <row r="13" ht="12.75" customHeight="1">
      <c r="A13" s="97" t="n"/>
      <c r="B13" s="127" t="inlineStr">
        <is>
          <t>ITEM</t>
        </is>
      </c>
      <c r="C13" s="183" t="inlineStr">
        <is>
          <t>MES</t>
        </is>
      </c>
      <c r="D13" s="183" t="n">
        <v>20</v>
      </c>
      <c r="E13" s="183" t="n">
        <v>200</v>
      </c>
      <c r="F13" s="183" t="n">
        <v>500</v>
      </c>
      <c r="G13" s="183" t="n">
        <v>1000</v>
      </c>
      <c r="H13" s="183" t="n">
        <v>5000</v>
      </c>
      <c r="I13" s="183" t="n">
        <v>10000</v>
      </c>
      <c r="J13" s="128" t="n">
        <v>11000</v>
      </c>
      <c r="K13" s="97" t="n"/>
    </row>
    <row r="14" ht="12.75" customHeight="1">
      <c r="A14" s="97" t="n"/>
      <c r="B14" s="249" t="n"/>
      <c r="C14" s="184" t="n"/>
      <c r="D14" s="185" t="n"/>
      <c r="E14" s="185" t="n"/>
      <c r="F14" s="185" t="n"/>
      <c r="G14" s="185" t="n"/>
      <c r="H14" s="185" t="n"/>
      <c r="I14" s="185" t="n"/>
      <c r="J14" s="129" t="n"/>
      <c r="K14" s="97" t="n"/>
    </row>
    <row r="15" ht="12.75" customHeight="1">
      <c r="A15" s="97" t="n"/>
      <c r="B15" s="245" t="n"/>
      <c r="C15" s="184" t="n"/>
      <c r="D15" s="185" t="n"/>
      <c r="E15" s="185" t="n"/>
      <c r="F15" s="185" t="n"/>
      <c r="G15" s="185" t="n"/>
      <c r="H15" s="185" t="n"/>
      <c r="I15" s="185" t="n"/>
      <c r="J15" s="244" t="n"/>
      <c r="K15" s="97" t="n"/>
    </row>
    <row r="16" ht="12.75" customHeight="1">
      <c r="A16" s="97" t="n"/>
      <c r="B16" s="241" t="n"/>
      <c r="C16" s="242" t="inlineStr">
        <is>
          <t>DESV STD</t>
        </is>
      </c>
      <c r="D16" s="659" t="n">
        <v>0</v>
      </c>
      <c r="E16" s="659" t="n">
        <v>0</v>
      </c>
      <c r="F16" s="659" t="n">
        <v>0</v>
      </c>
      <c r="G16" s="659" t="n">
        <v>0</v>
      </c>
      <c r="H16" s="659" t="n">
        <v>0</v>
      </c>
      <c r="I16" s="659" t="n">
        <v>0</v>
      </c>
      <c r="J16" s="659" t="n">
        <v>0</v>
      </c>
      <c r="K16" s="97" t="n"/>
    </row>
    <row r="17" ht="12.75" customHeight="1">
      <c r="A17" s="97" t="n"/>
      <c r="B17" s="533" t="n"/>
      <c r="C17" s="126" t="n"/>
      <c r="D17" s="660" t="n"/>
      <c r="E17" s="660" t="n"/>
      <c r="F17" s="660" t="n"/>
      <c r="G17" s="660" t="n"/>
      <c r="H17" s="660" t="n"/>
      <c r="I17" s="660" t="n"/>
      <c r="J17" s="660" t="n"/>
      <c r="K17" s="97" t="n"/>
    </row>
    <row r="18" ht="12.75" customHeight="1">
      <c r="A18" s="97" t="n"/>
      <c r="B18" s="132" t="inlineStr">
        <is>
          <t>Busqueda de Repetibilidad de la masa</t>
        </is>
      </c>
      <c r="C18" s="132" t="n"/>
      <c r="D18" s="132" t="n"/>
      <c r="E18" s="132" t="n"/>
      <c r="F18" s="97" t="n"/>
      <c r="G18" s="97" t="n"/>
      <c r="H18" s="97" t="n"/>
      <c r="I18" s="97" t="n"/>
      <c r="J18" s="97" t="n"/>
      <c r="K18" s="97" t="n"/>
    </row>
    <row r="19" ht="12.75" customHeight="1">
      <c r="A19" s="97" t="n"/>
      <c r="B19" s="97" t="n"/>
      <c r="C19" s="97" t="n"/>
      <c r="D19" s="128">
        <f>+D13</f>
        <v/>
      </c>
      <c r="E19" s="128">
        <f>+E13</f>
        <v/>
      </c>
      <c r="F19" s="128">
        <f>+F13</f>
        <v/>
      </c>
      <c r="G19" s="128">
        <f>+G13</f>
        <v/>
      </c>
      <c r="H19" s="128">
        <f>+H13</f>
        <v/>
      </c>
      <c r="I19" s="128" t="n"/>
      <c r="J19" s="128" t="n"/>
      <c r="K19" s="97" t="n"/>
    </row>
    <row r="20" ht="12.75" customHeight="1">
      <c r="A20" s="97" t="n"/>
      <c r="B20" s="97" t="n"/>
      <c r="C20" s="97" t="n"/>
      <c r="D20" s="661">
        <f>D16</f>
        <v/>
      </c>
      <c r="E20" s="661">
        <f>E16</f>
        <v/>
      </c>
      <c r="F20" s="661">
        <f>F16</f>
        <v/>
      </c>
      <c r="G20" s="661">
        <f>G16</f>
        <v/>
      </c>
      <c r="H20" s="661">
        <f>H16</f>
        <v/>
      </c>
      <c r="I20" s="661" t="n"/>
      <c r="J20" s="662" t="n"/>
      <c r="K20" s="97" t="n"/>
    </row>
    <row r="21" ht="12.75" customHeight="1">
      <c r="A21" s="97" t="n"/>
      <c r="B21" s="99" t="n"/>
      <c r="C21" s="99" t="n"/>
      <c r="D21" s="97" t="n"/>
      <c r="E21" s="97" t="n"/>
      <c r="F21" s="97" t="n"/>
      <c r="G21" s="97" t="n"/>
      <c r="H21" s="97" t="n"/>
      <c r="I21" s="97" t="n"/>
      <c r="J21" s="97" t="n"/>
      <c r="K21" s="97" t="n"/>
    </row>
    <row r="22" ht="12.75" customHeight="1">
      <c r="B22" s="235" t="inlineStr">
        <is>
          <t>PLANAS</t>
        </is>
      </c>
      <c r="F22" s="97" t="n"/>
      <c r="G22" s="97" t="n"/>
      <c r="H22" s="97" t="n"/>
      <c r="I22" s="97" t="n"/>
      <c r="J22" s="97" t="n"/>
      <c r="K22" s="97" t="n"/>
    </row>
    <row r="23" ht="35.45" customHeight="1">
      <c r="B23" s="236" t="inlineStr">
        <is>
          <t>Tamaño de  partículas</t>
        </is>
      </c>
      <c r="C23" s="237" t="inlineStr">
        <is>
          <t>Masa particula (g)</t>
        </is>
      </c>
      <c r="D23" s="237" t="inlineStr">
        <is>
          <t>repetibilidad masa particula</t>
        </is>
      </c>
      <c r="E23" s="237" t="inlineStr">
        <is>
          <t>Masa de prueba (g)</t>
        </is>
      </c>
      <c r="F23" s="237" t="inlineStr">
        <is>
          <t>repetibilidad masa de prueba</t>
        </is>
      </c>
      <c r="G23" s="237" t="inlineStr">
        <is>
          <t>Masa retenida  (g)</t>
        </is>
      </c>
      <c r="H23" s="237" t="inlineStr">
        <is>
          <t>repetibilidad masa retenida</t>
        </is>
      </c>
      <c r="J23" s="237" t="inlineStr">
        <is>
          <t>Masa total  (g)</t>
        </is>
      </c>
      <c r="K23" s="237" t="inlineStr">
        <is>
          <t>repetibilidad masa total</t>
        </is>
      </c>
    </row>
    <row r="24" ht="12.75" customHeight="1">
      <c r="B24" s="238" t="inlineStr">
        <is>
          <t>1 1/2 in</t>
        </is>
      </c>
      <c r="C24" s="239">
        <f>+DATOS!M12</f>
        <v/>
      </c>
      <c r="D24" s="663">
        <f>IF(C24&lt;=$D$19,$D$20,IF(AND(C24&gt;$D$19,C24&lt;=$E$19),$E$20,IF(AND(C24&gt;$E$19,C24&lt;=$F$19),$F$20,IF(AND(C24&gt;$F$19,C24&lt;=$G$19),$G$20,IF(AND(C24&gt;$G$19,C24&lt;=$H$19),$H$20,$H$20)))))</f>
        <v/>
      </c>
      <c r="E24" s="239">
        <f>+DATOS!H12</f>
        <v/>
      </c>
      <c r="F24" s="663">
        <f>IF(E24&lt;=$D$19,$D$20,IF(AND(E24&gt;$D$19,E24&lt;=$E$19),$E$20,IF(AND(E24&gt;$E$19,E24&lt;=$F$19),$F$20,IF(AND(E24&gt;$F$19,E24&lt;=$G$19),$G$20,IF(AND(E24&gt;$G$19,E24&lt;=$H$19),$H$20,$H$20)))))</f>
        <v/>
      </c>
      <c r="G24" s="239">
        <f>+DATOS!D12</f>
        <v/>
      </c>
      <c r="H24" s="663">
        <f>IF(G24&lt;=$D$19,$D$20,IF(AND(G24&gt;$D$19,G24&lt;=$E$19),$E$20,IF(AND(G24&gt;$E$19,G24&lt;=$F$19),$F$20,IF(AND(G24&gt;$F$19,G24&lt;=$G$19),$G$20,IF(AND(G24&gt;$G$19,G24&lt;=$H$19),$H$20,$H$20)))))</f>
        <v/>
      </c>
      <c r="J24" s="240">
        <f>+DATOS!D18</f>
        <v/>
      </c>
      <c r="K24" s="663">
        <f>IF(J24&lt;=$D$19,$D$20,IF(AND(J24&gt;$D$19,J24&lt;=$E$19),$E$20,IF(AND(J24&gt;$E$19,J24&lt;=$F$19),$F$20,IF(AND(J24&gt;$F$19,J24&lt;=$G$19),$G$20,IF(AND(J24&gt;$G$19,J24&lt;=$H$19),$H$20,$H$20)))))</f>
        <v/>
      </c>
    </row>
    <row r="25" ht="12.75" customHeight="1">
      <c r="B25" s="238" t="inlineStr">
        <is>
          <t>1 in</t>
        </is>
      </c>
      <c r="C25" s="239">
        <f>+DATOS!M13</f>
        <v/>
      </c>
      <c r="D25" s="663">
        <f>IF(C25&lt;=$D$19,$D$20,IF(AND(C25&gt;$D$19,C25&lt;=$E$19),$E$20,IF(AND(C25&gt;$E$19,C25&lt;=$F$19),$F$20,IF(AND(C25&gt;$F$19,C25&lt;=$G$19),$G$20,IF(AND(C25&gt;$G$19,C25&lt;=$H$19),$H$20,$H$20)))))</f>
        <v/>
      </c>
      <c r="E25" s="239">
        <f>+DATOS!H13</f>
        <v/>
      </c>
      <c r="F25" s="663">
        <f>IF(E25&lt;=$D$19,$D$20,IF(AND(E25&gt;$D$19,E25&lt;=$E$19),$E$20,IF(AND(E25&gt;$E$19,E25&lt;=$F$19),$F$20,IF(AND(E25&gt;$F$19,E25&lt;=$G$19),$G$20,IF(AND(E25&gt;$G$19,E25&lt;=$H$19),$H$20,$H$20)))))</f>
        <v/>
      </c>
      <c r="G25" s="239">
        <f>+DATOS!D13</f>
        <v/>
      </c>
      <c r="H25" s="663">
        <f>IF(G25&lt;=$D$19,$D$20,IF(AND(G25&gt;$D$19,G25&lt;=$E$19),$E$20,IF(AND(G25&gt;$E$19,G25&lt;=$F$19),$F$20,IF(AND(G25&gt;$F$19,G25&lt;=$G$19),$G$20,IF(AND(G25&gt;$G$19,G25&lt;=$H$19),$H$20,$H$20)))))</f>
        <v/>
      </c>
    </row>
    <row r="26" ht="12.75" customHeight="1">
      <c r="B26" s="238" t="inlineStr">
        <is>
          <t>3/4 in</t>
        </is>
      </c>
      <c r="C26" s="239">
        <f>+DATOS!M14</f>
        <v/>
      </c>
      <c r="D26" s="663">
        <f>IF(C26&lt;=$D$19,$D$20,IF(AND(C26&gt;$D$19,C26&lt;=$E$19),$E$20,IF(AND(C26&gt;$E$19,C26&lt;=$F$19),$F$20,IF(AND(C26&gt;$F$19,C26&lt;=$G$19),$G$20,IF(AND(C26&gt;$G$19,C26&lt;=$H$19),$H$20,$H$20)))))</f>
        <v/>
      </c>
      <c r="E26" s="239">
        <f>+DATOS!H14</f>
        <v/>
      </c>
      <c r="F26" s="663">
        <f>IF(E26&lt;=$D$19,$D$20,IF(AND(E26&gt;$D$19,E26&lt;=$E$19),$E$20,IF(AND(E26&gt;$E$19,E26&lt;=$F$19),$F$20,IF(AND(E26&gt;$F$19,E26&lt;=$G$19),$G$20,IF(AND(E26&gt;$G$19,E26&lt;=$H$19),$H$20,$H$20)))))</f>
        <v/>
      </c>
      <c r="G26" s="239">
        <f>+DATOS!D14</f>
        <v/>
      </c>
      <c r="H26" s="663">
        <f>IF(G26&lt;=$D$19,$D$20,IF(AND(G26&gt;$D$19,G26&lt;=$E$19),$E$20,IF(AND(G26&gt;$E$19,G26&lt;=$F$19),$F$20,IF(AND(G26&gt;$F$19,G26&lt;=$G$19),$G$20,IF(AND(G26&gt;$G$19,G26&lt;=$H$19),$H$20,$H$20)))))</f>
        <v/>
      </c>
    </row>
    <row r="27" ht="12.75" customHeight="1">
      <c r="B27" s="238" t="inlineStr">
        <is>
          <t>1/2 in</t>
        </is>
      </c>
      <c r="C27" s="239">
        <f>+DATOS!M15</f>
        <v/>
      </c>
      <c r="D27" s="663">
        <f>IF(C27&lt;=$D$19,$D$20,IF(AND(C27&gt;$D$19,C27&lt;=$E$19),$E$20,IF(AND(C27&gt;$E$19,C27&lt;=$F$19),$F$20,IF(AND(C27&gt;$F$19,C27&lt;=$G$19),$G$20,IF(AND(C27&gt;$G$19,C27&lt;=$H$19),$H$20,$H$20)))))</f>
        <v/>
      </c>
      <c r="E27" s="239">
        <f>+DATOS!H15</f>
        <v/>
      </c>
      <c r="F27" s="663">
        <f>IF(E27&lt;=$D$19,$D$20,IF(AND(E27&gt;$D$19,E27&lt;=$E$19),$E$20,IF(AND(E27&gt;$E$19,E27&lt;=$F$19),$F$20,IF(AND(E27&gt;$F$19,E27&lt;=$G$19),$G$20,IF(AND(E27&gt;$G$19,E27&lt;=$H$19),$H$20,$H$20)))))</f>
        <v/>
      </c>
      <c r="G27" s="239">
        <f>+DATOS!D15</f>
        <v/>
      </c>
      <c r="H27" s="663">
        <f>IF(G27&lt;=$D$19,$D$20,IF(AND(G27&gt;$D$19,G27&lt;=$E$19),$E$20,IF(AND(G27&gt;$E$19,G27&lt;=$F$19),$F$20,IF(AND(G27&gt;$F$19,G27&lt;=$G$19),$G$20,IF(AND(G27&gt;$G$19,G27&lt;=$H$19),$H$20,$H$20)))))</f>
        <v/>
      </c>
    </row>
    <row r="28" ht="12.75" customHeight="1">
      <c r="B28" s="238" t="inlineStr">
        <is>
          <t>3/8 in</t>
        </is>
      </c>
      <c r="C28" s="239">
        <f>+DATOS!M16</f>
        <v/>
      </c>
      <c r="D28" s="663">
        <f>IF(C28&lt;=$D$19,$D$20,IF(AND(C28&gt;$D$19,C28&lt;=$E$19),$E$20,IF(AND(C28&gt;$E$19,C28&lt;=$F$19),$F$20,IF(AND(C28&gt;$F$19,C28&lt;=$G$19),$G$20,IF(AND(C28&gt;$G$19,C28&lt;=$H$19),$H$20,$H$20)))))</f>
        <v/>
      </c>
      <c r="E28" s="239">
        <f>+DATOS!H16</f>
        <v/>
      </c>
      <c r="F28" s="663">
        <f>IF(E28&lt;=$D$19,$D$20,IF(AND(E28&gt;$D$19,E28&lt;=$E$19),$E$20,IF(AND(E28&gt;$E$19,E28&lt;=$F$19),$F$20,IF(AND(E28&gt;$F$19,E28&lt;=$G$19),$G$20,IF(AND(E28&gt;$G$19,E28&lt;=$H$19),$H$20,$H$20)))))</f>
        <v/>
      </c>
      <c r="G28" s="239">
        <f>+DATOS!D16</f>
        <v/>
      </c>
      <c r="H28" s="663">
        <f>IF(G28&lt;=$D$19,$D$20,IF(AND(G28&gt;$D$19,G28&lt;=$E$19),$E$20,IF(AND(G28&gt;$E$19,G28&lt;=$F$19),$F$20,IF(AND(G28&gt;$F$19,G28&lt;=$G$19),$G$20,IF(AND(G28&gt;$G$19,G28&lt;=$H$19),$H$20,$H$20)))))</f>
        <v/>
      </c>
    </row>
    <row r="29" ht="12.75" customHeight="1">
      <c r="B29" s="238" t="inlineStr">
        <is>
          <t>N°4</t>
        </is>
      </c>
      <c r="C29" s="239">
        <f>+DATOS!M17</f>
        <v/>
      </c>
      <c r="D29" s="663">
        <f>IF(C29&lt;=$D$19,$D$20,IF(AND(C29&gt;$D$19,C29&lt;=$E$19),$E$20,IF(AND(C29&gt;$E$19,C29&lt;=$F$19),$F$20,IF(AND(C29&gt;$F$19,C29&lt;=$G$19),$G$20,IF(AND(C29&gt;$G$19,C29&lt;=$H$19),$H$20,$H$20)))))</f>
        <v/>
      </c>
      <c r="E29" s="239">
        <f>+DATOS!H17</f>
        <v/>
      </c>
      <c r="F29" s="663">
        <f>IF(E29&lt;=$D$19,$D$20,IF(AND(E29&gt;$D$19,E29&lt;=$E$19),$E$20,IF(AND(E29&gt;$E$19,E29&lt;=$F$19),$F$20,IF(AND(E29&gt;$F$19,E29&lt;=$G$19),$G$20,IF(AND(E29&gt;$G$19,E29&lt;=$H$19),$H$20,$H$20)))))</f>
        <v/>
      </c>
      <c r="G29" s="239">
        <f>+DATOS!D17</f>
        <v/>
      </c>
      <c r="H29" s="663">
        <f>IF(G29&lt;=$D$19,$D$20,IF(AND(G29&gt;$D$19,G29&lt;=$E$19),$E$20,IF(AND(G29&gt;$E$19,G29&lt;=$F$19),$F$20,IF(AND(G29&gt;$F$19,G29&lt;=$G$19),$G$20,IF(AND(G29&gt;$G$19,G29&lt;=$H$19),$H$20,$H$20)))))</f>
        <v/>
      </c>
    </row>
    <row r="30" ht="12.75" customHeight="1"/>
    <row r="31" ht="16.15" customHeight="1">
      <c r="B31" s="235" t="inlineStr">
        <is>
          <t>ALARGADAS</t>
        </is>
      </c>
      <c r="F31" s="97" t="n"/>
      <c r="G31" s="97" t="n"/>
      <c r="H31" s="97" t="n"/>
    </row>
    <row r="32" ht="33" customHeight="1">
      <c r="B32" s="236" t="inlineStr">
        <is>
          <t>Tamaño de  partículas</t>
        </is>
      </c>
      <c r="C32" s="237" t="inlineStr">
        <is>
          <t>Masa particula (g)</t>
        </is>
      </c>
      <c r="D32" s="237" t="inlineStr">
        <is>
          <t>repetibilidad masa particula</t>
        </is>
      </c>
      <c r="F32" s="97" t="n"/>
      <c r="G32" s="97" t="n"/>
      <c r="H32" s="97" t="n"/>
    </row>
    <row r="33" ht="12.75" customHeight="1">
      <c r="B33" s="238" t="inlineStr">
        <is>
          <t>1 1/2 in</t>
        </is>
      </c>
      <c r="C33" s="239">
        <f>+DATOS!R12</f>
        <v/>
      </c>
      <c r="D33" s="663">
        <f>IF(C33&lt;=$D$19,$D$20,IF(AND(C33&gt;$D$19,C33&lt;=$E$19),$E$20,IF(AND(C33&gt;$E$19,C33&lt;=$F$19),$F$20,IF(AND(C33&gt;$F$19,C33&lt;=$G$19),$G$20,IF(AND(C33&gt;$G$19,C33&lt;=$H$19),$H$20,$H$20)))))</f>
        <v/>
      </c>
      <c r="F33" s="97" t="n"/>
      <c r="G33" s="97" t="n"/>
      <c r="H33" s="97" t="n"/>
    </row>
    <row r="34" ht="12.75" customHeight="1">
      <c r="B34" s="238" t="inlineStr">
        <is>
          <t>1 in</t>
        </is>
      </c>
      <c r="C34" s="239">
        <f>+DATOS!R13</f>
        <v/>
      </c>
      <c r="D34" s="663">
        <f>IF(C34&lt;=$D$19,$D$20,IF(AND(C34&gt;$D$19,C34&lt;=$E$19),$E$20,IF(AND(C34&gt;$E$19,C34&lt;=$F$19),$F$20,IF(AND(C34&gt;$F$19,C34&lt;=$G$19),$G$20,IF(AND(C34&gt;$G$19,C34&lt;=$H$19),$H$20,$H$20)))))</f>
        <v/>
      </c>
      <c r="F34" s="97" t="n"/>
      <c r="G34" s="97" t="n"/>
      <c r="H34" s="97" t="n"/>
    </row>
    <row r="35" ht="12.75" customHeight="1">
      <c r="B35" s="238" t="inlineStr">
        <is>
          <t>3/4 in</t>
        </is>
      </c>
      <c r="C35" s="239">
        <f>+DATOS!R14</f>
        <v/>
      </c>
      <c r="D35" s="663">
        <f>IF(C35&lt;=$D$19,$D$20,IF(AND(C35&gt;$D$19,C35&lt;=$E$19),$E$20,IF(AND(C35&gt;$E$19,C35&lt;=$F$19),$F$20,IF(AND(C35&gt;$F$19,C35&lt;=$G$19),$G$20,IF(AND(C35&gt;$G$19,C35&lt;=$H$19),$H$20,$H$20)))))</f>
        <v/>
      </c>
      <c r="F35" s="97" t="n"/>
      <c r="G35" s="97" t="n"/>
      <c r="H35" s="97" t="n"/>
    </row>
    <row r="36" ht="12.75" customHeight="1">
      <c r="B36" s="238" t="inlineStr">
        <is>
          <t>1/2 in</t>
        </is>
      </c>
      <c r="C36" s="239">
        <f>+DATOS!R15</f>
        <v/>
      </c>
      <c r="D36" s="663">
        <f>IF(C36&lt;=$D$19,$D$20,IF(AND(C36&gt;$D$19,C36&lt;=$E$19),$E$20,IF(AND(C36&gt;$E$19,C36&lt;=$F$19),$F$20,IF(AND(C36&gt;$F$19,C36&lt;=$G$19),$G$20,IF(AND(C36&gt;$G$19,C36&lt;=$H$19),$H$20,$H$20)))))</f>
        <v/>
      </c>
      <c r="F36" s="97" t="n"/>
      <c r="G36" s="97" t="n"/>
      <c r="H36" s="97" t="n"/>
    </row>
    <row r="37" ht="12.75" customHeight="1">
      <c r="B37" s="238" t="inlineStr">
        <is>
          <t>3/8 in</t>
        </is>
      </c>
      <c r="C37" s="239">
        <f>+DATOS!R16</f>
        <v/>
      </c>
      <c r="D37" s="663">
        <f>IF(C37&lt;=$D$19,$D$20,IF(AND(C37&gt;$D$19,C37&lt;=$E$19),$E$20,IF(AND(C37&gt;$E$19,C37&lt;=$F$19),$F$20,IF(AND(C37&gt;$F$19,C37&lt;=$G$19),$G$20,IF(AND(C37&gt;$G$19,C37&lt;=$H$19),$H$20,$H$20)))))</f>
        <v/>
      </c>
      <c r="F37" s="97" t="n"/>
      <c r="G37" s="97" t="n"/>
      <c r="H37" s="97" t="n"/>
    </row>
    <row r="38" ht="12.75" customHeight="1">
      <c r="B38" s="238" t="inlineStr">
        <is>
          <t>N°4</t>
        </is>
      </c>
      <c r="C38" s="239">
        <f>+DATOS!R17</f>
        <v/>
      </c>
      <c r="D38" s="663">
        <f>IF(C38&lt;=$D$19,$D$20,IF(AND(C38&gt;$D$19,C38&lt;=$E$19),$E$20,IF(AND(C38&gt;$E$19,C38&lt;=$F$19),$F$20,IF(AND(C38&gt;$F$19,C38&lt;=$G$19),$G$20,IF(AND(C38&gt;$G$19,C38&lt;=$H$19),$H$20,$H$20)))))</f>
        <v/>
      </c>
      <c r="F38" s="97" t="n"/>
      <c r="G38" s="97" t="n"/>
      <c r="H38" s="97" t="n"/>
    </row>
    <row r="39" ht="12.75" customHeight="1"/>
    <row r="40" ht="12.75" customHeight="1">
      <c r="B40" s="235" t="inlineStr">
        <is>
          <t>PLANAS Y ALARGADAS</t>
        </is>
      </c>
    </row>
    <row r="41" ht="35.45" customHeight="1">
      <c r="B41" s="236" t="inlineStr">
        <is>
          <t>Tamaño de  partículas</t>
        </is>
      </c>
      <c r="C41" s="237" t="inlineStr">
        <is>
          <t>Masa particula (g)</t>
        </is>
      </c>
      <c r="D41" s="237" t="inlineStr">
        <is>
          <t>repetibilidad masa particula</t>
        </is>
      </c>
    </row>
    <row r="42" ht="12.75" customHeight="1">
      <c r="B42" s="238" t="inlineStr">
        <is>
          <t>1 1/2 in</t>
        </is>
      </c>
      <c r="C42" s="239">
        <f>+DATOS!W12</f>
        <v/>
      </c>
      <c r="D42" s="663">
        <f>IF(C42&lt;=$D$19,$D$20,IF(AND(C42&gt;$D$19,C42&lt;=$E$19),$E$20,IF(AND(C42&gt;$E$19,C42&lt;=$F$19),$F$20,IF(AND(C42&gt;$F$19,C42&lt;=$G$19),$G$20,IF(AND(C42&gt;$G$19,C42&lt;=$H$19),$H$20,$H$20)))))</f>
        <v/>
      </c>
    </row>
    <row r="43" ht="12.75" customHeight="1">
      <c r="B43" s="238" t="inlineStr">
        <is>
          <t>1 in</t>
        </is>
      </c>
      <c r="C43" s="239">
        <f>+DATOS!W13</f>
        <v/>
      </c>
      <c r="D43" s="663">
        <f>IF(C43&lt;=$D$19,$D$20,IF(AND(C43&gt;$D$19,C43&lt;=$E$19),$E$20,IF(AND(C43&gt;$E$19,C43&lt;=$F$19),$F$20,IF(AND(C43&gt;$F$19,C43&lt;=$G$19),$G$20,IF(AND(C43&gt;$G$19,C43&lt;=$H$19),$H$20,$H$20)))))</f>
        <v/>
      </c>
    </row>
    <row r="44" ht="12.75" customHeight="1">
      <c r="B44" s="238" t="inlineStr">
        <is>
          <t>3/4 in</t>
        </is>
      </c>
      <c r="C44" s="239">
        <f>+DATOS!W14</f>
        <v/>
      </c>
      <c r="D44" s="663">
        <f>IF(C44&lt;=$D$19,$D$20,IF(AND(C44&gt;$D$19,C44&lt;=$E$19),$E$20,IF(AND(C44&gt;$E$19,C44&lt;=$F$19),$F$20,IF(AND(C44&gt;$F$19,C44&lt;=$G$19),$G$20,IF(AND(C44&gt;$G$19,C44&lt;=$H$19),$H$20,$H$20)))))</f>
        <v/>
      </c>
    </row>
    <row r="45" ht="12.75" customHeight="1">
      <c r="B45" s="238" t="inlineStr">
        <is>
          <t>1/2 in</t>
        </is>
      </c>
      <c r="C45" s="239">
        <f>+DATOS!W15</f>
        <v/>
      </c>
      <c r="D45" s="663">
        <f>IF(C45&lt;=$D$19,$D$20,IF(AND(C45&gt;$D$19,C45&lt;=$E$19),$E$20,IF(AND(C45&gt;$E$19,C45&lt;=$F$19),$F$20,IF(AND(C45&gt;$F$19,C45&lt;=$G$19),$G$20,IF(AND(C45&gt;$G$19,C45&lt;=$H$19),$H$20,$H$20)))))</f>
        <v/>
      </c>
    </row>
    <row r="46" ht="12.75" customHeight="1">
      <c r="B46" s="238" t="inlineStr">
        <is>
          <t>3/8 in</t>
        </is>
      </c>
      <c r="C46" s="239">
        <f>+DATOS!W16</f>
        <v/>
      </c>
      <c r="D46" s="663">
        <f>IF(C46&lt;=$D$19,$D$20,IF(AND(C46&gt;$D$19,C46&lt;=$E$19),$E$20,IF(AND(C46&gt;$E$19,C46&lt;=$F$19),$F$20,IF(AND(C46&gt;$F$19,C46&lt;=$G$19),$G$20,IF(AND(C46&gt;$G$19,C46&lt;=$H$19),$H$20,$H$20)))))</f>
        <v/>
      </c>
    </row>
    <row r="47" ht="12.75" customHeight="1">
      <c r="B47" s="238" t="inlineStr">
        <is>
          <t>N°4</t>
        </is>
      </c>
      <c r="C47" s="239">
        <f>+DATOS!W17</f>
        <v/>
      </c>
      <c r="D47" s="663">
        <f>IF(C47&lt;=$D$19,$D$20,IF(AND(C47&gt;$D$19,C47&lt;=$E$19),$E$20,IF(AND(C47&gt;$E$19,C47&lt;=$F$19),$F$20,IF(AND(C47&gt;$F$19,C47&lt;=$G$19),$G$20,IF(AND(C47&gt;$G$19,C47&lt;=$H$19),$H$20,$H$20)))))</f>
        <v/>
      </c>
    </row>
    <row r="48" ht="12.75" customHeight="1"/>
    <row r="49" ht="12.75" customHeight="1">
      <c r="B49" s="235" t="inlineStr">
        <is>
          <t>NI PLANAS NI ALARGADAS</t>
        </is>
      </c>
    </row>
    <row r="50" ht="34.15" customHeight="1">
      <c r="B50" s="236" t="inlineStr">
        <is>
          <t>Tamaño de  partículas</t>
        </is>
      </c>
      <c r="C50" s="237" t="inlineStr">
        <is>
          <t>Masa particula (g)</t>
        </is>
      </c>
      <c r="D50" s="237" t="inlineStr">
        <is>
          <t>repetibilidad masa particula</t>
        </is>
      </c>
    </row>
    <row r="51" ht="12.75" customHeight="1">
      <c r="B51" s="238" t="inlineStr">
        <is>
          <t>1 1/2 in</t>
        </is>
      </c>
      <c r="C51" s="239">
        <f>+DATOS!AA12</f>
        <v/>
      </c>
      <c r="D51" s="663">
        <f>IF(C51&lt;=$D$19,$D$20,IF(AND(C51&gt;$D$19,C51&lt;=$E$19),$E$20,IF(AND(C51&gt;$E$19,C51&lt;=$F$19),$F$20,IF(AND(C51&gt;$F$19,C51&lt;=$G$19),$G$20,IF(AND(C51&gt;$G$19,C51&lt;=$H$19),$H$20,$H$20)))))</f>
        <v/>
      </c>
    </row>
    <row r="52" ht="12.75" customHeight="1">
      <c r="B52" s="238" t="inlineStr">
        <is>
          <t>1 in</t>
        </is>
      </c>
      <c r="C52" s="239">
        <f>+DATOS!AA13</f>
        <v/>
      </c>
      <c r="D52" s="663">
        <f>IF(C52&lt;=$D$19,$D$20,IF(AND(C52&gt;$D$19,C52&lt;=$E$19),$E$20,IF(AND(C52&gt;$E$19,C52&lt;=$F$19),$F$20,IF(AND(C52&gt;$F$19,C52&lt;=$G$19),$G$20,IF(AND(C52&gt;$G$19,C52&lt;=$H$19),$H$20,$H$20)))))</f>
        <v/>
      </c>
    </row>
    <row r="53" ht="12.75" customHeight="1">
      <c r="B53" s="238" t="inlineStr">
        <is>
          <t>3/4 in</t>
        </is>
      </c>
      <c r="C53" s="239">
        <f>+DATOS!AA14</f>
        <v/>
      </c>
      <c r="D53" s="663">
        <f>IF(C53&lt;=$D$19,$D$20,IF(AND(C53&gt;$D$19,C53&lt;=$E$19),$E$20,IF(AND(C53&gt;$E$19,C53&lt;=$F$19),$F$20,IF(AND(C53&gt;$F$19,C53&lt;=$G$19),$G$20,IF(AND(C53&gt;$G$19,C53&lt;=$H$19),$H$20,$H$20)))))</f>
        <v/>
      </c>
    </row>
    <row r="54" ht="12.75" customHeight="1">
      <c r="B54" s="238" t="inlineStr">
        <is>
          <t>1/2 in</t>
        </is>
      </c>
      <c r="C54" s="239">
        <f>+DATOS!AA15</f>
        <v/>
      </c>
      <c r="D54" s="663">
        <f>IF(C54&lt;=$D$19,$D$20,IF(AND(C54&gt;$D$19,C54&lt;=$E$19),$E$20,IF(AND(C54&gt;$E$19,C54&lt;=$F$19),$F$20,IF(AND(C54&gt;$F$19,C54&lt;=$G$19),$G$20,IF(AND(C54&gt;$G$19,C54&lt;=$H$19),$H$20,$H$20)))))</f>
        <v/>
      </c>
    </row>
    <row r="55" ht="12.75" customHeight="1">
      <c r="B55" s="238" t="inlineStr">
        <is>
          <t>3/8 in</t>
        </is>
      </c>
      <c r="C55" s="239">
        <f>+DATOS!AA16</f>
        <v/>
      </c>
      <c r="D55" s="663">
        <f>IF(C55&lt;=$D$19,$D$20,IF(AND(C55&gt;$D$19,C55&lt;=$E$19),$E$20,IF(AND(C55&gt;$E$19,C55&lt;=$F$19),$F$20,IF(AND(C55&gt;$F$19,C55&lt;=$G$19),$G$20,IF(AND(C55&gt;$G$19,C55&lt;=$H$19),$H$20,$H$20)))))</f>
        <v/>
      </c>
    </row>
    <row r="56" ht="12.75" customHeight="1">
      <c r="B56" s="238" t="inlineStr">
        <is>
          <t>N°4</t>
        </is>
      </c>
      <c r="C56" s="239">
        <f>+DATOS!AA17</f>
        <v/>
      </c>
      <c r="D56" s="663">
        <f>IF(C56&lt;=$D$19,$D$20,IF(AND(C56&gt;$D$19,C56&lt;=$E$19),$E$20,IF(AND(C56&gt;$E$19,C56&lt;=$F$19),$F$20,IF(AND(C56&gt;$F$19,C56&lt;=$G$19),$G$20,IF(AND(C56&gt;$G$19,C56&lt;=$H$19),$H$20,$H$20)))))</f>
        <v/>
      </c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Mf6D/Ks25yfvDSPSJ23FQ==" formatRows="1" sort="1" spinCount="100000" hashValue="Kg08jGn7pG0CEP2fUQmt+EX6WML3INXsv148PNXGddrBW1yYykMyyseOmkWiTs0RnqNbtTX2deScRBodQ6IK3g=="/>
  <mergeCells count="2">
    <mergeCell ref="B2:G2"/>
    <mergeCell ref="I6:J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I28" sqref="I28"/>
    </sheetView>
  </sheetViews>
  <sheetFormatPr baseColWidth="10" defaultColWidth="12.5703125" defaultRowHeight="12"/>
  <cols>
    <col width="24" customWidth="1" style="226" min="1" max="1"/>
    <col width="10.5703125" customWidth="1" style="226" min="2" max="5"/>
    <col width="3.28515625" customWidth="1" style="226" min="6" max="6"/>
    <col width="21.5703125" customWidth="1" style="226" min="7" max="7"/>
    <col width="10.5703125" customWidth="1" style="226" min="8" max="11"/>
    <col width="2.85546875" customWidth="1" style="226" min="12" max="12"/>
    <col width="22.7109375" customWidth="1" style="226" min="13" max="13"/>
    <col width="10.5703125" customWidth="1" style="226" min="14" max="17"/>
    <col width="3.28515625" customWidth="1" style="226" min="18" max="18"/>
    <col width="20.42578125" customWidth="1" style="226" min="19" max="19"/>
    <col width="10.5703125" customWidth="1" style="226" min="20" max="26"/>
    <col width="12.5703125" customWidth="1" style="226" min="27" max="16384"/>
  </cols>
  <sheetData>
    <row r="1" ht="8.449999999999999" customHeight="1">
      <c r="A1" s="108" t="n"/>
      <c r="B1" s="108" t="n"/>
      <c r="C1" s="108" t="n"/>
      <c r="D1" s="108" t="n"/>
      <c r="E1" s="108" t="n"/>
    </row>
    <row r="2" ht="12.75" customHeight="1">
      <c r="A2" s="231" t="n"/>
      <c r="B2" s="108" t="n"/>
      <c r="C2" s="108" t="n"/>
      <c r="D2" s="108" t="n"/>
      <c r="E2" s="108" t="n"/>
      <c r="G2" s="231" t="n"/>
      <c r="H2" s="108" t="n"/>
      <c r="I2" s="108" t="n"/>
      <c r="J2" s="108" t="n"/>
      <c r="K2" s="108" t="n"/>
      <c r="M2" s="231" t="n"/>
      <c r="N2" s="108" t="n"/>
      <c r="O2" s="108" t="n"/>
      <c r="P2" s="108" t="n"/>
      <c r="Q2" s="108" t="n"/>
      <c r="S2" s="231" t="n"/>
      <c r="T2" s="108" t="n"/>
      <c r="U2" s="108" t="n"/>
      <c r="V2" s="108" t="n"/>
      <c r="W2" s="108" t="n"/>
    </row>
    <row r="3" ht="12.75" customHeight="1">
      <c r="A3" s="108" t="inlineStr">
        <is>
          <t>FACTOR DE PRECISION DEL OPERADOR</t>
        </is>
      </c>
      <c r="B3" s="108" t="n"/>
      <c r="C3" s="108" t="n"/>
      <c r="D3" s="108" t="n"/>
      <c r="E3" s="108" t="n"/>
      <c r="G3" s="108" t="inlineStr">
        <is>
          <t>FACTOR DE PRECISION DEL OPERADOR</t>
        </is>
      </c>
      <c r="H3" s="108" t="n"/>
      <c r="I3" s="108" t="n"/>
      <c r="J3" s="108" t="n"/>
      <c r="K3" s="108" t="n"/>
      <c r="M3" s="108" t="inlineStr">
        <is>
          <t>FACTOR DE PRECISION DEL OPERADOR</t>
        </is>
      </c>
      <c r="N3" s="108" t="n"/>
      <c r="O3" s="108" t="n"/>
      <c r="P3" s="108" t="n"/>
      <c r="Q3" s="108" t="n"/>
      <c r="S3" s="108" t="inlineStr">
        <is>
          <t>FACTOR DE PRECISION DEL OPERADOR</t>
        </is>
      </c>
      <c r="T3" s="108" t="n"/>
      <c r="U3" s="108" t="n"/>
      <c r="V3" s="108" t="n"/>
      <c r="W3" s="108" t="n"/>
    </row>
    <row r="4" ht="12.75" customHeight="1">
      <c r="A4" s="108" t="inlineStr">
        <is>
          <t>Fecha de evaluacion:</t>
        </is>
      </c>
      <c r="B4" s="232" t="n">
        <v>45789</v>
      </c>
      <c r="C4" s="108" t="n"/>
      <c r="D4" s="108" t="n"/>
      <c r="E4" s="108" t="n"/>
      <c r="G4" s="108" t="inlineStr">
        <is>
          <t>Fecha de evaluacion:</t>
        </is>
      </c>
      <c r="H4" s="232">
        <f>+B4</f>
        <v/>
      </c>
      <c r="I4" s="108" t="n"/>
      <c r="J4" s="108" t="n"/>
      <c r="K4" s="108" t="n"/>
      <c r="M4" s="108" t="inlineStr">
        <is>
          <t>Fecha de evaluacion:</t>
        </is>
      </c>
      <c r="N4" s="232">
        <f>+B4</f>
        <v/>
      </c>
      <c r="O4" s="108" t="n"/>
      <c r="P4" s="108" t="n"/>
      <c r="Q4" s="108" t="n"/>
      <c r="S4" s="108" t="inlineStr">
        <is>
          <t>Fecha de evaluacion:</t>
        </is>
      </c>
      <c r="T4" s="232">
        <f>+B4</f>
        <v/>
      </c>
      <c r="U4" s="108" t="n"/>
      <c r="V4" s="108" t="n"/>
      <c r="W4" s="108" t="n"/>
    </row>
    <row r="5" ht="12.75" customHeight="1">
      <c r="A5" s="108" t="n"/>
      <c r="B5" s="233" t="n"/>
      <c r="C5" s="108" t="n"/>
      <c r="D5" s="108" t="n"/>
      <c r="E5" s="108" t="n"/>
      <c r="G5" s="108" t="n"/>
      <c r="H5" s="233" t="n"/>
      <c r="I5" s="108" t="n"/>
      <c r="J5" s="108" t="n"/>
      <c r="K5" s="108" t="n"/>
      <c r="M5" s="108" t="n"/>
      <c r="N5" s="233" t="n"/>
      <c r="O5" s="108" t="n"/>
      <c r="P5" s="108" t="n"/>
      <c r="Q5" s="108" t="n"/>
      <c r="S5" s="108" t="n"/>
      <c r="T5" s="233" t="n"/>
      <c r="U5" s="108" t="n"/>
      <c r="V5" s="108" t="n"/>
      <c r="W5" s="108" t="n"/>
    </row>
    <row r="6" ht="12.75" customHeight="1">
      <c r="A6" s="231" t="inlineStr">
        <is>
          <t>1-Calcular la Incertidumbre estandar PLANAS</t>
        </is>
      </c>
      <c r="B6" s="108" t="n"/>
      <c r="C6" s="108" t="n"/>
      <c r="D6" s="231" t="n"/>
      <c r="E6" s="108" t="n"/>
      <c r="G6" s="231" t="inlineStr">
        <is>
          <t>1-Calcular la Incertidumbre estandar ALARGADA</t>
        </is>
      </c>
      <c r="H6" s="108" t="n"/>
      <c r="I6" s="108" t="n"/>
      <c r="J6" s="231" t="n"/>
      <c r="K6" s="108" t="n"/>
      <c r="M6" s="231" t="inlineStr">
        <is>
          <t>1-Calcular la Incertidumbre estandar PLANAS Y ALARGADA</t>
        </is>
      </c>
      <c r="N6" s="108" t="n"/>
      <c r="O6" s="108" t="n"/>
      <c r="P6" s="231" t="n"/>
      <c r="Q6" s="108" t="n"/>
      <c r="S6" s="231" t="inlineStr">
        <is>
          <t>1-Calcular la Incertidumbre estandar NI PLANAS NI ALARGADA</t>
        </is>
      </c>
      <c r="T6" s="108" t="n"/>
      <c r="U6" s="108" t="n"/>
      <c r="V6" s="231" t="n"/>
      <c r="W6" s="108" t="n"/>
    </row>
    <row r="7" ht="12.75" customHeight="1">
      <c r="A7" s="328" t="inlineStr">
        <is>
          <t>Varianza Repetibilidad (Sr2 )</t>
        </is>
      </c>
      <c r="B7" s="534" t="n">
        <v>0.07589151093305488</v>
      </c>
      <c r="C7" s="547" t="n"/>
      <c r="D7" s="548" t="n"/>
      <c r="G7" s="328" t="inlineStr">
        <is>
          <t>Varianza Repetibilidad (Sr2 )</t>
        </is>
      </c>
      <c r="H7" s="534" t="n">
        <v>0.06365058538786862</v>
      </c>
      <c r="I7" s="547" t="n"/>
      <c r="J7" s="548" t="n"/>
      <c r="M7" s="328" t="inlineStr">
        <is>
          <t>Varianza Repetibilidad (Sr2 )</t>
        </is>
      </c>
      <c r="N7" s="534" t="n">
        <v>0.04346134936801766</v>
      </c>
      <c r="O7" s="547" t="n"/>
      <c r="P7" s="548" t="n"/>
      <c r="S7" s="328" t="inlineStr">
        <is>
          <t>Varianza Repetibilidad (Sr2 )</t>
        </is>
      </c>
      <c r="T7" s="534" t="n">
        <v>0.1634821350047514</v>
      </c>
      <c r="U7" s="547" t="n"/>
      <c r="V7" s="548" t="n"/>
    </row>
    <row r="8" ht="12.75" customHeight="1">
      <c r="A8" s="328" t="inlineStr">
        <is>
          <t>Varianza entre Laboratorios (SL2)</t>
        </is>
      </c>
      <c r="B8" s="535" t="n">
        <v>0.07894774651005014</v>
      </c>
      <c r="C8" s="547" t="n"/>
      <c r="D8" s="548" t="n"/>
      <c r="G8" s="328" t="inlineStr">
        <is>
          <t>Varianza entre Laboratorios (SL2)</t>
        </is>
      </c>
      <c r="H8" s="535" t="n">
        <v>0.06789769807622136</v>
      </c>
      <c r="I8" s="547" t="n"/>
      <c r="J8" s="548" t="n"/>
      <c r="M8" s="328" t="inlineStr">
        <is>
          <t>Varianza entre Laboratorios (SL2)</t>
        </is>
      </c>
      <c r="N8" s="535" t="n">
        <v>0.04714045207910317</v>
      </c>
      <c r="O8" s="547" t="n"/>
      <c r="P8" s="548" t="n"/>
      <c r="S8" s="328" t="inlineStr">
        <is>
          <t>Varianza entre Laboratorios (SL2)</t>
        </is>
      </c>
      <c r="T8" s="535" t="n">
        <v>0.1745974252492858</v>
      </c>
      <c r="U8" s="547" t="n"/>
      <c r="V8" s="548" t="n"/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45QPDnyZqd7R36lywna9SQ==" formatRows="1" sort="1" spinCount="100000" hashValue="6WRTRac6LP5fmkFWg2PuVLAj7uHEfJveXwGKEWL9H9NunjU50tAcn2/cIKDqI01muzqZskXWsAQZSpvWgpO/6Q=="/>
  <mergeCells count="8">
    <mergeCell ref="N7:P7"/>
    <mergeCell ref="B8:D8"/>
    <mergeCell ref="T8:V8"/>
    <mergeCell ref="H8:J8"/>
    <mergeCell ref="N8:P8"/>
    <mergeCell ref="T7:V7"/>
    <mergeCell ref="B7:D7"/>
    <mergeCell ref="H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Jaime Pacahuala A.</dc:creator>
  <dc:title xmlns:dc="http://purl.org/dc/elements/1.1/">DENSIDAD IN SITU</dc:title>
  <dc:subject xmlns:dc="http://purl.org/dc/elements/1.1/">Densidad In Situ - Método del Cono de Arena</dc:subject>
  <dcterms:created xmlns:dcterms="http://purl.org/dc/terms/" xmlns:xsi="http://www.w3.org/2001/XMLSchema-instance" xsi:type="dcterms:W3CDTF">1999-11-07T15:11:55Z</dcterms:created>
  <dcterms:modified xmlns:dcterms="http://purl.org/dc/terms/" xmlns:xsi="http://www.w3.org/2001/XMLSchema-instance" xsi:type="dcterms:W3CDTF">2026-07-13T14:17:15Z</dcterms:modified>
  <cp:lastModifiedBy>Jazmin Grandez</cp:lastModifiedBy>
  <cp:keywords>Calidad</cp:keywords>
  <cp:lastPrinted>2026-06-16T21:15:49Z</cp:lastPrinted>
</cp:coreProperties>
</file>