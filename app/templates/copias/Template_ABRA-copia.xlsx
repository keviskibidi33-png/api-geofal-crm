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1.1 JUNIO 15-06-26\"/>
    </mc:Choice>
  </mc:AlternateContent>
  <xr:revisionPtr revIDLastSave="0" documentId="13_ncr:1_{258EACE0-9320-41DD-AD40-20997752F9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O" sheetId="7" r:id="rId1"/>
    <sheet name="INFORME" sheetId="1" r:id="rId2"/>
    <sheet name="DATOS" sheetId="2" r:id="rId3"/>
    <sheet name="incertidumbre" sheetId="3" r:id="rId4"/>
    <sheet name="balanza" sheetId="4" r:id="rId5"/>
    <sheet name="precision" sheetId="5" r:id="rId6"/>
    <sheet name="Hoja1" sheetId="6" state="hidden" r:id="rId7"/>
  </sheets>
  <definedNames>
    <definedName name="_xlnm.Print_Area" localSheetId="0">FORMATO!$A$1:$I$59</definedName>
    <definedName name="_xlnm.Print_Area" localSheetId="1">INFORME!$A$1:$J$44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Y3bQmn47/vbn+Zj0cOPsoAluivSfy+5bCf1CnM6PoOo="/>
    </ext>
  </extLst>
</workbook>
</file>

<file path=xl/calcChain.xml><?xml version="1.0" encoding="utf-8"?>
<calcChain xmlns="http://schemas.openxmlformats.org/spreadsheetml/2006/main">
  <c r="C35" i="3" l="1"/>
  <c r="I15" i="2" l="1"/>
  <c r="J8" i="1"/>
  <c r="J7" i="1"/>
  <c r="J6" i="1"/>
  <c r="J15" i="1"/>
  <c r="J14" i="1"/>
  <c r="E14" i="1"/>
  <c r="E15" i="1"/>
  <c r="E13" i="1"/>
  <c r="C6" i="1"/>
  <c r="C7" i="1"/>
  <c r="C8" i="1"/>
  <c r="C5" i="1"/>
  <c r="K32" i="2"/>
  <c r="K33" i="2"/>
  <c r="K31" i="2"/>
  <c r="K26" i="2"/>
  <c r="I32" i="2"/>
  <c r="I33" i="2"/>
  <c r="I31" i="2"/>
  <c r="I25" i="2"/>
  <c r="I24" i="2"/>
  <c r="G32" i="2"/>
  <c r="G33" i="2"/>
  <c r="G31" i="2"/>
  <c r="G23" i="2"/>
  <c r="G22" i="2"/>
  <c r="J13" i="1"/>
  <c r="E32" i="2"/>
  <c r="E33" i="2"/>
  <c r="E31" i="2"/>
  <c r="E21" i="2"/>
  <c r="E22" i="2"/>
  <c r="E23" i="2"/>
  <c r="E20" i="2"/>
  <c r="H14" i="2" l="1"/>
  <c r="E14" i="2"/>
  <c r="E15" i="2"/>
  <c r="E13" i="2"/>
  <c r="H36" i="7"/>
  <c r="G36" i="7"/>
  <c r="F36" i="7"/>
  <c r="E36" i="7"/>
  <c r="C9" i="2"/>
  <c r="C8" i="2"/>
  <c r="C7" i="2"/>
  <c r="L33" i="2" s="1"/>
  <c r="C6" i="2"/>
  <c r="G25" i="1"/>
  <c r="F23" i="2" l="1"/>
  <c r="F22" i="2"/>
  <c r="F21" i="2"/>
  <c r="H22" i="2"/>
  <c r="H23" i="2"/>
  <c r="L26" i="2"/>
  <c r="J24" i="2"/>
  <c r="J25" i="2"/>
  <c r="H33" i="2"/>
  <c r="F33" i="2"/>
  <c r="J33" i="2"/>
  <c r="F20" i="2"/>
  <c r="O34" i="2" l="1"/>
  <c r="R34" i="2" l="1"/>
  <c r="P34" i="2"/>
  <c r="I13" i="2" s="1"/>
  <c r="Q34" i="2"/>
  <c r="I14" i="2" l="1"/>
  <c r="E27" i="2"/>
  <c r="E36" i="2" s="1"/>
  <c r="F36" i="2" s="1"/>
  <c r="M27" i="2" l="1"/>
  <c r="E35" i="2"/>
  <c r="F35" i="2" s="1"/>
  <c r="M20" i="2"/>
  <c r="D30" i="3" l="1"/>
  <c r="F30" i="3" s="1"/>
  <c r="B43" i="3"/>
  <c r="B42" i="3"/>
  <c r="B41" i="3"/>
  <c r="J8" i="6" l="1"/>
  <c r="K8" i="6" s="1"/>
  <c r="L8" i="6" s="1"/>
  <c r="C8" i="6"/>
  <c r="J7" i="6"/>
  <c r="K7" i="6" s="1"/>
  <c r="L7" i="6" s="1"/>
  <c r="J6" i="6"/>
  <c r="K6" i="6" s="1"/>
  <c r="L6" i="6" s="1"/>
  <c r="C6" i="6"/>
  <c r="J5" i="6"/>
  <c r="K5" i="6" s="1"/>
  <c r="L5" i="6" s="1"/>
  <c r="J4" i="6"/>
  <c r="K4" i="6" s="1"/>
  <c r="L4" i="6" s="1"/>
  <c r="C4" i="6"/>
  <c r="J3" i="6"/>
  <c r="K3" i="6" s="1"/>
  <c r="L3" i="6" s="1"/>
  <c r="B3" i="6"/>
  <c r="C3" i="6" s="1"/>
  <c r="H20" i="4"/>
  <c r="G20" i="4"/>
  <c r="F20" i="4"/>
  <c r="E20" i="4"/>
  <c r="D20" i="4"/>
  <c r="I21" i="4"/>
  <c r="D34" i="3"/>
  <c r="F34" i="3" s="1"/>
  <c r="L27" i="2"/>
  <c r="L30" i="2" s="1"/>
  <c r="K27" i="2"/>
  <c r="I27" i="2"/>
  <c r="H27" i="2"/>
  <c r="H30" i="2" s="1"/>
  <c r="G27" i="2"/>
  <c r="P26" i="2"/>
  <c r="O25" i="2"/>
  <c r="O24" i="2"/>
  <c r="N23" i="2"/>
  <c r="M23" i="2"/>
  <c r="N22" i="2"/>
  <c r="M22" i="2"/>
  <c r="M21" i="2"/>
  <c r="E16" i="2"/>
  <c r="F16" i="2" s="1"/>
  <c r="G26" i="1"/>
  <c r="N27" i="2" l="1"/>
  <c r="G35" i="2"/>
  <c r="H35" i="2" s="1"/>
  <c r="G36" i="2"/>
  <c r="H36" i="2" s="1"/>
  <c r="P27" i="2"/>
  <c r="K35" i="2"/>
  <c r="L35" i="2" s="1"/>
  <c r="K36" i="2"/>
  <c r="L36" i="2" s="1"/>
  <c r="O27" i="2"/>
  <c r="I35" i="2"/>
  <c r="J35" i="2" s="1"/>
  <c r="I36" i="2"/>
  <c r="J36" i="2" s="1"/>
  <c r="H34" i="2"/>
  <c r="G21" i="4"/>
  <c r="D21" i="4"/>
  <c r="H21" i="4"/>
  <c r="F35" i="3"/>
  <c r="H35" i="3" s="1"/>
  <c r="C43" i="3" s="1"/>
  <c r="J27" i="2"/>
  <c r="J30" i="2" s="1"/>
  <c r="M33" i="2"/>
  <c r="L34" i="2"/>
  <c r="E21" i="4"/>
  <c r="F21" i="4"/>
  <c r="A5" i="6"/>
  <c r="J34" i="2" l="1"/>
  <c r="F27" i="2"/>
  <c r="F30" i="2" s="1"/>
  <c r="H20" i="1"/>
  <c r="C31" i="3"/>
  <c r="D25" i="4"/>
  <c r="E25" i="4" s="1"/>
  <c r="B5" i="6"/>
  <c r="A7" i="6" s="1"/>
  <c r="F34" i="2" l="1"/>
  <c r="M34" i="2" s="1"/>
  <c r="H21" i="1" s="1"/>
  <c r="C5" i="6"/>
  <c r="D32" i="3"/>
  <c r="F32" i="3" s="1"/>
  <c r="M30" i="2"/>
  <c r="D33" i="3"/>
  <c r="F33" i="3" s="1"/>
  <c r="B7" i="6"/>
  <c r="C7" i="6" s="1"/>
  <c r="F31" i="3" l="1"/>
  <c r="D24" i="4"/>
  <c r="E24" i="4" s="1"/>
  <c r="D28" i="3" s="1"/>
  <c r="F28" i="3" s="1"/>
  <c r="H19" i="1"/>
  <c r="C27" i="3"/>
  <c r="G31" i="3" l="1"/>
  <c r="H31" i="3" s="1"/>
  <c r="C42" i="3" s="1"/>
  <c r="G27" i="3"/>
  <c r="D29" i="3"/>
  <c r="F29" i="3" s="1"/>
  <c r="F27" i="3" s="1"/>
  <c r="C26" i="3"/>
  <c r="H27" i="3" l="1"/>
  <c r="C41" i="3" l="1"/>
  <c r="C44" i="3" s="1"/>
  <c r="D43" i="3" s="1"/>
  <c r="H36" i="3"/>
  <c r="H37" i="3" s="1"/>
  <c r="D42" i="3" l="1"/>
  <c r="D41" i="3"/>
  <c r="D44" i="3" l="1"/>
</calcChain>
</file>

<file path=xl/sharedStrings.xml><?xml version="1.0" encoding="utf-8"?>
<sst xmlns="http://schemas.openxmlformats.org/spreadsheetml/2006/main" count="432" uniqueCount="233">
  <si>
    <t>LABORATORIO DE ENSAYO DE MATERIALES</t>
  </si>
  <si>
    <t xml:space="preserve">CLIENTE       </t>
  </si>
  <si>
    <t>:</t>
  </si>
  <si>
    <t xml:space="preserve">                 CÓDIGO</t>
  </si>
  <si>
    <t xml:space="preserve">DIRECCION **    </t>
  </si>
  <si>
    <t xml:space="preserve">PROYECTO ** </t>
  </si>
  <si>
    <t>F. EMISIÓN</t>
  </si>
  <si>
    <t>UBICACIÓN **</t>
  </si>
  <si>
    <t>** Datos proporcionados por el cliente</t>
  </si>
  <si>
    <t>ASTM C131/C131M-20</t>
  </si>
  <si>
    <t>DATOS DE LA MUESTRA</t>
  </si>
  <si>
    <t>CANTERA/SONDAJE **</t>
  </si>
  <si>
    <t>CÓDIGO DE LA MUESTRA</t>
  </si>
  <si>
    <t xml:space="preserve">N° MUESTRA **             </t>
  </si>
  <si>
    <t>FECHA DE RECEPCIÓN</t>
  </si>
  <si>
    <t>-</t>
  </si>
  <si>
    <t>FECHA DE EJECUCIÓN</t>
  </si>
  <si>
    <t xml:space="preserve">LUGAR DE ENSAYO    </t>
  </si>
  <si>
    <t>Laboratorio de ensayo de Materiales</t>
  </si>
  <si>
    <t>DESCRIPCIÓN</t>
  </si>
  <si>
    <t>UND</t>
  </si>
  <si>
    <t>DATOS</t>
  </si>
  <si>
    <t>Masa de la muestra de prueba</t>
  </si>
  <si>
    <t>g</t>
  </si>
  <si>
    <t>Masa final de la muestra</t>
  </si>
  <si>
    <t>Pérdida por abrasión</t>
  </si>
  <si>
    <t>%</t>
  </si>
  <si>
    <t>Descripción de la muestra:</t>
  </si>
  <si>
    <t>Tamaño máximo nominal (in)</t>
  </si>
  <si>
    <t>Gradación de la muestra de prueba</t>
  </si>
  <si>
    <t>Nota:</t>
  </si>
  <si>
    <t>Observaciones:</t>
  </si>
  <si>
    <t>Página 1 de 1</t>
  </si>
  <si>
    <t>Fin del Informe</t>
  </si>
  <si>
    <t>STANDARD TEST METHOD FOR RESISTANCE TO DEGRADATION OF SMALL-SIZE COARSE AGGREGATE BY ABRASION AND IMPACT IN THE LOS ANGELES MACHINE1</t>
  </si>
  <si>
    <t>Informacion para la Correccion por Certificado de Calibración: balanza 30kg</t>
  </si>
  <si>
    <t>Precision Balanza al</t>
  </si>
  <si>
    <t>Correccion</t>
  </si>
  <si>
    <t>Codigo balanza</t>
  </si>
  <si>
    <t>EQP-0054</t>
  </si>
  <si>
    <t>Fecha de calibración</t>
  </si>
  <si>
    <t>CLASIFICACION DE LA MUESTRA DE PRUEBA</t>
  </si>
  <si>
    <t>gradación</t>
  </si>
  <si>
    <t>A</t>
  </si>
  <si>
    <t>Masa muestra inicial</t>
  </si>
  <si>
    <t>Masa muestra inicial seca</t>
  </si>
  <si>
    <t>OPERADORES</t>
  </si>
  <si>
    <t>Masa muestra inicial seca constante</t>
  </si>
  <si>
    <t>Verificacion de Masa seca constante</t>
  </si>
  <si>
    <t>TAMIZ (in)</t>
  </si>
  <si>
    <t>GRADACIONES (Masa en cada tamiz, g)</t>
  </si>
  <si>
    <t>Pasante</t>
  </si>
  <si>
    <t>Retenido</t>
  </si>
  <si>
    <t>Corrección (A)</t>
  </si>
  <si>
    <t>B</t>
  </si>
  <si>
    <t>Corrección (B)</t>
  </si>
  <si>
    <t>C</t>
  </si>
  <si>
    <t xml:space="preserve"> Corrección (C)</t>
  </si>
  <si>
    <t>D</t>
  </si>
  <si>
    <t xml:space="preserve"> Corrección (D)</t>
  </si>
  <si>
    <t>Gradación (A)</t>
  </si>
  <si>
    <t>Gradación (B)</t>
  </si>
  <si>
    <t>Gradación (C)</t>
  </si>
  <si>
    <t>Gradación (D)</t>
  </si>
  <si>
    <t>No 4</t>
  </si>
  <si>
    <t>No 8</t>
  </si>
  <si>
    <t>TOTAL</t>
  </si>
  <si>
    <t>ITEM</t>
  </si>
  <si>
    <t>CORRECCIÓN (A)</t>
  </si>
  <si>
    <t>CORRECCIÓN (B)</t>
  </si>
  <si>
    <t>CORRECCIÓN (C)</t>
  </si>
  <si>
    <t>CORRECCIÓN (D)</t>
  </si>
  <si>
    <t>a</t>
  </si>
  <si>
    <t>b</t>
  </si>
  <si>
    <t>c</t>
  </si>
  <si>
    <t>Masa final de la muestra (Lavada seca)</t>
  </si>
  <si>
    <t>d</t>
  </si>
  <si>
    <t>Masa final de la muestra (Lavada seca constante)</t>
  </si>
  <si>
    <t>e</t>
  </si>
  <si>
    <t xml:space="preserve">Pérdida por abrasión (f/b *100)                       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</si>
  <si>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</si>
  <si>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</si>
  <si>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</si>
  <si>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</si>
  <si>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</si>
  <si>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</si>
  <si>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</si>
  <si>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</si>
  <si>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</si>
  <si>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</si>
  <si>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Agregados</t>
  </si>
  <si>
    <t>Resistencia a la degradación</t>
  </si>
  <si>
    <t>Variables:</t>
  </si>
  <si>
    <t>Fórmula:</t>
  </si>
  <si>
    <t>Paso 2. Definición de las variables aleatorias</t>
  </si>
  <si>
    <t>PA = Perdida abrasión</t>
  </si>
  <si>
    <t>C= Masa de la muestra de prueba</t>
  </si>
  <si>
    <t>Y= Masa final de la muestra</t>
  </si>
  <si>
    <t>Equipos a utilizar:</t>
  </si>
  <si>
    <t xml:space="preserve">Balanza con resolución de lectura de 1g </t>
  </si>
  <si>
    <t>CALCULO:  RESISTENCIA A LA DEGRADACION AGREGADOS</t>
  </si>
  <si>
    <t>Fuentes</t>
  </si>
  <si>
    <t>Unidades</t>
  </si>
  <si>
    <t>Valor</t>
  </si>
  <si>
    <t>Incertidumbre Original</t>
  </si>
  <si>
    <t>Distribución</t>
  </si>
  <si>
    <r>
      <rPr>
        <sz val="10"/>
        <color theme="1"/>
        <rFont val="Arial"/>
        <family val="2"/>
      </rPr>
      <t xml:space="preserve">Incertidumbre Estándar </t>
    </r>
    <r>
      <rPr>
        <i/>
        <sz val="10"/>
        <color theme="1"/>
        <rFont val="Arial"/>
        <family val="2"/>
      </rPr>
      <t>u(x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)</t>
    </r>
  </si>
  <si>
    <t>Coeficiente de Sensibilidad</t>
  </si>
  <si>
    <r>
      <rPr>
        <sz val="10"/>
        <color theme="1"/>
        <rFont val="Arial"/>
        <family val="2"/>
      </rPr>
      <t xml:space="preserve">Contribución </t>
    </r>
    <r>
      <rPr>
        <i/>
        <sz val="10"/>
        <color theme="1"/>
        <rFont val="Arial"/>
        <family val="2"/>
      </rPr>
      <t>u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(y)</t>
    </r>
  </si>
  <si>
    <t>Pérdida por abrasión (%)</t>
  </si>
  <si>
    <t>---</t>
  </si>
  <si>
    <t>Factor de influencia</t>
  </si>
  <si>
    <t>valor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</si>
  <si>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</si>
  <si>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</si>
  <si>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</si>
  <si>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</si>
  <si>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</si>
  <si>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</si>
  <si>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>Y</t>
  </si>
  <si>
    <t xml:space="preserve">factor de presición </t>
  </si>
  <si>
    <t>Norma, K=1</t>
  </si>
  <si>
    <t xml:space="preserve">Incertidumbre Estándar Combinada </t>
  </si>
  <si>
    <t>Incertidumbre Expandida, K = 2</t>
  </si>
  <si>
    <t>CALIBRACION DE LA BALANZA</t>
  </si>
  <si>
    <t>Variables</t>
  </si>
  <si>
    <t>Ecuacion</t>
  </si>
  <si>
    <t>Resolucion</t>
  </si>
  <si>
    <t xml:space="preserve">Codigo </t>
  </si>
  <si>
    <t>MES</t>
  </si>
  <si>
    <t>DESV STD</t>
  </si>
  <si>
    <t>Busqueda de Repetibilidad de la masa</t>
  </si>
  <si>
    <t>ENSAYO DE LA MUESTRA</t>
  </si>
  <si>
    <t>Fecha de evaluacion:</t>
  </si>
  <si>
    <t xml:space="preserve">1-Calcular la Incertidumbre estandar </t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</si>
  <si>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</si>
  <si>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</si>
  <si>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</si>
  <si>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</si>
  <si>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</si>
  <si>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</si>
  <si>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</si>
  <si>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</si>
  <si>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</si>
  <si>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</si>
  <si>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</si>
  <si>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</si>
  <si>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</si>
  <si>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</si>
  <si>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</si>
  <si>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Numero esfera</t>
  </si>
  <si>
    <t xml:space="preserve">TIPO DE MUESTRA**    </t>
  </si>
  <si>
    <t>RECEPCIÓN N°</t>
  </si>
  <si>
    <t>OT N°</t>
  </si>
  <si>
    <t>Masa esfera</t>
  </si>
  <si>
    <t>GRADACION</t>
  </si>
  <si>
    <t>N° ESFERA</t>
  </si>
  <si>
    <t>MASA MIN</t>
  </si>
  <si>
    <t>MASA MAX</t>
  </si>
  <si>
    <t>DEL ENSAYO</t>
  </si>
  <si>
    <t>NORMA</t>
  </si>
  <si>
    <t>Masa de la muestra de prueba original</t>
  </si>
  <si>
    <t>Masa final de la muestra de prueba</t>
  </si>
  <si>
    <t>Perdida de masa por lavado ((b-d)/a)*100  (*)</t>
  </si>
  <si>
    <t>cumplimiento masa minima</t>
  </si>
  <si>
    <t>F-LEM-P-AG-36.02</t>
  </si>
  <si>
    <t>Versión: 01 (03-05-2024)</t>
  </si>
  <si>
    <t>STANDARD TEST METHOD FOR RESISTANCE TO DEGRADATION OF SMALL-SIZE COARSE AGGREGATE BY ABRASION AND IMPACT IN THE LOS ANGELES MACHINE</t>
  </si>
  <si>
    <t>TMN</t>
  </si>
  <si>
    <t>FORMATO N° F-LEM-P-AG-36.01</t>
  </si>
  <si>
    <t>MUESTRA</t>
  </si>
  <si>
    <t>N° OT</t>
  </si>
  <si>
    <t>FECHA DE ENSAYO</t>
  </si>
  <si>
    <t>REALIZADO</t>
  </si>
  <si>
    <t>MUESTRA DE PRUEBA ANTES DEL FRACCIONAMIENTO</t>
  </si>
  <si>
    <t>DATO</t>
  </si>
  <si>
    <t>Se requiere lavado despues de la prueba (colocado en maquina angeles)</t>
  </si>
  <si>
    <t>SI</t>
  </si>
  <si>
    <t>NO</t>
  </si>
  <si>
    <t>Masa muestra inicial seca despues del lavado</t>
  </si>
  <si>
    <t/>
  </si>
  <si>
    <t>Masa muestra inicial seca constante despues del lavado</t>
  </si>
  <si>
    <t>N° revoluciones</t>
  </si>
  <si>
    <t>No. 4</t>
  </si>
  <si>
    <t>No. 8</t>
  </si>
  <si>
    <t>Total (*)</t>
  </si>
  <si>
    <t>Item</t>
  </si>
  <si>
    <t>Gradación A</t>
  </si>
  <si>
    <t>Gradación B</t>
  </si>
  <si>
    <t>Gradación C</t>
  </si>
  <si>
    <t>Gradación D</t>
  </si>
  <si>
    <t>Numero de esferas</t>
  </si>
  <si>
    <t>Masa requerida de las esferas</t>
  </si>
  <si>
    <t>4975 - 5025</t>
  </si>
  <si>
    <t>4555 - 4605</t>
  </si>
  <si>
    <t>3310 - 3350</t>
  </si>
  <si>
    <t>2485 - 2515</t>
  </si>
  <si>
    <t>Masa de esferas en conjunto</t>
  </si>
  <si>
    <t xml:space="preserve">Pérdida por abrasión  ((a-d)/a *100)                        </t>
  </si>
  <si>
    <t>f</t>
  </si>
  <si>
    <t>(*) la perdida por lavado no superara en mas del 0.2% de la muestra original</t>
  </si>
  <si>
    <t>Codigo Equipo utilizado</t>
  </si>
  <si>
    <t>Horno</t>
  </si>
  <si>
    <t>Malla No. 12</t>
  </si>
  <si>
    <t>Máquina Los Angeles</t>
  </si>
  <si>
    <t>Malla No. 4</t>
  </si>
  <si>
    <t>Balanza 1 g</t>
  </si>
  <si>
    <t xml:space="preserve">      </t>
  </si>
  <si>
    <t>WEB: www.geofal.com.pe   E-MAIL: laboratorio@geofal.com.pe                                                                                                                                                             Av. Marañon 763, Los Olivos-Lima / Teléfono  01 754-3070</t>
  </si>
  <si>
    <t>CLIENTE</t>
  </si>
  <si>
    <t>DIRECCIÓN **</t>
  </si>
  <si>
    <t>PROYECTO **</t>
  </si>
  <si>
    <t>N° MUESTRA **</t>
  </si>
  <si>
    <t>TIPO DE MUESTRA**</t>
  </si>
  <si>
    <t>Paso 1. Definición del proceso de medición</t>
  </si>
  <si>
    <t>Mensurando:</t>
  </si>
  <si>
    <t>CONTRIBUCIÓN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</si>
  <si>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</si>
  <si>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</si>
  <si>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</si>
  <si>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</si>
  <si>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</si>
  <si>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</si>
  <si>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2*RAIZ(1.14+0.000000000248*R2)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</si>
  <si>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</si>
  <si>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</si>
  <si>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FACTOR DE PRECISION OPERADOR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</si>
  <si>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</si>
  <si>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</si>
  <si>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</si>
  <si>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</si>
  <si>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</si>
  <si>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02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</si>
</sst>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\L\ \-\ 0000"/>
    <numFmt numFmtId="165" formatCode="dd\-mm\-yy"/>
    <numFmt numFmtId="166" formatCode="dd\-mmm\-yyyy"/>
    <numFmt numFmtId="167" formatCode="000&quot;-AG-20&quot;"/>
    <numFmt numFmtId="168" formatCode="0.000"/>
    <numFmt numFmtId="169" formatCode="0.0"/>
    <numFmt numFmtId="170" formatCode="000&quot;-AG-22&quot;"/>
    <numFmt numFmtId="171" formatCode="&quot;0&quot;0"/>
    <numFmt numFmtId="172" formatCode="0.0000"/>
    <numFmt numFmtId="173" formatCode="0.0E+00"/>
    <numFmt numFmtId="174" formatCode="0.0%"/>
    <numFmt numFmtId="175" formatCode="0.00000"/>
    <numFmt numFmtId="176" formatCode="0\ &quot;/ CO-06&quot;"/>
    <numFmt numFmtId="177" formatCode="dd\-mm\-yy;@"/>
    <numFmt numFmtId="178" formatCode="yyyy\-mm\-dd;@"/>
    <numFmt numFmtId="179" formatCode="&quot;INFORME DE ENSAYO N°&quot;000&quot;-26 AG36&quot;"/>
    <numFmt numFmtId="180" formatCode="000\-\ &quot;26&quot;"/>
    <numFmt numFmtId="181" formatCode="000&quot;-AG-26&quot;"/>
    <numFmt numFmtId="182" formatCode="&quot;CERTIFICADO N°&quot;000&quot;-20 AG06&quot;"/>
    <numFmt numFmtId="183" formatCode="0.0000000"/>
    <numFmt numFmtId="184" formatCode="0.000000"/>
  </numFmts>
  <fonts count="85" x14ac:knownFonts="1">
    <font>
      <sz val="10"/>
      <color rgb="FF000000"/>
      <name val="Arial"/>
      <scheme val="minor"/>
    </font>
    <font>
      <b/>
      <u/>
      <sz val="11"/>
      <color theme="1"/>
      <name val="Arial"/>
      <family val="2"/>
    </font>
    <font>
      <sz val="11"/>
      <color theme="1"/>
      <name val="Times New Roman"/>
      <family val="1"/>
    </font>
    <font>
      <b/>
      <u/>
      <sz val="11"/>
      <color theme="1"/>
      <name val="Arial"/>
      <family val="2"/>
    </font>
    <font>
      <b/>
      <u/>
      <sz val="11"/>
      <color theme="1"/>
      <name val="Times New Roman"/>
      <family val="1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u/>
      <sz val="8"/>
      <color theme="1"/>
      <name val="Arial"/>
      <family val="2"/>
    </font>
    <font>
      <b/>
      <u/>
      <sz val="8"/>
      <color theme="1"/>
      <name val="Arial"/>
      <family val="2"/>
    </font>
    <font>
      <b/>
      <u/>
      <sz val="8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  <font>
      <sz val="11"/>
      <color rgb="FFFF0000"/>
      <name val="Times New Roman"/>
      <family val="1"/>
    </font>
    <font>
      <b/>
      <sz val="8"/>
      <color rgb="FFFF0000"/>
      <name val="Arial"/>
      <family val="2"/>
    </font>
    <font>
      <b/>
      <sz val="11"/>
      <color theme="1"/>
      <name val="Times New Roman"/>
      <family val="1"/>
    </font>
    <font>
      <b/>
      <u/>
      <sz val="9"/>
      <color theme="1"/>
      <name val="Arial"/>
      <family val="2"/>
    </font>
    <font>
      <sz val="9"/>
      <color theme="1"/>
      <name val="Times New Roman"/>
      <family val="1"/>
    </font>
    <font>
      <b/>
      <u/>
      <sz val="9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i/>
      <u/>
      <sz val="9"/>
      <color theme="1"/>
      <name val="Arial"/>
      <family val="2"/>
    </font>
    <font>
      <b/>
      <sz val="12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9"/>
      <color theme="0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b/>
      <u/>
      <sz val="10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10"/>
      <name val="Arial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u/>
      <sz val="10"/>
      <name val="Arial"/>
      <family val="2"/>
    </font>
    <font>
      <b/>
      <u/>
      <sz val="8"/>
      <name val="Arial"/>
      <family val="2"/>
    </font>
    <font>
      <sz val="11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b/>
      <i/>
      <u/>
      <sz val="11"/>
      <name val="Times New Roman"/>
      <family val="1"/>
    </font>
    <font>
      <b/>
      <i/>
      <u/>
      <sz val="9"/>
      <name val="Arial"/>
      <family val="2"/>
    </font>
    <font>
      <b/>
      <sz val="10"/>
      <name val="Times New Roman"/>
      <family val="1"/>
    </font>
    <font>
      <b/>
      <sz val="9"/>
      <color rgb="FF0000FF"/>
      <name val="Arial"/>
      <family val="2"/>
    </font>
    <font>
      <b/>
      <sz val="9"/>
      <name val="Arial"/>
      <family val="1"/>
      <scheme val="major"/>
    </font>
    <font>
      <sz val="9"/>
      <name val="Arial"/>
      <family val="1"/>
      <scheme val="maj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11"/>
      <name val="Arial"/>
      <family val="2"/>
    </font>
    <font>
      <sz val="9"/>
      <name val="Arial"/>
      <family val="2"/>
      <scheme val="minor"/>
    </font>
    <font>
      <sz val="10"/>
      <name val="Arial"/>
      <family val="2"/>
      <scheme val="major"/>
    </font>
    <font>
      <sz val="9"/>
      <name val="Arial"/>
      <family val="2"/>
      <scheme val="major"/>
    </font>
    <font>
      <sz val="10"/>
      <name val="Arial"/>
      <family val="2"/>
    </font>
    <font>
      <b/>
      <u/>
      <sz val="11"/>
      <name val="Times New Roman"/>
      <family val="1"/>
    </font>
    <font>
      <sz val="9"/>
      <color rgb="FF000000"/>
      <name val="Arial"/>
      <family val="2"/>
    </font>
    <font>
      <sz val="11"/>
      <color indexed="10"/>
      <name val="Times New Roman"/>
      <family val="1"/>
    </font>
    <font>
      <i/>
      <sz val="8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DAEEF3"/>
      </patternFill>
    </fill>
    <fill>
      <patternFill patternType="solid">
        <fgColor theme="4" tint="0.79998168889431442"/>
        <bgColor rgb="FFDBE5F1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52" fillId="0" borderId="20"/>
    <xf numFmtId="0" fontId="9" fillId="0" borderId="20"/>
    <xf numFmtId="0" fontId="75" fillId="0" borderId="20"/>
    <xf numFmtId="0" fontId="9" fillId="0" borderId="20"/>
    <xf numFmtId="0" fontId="61" fillId="0" borderId="20"/>
    <xf numFmtId="0" fontId="81" fillId="0" borderId="20" applyNumberFormat="0" applyFill="0" applyBorder="0" applyAlignment="0" applyProtection="0">
      <alignment vertical="top"/>
      <protection locked="0"/>
    </xf>
  </cellStyleXfs>
  <cellXfs count="6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left"/>
    </xf>
    <xf numFmtId="167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8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20" fillId="0" borderId="0" xfId="0" applyFont="1"/>
    <xf numFmtId="0" fontId="21" fillId="0" borderId="0" xfId="0" applyFont="1"/>
    <xf numFmtId="2" fontId="2" fillId="0" borderId="0" xfId="0" applyNumberFormat="1" applyFont="1"/>
    <xf numFmtId="10" fontId="2" fillId="0" borderId="0" xfId="0" applyNumberFormat="1" applyFont="1"/>
    <xf numFmtId="0" fontId="15" fillId="0" borderId="0" xfId="0" applyFont="1" applyAlignment="1">
      <alignment horizontal="left" vertical="center"/>
    </xf>
    <xf numFmtId="1" fontId="15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7" fillId="0" borderId="0" xfId="0" applyFont="1"/>
    <xf numFmtId="0" fontId="22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13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26" fillId="0" borderId="0" xfId="0" applyFont="1" applyAlignment="1">
      <alignment horizontal="right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9" xfId="0" applyFont="1" applyFill="1" applyBorder="1"/>
    <xf numFmtId="171" fontId="24" fillId="2" borderId="12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vertical="center"/>
    </xf>
    <xf numFmtId="0" fontId="24" fillId="2" borderId="16" xfId="0" applyFont="1" applyFill="1" applyBorder="1" applyAlignment="1">
      <alignment horizontal="left" vertical="center"/>
    </xf>
    <xf numFmtId="0" fontId="14" fillId="2" borderId="17" xfId="0" applyFont="1" applyFill="1" applyBorder="1" applyAlignment="1">
      <alignment vertical="center"/>
    </xf>
    <xf numFmtId="0" fontId="24" fillId="2" borderId="17" xfId="0" applyFont="1" applyFill="1" applyBorder="1"/>
    <xf numFmtId="0" fontId="24" fillId="2" borderId="15" xfId="0" applyFont="1" applyFill="1" applyBorder="1"/>
    <xf numFmtId="0" fontId="14" fillId="2" borderId="16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/>
    </xf>
    <xf numFmtId="0" fontId="24" fillId="2" borderId="9" xfId="0" applyFont="1" applyFill="1" applyBorder="1" applyAlignment="1">
      <alignment vertical="center"/>
    </xf>
    <xf numFmtId="0" fontId="28" fillId="2" borderId="9" xfId="0" applyFont="1" applyFill="1" applyBorder="1" applyAlignment="1">
      <alignment vertical="center"/>
    </xf>
    <xf numFmtId="0" fontId="24" fillId="2" borderId="9" xfId="0" applyFont="1" applyFill="1" applyBorder="1" applyAlignment="1">
      <alignment horizontal="left" vertical="center"/>
    </xf>
    <xf numFmtId="0" fontId="29" fillId="2" borderId="9" xfId="0" applyFont="1" applyFill="1" applyBorder="1" applyAlignment="1">
      <alignment horizontal="left" vertical="center"/>
    </xf>
    <xf numFmtId="0" fontId="30" fillId="2" borderId="9" xfId="0" applyFont="1" applyFill="1" applyBorder="1" applyAlignment="1">
      <alignment vertical="center" wrapText="1"/>
    </xf>
    <xf numFmtId="0" fontId="31" fillId="2" borderId="9" xfId="0" applyFont="1" applyFill="1" applyBorder="1" applyAlignment="1">
      <alignment vertical="center" wrapText="1"/>
    </xf>
    <xf numFmtId="0" fontId="32" fillId="2" borderId="9" xfId="0" applyFont="1" applyFill="1" applyBorder="1" applyAlignment="1">
      <alignment vertical="center" wrapText="1"/>
    </xf>
    <xf numFmtId="0" fontId="24" fillId="3" borderId="12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15" fillId="2" borderId="12" xfId="0" quotePrefix="1" applyFont="1" applyFill="1" applyBorder="1" applyAlignment="1">
      <alignment horizontal="center" vertical="center" wrapText="1"/>
    </xf>
    <xf numFmtId="169" fontId="15" fillId="2" borderId="9" xfId="0" applyNumberFormat="1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2" fontId="15" fillId="2" borderId="9" xfId="0" applyNumberFormat="1" applyFont="1" applyFill="1" applyBorder="1" applyAlignment="1">
      <alignment horizontal="left" vertical="center"/>
    </xf>
    <xf numFmtId="168" fontId="15" fillId="2" borderId="9" xfId="0" applyNumberFormat="1" applyFont="1" applyFill="1" applyBorder="1" applyAlignment="1">
      <alignment horizontal="center" vertical="center" wrapText="1"/>
    </xf>
    <xf numFmtId="2" fontId="15" fillId="2" borderId="9" xfId="0" applyNumberFormat="1" applyFont="1" applyFill="1" applyBorder="1" applyAlignment="1">
      <alignment horizontal="center" vertical="center"/>
    </xf>
    <xf numFmtId="11" fontId="15" fillId="2" borderId="9" xfId="0" applyNumberFormat="1" applyFont="1" applyFill="1" applyBorder="1" applyAlignment="1">
      <alignment horizontal="center" vertical="center"/>
    </xf>
    <xf numFmtId="172" fontId="15" fillId="0" borderId="12" xfId="0" quotePrefix="1" applyNumberFormat="1" applyFont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left"/>
    </xf>
    <xf numFmtId="172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/>
    <xf numFmtId="172" fontId="15" fillId="2" borderId="9" xfId="0" applyNumberFormat="1" applyFont="1" applyFill="1" applyBorder="1" applyAlignment="1">
      <alignment horizontal="center" vertical="center"/>
    </xf>
    <xf numFmtId="2" fontId="15" fillId="2" borderId="9" xfId="0" applyNumberFormat="1" applyFont="1" applyFill="1" applyBorder="1" applyAlignment="1">
      <alignment vertical="center"/>
    </xf>
    <xf numFmtId="2" fontId="15" fillId="0" borderId="12" xfId="0" applyNumberFormat="1" applyFont="1" applyBorder="1" applyAlignment="1">
      <alignment horizontal="center" vertical="center"/>
    </xf>
    <xf numFmtId="168" fontId="15" fillId="2" borderId="9" xfId="0" applyNumberFormat="1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 wrapText="1"/>
    </xf>
    <xf numFmtId="2" fontId="8" fillId="2" borderId="16" xfId="0" applyNumberFormat="1" applyFont="1" applyFill="1" applyBorder="1" applyAlignment="1">
      <alignment vertical="center"/>
    </xf>
    <xf numFmtId="0" fontId="15" fillId="2" borderId="17" xfId="0" applyFont="1" applyFill="1" applyBorder="1"/>
    <xf numFmtId="2" fontId="15" fillId="2" borderId="17" xfId="0" applyNumberFormat="1" applyFont="1" applyFill="1" applyBorder="1" applyAlignment="1">
      <alignment vertical="center"/>
    </xf>
    <xf numFmtId="2" fontId="15" fillId="2" borderId="17" xfId="0" applyNumberFormat="1" applyFont="1" applyFill="1" applyBorder="1" applyAlignment="1">
      <alignment horizontal="center" vertical="center"/>
    </xf>
    <xf numFmtId="2" fontId="15" fillId="2" borderId="9" xfId="0" applyNumberFormat="1" applyFont="1" applyFill="1" applyBorder="1" applyAlignment="1">
      <alignment horizontal="center" vertical="center" wrapText="1"/>
    </xf>
    <xf numFmtId="2" fontId="8" fillId="2" borderId="17" xfId="0" applyNumberFormat="1" applyFont="1" applyFill="1" applyBorder="1" applyAlignment="1">
      <alignment vertical="center"/>
    </xf>
    <xf numFmtId="168" fontId="34" fillId="2" borderId="9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/>
    </xf>
    <xf numFmtId="0" fontId="24" fillId="2" borderId="9" xfId="0" applyFont="1" applyFill="1" applyBorder="1" applyAlignment="1">
      <alignment horizontal="center"/>
    </xf>
    <xf numFmtId="0" fontId="10" fillId="2" borderId="9" xfId="0" applyFont="1" applyFill="1" applyBorder="1"/>
    <xf numFmtId="0" fontId="24" fillId="2" borderId="9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/>
    </xf>
    <xf numFmtId="169" fontId="36" fillId="2" borderId="12" xfId="0" applyNumberFormat="1" applyFont="1" applyFill="1" applyBorder="1" applyAlignment="1">
      <alignment horizontal="center"/>
    </xf>
    <xf numFmtId="0" fontId="24" fillId="2" borderId="12" xfId="0" applyFont="1" applyFill="1" applyBorder="1" applyAlignment="1">
      <alignment horizontal="center"/>
    </xf>
    <xf numFmtId="0" fontId="10" fillId="2" borderId="12" xfId="0" applyFont="1" applyFill="1" applyBorder="1"/>
    <xf numFmtId="175" fontId="24" fillId="2" borderId="12" xfId="0" applyNumberFormat="1" applyFont="1" applyFill="1" applyBorder="1" applyAlignment="1">
      <alignment horizontal="center"/>
    </xf>
    <xf numFmtId="175" fontId="24" fillId="2" borderId="9" xfId="0" applyNumberFormat="1" applyFont="1" applyFill="1" applyBorder="1" applyAlignment="1">
      <alignment horizontal="center"/>
    </xf>
    <xf numFmtId="0" fontId="37" fillId="2" borderId="9" xfId="0" applyFont="1" applyFill="1" applyBorder="1"/>
    <xf numFmtId="0" fontId="38" fillId="2" borderId="9" xfId="0" applyFont="1" applyFill="1" applyBorder="1" applyAlignment="1">
      <alignment horizontal="left" vertical="center"/>
    </xf>
    <xf numFmtId="1" fontId="24" fillId="2" borderId="12" xfId="0" applyNumberFormat="1" applyFont="1" applyFill="1" applyBorder="1" applyAlignment="1">
      <alignment horizontal="center" vertical="center"/>
    </xf>
    <xf numFmtId="175" fontId="24" fillId="2" borderId="12" xfId="0" applyNumberFormat="1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39" fillId="2" borderId="9" xfId="0" applyFont="1" applyFill="1" applyBorder="1"/>
    <xf numFmtId="0" fontId="14" fillId="2" borderId="9" xfId="0" applyFont="1" applyFill="1" applyBorder="1"/>
    <xf numFmtId="15" fontId="24" fillId="2" borderId="12" xfId="0" applyNumberFormat="1" applyFont="1" applyFill="1" applyBorder="1" applyAlignment="1">
      <alignment horizontal="center"/>
    </xf>
    <xf numFmtId="17" fontId="40" fillId="2" borderId="9" xfId="0" applyNumberFormat="1" applyFont="1" applyFill="1" applyBorder="1" applyAlignment="1">
      <alignment horizontal="center"/>
    </xf>
    <xf numFmtId="0" fontId="36" fillId="2" borderId="12" xfId="0" applyFont="1" applyFill="1" applyBorder="1" applyAlignment="1">
      <alignment horizontal="center" vertical="center"/>
    </xf>
    <xf numFmtId="0" fontId="10" fillId="0" borderId="12" xfId="0" applyFont="1" applyBorder="1"/>
    <xf numFmtId="0" fontId="10" fillId="0" borderId="12" xfId="0" applyFont="1" applyBorder="1" applyAlignment="1">
      <alignment horizontal="center" vertical="center"/>
    </xf>
    <xf numFmtId="0" fontId="41" fillId="0" borderId="12" xfId="0" applyFont="1" applyBorder="1"/>
    <xf numFmtId="0" fontId="24" fillId="0" borderId="12" xfId="0" applyFont="1" applyBorder="1"/>
    <xf numFmtId="176" fontId="6" fillId="0" borderId="12" xfId="0" applyNumberFormat="1" applyFont="1" applyBorder="1" applyAlignment="1">
      <alignment horizontal="center"/>
    </xf>
    <xf numFmtId="16" fontId="41" fillId="0" borderId="12" xfId="0" applyNumberFormat="1" applyFont="1" applyBorder="1"/>
    <xf numFmtId="2" fontId="41" fillId="0" borderId="12" xfId="0" applyNumberFormat="1" applyFont="1" applyBorder="1"/>
    <xf numFmtId="2" fontId="7" fillId="2" borderId="12" xfId="0" applyNumberFormat="1" applyFont="1" applyFill="1" applyBorder="1" applyAlignment="1">
      <alignment vertical="center" wrapText="1"/>
    </xf>
    <xf numFmtId="2" fontId="42" fillId="2" borderId="12" xfId="0" applyNumberFormat="1" applyFont="1" applyFill="1" applyBorder="1" applyAlignment="1">
      <alignment vertical="center" wrapText="1"/>
    </xf>
    <xf numFmtId="10" fontId="21" fillId="2" borderId="12" xfId="0" applyNumberFormat="1" applyFont="1" applyFill="1" applyBorder="1" applyAlignment="1">
      <alignment vertical="center" wrapText="1"/>
    </xf>
    <xf numFmtId="0" fontId="41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47" fillId="0" borderId="0" xfId="0" applyFont="1" applyAlignment="1">
      <alignment vertical="center"/>
    </xf>
    <xf numFmtId="0" fontId="49" fillId="0" borderId="0" xfId="0" applyFont="1"/>
    <xf numFmtId="0" fontId="50" fillId="0" borderId="0" xfId="0" applyFont="1"/>
    <xf numFmtId="0" fontId="55" fillId="0" borderId="0" xfId="0" applyFont="1"/>
    <xf numFmtId="166" fontId="49" fillId="0" borderId="0" xfId="0" applyNumberFormat="1" applyFont="1" applyAlignment="1">
      <alignment horizontal="left"/>
    </xf>
    <xf numFmtId="0" fontId="54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1" fillId="2" borderId="12" xfId="0" applyFont="1" applyFill="1" applyBorder="1" applyAlignment="1">
      <alignment horizontal="center" vertical="center"/>
    </xf>
    <xf numFmtId="3" fontId="51" fillId="2" borderId="12" xfId="0" applyNumberFormat="1" applyFont="1" applyFill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60" fillId="0" borderId="0" xfId="0" applyFont="1"/>
    <xf numFmtId="0" fontId="60" fillId="2" borderId="12" xfId="0" applyFont="1" applyFill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60" fillId="0" borderId="24" xfId="0" applyFont="1" applyBorder="1" applyAlignment="1">
      <alignment horizontal="center" vertical="center"/>
    </xf>
    <xf numFmtId="169" fontId="61" fillId="0" borderId="12" xfId="0" applyNumberFormat="1" applyFont="1" applyBorder="1" applyAlignment="1">
      <alignment horizontal="center" vertical="center"/>
    </xf>
    <xf numFmtId="0" fontId="51" fillId="0" borderId="3" xfId="0" applyFont="1" applyBorder="1" applyAlignment="1">
      <alignment vertical="center"/>
    </xf>
    <xf numFmtId="0" fontId="61" fillId="0" borderId="12" xfId="0" applyFont="1" applyBorder="1"/>
    <xf numFmtId="0" fontId="49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51" fillId="0" borderId="12" xfId="0" applyFont="1" applyBorder="1" applyAlignment="1">
      <alignment horizontal="center" vertical="center"/>
    </xf>
    <xf numFmtId="0" fontId="51" fillId="2" borderId="15" xfId="0" applyFont="1" applyFill="1" applyBorder="1" applyAlignment="1">
      <alignment horizontal="center" vertical="center"/>
    </xf>
    <xf numFmtId="169" fontId="49" fillId="0" borderId="0" xfId="0" applyNumberFormat="1" applyFont="1" applyAlignment="1">
      <alignment horizontal="center" vertical="center"/>
    </xf>
    <xf numFmtId="12" fontId="60" fillId="0" borderId="12" xfId="0" applyNumberFormat="1" applyFont="1" applyBorder="1" applyAlignment="1">
      <alignment horizontal="center" vertical="center"/>
    </xf>
    <xf numFmtId="0" fontId="60" fillId="2" borderId="12" xfId="0" applyFont="1" applyFill="1" applyBorder="1" applyAlignment="1">
      <alignment horizontal="center"/>
    </xf>
    <xf numFmtId="0" fontId="60" fillId="0" borderId="12" xfId="0" applyFont="1" applyBorder="1" applyAlignment="1">
      <alignment vertical="center"/>
    </xf>
    <xf numFmtId="0" fontId="55" fillId="0" borderId="0" xfId="0" applyFont="1" applyAlignment="1">
      <alignment vertical="center"/>
    </xf>
    <xf numFmtId="2" fontId="49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169" fontId="60" fillId="2" borderId="12" xfId="0" applyNumberFormat="1" applyFont="1" applyFill="1" applyBorder="1" applyAlignment="1">
      <alignment horizontal="center" vertical="center"/>
    </xf>
    <xf numFmtId="1" fontId="60" fillId="2" borderId="12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61" fillId="0" borderId="0" xfId="0" applyFont="1"/>
    <xf numFmtId="1" fontId="54" fillId="0" borderId="0" xfId="0" applyNumberFormat="1" applyFont="1" applyAlignment="1">
      <alignment horizontal="center" vertical="center"/>
    </xf>
    <xf numFmtId="1" fontId="54" fillId="0" borderId="0" xfId="0" applyNumberFormat="1" applyFont="1" applyAlignment="1">
      <alignment vertical="center"/>
    </xf>
    <xf numFmtId="1" fontId="49" fillId="0" borderId="0" xfId="0" applyNumberFormat="1" applyFont="1" applyAlignment="1">
      <alignment horizontal="center" vertical="center"/>
    </xf>
    <xf numFmtId="12" fontId="49" fillId="0" borderId="0" xfId="0" applyNumberFormat="1" applyFont="1" applyAlignment="1">
      <alignment horizontal="center" vertical="center"/>
    </xf>
    <xf numFmtId="168" fontId="49" fillId="0" borderId="0" xfId="0" applyNumberFormat="1" applyFont="1" applyAlignment="1">
      <alignment horizontal="center" vertical="center"/>
    </xf>
    <xf numFmtId="169" fontId="49" fillId="0" borderId="0" xfId="0" applyNumberFormat="1" applyFont="1" applyAlignment="1">
      <alignment vertical="center"/>
    </xf>
    <xf numFmtId="1" fontId="60" fillId="0" borderId="12" xfId="0" applyNumberFormat="1" applyFont="1" applyBorder="1" applyAlignment="1">
      <alignment horizontal="center" vertical="center"/>
    </xf>
    <xf numFmtId="0" fontId="60" fillId="2" borderId="12" xfId="0" applyFont="1" applyFill="1" applyBorder="1" applyAlignment="1">
      <alignment horizontal="center" vertical="center" wrapText="1"/>
    </xf>
    <xf numFmtId="1" fontId="51" fillId="2" borderId="12" xfId="0" applyNumberFormat="1" applyFont="1" applyFill="1" applyBorder="1" applyAlignment="1">
      <alignment horizontal="center" vertical="center"/>
    </xf>
    <xf numFmtId="0" fontId="59" fillId="0" borderId="0" xfId="0" applyFont="1"/>
    <xf numFmtId="1" fontId="62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47" fillId="0" borderId="0" xfId="0" applyFont="1"/>
    <xf numFmtId="0" fontId="49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64" fillId="0" borderId="0" xfId="0" applyFont="1" applyAlignment="1">
      <alignment horizontal="right" vertical="center"/>
    </xf>
    <xf numFmtId="0" fontId="65" fillId="0" borderId="0" xfId="0" applyFont="1" applyAlignment="1">
      <alignment vertical="center"/>
    </xf>
    <xf numFmtId="0" fontId="60" fillId="0" borderId="0" xfId="0" applyFont="1" applyAlignment="1">
      <alignment vertical="center" wrapText="1"/>
    </xf>
    <xf numFmtId="0" fontId="45" fillId="4" borderId="24" xfId="0" applyFont="1" applyFill="1" applyBorder="1" applyAlignment="1">
      <alignment horizontal="center" vertical="center"/>
    </xf>
    <xf numFmtId="3" fontId="45" fillId="3" borderId="12" xfId="0" applyNumberFormat="1" applyFont="1" applyFill="1" applyBorder="1" applyAlignment="1">
      <alignment horizontal="center" vertical="center"/>
    </xf>
    <xf numFmtId="1" fontId="45" fillId="3" borderId="12" xfId="0" applyNumberFormat="1" applyFont="1" applyFill="1" applyBorder="1" applyAlignment="1">
      <alignment horizontal="center" vertical="center"/>
    </xf>
    <xf numFmtId="0" fontId="45" fillId="3" borderId="12" xfId="0" applyFont="1" applyFill="1" applyBorder="1" applyAlignment="1">
      <alignment horizontal="center"/>
    </xf>
    <xf numFmtId="0" fontId="66" fillId="3" borderId="12" xfId="0" applyFont="1" applyFill="1" applyBorder="1" applyAlignment="1">
      <alignment horizontal="center" vertical="center"/>
    </xf>
    <xf numFmtId="0" fontId="53" fillId="0" borderId="20" xfId="0" applyFont="1" applyBorder="1" applyAlignment="1">
      <alignment vertical="center"/>
    </xf>
    <xf numFmtId="0" fontId="59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vertical="center"/>
    </xf>
    <xf numFmtId="0" fontId="48" fillId="0" borderId="20" xfId="0" applyFont="1" applyBorder="1" applyAlignment="1">
      <alignment vertical="center"/>
    </xf>
    <xf numFmtId="0" fontId="49" fillId="0" borderId="20" xfId="0" applyFont="1" applyBorder="1"/>
    <xf numFmtId="0" fontId="52" fillId="0" borderId="20" xfId="0" applyFont="1" applyBorder="1" applyAlignment="1">
      <alignment vertical="center"/>
    </xf>
    <xf numFmtId="17" fontId="54" fillId="0" borderId="20" xfId="0" applyNumberFormat="1" applyFont="1" applyBorder="1" applyAlignment="1">
      <alignment vertical="center"/>
    </xf>
    <xf numFmtId="0" fontId="55" fillId="0" borderId="20" xfId="0" applyFont="1" applyBorder="1"/>
    <xf numFmtId="0" fontId="52" fillId="2" borderId="20" xfId="0" applyFont="1" applyFill="1" applyBorder="1" applyAlignment="1">
      <alignment horizontal="center" vertical="center"/>
    </xf>
    <xf numFmtId="0" fontId="51" fillId="0" borderId="20" xfId="0" applyFont="1" applyBorder="1" applyAlignment="1">
      <alignment vertical="center" wrapText="1"/>
    </xf>
    <xf numFmtId="0" fontId="52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vertical="center" wrapText="1"/>
    </xf>
    <xf numFmtId="0" fontId="53" fillId="0" borderId="20" xfId="0" applyFont="1" applyBorder="1" applyAlignment="1">
      <alignment horizontal="right" vertical="center"/>
    </xf>
    <xf numFmtId="0" fontId="53" fillId="0" borderId="20" xfId="0" applyFont="1" applyBorder="1" applyAlignment="1">
      <alignment horizontal="center" vertical="center"/>
    </xf>
    <xf numFmtId="14" fontId="52" fillId="0" borderId="20" xfId="0" applyNumberFormat="1" applyFont="1" applyBorder="1" applyAlignment="1">
      <alignment horizontal="center" vertical="center"/>
    </xf>
    <xf numFmtId="0" fontId="56" fillId="0" borderId="20" xfId="0" applyFont="1" applyBorder="1" applyAlignment="1">
      <alignment vertical="center"/>
    </xf>
    <xf numFmtId="0" fontId="57" fillId="0" borderId="20" xfId="0" applyFont="1" applyBorder="1" applyAlignment="1">
      <alignment vertical="center"/>
    </xf>
    <xf numFmtId="166" fontId="58" fillId="0" borderId="20" xfId="0" applyNumberFormat="1" applyFont="1" applyBorder="1" applyAlignment="1">
      <alignment horizontal="left" vertical="center"/>
    </xf>
    <xf numFmtId="14" fontId="52" fillId="2" borderId="20" xfId="0" applyNumberFormat="1" applyFont="1" applyFill="1" applyBorder="1" applyAlignment="1">
      <alignment horizontal="center" vertical="center"/>
    </xf>
    <xf numFmtId="0" fontId="58" fillId="0" borderId="20" xfId="0" applyFont="1" applyBorder="1" applyAlignment="1">
      <alignment vertical="center"/>
    </xf>
    <xf numFmtId="0" fontId="54" fillId="0" borderId="20" xfId="0" applyFont="1" applyBorder="1" applyAlignment="1">
      <alignment horizontal="right" vertical="center"/>
    </xf>
    <xf numFmtId="170" fontId="54" fillId="0" borderId="20" xfId="0" applyNumberFormat="1" applyFont="1" applyBorder="1" applyAlignment="1">
      <alignment horizontal="left" vertical="center"/>
    </xf>
    <xf numFmtId="167" fontId="54" fillId="0" borderId="20" xfId="0" applyNumberFormat="1" applyFont="1" applyBorder="1" applyAlignment="1">
      <alignment vertical="center"/>
    </xf>
    <xf numFmtId="0" fontId="47" fillId="0" borderId="25" xfId="0" applyFont="1" applyBorder="1" applyAlignment="1">
      <alignment vertical="center"/>
    </xf>
    <xf numFmtId="0" fontId="47" fillId="0" borderId="26" xfId="0" applyFont="1" applyBorder="1" applyAlignment="1">
      <alignment vertical="center"/>
    </xf>
    <xf numFmtId="0" fontId="48" fillId="0" borderId="26" xfId="0" applyFont="1" applyBorder="1" applyAlignment="1">
      <alignment vertical="center"/>
    </xf>
    <xf numFmtId="0" fontId="49" fillId="0" borderId="26" xfId="0" applyFont="1" applyBorder="1"/>
    <xf numFmtId="0" fontId="49" fillId="0" borderId="27" xfId="0" applyFont="1" applyBorder="1"/>
    <xf numFmtId="0" fontId="52" fillId="0" borderId="28" xfId="0" applyFont="1" applyBorder="1" applyAlignment="1">
      <alignment vertical="center"/>
    </xf>
    <xf numFmtId="0" fontId="55" fillId="0" borderId="29" xfId="0" applyFont="1" applyBorder="1"/>
    <xf numFmtId="0" fontId="49" fillId="0" borderId="29" xfId="0" applyFont="1" applyBorder="1"/>
    <xf numFmtId="0" fontId="52" fillId="2" borderId="28" xfId="0" applyFont="1" applyFill="1" applyBorder="1" applyAlignment="1">
      <alignment horizontal="left" vertical="center"/>
    </xf>
    <xf numFmtId="0" fontId="53" fillId="0" borderId="28" xfId="0" applyFont="1" applyBorder="1" applyAlignment="1">
      <alignment vertical="center"/>
    </xf>
    <xf numFmtId="0" fontId="54" fillId="0" borderId="29" xfId="0" applyFont="1" applyBorder="1" applyAlignment="1">
      <alignment vertical="center"/>
    </xf>
    <xf numFmtId="0" fontId="51" fillId="0" borderId="20" xfId="0" applyFont="1" applyBorder="1" applyAlignment="1">
      <alignment vertical="center"/>
    </xf>
    <xf numFmtId="0" fontId="60" fillId="0" borderId="20" xfId="0" applyFont="1" applyBorder="1"/>
    <xf numFmtId="0" fontId="51" fillId="0" borderId="29" xfId="0" applyFont="1" applyBorder="1" applyAlignment="1">
      <alignment vertical="center"/>
    </xf>
    <xf numFmtId="0" fontId="49" fillId="0" borderId="28" xfId="0" applyFont="1" applyBorder="1"/>
    <xf numFmtId="0" fontId="61" fillId="0" borderId="20" xfId="0" applyFont="1" applyBorder="1"/>
    <xf numFmtId="1" fontId="60" fillId="0" borderId="20" xfId="0" applyNumberFormat="1" applyFont="1" applyBorder="1" applyAlignment="1">
      <alignment horizontal="center" vertical="center"/>
    </xf>
    <xf numFmtId="1" fontId="54" fillId="0" borderId="20" xfId="0" applyNumberFormat="1" applyFont="1" applyBorder="1" applyAlignment="1">
      <alignment horizontal="center" vertical="center"/>
    </xf>
    <xf numFmtId="1" fontId="54" fillId="0" borderId="20" xfId="0" applyNumberFormat="1" applyFont="1" applyBorder="1" applyAlignment="1">
      <alignment vertical="center"/>
    </xf>
    <xf numFmtId="1" fontId="49" fillId="0" borderId="20" xfId="0" applyNumberFormat="1" applyFont="1" applyBorder="1" applyAlignment="1">
      <alignment horizontal="center" vertical="center"/>
    </xf>
    <xf numFmtId="0" fontId="51" fillId="0" borderId="33" xfId="0" applyFont="1" applyBorder="1" applyAlignment="1">
      <alignment horizontal="center" vertical="center"/>
    </xf>
    <xf numFmtId="0" fontId="60" fillId="0" borderId="33" xfId="0" applyFont="1" applyBorder="1" applyAlignment="1">
      <alignment horizontal="center" vertical="center"/>
    </xf>
    <xf numFmtId="0" fontId="60" fillId="2" borderId="33" xfId="0" applyFont="1" applyFill="1" applyBorder="1" applyAlignment="1">
      <alignment horizontal="center" vertical="center"/>
    </xf>
    <xf numFmtId="0" fontId="49" fillId="0" borderId="30" xfId="0" applyFont="1" applyBorder="1"/>
    <xf numFmtId="0" fontId="49" fillId="0" borderId="31" xfId="0" applyFont="1" applyBorder="1"/>
    <xf numFmtId="1" fontId="54" fillId="0" borderId="31" xfId="0" applyNumberFormat="1" applyFont="1" applyBorder="1" applyAlignment="1">
      <alignment horizontal="center" vertical="center"/>
    </xf>
    <xf numFmtId="1" fontId="54" fillId="0" borderId="31" xfId="0" applyNumberFormat="1" applyFont="1" applyBorder="1" applyAlignment="1">
      <alignment vertical="center"/>
    </xf>
    <xf numFmtId="1" fontId="49" fillId="0" borderId="31" xfId="0" applyNumberFormat="1" applyFont="1" applyBorder="1" applyAlignment="1">
      <alignment horizontal="center" vertical="center"/>
    </xf>
    <xf numFmtId="0" fontId="60" fillId="0" borderId="31" xfId="0" applyFont="1" applyBorder="1"/>
    <xf numFmtId="0" fontId="51" fillId="0" borderId="32" xfId="0" applyFont="1" applyBorder="1" applyAlignment="1">
      <alignment vertical="center"/>
    </xf>
    <xf numFmtId="0" fontId="67" fillId="2" borderId="0" xfId="0" applyFont="1" applyFill="1" applyAlignment="1">
      <alignment vertical="center" wrapText="1"/>
    </xf>
    <xf numFmtId="0" fontId="67" fillId="2" borderId="24" xfId="0" applyFont="1" applyFill="1" applyBorder="1" applyAlignment="1">
      <alignment horizontal="center" vertical="center" wrapText="1"/>
    </xf>
    <xf numFmtId="174" fontId="68" fillId="2" borderId="37" xfId="0" applyNumberFormat="1" applyFont="1" applyFill="1" applyBorder="1" applyAlignment="1">
      <alignment horizontal="center" vertical="center" wrapText="1"/>
    </xf>
    <xf numFmtId="0" fontId="52" fillId="6" borderId="42" xfId="0" applyFont="1" applyFill="1" applyBorder="1"/>
    <xf numFmtId="0" fontId="52" fillId="6" borderId="43" xfId="0" applyFont="1" applyFill="1" applyBorder="1" applyAlignment="1">
      <alignment horizontal="right"/>
    </xf>
    <xf numFmtId="173" fontId="60" fillId="6" borderId="42" xfId="0" applyNumberFormat="1" applyFont="1" applyFill="1" applyBorder="1" applyAlignment="1">
      <alignment horizontal="center"/>
    </xf>
    <xf numFmtId="174" fontId="68" fillId="2" borderId="24" xfId="0" applyNumberFormat="1" applyFont="1" applyFill="1" applyBorder="1" applyAlignment="1">
      <alignment horizontal="center" vertical="center" wrapText="1"/>
    </xf>
    <xf numFmtId="0" fontId="52" fillId="6" borderId="0" xfId="0" applyFont="1" applyFill="1"/>
    <xf numFmtId="0" fontId="24" fillId="2" borderId="20" xfId="0" applyFont="1" applyFill="1" applyBorder="1"/>
    <xf numFmtId="172" fontId="15" fillId="7" borderId="12" xfId="0" applyNumberFormat="1" applyFont="1" applyFill="1" applyBorder="1" applyAlignment="1">
      <alignment horizontal="center" vertical="center"/>
    </xf>
    <xf numFmtId="0" fontId="32" fillId="2" borderId="20" xfId="0" applyFont="1" applyFill="1" applyBorder="1" applyAlignment="1">
      <alignment horizontal="center" vertical="center" wrapText="1"/>
    </xf>
    <xf numFmtId="0" fontId="32" fillId="2" borderId="20" xfId="0" applyFont="1" applyFill="1" applyBorder="1" applyAlignment="1">
      <alignment vertical="center" wrapText="1"/>
    </xf>
    <xf numFmtId="0" fontId="15" fillId="2" borderId="20" xfId="0" applyFont="1" applyFill="1" applyBorder="1" applyAlignment="1">
      <alignment horizontal="right" vertical="center"/>
    </xf>
    <xf numFmtId="173" fontId="15" fillId="2" borderId="20" xfId="0" applyNumberFormat="1" applyFont="1" applyFill="1" applyBorder="1" applyAlignment="1">
      <alignment horizontal="center" vertical="center"/>
    </xf>
    <xf numFmtId="174" fontId="33" fillId="2" borderId="20" xfId="0" applyNumberFormat="1" applyFont="1" applyFill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right"/>
    </xf>
    <xf numFmtId="173" fontId="15" fillId="2" borderId="20" xfId="0" applyNumberFormat="1" applyFont="1" applyFill="1" applyBorder="1" applyAlignment="1">
      <alignment horizontal="center"/>
    </xf>
    <xf numFmtId="2" fontId="15" fillId="2" borderId="20" xfId="0" applyNumberFormat="1" applyFont="1" applyFill="1" applyBorder="1" applyAlignment="1">
      <alignment horizontal="center" vertical="center"/>
    </xf>
    <xf numFmtId="2" fontId="15" fillId="2" borderId="20" xfId="0" applyNumberFormat="1" applyFont="1" applyFill="1" applyBorder="1" applyAlignment="1">
      <alignment vertical="center"/>
    </xf>
    <xf numFmtId="172" fontId="15" fillId="2" borderId="20" xfId="0" applyNumberFormat="1" applyFont="1" applyFill="1" applyBorder="1" applyAlignment="1">
      <alignment horizontal="center" vertical="center"/>
    </xf>
    <xf numFmtId="168" fontId="15" fillId="2" borderId="20" xfId="0" applyNumberFormat="1" applyFont="1" applyFill="1" applyBorder="1" applyAlignment="1">
      <alignment horizontal="center" vertical="center" wrapText="1"/>
    </xf>
    <xf numFmtId="2" fontId="15" fillId="2" borderId="20" xfId="0" applyNumberFormat="1" applyFont="1" applyFill="1" applyBorder="1" applyAlignment="1">
      <alignment horizontal="left" vertical="center"/>
    </xf>
    <xf numFmtId="0" fontId="33" fillId="2" borderId="20" xfId="0" applyFont="1" applyFill="1" applyBorder="1" applyAlignment="1">
      <alignment horizontal="center" vertical="center" wrapText="1"/>
    </xf>
    <xf numFmtId="2" fontId="15" fillId="2" borderId="20" xfId="0" applyNumberFormat="1" applyFont="1" applyFill="1" applyBorder="1" applyAlignment="1">
      <alignment horizontal="center" vertical="center" wrapText="1"/>
    </xf>
    <xf numFmtId="172" fontId="15" fillId="7" borderId="12" xfId="0" applyNumberFormat="1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left" vertical="center" wrapText="1"/>
    </xf>
    <xf numFmtId="2" fontId="15" fillId="7" borderId="12" xfId="0" applyNumberFormat="1" applyFont="1" applyFill="1" applyBorder="1" applyAlignment="1">
      <alignment vertical="center"/>
    </xf>
    <xf numFmtId="1" fontId="45" fillId="8" borderId="12" xfId="0" applyNumberFormat="1" applyFont="1" applyFill="1" applyBorder="1" applyAlignment="1">
      <alignment horizontal="center" vertical="center"/>
    </xf>
    <xf numFmtId="172" fontId="33" fillId="7" borderId="12" xfId="0" applyNumberFormat="1" applyFont="1" applyFill="1" applyBorder="1" applyAlignment="1">
      <alignment horizontal="center" vertical="center" wrapText="1"/>
    </xf>
    <xf numFmtId="173" fontId="60" fillId="6" borderId="24" xfId="1" applyNumberFormat="1" applyFont="1" applyFill="1" applyBorder="1" applyAlignment="1" applyProtection="1">
      <alignment horizontal="center" vertical="center"/>
      <protection hidden="1"/>
    </xf>
    <xf numFmtId="0" fontId="6" fillId="0" borderId="20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vertical="top"/>
    </xf>
    <xf numFmtId="0" fontId="5" fillId="0" borderId="20" xfId="0" applyFont="1" applyBorder="1" applyAlignment="1">
      <alignment horizontal="right" vertical="center"/>
    </xf>
    <xf numFmtId="17" fontId="6" fillId="0" borderId="20" xfId="0" applyNumberFormat="1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14" fillId="0" borderId="20" xfId="0" applyFont="1" applyBorder="1"/>
    <xf numFmtId="0" fontId="6" fillId="0" borderId="20" xfId="0" applyFont="1" applyBorder="1" applyAlignment="1">
      <alignment horizontal="right" vertical="center"/>
    </xf>
    <xf numFmtId="0" fontId="14" fillId="0" borderId="20" xfId="0" applyFont="1" applyBorder="1" applyAlignment="1">
      <alignment vertical="center"/>
    </xf>
    <xf numFmtId="0" fontId="69" fillId="0" borderId="38" xfId="0" applyFont="1" applyBorder="1" applyAlignment="1">
      <alignment vertical="center"/>
    </xf>
    <xf numFmtId="0" fontId="2" fillId="0" borderId="20" xfId="0" applyFont="1" applyBorder="1"/>
    <xf numFmtId="0" fontId="5" fillId="0" borderId="38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2" fillId="0" borderId="38" xfId="0" applyFont="1" applyBorder="1"/>
    <xf numFmtId="1" fontId="16" fillId="0" borderId="20" xfId="0" applyNumberFormat="1" applyFont="1" applyBorder="1" applyAlignment="1">
      <alignment vertical="center"/>
    </xf>
    <xf numFmtId="1" fontId="16" fillId="0" borderId="39" xfId="0" applyNumberFormat="1" applyFont="1" applyBorder="1" applyAlignment="1">
      <alignment vertical="center"/>
    </xf>
    <xf numFmtId="1" fontId="16" fillId="0" borderId="20" xfId="0" applyNumberFormat="1" applyFont="1" applyBorder="1"/>
    <xf numFmtId="1" fontId="16" fillId="0" borderId="39" xfId="0" applyNumberFormat="1" applyFont="1" applyBorder="1"/>
    <xf numFmtId="9" fontId="18" fillId="0" borderId="20" xfId="0" applyNumberFormat="1" applyFont="1" applyBorder="1" applyAlignment="1">
      <alignment vertical="center"/>
    </xf>
    <xf numFmtId="9" fontId="18" fillId="0" borderId="39" xfId="0" applyNumberFormat="1" applyFont="1" applyBorder="1" applyAlignment="1">
      <alignment vertical="center"/>
    </xf>
    <xf numFmtId="0" fontId="2" fillId="0" borderId="40" xfId="0" applyFont="1" applyBorder="1"/>
    <xf numFmtId="0" fontId="2" fillId="0" borderId="34" xfId="0" applyFont="1" applyBorder="1"/>
    <xf numFmtId="1" fontId="19" fillId="0" borderId="34" xfId="0" applyNumberFormat="1" applyFont="1" applyBorder="1" applyAlignment="1">
      <alignment horizontal="center" vertical="center"/>
    </xf>
    <xf numFmtId="0" fontId="2" fillId="0" borderId="41" xfId="0" applyFont="1" applyBorder="1"/>
    <xf numFmtId="0" fontId="70" fillId="0" borderId="0" xfId="0" applyFont="1" applyAlignment="1">
      <alignment horizontal="right" vertical="center"/>
    </xf>
    <xf numFmtId="0" fontId="60" fillId="0" borderId="20" xfId="0" applyFont="1" applyBorder="1" applyAlignment="1">
      <alignment vertical="center"/>
    </xf>
    <xf numFmtId="0" fontId="53" fillId="0" borderId="24" xfId="0" applyFont="1" applyBorder="1" applyAlignment="1">
      <alignment horizontal="center" vertical="center"/>
    </xf>
    <xf numFmtId="169" fontId="61" fillId="0" borderId="21" xfId="0" applyNumberFormat="1" applyFont="1" applyBorder="1" applyAlignment="1">
      <alignment horizontal="center" vertical="center"/>
    </xf>
    <xf numFmtId="2" fontId="61" fillId="0" borderId="21" xfId="0" applyNumberFormat="1" applyFont="1" applyBorder="1" applyAlignment="1">
      <alignment horizontal="center" vertical="center"/>
    </xf>
    <xf numFmtId="0" fontId="61" fillId="0" borderId="3" xfId="0" applyFont="1" applyBorder="1"/>
    <xf numFmtId="0" fontId="61" fillId="0" borderId="4" xfId="0" applyFont="1" applyBorder="1"/>
    <xf numFmtId="0" fontId="61" fillId="0" borderId="12" xfId="0" applyFont="1" applyBorder="1" applyAlignment="1">
      <alignment vertical="center"/>
    </xf>
    <xf numFmtId="169" fontId="61" fillId="0" borderId="12" xfId="0" applyNumberFormat="1" applyFont="1" applyBorder="1" applyAlignment="1">
      <alignment vertical="center"/>
    </xf>
    <xf numFmtId="2" fontId="72" fillId="0" borderId="21" xfId="0" applyNumberFormat="1" applyFont="1" applyBorder="1" applyAlignment="1">
      <alignment horizontal="center" vertical="center"/>
    </xf>
    <xf numFmtId="0" fontId="46" fillId="6" borderId="24" xfId="1" applyFont="1" applyFill="1" applyBorder="1" applyAlignment="1" applyProtection="1">
      <alignment horizontal="center"/>
      <protection locked="0"/>
    </xf>
    <xf numFmtId="0" fontId="47" fillId="0" borderId="24" xfId="1" applyFont="1" applyBorder="1" applyAlignment="1">
      <alignment horizontal="center"/>
    </xf>
    <xf numFmtId="0" fontId="45" fillId="4" borderId="7" xfId="0" applyFont="1" applyFill="1" applyBorder="1" applyAlignment="1">
      <alignment horizontal="center" vertical="center"/>
    </xf>
    <xf numFmtId="0" fontId="53" fillId="0" borderId="23" xfId="0" applyFont="1" applyBorder="1" applyAlignment="1">
      <alignment horizontal="center" vertical="center"/>
    </xf>
    <xf numFmtId="0" fontId="60" fillId="0" borderId="12" xfId="0" applyFont="1" applyBorder="1" applyAlignment="1">
      <alignment horizontal="center"/>
    </xf>
    <xf numFmtId="15" fontId="24" fillId="2" borderId="20" xfId="0" applyNumberFormat="1" applyFont="1" applyFill="1" applyBorder="1" applyAlignment="1">
      <alignment horizontal="center"/>
    </xf>
    <xf numFmtId="17" fontId="40" fillId="2" borderId="20" xfId="0" applyNumberFormat="1" applyFont="1" applyFill="1" applyBorder="1" applyAlignment="1">
      <alignment horizontal="center"/>
    </xf>
    <xf numFmtId="0" fontId="9" fillId="6" borderId="0" xfId="0" applyFont="1" applyFill="1"/>
    <xf numFmtId="168" fontId="52" fillId="6" borderId="0" xfId="0" applyNumberFormat="1" applyFont="1" applyFill="1"/>
    <xf numFmtId="168" fontId="15" fillId="7" borderId="12" xfId="0" applyNumberFormat="1" applyFont="1" applyFill="1" applyBorder="1" applyAlignment="1">
      <alignment horizontal="center" vertical="center"/>
    </xf>
    <xf numFmtId="0" fontId="51" fillId="2" borderId="12" xfId="0" applyFont="1" applyFill="1" applyBorder="1" applyAlignment="1">
      <alignment vertical="center" wrapText="1"/>
    </xf>
    <xf numFmtId="0" fontId="60" fillId="2" borderId="12" xfId="0" applyFont="1" applyFill="1" applyBorder="1"/>
    <xf numFmtId="0" fontId="60" fillId="2" borderId="12" xfId="0" quotePrefix="1" applyFont="1" applyFill="1" applyBorder="1" applyAlignment="1">
      <alignment horizontal="center" vertical="center" wrapText="1"/>
    </xf>
    <xf numFmtId="0" fontId="51" fillId="7" borderId="12" xfId="0" applyFont="1" applyFill="1" applyBorder="1" applyAlignment="1">
      <alignment vertical="center" wrapText="1"/>
    </xf>
    <xf numFmtId="0" fontId="60" fillId="7" borderId="12" xfId="0" applyFont="1" applyFill="1" applyBorder="1" applyAlignment="1">
      <alignment horizontal="center" vertical="center"/>
    </xf>
    <xf numFmtId="1" fontId="60" fillId="7" borderId="12" xfId="0" applyNumberFormat="1" applyFont="1" applyFill="1" applyBorder="1" applyAlignment="1">
      <alignment horizontal="center" vertical="center"/>
    </xf>
    <xf numFmtId="2" fontId="60" fillId="7" borderId="12" xfId="0" quotePrefix="1" applyNumberFormat="1" applyFont="1" applyFill="1" applyBorder="1" applyAlignment="1">
      <alignment horizontal="center" vertical="center"/>
    </xf>
    <xf numFmtId="168" fontId="60" fillId="7" borderId="12" xfId="0" applyNumberFormat="1" applyFont="1" applyFill="1" applyBorder="1" applyAlignment="1">
      <alignment horizontal="center" vertical="center" wrapText="1"/>
    </xf>
    <xf numFmtId="11" fontId="60" fillId="7" borderId="12" xfId="0" applyNumberFormat="1" applyFont="1" applyFill="1" applyBorder="1" applyAlignment="1">
      <alignment horizontal="center" vertical="center"/>
    </xf>
    <xf numFmtId="0" fontId="60" fillId="0" borderId="12" xfId="0" applyFont="1" applyBorder="1" applyAlignment="1">
      <alignment horizontal="center" vertical="center"/>
    </xf>
    <xf numFmtId="0" fontId="60" fillId="0" borderId="12" xfId="0" applyFont="1" applyBorder="1"/>
    <xf numFmtId="168" fontId="60" fillId="0" borderId="12" xfId="0" applyNumberFormat="1" applyFont="1" applyBorder="1" applyAlignment="1">
      <alignment horizontal="center" vertical="center"/>
    </xf>
    <xf numFmtId="2" fontId="60" fillId="0" borderId="12" xfId="0" applyNumberFormat="1" applyFont="1" applyBorder="1" applyAlignment="1">
      <alignment vertical="center"/>
    </xf>
    <xf numFmtId="172" fontId="60" fillId="0" borderId="12" xfId="0" applyNumberFormat="1" applyFont="1" applyBorder="1" applyAlignment="1">
      <alignment horizontal="center" vertical="center"/>
    </xf>
    <xf numFmtId="2" fontId="60" fillId="0" borderId="12" xfId="0" applyNumberFormat="1" applyFont="1" applyBorder="1" applyAlignment="1">
      <alignment horizontal="left" vertical="center"/>
    </xf>
    <xf numFmtId="0" fontId="60" fillId="0" borderId="12" xfId="0" applyFont="1" applyBorder="1" applyAlignment="1">
      <alignment vertical="center" wrapText="1"/>
    </xf>
    <xf numFmtId="2" fontId="61" fillId="0" borderId="16" xfId="0" applyNumberFormat="1" applyFont="1" applyBorder="1" applyAlignment="1">
      <alignment horizontal="center" vertical="center"/>
    </xf>
    <xf numFmtId="0" fontId="53" fillId="2" borderId="22" xfId="0" applyFont="1" applyFill="1" applyBorder="1" applyAlignment="1">
      <alignment horizontal="center" vertical="center"/>
    </xf>
    <xf numFmtId="0" fontId="46" fillId="5" borderId="7" xfId="0" applyFont="1" applyFill="1" applyBorder="1" applyAlignment="1">
      <alignment horizontal="center" vertical="center"/>
    </xf>
    <xf numFmtId="0" fontId="46" fillId="5" borderId="24" xfId="0" quotePrefix="1" applyFont="1" applyFill="1" applyBorder="1" applyAlignment="1">
      <alignment horizontal="center" vertical="center"/>
    </xf>
    <xf numFmtId="2" fontId="73" fillId="0" borderId="21" xfId="0" applyNumberFormat="1" applyFont="1" applyBorder="1" applyAlignment="1">
      <alignment horizontal="center" vertical="center"/>
    </xf>
    <xf numFmtId="1" fontId="36" fillId="6" borderId="24" xfId="1" applyNumberFormat="1" applyFont="1" applyFill="1" applyBorder="1" applyAlignment="1" applyProtection="1">
      <alignment horizontal="center"/>
      <protection locked="0"/>
    </xf>
    <xf numFmtId="2" fontId="15" fillId="2" borderId="12" xfId="0" applyNumberFormat="1" applyFont="1" applyFill="1" applyBorder="1" applyAlignment="1">
      <alignment horizontal="center" vertical="center"/>
    </xf>
    <xf numFmtId="0" fontId="67" fillId="2" borderId="42" xfId="0" applyFont="1" applyFill="1" applyBorder="1" applyAlignment="1">
      <alignment vertical="center" wrapText="1"/>
    </xf>
    <xf numFmtId="0" fontId="60" fillId="6" borderId="43" xfId="1" applyFont="1" applyFill="1" applyBorder="1" applyAlignment="1" applyProtection="1">
      <alignment horizontal="right" vertical="center"/>
      <protection hidden="1"/>
    </xf>
    <xf numFmtId="0" fontId="15" fillId="7" borderId="1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15" fontId="40" fillId="2" borderId="20" xfId="0" applyNumberFormat="1" applyFont="1" applyFill="1" applyBorder="1" applyAlignment="1">
      <alignment horizontal="left"/>
    </xf>
    <xf numFmtId="178" fontId="6" fillId="0" borderId="0" xfId="0" applyNumberFormat="1" applyFont="1" applyAlignment="1">
      <alignment horizontal="left" vertical="center"/>
    </xf>
    <xf numFmtId="0" fontId="74" fillId="0" borderId="2" xfId="0" applyFont="1" applyBorder="1" applyAlignment="1">
      <alignment vertical="center"/>
    </xf>
    <xf numFmtId="0" fontId="15" fillId="0" borderId="20" xfId="2" quotePrefix="1" applyFont="1" applyAlignment="1">
      <alignment vertical="center" wrapText="1"/>
    </xf>
    <xf numFmtId="0" fontId="11" fillId="0" borderId="35" xfId="0" applyFont="1" applyBorder="1" applyAlignment="1">
      <alignment vertical="center"/>
    </xf>
    <xf numFmtId="0" fontId="12" fillId="0" borderId="44" xfId="0" applyFont="1" applyBorder="1" applyAlignment="1">
      <alignment vertical="center"/>
    </xf>
    <xf numFmtId="0" fontId="13" fillId="0" borderId="36" xfId="0" applyFont="1" applyBorder="1" applyAlignment="1">
      <alignment vertical="center"/>
    </xf>
    <xf numFmtId="178" fontId="6" fillId="0" borderId="39" xfId="0" applyNumberFormat="1" applyFont="1" applyBorder="1" applyAlignment="1">
      <alignment horizontal="left" vertical="center"/>
    </xf>
    <xf numFmtId="0" fontId="6" fillId="0" borderId="40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vertical="center"/>
    </xf>
    <xf numFmtId="0" fontId="6" fillId="0" borderId="34" xfId="0" applyFont="1" applyBorder="1" applyAlignment="1">
      <alignment horizontal="right" vertical="center"/>
    </xf>
    <xf numFmtId="165" fontId="6" fillId="0" borderId="41" xfId="0" applyNumberFormat="1" applyFont="1" applyBorder="1" applyAlignment="1">
      <alignment horizontal="left" vertical="center"/>
    </xf>
    <xf numFmtId="177" fontId="36" fillId="6" borderId="24" xfId="2" applyNumberFormat="1" applyFont="1" applyFill="1" applyBorder="1" applyAlignment="1" applyProtection="1">
      <alignment horizontal="center" vertical="center"/>
      <protection locked="0"/>
    </xf>
    <xf numFmtId="11" fontId="24" fillId="6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11" fontId="24" fillId="2" borderId="0" xfId="0" applyNumberFormat="1" applyFont="1" applyFill="1" applyAlignment="1">
      <alignment horizontal="center"/>
    </xf>
    <xf numFmtId="0" fontId="24" fillId="2" borderId="0" xfId="0" quotePrefix="1" applyFont="1" applyFill="1" applyAlignment="1">
      <alignment horizontal="left"/>
    </xf>
    <xf numFmtId="0" fontId="9" fillId="6" borderId="34" xfId="2" applyFill="1" applyBorder="1" applyAlignment="1">
      <alignment vertical="center"/>
    </xf>
    <xf numFmtId="0" fontId="9" fillId="6" borderId="20" xfId="2" applyFill="1" applyAlignment="1">
      <alignment vertical="center"/>
    </xf>
    <xf numFmtId="11" fontId="52" fillId="0" borderId="20" xfId="0" applyNumberFormat="1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1" fontId="60" fillId="0" borderId="15" xfId="0" applyNumberFormat="1" applyFont="1" applyBorder="1" applyAlignment="1">
      <alignment horizontal="center" vertical="center"/>
    </xf>
    <xf numFmtId="1" fontId="60" fillId="0" borderId="15" xfId="0" applyNumberFormat="1" applyFont="1" applyBorder="1" applyAlignment="1">
      <alignment vertical="center"/>
    </xf>
    <xf numFmtId="0" fontId="61" fillId="0" borderId="48" xfId="0" applyFont="1" applyBorder="1"/>
    <xf numFmtId="0" fontId="51" fillId="2" borderId="52" xfId="0" applyFont="1" applyFill="1" applyBorder="1" applyAlignment="1">
      <alignment horizontal="center" vertical="center"/>
    </xf>
    <xf numFmtId="12" fontId="60" fillId="0" borderId="33" xfId="0" applyNumberFormat="1" applyFont="1" applyBorder="1" applyAlignment="1">
      <alignment horizontal="center" vertical="center"/>
    </xf>
    <xf numFmtId="0" fontId="51" fillId="0" borderId="52" xfId="0" applyFont="1" applyBorder="1" applyAlignment="1">
      <alignment horizontal="center" vertical="center"/>
    </xf>
    <xf numFmtId="1" fontId="60" fillId="0" borderId="52" xfId="0" applyNumberFormat="1" applyFont="1" applyBorder="1" applyAlignment="1">
      <alignment horizontal="center" vertical="center"/>
    </xf>
    <xf numFmtId="0" fontId="61" fillId="0" borderId="55" xfId="0" applyFont="1" applyBorder="1"/>
    <xf numFmtId="1" fontId="60" fillId="2" borderId="55" xfId="0" applyNumberFormat="1" applyFont="1" applyFill="1" applyBorder="1" applyAlignment="1">
      <alignment horizontal="center" vertical="center"/>
    </xf>
    <xf numFmtId="0" fontId="60" fillId="2" borderId="55" xfId="0" applyFont="1" applyFill="1" applyBorder="1" applyAlignment="1">
      <alignment horizontal="center" vertical="center"/>
    </xf>
    <xf numFmtId="0" fontId="60" fillId="2" borderId="56" xfId="0" applyFont="1" applyFill="1" applyBorder="1" applyAlignment="1">
      <alignment horizontal="center" vertical="center"/>
    </xf>
    <xf numFmtId="0" fontId="51" fillId="0" borderId="57" xfId="0" applyFont="1" applyBorder="1" applyAlignment="1">
      <alignment horizontal="center" vertical="center"/>
    </xf>
    <xf numFmtId="0" fontId="51" fillId="2" borderId="48" xfId="0" applyFont="1" applyFill="1" applyBorder="1" applyAlignment="1">
      <alignment horizontal="center" vertical="center"/>
    </xf>
    <xf numFmtId="1" fontId="54" fillId="0" borderId="27" xfId="0" applyNumberFormat="1" applyFont="1" applyBorder="1" applyAlignment="1">
      <alignment vertical="center"/>
    </xf>
    <xf numFmtId="1" fontId="60" fillId="0" borderId="29" xfId="0" applyNumberFormat="1" applyFont="1" applyBorder="1" applyAlignment="1">
      <alignment vertical="center"/>
    </xf>
    <xf numFmtId="0" fontId="74" fillId="0" borderId="58" xfId="0" applyFont="1" applyBorder="1" applyAlignment="1">
      <alignment vertical="center"/>
    </xf>
    <xf numFmtId="0" fontId="61" fillId="0" borderId="59" xfId="0" applyFont="1" applyBorder="1"/>
    <xf numFmtId="0" fontId="61" fillId="0" borderId="60" xfId="0" applyFont="1" applyBorder="1" applyAlignment="1">
      <alignment vertical="center"/>
    </xf>
    <xf numFmtId="2" fontId="61" fillId="0" borderId="61" xfId="0" applyNumberFormat="1" applyFont="1" applyBorder="1" applyAlignment="1">
      <alignment horizontal="center" vertical="center"/>
    </xf>
    <xf numFmtId="0" fontId="72" fillId="0" borderId="61" xfId="0" applyFont="1" applyBorder="1" applyAlignment="1">
      <alignment horizontal="center"/>
    </xf>
    <xf numFmtId="1" fontId="60" fillId="0" borderId="32" xfId="0" applyNumberFormat="1" applyFont="1" applyBorder="1" applyAlignment="1">
      <alignment vertical="center"/>
    </xf>
    <xf numFmtId="3" fontId="53" fillId="2" borderId="48" xfId="0" applyNumberFormat="1" applyFont="1" applyFill="1" applyBorder="1" applyAlignment="1">
      <alignment horizontal="center" vertical="center"/>
    </xf>
    <xf numFmtId="0" fontId="53" fillId="0" borderId="48" xfId="0" applyFont="1" applyBorder="1" applyAlignment="1">
      <alignment horizontal="center" vertical="center"/>
    </xf>
    <xf numFmtId="0" fontId="36" fillId="6" borderId="24" xfId="2" applyFont="1" applyFill="1" applyBorder="1" applyAlignment="1" applyProtection="1">
      <alignment horizontal="center" vertical="center"/>
      <protection locked="0"/>
    </xf>
    <xf numFmtId="180" fontId="54" fillId="0" borderId="0" xfId="0" applyNumberFormat="1" applyFont="1" applyAlignment="1" applyProtection="1">
      <alignment horizontal="left" vertical="center"/>
      <protection locked="0"/>
    </xf>
    <xf numFmtId="181" fontId="54" fillId="0" borderId="39" xfId="0" applyNumberFormat="1" applyFont="1" applyBorder="1" applyAlignment="1" applyProtection="1">
      <alignment horizontal="left" vertical="center"/>
      <protection locked="0"/>
    </xf>
    <xf numFmtId="0" fontId="49" fillId="0" borderId="62" xfId="3" applyFont="1" applyBorder="1" applyProtection="1">
      <protection hidden="1"/>
    </xf>
    <xf numFmtId="0" fontId="47" fillId="6" borderId="63" xfId="3" applyFont="1" applyFill="1" applyBorder="1" applyAlignment="1">
      <alignment vertical="center"/>
    </xf>
    <xf numFmtId="0" fontId="48" fillId="6" borderId="63" xfId="3" applyFont="1" applyFill="1" applyBorder="1" applyAlignment="1">
      <alignment vertical="center"/>
    </xf>
    <xf numFmtId="0" fontId="49" fillId="0" borderId="64" xfId="3" applyFont="1" applyBorder="1" applyProtection="1">
      <protection hidden="1"/>
    </xf>
    <xf numFmtId="0" fontId="49" fillId="0" borderId="20" xfId="3" applyFont="1" applyProtection="1">
      <protection hidden="1"/>
    </xf>
    <xf numFmtId="0" fontId="49" fillId="0" borderId="65" xfId="3" applyFont="1" applyBorder="1" applyProtection="1">
      <protection hidden="1"/>
    </xf>
    <xf numFmtId="0" fontId="47" fillId="6" borderId="20" xfId="3" applyFont="1" applyFill="1" applyAlignment="1">
      <alignment vertical="center"/>
    </xf>
    <xf numFmtId="0" fontId="48" fillId="6" borderId="20" xfId="3" applyFont="1" applyFill="1" applyAlignment="1">
      <alignment vertical="center"/>
    </xf>
    <xf numFmtId="0" fontId="49" fillId="0" borderId="66" xfId="3" applyFont="1" applyBorder="1" applyProtection="1">
      <protection hidden="1"/>
    </xf>
    <xf numFmtId="0" fontId="49" fillId="0" borderId="67" xfId="3" applyFont="1" applyBorder="1" applyProtection="1">
      <protection hidden="1"/>
    </xf>
    <xf numFmtId="0" fontId="62" fillId="9" borderId="68" xfId="3" applyFont="1" applyFill="1" applyBorder="1" applyAlignment="1">
      <alignment vertical="center"/>
    </xf>
    <xf numFmtId="0" fontId="62" fillId="9" borderId="69" xfId="3" applyFont="1" applyFill="1" applyBorder="1" applyAlignment="1">
      <alignment vertical="center"/>
    </xf>
    <xf numFmtId="0" fontId="62" fillId="9" borderId="20" xfId="3" applyFont="1" applyFill="1" applyAlignment="1">
      <alignment vertical="center"/>
    </xf>
    <xf numFmtId="0" fontId="53" fillId="9" borderId="20" xfId="4" applyFont="1" applyFill="1" applyAlignment="1">
      <alignment horizontal="center" vertical="center"/>
    </xf>
    <xf numFmtId="0" fontId="76" fillId="9" borderId="20" xfId="3" applyFont="1" applyFill="1" applyAlignment="1">
      <alignment horizontal="center" vertical="center"/>
    </xf>
    <xf numFmtId="0" fontId="53" fillId="9" borderId="20" xfId="4" applyFont="1" applyFill="1" applyAlignment="1">
      <alignment vertical="center"/>
    </xf>
    <xf numFmtId="0" fontId="77" fillId="0" borderId="42" xfId="3" applyFont="1" applyBorder="1" applyAlignment="1">
      <alignment horizontal="center" vertical="center"/>
    </xf>
    <xf numFmtId="0" fontId="77" fillId="0" borderId="24" xfId="3" applyFont="1" applyBorder="1" applyAlignment="1">
      <alignment horizontal="center" vertical="center"/>
    </xf>
    <xf numFmtId="0" fontId="75" fillId="0" borderId="20" xfId="3"/>
    <xf numFmtId="0" fontId="55" fillId="0" borderId="20" xfId="3" applyFont="1" applyProtection="1">
      <protection hidden="1"/>
    </xf>
    <xf numFmtId="0" fontId="51" fillId="9" borderId="24" xfId="4" applyFont="1" applyFill="1" applyBorder="1" applyAlignment="1">
      <alignment vertical="center"/>
    </xf>
    <xf numFmtId="0" fontId="51" fillId="9" borderId="43" xfId="4" applyFont="1" applyFill="1" applyBorder="1" applyAlignment="1">
      <alignment vertical="center"/>
    </xf>
    <xf numFmtId="0" fontId="49" fillId="0" borderId="20" xfId="3" applyFont="1" applyAlignment="1" applyProtection="1">
      <alignment horizontal="left"/>
      <protection hidden="1"/>
    </xf>
    <xf numFmtId="164" fontId="49" fillId="0" borderId="20" xfId="3" applyNumberFormat="1" applyFont="1" applyAlignment="1" applyProtection="1">
      <alignment horizontal="left" vertical="center"/>
      <protection hidden="1"/>
    </xf>
    <xf numFmtId="0" fontId="54" fillId="9" borderId="20" xfId="3" applyFont="1" applyFill="1" applyAlignment="1">
      <alignment vertical="top"/>
    </xf>
    <xf numFmtId="0" fontId="47" fillId="0" borderId="34" xfId="3" applyFont="1" applyBorder="1" applyAlignment="1" applyProtection="1">
      <alignment horizontal="center" vertical="center" wrapText="1"/>
      <protection hidden="1"/>
    </xf>
    <xf numFmtId="0" fontId="47" fillId="0" borderId="20" xfId="3" applyFont="1" applyAlignment="1" applyProtection="1">
      <alignment horizontal="center" vertical="center" wrapText="1"/>
      <protection hidden="1"/>
    </xf>
    <xf numFmtId="0" fontId="53" fillId="6" borderId="24" xfId="5" applyFont="1" applyFill="1" applyBorder="1" applyAlignment="1">
      <alignment horizontal="center" vertical="center"/>
    </xf>
    <xf numFmtId="3" fontId="53" fillId="6" borderId="24" xfId="5" applyNumberFormat="1" applyFont="1" applyFill="1" applyBorder="1" applyAlignment="1" applyProtection="1">
      <alignment horizontal="center" vertical="center"/>
      <protection locked="0"/>
    </xf>
    <xf numFmtId="0" fontId="54" fillId="9" borderId="20" xfId="3" applyFont="1" applyFill="1" applyAlignment="1">
      <alignment horizontal="left" vertical="center" wrapText="1"/>
    </xf>
    <xf numFmtId="17" fontId="54" fillId="9" borderId="20" xfId="3" applyNumberFormat="1" applyFont="1" applyFill="1" applyAlignment="1">
      <alignment vertical="center"/>
    </xf>
    <xf numFmtId="0" fontId="54" fillId="6" borderId="24" xfId="5" applyFont="1" applyFill="1" applyBorder="1" applyAlignment="1">
      <alignment horizontal="center" vertical="center"/>
    </xf>
    <xf numFmtId="3" fontId="5" fillId="6" borderId="24" xfId="5" applyNumberFormat="1" applyFont="1" applyFill="1" applyBorder="1" applyAlignment="1" applyProtection="1">
      <alignment horizontal="center" vertical="center"/>
      <protection locked="0"/>
    </xf>
    <xf numFmtId="3" fontId="54" fillId="6" borderId="24" xfId="5" applyNumberFormat="1" applyFont="1" applyFill="1" applyBorder="1" applyAlignment="1" applyProtection="1">
      <alignment horizontal="center" vertical="center"/>
      <protection locked="0"/>
    </xf>
    <xf numFmtId="169" fontId="54" fillId="6" borderId="24" xfId="5" applyNumberFormat="1" applyFont="1" applyFill="1" applyBorder="1" applyAlignment="1" applyProtection="1">
      <alignment horizontal="center" vertical="center"/>
      <protection hidden="1"/>
    </xf>
    <xf numFmtId="0" fontId="54" fillId="9" borderId="24" xfId="3" applyFont="1" applyFill="1" applyBorder="1" applyAlignment="1">
      <alignment horizontal="center" vertical="center" wrapText="1"/>
    </xf>
    <xf numFmtId="0" fontId="54" fillId="0" borderId="20" xfId="3" applyFont="1" applyAlignment="1" applyProtection="1">
      <alignment horizontal="left"/>
      <protection hidden="1"/>
    </xf>
    <xf numFmtId="0" fontId="51" fillId="6" borderId="24" xfId="5" applyFont="1" applyFill="1" applyBorder="1" applyAlignment="1">
      <alignment horizontal="center" vertical="center"/>
    </xf>
    <xf numFmtId="0" fontId="51" fillId="6" borderId="43" xfId="5" applyFont="1" applyFill="1" applyBorder="1" applyAlignment="1">
      <alignment horizontal="center" vertical="center"/>
    </xf>
    <xf numFmtId="0" fontId="53" fillId="6" borderId="20" xfId="5" applyFont="1" applyFill="1" applyAlignment="1">
      <alignment vertical="center"/>
    </xf>
    <xf numFmtId="0" fontId="49" fillId="9" borderId="20" xfId="3" applyFont="1" applyFill="1" applyAlignment="1">
      <alignment vertical="center"/>
    </xf>
    <xf numFmtId="0" fontId="60" fillId="0" borderId="20" xfId="3" applyFont="1" applyProtection="1">
      <protection hidden="1"/>
    </xf>
    <xf numFmtId="0" fontId="51" fillId="9" borderId="20" xfId="4" applyFont="1" applyFill="1" applyAlignment="1">
      <alignment vertical="center"/>
    </xf>
    <xf numFmtId="0" fontId="53" fillId="6" borderId="20" xfId="5" applyFont="1" applyFill="1" applyAlignment="1">
      <alignment horizontal="center" vertical="center"/>
    </xf>
    <xf numFmtId="169" fontId="78" fillId="9" borderId="20" xfId="3" applyNumberFormat="1" applyFont="1" applyFill="1" applyAlignment="1">
      <alignment horizontal="center" vertical="center"/>
    </xf>
    <xf numFmtId="0" fontId="49" fillId="9" borderId="20" xfId="3" applyFont="1" applyFill="1" applyAlignment="1">
      <alignment horizontal="center" vertical="center"/>
    </xf>
    <xf numFmtId="169" fontId="17" fillId="9" borderId="20" xfId="3" applyNumberFormat="1" applyFont="1" applyFill="1" applyAlignment="1">
      <alignment horizontal="center" vertical="center"/>
    </xf>
    <xf numFmtId="0" fontId="60" fillId="0" borderId="24" xfId="3" applyFont="1" applyBorder="1" applyAlignment="1" applyProtection="1">
      <alignment horizontal="center" vertical="center"/>
      <protection hidden="1"/>
    </xf>
    <xf numFmtId="169" fontId="60" fillId="10" borderId="24" xfId="5" applyNumberFormat="1" applyFont="1" applyFill="1" applyBorder="1" applyAlignment="1" applyProtection="1">
      <alignment horizontal="center" vertical="center"/>
      <protection locked="0"/>
    </xf>
    <xf numFmtId="0" fontId="60" fillId="6" borderId="24" xfId="5" applyFont="1" applyFill="1" applyBorder="1" applyAlignment="1" applyProtection="1">
      <alignment horizontal="center"/>
      <protection locked="0"/>
    </xf>
    <xf numFmtId="0" fontId="54" fillId="6" borderId="20" xfId="5" applyFont="1" applyFill="1" applyAlignment="1" applyProtection="1">
      <alignment horizontal="center"/>
      <protection locked="0"/>
    </xf>
    <xf numFmtId="169" fontId="49" fillId="9" borderId="20" xfId="3" applyNumberFormat="1" applyFont="1" applyFill="1" applyAlignment="1">
      <alignment horizontal="center" vertical="center"/>
    </xf>
    <xf numFmtId="0" fontId="55" fillId="9" borderId="20" xfId="3" applyFont="1" applyFill="1" applyAlignment="1">
      <alignment vertical="center"/>
    </xf>
    <xf numFmtId="0" fontId="62" fillId="9" borderId="20" xfId="3" applyFont="1" applyFill="1" applyAlignment="1">
      <alignment horizontal="center" vertical="center"/>
    </xf>
    <xf numFmtId="2" fontId="49" fillId="9" borderId="20" xfId="3" applyNumberFormat="1" applyFont="1" applyFill="1" applyAlignment="1">
      <alignment horizontal="center" vertical="center"/>
    </xf>
    <xf numFmtId="0" fontId="51" fillId="0" borderId="43" xfId="5" applyFont="1" applyBorder="1" applyAlignment="1">
      <alignment horizontal="center" vertical="center"/>
    </xf>
    <xf numFmtId="169" fontId="49" fillId="9" borderId="20" xfId="3" applyNumberFormat="1" applyFont="1" applyFill="1" applyAlignment="1">
      <alignment vertical="center"/>
    </xf>
    <xf numFmtId="0" fontId="62" fillId="9" borderId="20" xfId="3" applyFont="1" applyFill="1" applyAlignment="1">
      <alignment horizontal="center" vertical="center" wrapText="1"/>
    </xf>
    <xf numFmtId="169" fontId="60" fillId="6" borderId="24" xfId="5" applyNumberFormat="1" applyFont="1" applyFill="1" applyBorder="1" applyAlignment="1" applyProtection="1">
      <alignment horizontal="center" vertical="center"/>
      <protection locked="0"/>
    </xf>
    <xf numFmtId="0" fontId="60" fillId="6" borderId="20" xfId="5" applyFont="1" applyFill="1" applyAlignment="1">
      <alignment horizontal="center" vertical="center"/>
    </xf>
    <xf numFmtId="3" fontId="34" fillId="6" borderId="20" xfId="5" applyNumberFormat="1" applyFont="1" applyFill="1" applyAlignment="1" applyProtection="1">
      <alignment vertical="center"/>
      <protection locked="0"/>
    </xf>
    <xf numFmtId="0" fontId="49" fillId="9" borderId="20" xfId="3" applyFont="1" applyFill="1" applyAlignment="1" applyProtection="1">
      <alignment horizontal="center" vertical="center"/>
      <protection hidden="1"/>
    </xf>
    <xf numFmtId="168" fontId="49" fillId="9" borderId="20" xfId="3" applyNumberFormat="1" applyFont="1" applyFill="1" applyAlignment="1" applyProtection="1">
      <alignment horizontal="center" vertical="center"/>
      <protection hidden="1"/>
    </xf>
    <xf numFmtId="0" fontId="51" fillId="0" borderId="24" xfId="3" applyFont="1" applyBorder="1" applyAlignment="1" applyProtection="1">
      <alignment horizontal="center" vertical="center"/>
      <protection hidden="1"/>
    </xf>
    <xf numFmtId="3" fontId="51" fillId="6" borderId="24" xfId="5" applyNumberFormat="1" applyFont="1" applyFill="1" applyBorder="1" applyAlignment="1" applyProtection="1">
      <alignment horizontal="center" vertical="center"/>
      <protection locked="0"/>
    </xf>
    <xf numFmtId="1" fontId="49" fillId="9" borderId="20" xfId="3" applyNumberFormat="1" applyFont="1" applyFill="1" applyAlignment="1">
      <alignment horizontal="center" vertical="center"/>
    </xf>
    <xf numFmtId="12" fontId="49" fillId="9" borderId="20" xfId="3" applyNumberFormat="1" applyFont="1" applyFill="1" applyAlignment="1" applyProtection="1">
      <alignment horizontal="center" vertical="center"/>
      <protection hidden="1"/>
    </xf>
    <xf numFmtId="0" fontId="60" fillId="6" borderId="42" xfId="5" applyFont="1" applyFill="1" applyBorder="1" applyAlignment="1">
      <alignment horizontal="left" vertical="center"/>
    </xf>
    <xf numFmtId="0" fontId="60" fillId="6" borderId="43" xfId="5" applyFont="1" applyFill="1" applyBorder="1" applyAlignment="1">
      <alignment horizontal="left" vertical="center"/>
    </xf>
    <xf numFmtId="3" fontId="60" fillId="6" borderId="24" xfId="5" applyNumberFormat="1" applyFont="1" applyFill="1" applyBorder="1" applyAlignment="1" applyProtection="1">
      <alignment horizontal="center" vertical="center"/>
      <protection locked="0"/>
    </xf>
    <xf numFmtId="0" fontId="60" fillId="6" borderId="24" xfId="5" applyFont="1" applyFill="1" applyBorder="1" applyAlignment="1">
      <alignment horizontal="center" vertical="center"/>
    </xf>
    <xf numFmtId="0" fontId="51" fillId="0" borderId="70" xfId="3" applyFont="1" applyBorder="1" applyAlignment="1" applyProtection="1">
      <alignment horizontal="center" vertical="center"/>
      <protection hidden="1"/>
    </xf>
    <xf numFmtId="0" fontId="60" fillId="6" borderId="71" xfId="5" applyFont="1" applyFill="1" applyBorder="1" applyAlignment="1">
      <alignment horizontal="left" vertical="center"/>
    </xf>
    <xf numFmtId="0" fontId="60" fillId="6" borderId="72" xfId="5" applyFont="1" applyFill="1" applyBorder="1" applyAlignment="1">
      <alignment horizontal="left" vertical="center"/>
    </xf>
    <xf numFmtId="0" fontId="60" fillId="6" borderId="70" xfId="5" applyFont="1" applyFill="1" applyBorder="1" applyAlignment="1">
      <alignment horizontal="center" vertical="center"/>
    </xf>
    <xf numFmtId="3" fontId="60" fillId="6" borderId="70" xfId="5" applyNumberFormat="1" applyFont="1" applyFill="1" applyBorder="1" applyAlignment="1" applyProtection="1">
      <alignment horizontal="center" vertical="center"/>
      <protection locked="0"/>
    </xf>
    <xf numFmtId="0" fontId="60" fillId="0" borderId="73" xfId="3" applyFont="1" applyBorder="1" applyAlignment="1" applyProtection="1">
      <alignment horizontal="center" vertical="center"/>
      <protection hidden="1"/>
    </xf>
    <xf numFmtId="0" fontId="60" fillId="6" borderId="73" xfId="5" applyFont="1" applyFill="1" applyBorder="1" applyAlignment="1">
      <alignment horizontal="center" vertical="center"/>
    </xf>
    <xf numFmtId="169" fontId="60" fillId="6" borderId="73" xfId="5" applyNumberFormat="1" applyFont="1" applyFill="1" applyBorder="1" applyAlignment="1" applyProtection="1">
      <alignment horizontal="center" vertical="center"/>
      <protection hidden="1"/>
    </xf>
    <xf numFmtId="12" fontId="49" fillId="0" borderId="20" xfId="3" applyNumberFormat="1" applyFont="1" applyProtection="1">
      <protection hidden="1"/>
    </xf>
    <xf numFmtId="0" fontId="60" fillId="6" borderId="24" xfId="5" applyFont="1" applyFill="1" applyBorder="1" applyAlignment="1">
      <alignment horizontal="center" vertical="center" wrapText="1"/>
    </xf>
    <xf numFmtId="169" fontId="60" fillId="6" borderId="24" xfId="5" applyNumberFormat="1" applyFont="1" applyFill="1" applyBorder="1" applyAlignment="1" applyProtection="1">
      <alignment horizontal="center" vertical="center"/>
      <protection hidden="1"/>
    </xf>
    <xf numFmtId="0" fontId="54" fillId="6" borderId="20" xfId="5" applyFont="1" applyFill="1" applyAlignment="1" applyProtection="1">
      <alignment horizontal="center"/>
      <protection hidden="1"/>
    </xf>
    <xf numFmtId="1" fontId="49" fillId="9" borderId="20" xfId="3" quotePrefix="1" applyNumberFormat="1" applyFont="1" applyFill="1" applyAlignment="1">
      <alignment horizontal="center" vertical="center"/>
    </xf>
    <xf numFmtId="174" fontId="51" fillId="6" borderId="24" xfId="5" applyNumberFormat="1" applyFont="1" applyFill="1" applyBorder="1" applyAlignment="1" applyProtection="1">
      <alignment horizontal="center" vertical="center"/>
      <protection hidden="1"/>
    </xf>
    <xf numFmtId="0" fontId="54" fillId="6" borderId="20" xfId="5" applyFont="1" applyFill="1" applyAlignment="1" applyProtection="1">
      <alignment horizontal="center" vertical="center"/>
      <protection hidden="1"/>
    </xf>
    <xf numFmtId="0" fontId="49" fillId="0" borderId="20" xfId="3" applyFont="1" applyAlignment="1" applyProtection="1">
      <alignment vertical="center"/>
      <protection hidden="1"/>
    </xf>
    <xf numFmtId="0" fontId="54" fillId="0" borderId="20" xfId="3" applyFont="1" applyProtection="1">
      <protection hidden="1"/>
    </xf>
    <xf numFmtId="1" fontId="62" fillId="9" borderId="20" xfId="3" applyNumberFormat="1" applyFont="1" applyFill="1" applyAlignment="1">
      <alignment horizontal="center" vertical="center"/>
    </xf>
    <xf numFmtId="1" fontId="62" fillId="9" borderId="20" xfId="3" quotePrefix="1" applyNumberFormat="1" applyFont="1" applyFill="1" applyAlignment="1">
      <alignment horizontal="center" vertical="center"/>
    </xf>
    <xf numFmtId="0" fontId="79" fillId="0" borderId="44" xfId="3" applyFont="1" applyBorder="1" applyProtection="1">
      <protection hidden="1"/>
    </xf>
    <xf numFmtId="0" fontId="49" fillId="0" borderId="44" xfId="3" applyFont="1" applyBorder="1" applyProtection="1">
      <protection hidden="1"/>
    </xf>
    <xf numFmtId="0" fontId="60" fillId="0" borderId="24" xfId="3" applyFont="1" applyBorder="1" applyAlignment="1" applyProtection="1">
      <alignment horizontal="left" vertical="center" wrapText="1"/>
      <protection hidden="1"/>
    </xf>
    <xf numFmtId="0" fontId="60" fillId="0" borderId="24" xfId="3" applyFont="1" applyBorder="1" applyAlignment="1" applyProtection="1">
      <alignment vertical="center" wrapText="1"/>
      <protection hidden="1"/>
    </xf>
    <xf numFmtId="0" fontId="54" fillId="0" borderId="20" xfId="3" applyFont="1" applyAlignment="1" applyProtection="1">
      <alignment vertical="center"/>
      <protection hidden="1"/>
    </xf>
    <xf numFmtId="0" fontId="60" fillId="0" borderId="24" xfId="3" applyFont="1" applyBorder="1" applyAlignment="1" applyProtection="1">
      <alignment horizontal="left" vertical="center"/>
      <protection hidden="1"/>
    </xf>
    <xf numFmtId="0" fontId="80" fillId="0" borderId="20" xfId="3" applyFont="1" applyProtection="1">
      <protection hidden="1"/>
    </xf>
    <xf numFmtId="0" fontId="49" fillId="0" borderId="34" xfId="3" applyFont="1" applyBorder="1" applyProtection="1">
      <protection hidden="1"/>
    </xf>
    <xf numFmtId="0" fontId="47" fillId="0" borderId="20" xfId="3" applyFont="1" applyAlignment="1" applyProtection="1">
      <alignment vertical="center"/>
      <protection hidden="1"/>
    </xf>
    <xf numFmtId="0" fontId="60" fillId="9" borderId="20" xfId="2" applyFont="1" applyFill="1"/>
    <xf numFmtId="169" fontId="49" fillId="9" borderId="20" xfId="3" quotePrefix="1" applyNumberFormat="1" applyFont="1" applyFill="1" applyAlignment="1">
      <alignment horizontal="center" vertical="center"/>
    </xf>
    <xf numFmtId="0" fontId="54" fillId="6" borderId="20" xfId="3" applyFont="1" applyFill="1" applyAlignment="1" applyProtection="1">
      <alignment vertical="center"/>
      <protection hidden="1"/>
    </xf>
    <xf numFmtId="0" fontId="65" fillId="0" borderId="20" xfId="3" applyFont="1" applyAlignment="1" applyProtection="1">
      <alignment vertical="center"/>
      <protection hidden="1"/>
    </xf>
    <xf numFmtId="3" fontId="45" fillId="4" borderId="42" xfId="0" applyNumberFormat="1" applyFont="1" applyFill="1" applyBorder="1" applyAlignment="1">
      <alignment horizontal="center" vertical="center"/>
    </xf>
    <xf numFmtId="0" fontId="53" fillId="6" borderId="20" xfId="4" applyFont="1" applyFill="1" applyAlignment="1">
      <alignment horizontal="right" vertical="center"/>
    </xf>
    <xf numFmtId="0" fontId="9" fillId="0" borderId="37" xfId="0" applyFont="1" applyBorder="1" applyAlignment="1">
      <alignment horizontal="left" indent="1"/>
    </xf>
    <xf numFmtId="0" fontId="9" fillId="0" borderId="74" xfId="0" applyFont="1" applyBorder="1" applyAlignment="1">
      <alignment horizontal="left" indent="1"/>
    </xf>
    <xf numFmtId="0" fontId="47" fillId="6" borderId="0" xfId="0" applyFont="1" applyFill="1" applyAlignment="1">
      <alignment horizontal="right"/>
    </xf>
    <xf numFmtId="0" fontId="0" fillId="0" borderId="74" xfId="0" applyBorder="1" applyAlignment="1">
      <alignment horizontal="left" indent="1"/>
    </xf>
    <xf numFmtId="16" fontId="0" fillId="0" borderId="74" xfId="0" applyNumberFormat="1" applyBorder="1" applyAlignment="1">
      <alignment horizontal="left" indent="1"/>
    </xf>
    <xf numFmtId="0" fontId="54" fillId="0" borderId="74" xfId="4" applyFont="1" applyBorder="1" applyAlignment="1">
      <alignment horizontal="left" vertical="center" indent="1"/>
    </xf>
    <xf numFmtId="0" fontId="54" fillId="0" borderId="73" xfId="4" applyFont="1" applyBorder="1" applyAlignment="1">
      <alignment horizontal="left" vertical="center" indent="1"/>
    </xf>
    <xf numFmtId="0" fontId="6" fillId="0" borderId="20" xfId="0" applyFont="1" applyBorder="1" applyAlignment="1">
      <alignment horizontal="left" vertical="center"/>
    </xf>
    <xf numFmtId="178" fontId="24" fillId="2" borderId="12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7" fillId="6" borderId="20" xfId="2" applyFont="1" applyFill="1" applyAlignment="1">
      <alignment horizontal="center" vertical="center"/>
    </xf>
    <xf numFmtId="178" fontId="9" fillId="6" borderId="20" xfId="2" applyNumberFormat="1" applyFill="1" applyAlignment="1">
      <alignment horizontal="center" vertical="center"/>
    </xf>
    <xf numFmtId="0" fontId="9" fillId="6" borderId="24" xfId="0" applyFont="1" applyFill="1" applyBorder="1" applyAlignment="1">
      <alignment horizontal="left" vertical="center" wrapText="1"/>
    </xf>
    <xf numFmtId="0" fontId="0" fillId="6" borderId="0" xfId="0" applyFill="1"/>
    <xf numFmtId="0" fontId="60" fillId="0" borderId="20" xfId="2" quotePrefix="1" applyFont="1" applyAlignment="1">
      <alignment horizontal="left" vertical="center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0" xfId="0" applyFont="1" applyProtection="1">
      <protection hidden="1"/>
    </xf>
    <xf numFmtId="169" fontId="60" fillId="0" borderId="0" xfId="0" applyNumberFormat="1" applyFont="1" applyAlignment="1" applyProtection="1">
      <alignment horizontal="center" vertical="center"/>
      <protection locked="0" hidden="1"/>
    </xf>
    <xf numFmtId="0" fontId="71" fillId="9" borderId="20" xfId="3" applyFont="1" applyFill="1" applyAlignment="1">
      <alignment horizontal="center" vertical="center"/>
    </xf>
    <xf numFmtId="182" fontId="71" fillId="6" borderId="20" xfId="3" applyNumberFormat="1" applyFont="1" applyFill="1" applyAlignment="1" applyProtection="1">
      <alignment horizontal="center"/>
      <protection hidden="1"/>
    </xf>
    <xf numFmtId="0" fontId="53" fillId="9" borderId="20" xfId="4" applyFont="1" applyFill="1" applyAlignment="1">
      <alignment horizontal="center" vertical="center"/>
    </xf>
    <xf numFmtId="0" fontId="51" fillId="6" borderId="42" xfId="5" applyFont="1" applyFill="1" applyBorder="1" applyAlignment="1">
      <alignment horizontal="center" vertical="center"/>
    </xf>
    <xf numFmtId="0" fontId="51" fillId="6" borderId="45" xfId="5" applyFont="1" applyFill="1" applyBorder="1" applyAlignment="1">
      <alignment horizontal="center" vertical="center"/>
    </xf>
    <xf numFmtId="0" fontId="51" fillId="6" borderId="43" xfId="5" applyFont="1" applyFill="1" applyBorder="1" applyAlignment="1">
      <alignment horizontal="center" vertical="center"/>
    </xf>
    <xf numFmtId="0" fontId="63" fillId="9" borderId="20" xfId="3" applyFont="1" applyFill="1" applyAlignment="1">
      <alignment horizontal="center" vertical="center"/>
    </xf>
    <xf numFmtId="0" fontId="77" fillId="0" borderId="42" xfId="3" applyFont="1" applyBorder="1" applyAlignment="1">
      <alignment horizontal="center" vertical="center"/>
    </xf>
    <xf numFmtId="0" fontId="77" fillId="0" borderId="43" xfId="3" applyFont="1" applyBorder="1" applyAlignment="1">
      <alignment horizontal="center" vertical="center"/>
    </xf>
    <xf numFmtId="0" fontId="51" fillId="9" borderId="42" xfId="4" applyFont="1" applyFill="1" applyBorder="1" applyAlignment="1">
      <alignment horizontal="center" vertical="center"/>
    </xf>
    <xf numFmtId="0" fontId="51" fillId="9" borderId="45" xfId="4" applyFont="1" applyFill="1" applyBorder="1" applyAlignment="1">
      <alignment horizontal="center" vertical="center"/>
    </xf>
    <xf numFmtId="166" fontId="49" fillId="0" borderId="20" xfId="3" applyNumberFormat="1" applyFont="1" applyAlignment="1" applyProtection="1">
      <alignment horizontal="left"/>
      <protection hidden="1"/>
    </xf>
    <xf numFmtId="0" fontId="47" fillId="0" borderId="35" xfId="3" applyFont="1" applyBorder="1" applyAlignment="1" applyProtection="1">
      <alignment horizontal="center" vertical="center" wrapText="1"/>
      <protection hidden="1"/>
    </xf>
    <xf numFmtId="0" fontId="47" fillId="0" borderId="44" xfId="3" applyFont="1" applyBorder="1" applyAlignment="1" applyProtection="1">
      <alignment horizontal="center" vertical="center" wrapText="1"/>
      <protection hidden="1"/>
    </xf>
    <xf numFmtId="0" fontId="47" fillId="0" borderId="36" xfId="3" applyFont="1" applyBorder="1" applyAlignment="1" applyProtection="1">
      <alignment horizontal="center" vertical="center" wrapText="1"/>
      <protection hidden="1"/>
    </xf>
    <xf numFmtId="0" fontId="47" fillId="0" borderId="40" xfId="3" applyFont="1" applyBorder="1" applyAlignment="1" applyProtection="1">
      <alignment horizontal="center" vertical="center" wrapText="1"/>
      <protection hidden="1"/>
    </xf>
    <xf numFmtId="0" fontId="47" fillId="0" borderId="34" xfId="3" applyFont="1" applyBorder="1" applyAlignment="1" applyProtection="1">
      <alignment horizontal="center" vertical="center" wrapText="1"/>
      <protection hidden="1"/>
    </xf>
    <xf numFmtId="0" fontId="47" fillId="0" borderId="41" xfId="3" applyFont="1" applyBorder="1" applyAlignment="1" applyProtection="1">
      <alignment horizontal="center" vertical="center" wrapText="1"/>
      <protection hidden="1"/>
    </xf>
    <xf numFmtId="0" fontId="53" fillId="0" borderId="24" xfId="3" applyFont="1" applyBorder="1" applyAlignment="1" applyProtection="1">
      <alignment horizontal="center" vertical="center" wrapText="1"/>
      <protection hidden="1"/>
    </xf>
    <xf numFmtId="0" fontId="54" fillId="0" borderId="24" xfId="3" applyFont="1" applyBorder="1" applyAlignment="1" applyProtection="1">
      <alignment horizontal="center" vertical="center" wrapText="1"/>
      <protection hidden="1"/>
    </xf>
    <xf numFmtId="0" fontId="54" fillId="6" borderId="24" xfId="5" applyFont="1" applyFill="1" applyBorder="1" applyAlignment="1">
      <alignment horizontal="left" vertical="center" indent="1"/>
    </xf>
    <xf numFmtId="0" fontId="54" fillId="6" borderId="24" xfId="5" applyFont="1" applyFill="1" applyBorder="1" applyAlignment="1">
      <alignment horizontal="left" vertical="center" wrapText="1" indent="1"/>
    </xf>
    <xf numFmtId="0" fontId="51" fillId="6" borderId="24" xfId="5" applyFont="1" applyFill="1" applyBorder="1" applyAlignment="1">
      <alignment horizontal="center" vertical="center"/>
    </xf>
    <xf numFmtId="12" fontId="51" fillId="6" borderId="42" xfId="5" applyNumberFormat="1" applyFont="1" applyFill="1" applyBorder="1" applyAlignment="1">
      <alignment horizontal="center" vertical="center"/>
    </xf>
    <xf numFmtId="12" fontId="51" fillId="6" borderId="43" xfId="5" applyNumberFormat="1" applyFont="1" applyFill="1" applyBorder="1" applyAlignment="1">
      <alignment horizontal="center" vertical="center"/>
    </xf>
    <xf numFmtId="12" fontId="60" fillId="0" borderId="42" xfId="5" applyNumberFormat="1" applyFont="1" applyBorder="1" applyAlignment="1">
      <alignment horizontal="center" vertical="center"/>
    </xf>
    <xf numFmtId="12" fontId="60" fillId="0" borderId="43" xfId="5" applyNumberFormat="1" applyFont="1" applyBorder="1" applyAlignment="1">
      <alignment horizontal="center" vertical="center"/>
    </xf>
    <xf numFmtId="12" fontId="60" fillId="0" borderId="24" xfId="5" applyNumberFormat="1" applyFont="1" applyBorder="1" applyAlignment="1">
      <alignment horizontal="center" vertical="center"/>
    </xf>
    <xf numFmtId="0" fontId="60" fillId="0" borderId="24" xfId="3" applyFont="1" applyBorder="1" applyAlignment="1" applyProtection="1">
      <alignment horizontal="center" vertical="center"/>
      <protection hidden="1"/>
    </xf>
    <xf numFmtId="0" fontId="62" fillId="9" borderId="20" xfId="3" applyFont="1" applyFill="1" applyAlignment="1">
      <alignment horizontal="center" vertical="center"/>
    </xf>
    <xf numFmtId="0" fontId="62" fillId="9" borderId="20" xfId="3" applyFont="1" applyFill="1" applyAlignment="1">
      <alignment horizontal="center" vertical="center" wrapText="1"/>
    </xf>
    <xf numFmtId="0" fontId="60" fillId="6" borderId="42" xfId="5" applyFont="1" applyFill="1" applyBorder="1" applyAlignment="1">
      <alignment horizontal="left" vertical="center" wrapText="1" indent="1"/>
    </xf>
    <xf numFmtId="0" fontId="60" fillId="6" borderId="43" xfId="5" applyFont="1" applyFill="1" applyBorder="1" applyAlignment="1">
      <alignment horizontal="left" vertical="center" wrapText="1" indent="1"/>
    </xf>
    <xf numFmtId="0" fontId="51" fillId="0" borderId="42" xfId="3" applyFont="1" applyBorder="1" applyAlignment="1" applyProtection="1">
      <alignment horizontal="center" vertical="center"/>
      <protection hidden="1"/>
    </xf>
    <xf numFmtId="0" fontId="51" fillId="0" borderId="43" xfId="3" applyFont="1" applyBorder="1" applyAlignment="1" applyProtection="1">
      <alignment horizontal="center" vertical="center"/>
      <protection hidden="1"/>
    </xf>
    <xf numFmtId="0" fontId="60" fillId="6" borderId="42" xfId="5" applyFont="1" applyFill="1" applyBorder="1" applyAlignment="1">
      <alignment horizontal="left" vertical="center"/>
    </xf>
    <xf numFmtId="0" fontId="60" fillId="6" borderId="43" xfId="5" applyFont="1" applyFill="1" applyBorder="1" applyAlignment="1">
      <alignment horizontal="left" vertical="center"/>
    </xf>
    <xf numFmtId="0" fontId="60" fillId="6" borderId="40" xfId="5" applyFont="1" applyFill="1" applyBorder="1" applyAlignment="1">
      <alignment horizontal="left" vertical="center"/>
    </xf>
    <xf numFmtId="0" fontId="60" fillId="6" borderId="41" xfId="5" applyFont="1" applyFill="1" applyBorder="1" applyAlignment="1">
      <alignment horizontal="left" vertical="center"/>
    </xf>
    <xf numFmtId="0" fontId="60" fillId="0" borderId="42" xfId="5" applyFont="1" applyBorder="1" applyAlignment="1">
      <alignment horizontal="left" vertical="center" wrapText="1"/>
    </xf>
    <xf numFmtId="0" fontId="60" fillId="0" borderId="43" xfId="5" applyFont="1" applyBorder="1" applyAlignment="1">
      <alignment horizontal="left" vertical="center" wrapText="1"/>
    </xf>
    <xf numFmtId="0" fontId="60" fillId="0" borderId="20" xfId="6" applyFont="1" applyBorder="1" applyAlignment="1" applyProtection="1">
      <alignment horizontal="center" vertical="center" wrapText="1"/>
    </xf>
    <xf numFmtId="0" fontId="60" fillId="6" borderId="42" xfId="5" applyFont="1" applyFill="1" applyBorder="1" applyAlignment="1">
      <alignment horizontal="left" vertical="center" wrapText="1"/>
    </xf>
    <xf numFmtId="0" fontId="60" fillId="6" borderId="43" xfId="5" applyFont="1" applyFill="1" applyBorder="1" applyAlignment="1">
      <alignment horizontal="left" vertical="center" wrapText="1"/>
    </xf>
    <xf numFmtId="0" fontId="49" fillId="0" borderId="20" xfId="3" applyFont="1" applyAlignment="1" applyProtection="1">
      <alignment horizontal="center"/>
      <protection hidden="1"/>
    </xf>
    <xf numFmtId="0" fontId="80" fillId="0" borderId="37" xfId="3" applyFont="1" applyBorder="1" applyAlignment="1" applyProtection="1">
      <alignment horizontal="center" vertical="center" wrapText="1"/>
      <protection hidden="1"/>
    </xf>
    <xf numFmtId="0" fontId="80" fillId="0" borderId="74" xfId="3" applyFont="1" applyBorder="1" applyAlignment="1" applyProtection="1">
      <alignment horizontal="center" vertical="center" wrapText="1"/>
      <protection hidden="1"/>
    </xf>
    <xf numFmtId="0" fontId="80" fillId="0" borderId="73" xfId="3" applyFont="1" applyBorder="1" applyAlignment="1" applyProtection="1">
      <alignment horizontal="center" vertical="center" wrapText="1"/>
      <protection hidden="1"/>
    </xf>
    <xf numFmtId="0" fontId="60" fillId="0" borderId="24" xfId="3" applyFont="1" applyBorder="1" applyAlignment="1" applyProtection="1">
      <alignment horizontal="center" vertical="center" wrapText="1"/>
      <protection hidden="1"/>
    </xf>
    <xf numFmtId="0" fontId="60" fillId="0" borderId="42" xfId="3" applyFont="1" applyBorder="1" applyAlignment="1" applyProtection="1">
      <alignment horizontal="center" vertical="center"/>
      <protection hidden="1"/>
    </xf>
    <xf numFmtId="0" fontId="60" fillId="0" borderId="43" xfId="3" applyFont="1" applyBorder="1" applyAlignment="1" applyProtection="1">
      <alignment horizontal="center" vertical="center"/>
      <protection hidden="1"/>
    </xf>
    <xf numFmtId="0" fontId="60" fillId="0" borderId="42" xfId="3" applyFont="1" applyBorder="1" applyAlignment="1" applyProtection="1">
      <alignment horizontal="center" vertical="center" wrapText="1"/>
      <protection hidden="1"/>
    </xf>
    <xf numFmtId="0" fontId="60" fillId="0" borderId="43" xfId="3" applyFont="1" applyBorder="1" applyAlignment="1" applyProtection="1">
      <alignment horizontal="center" vertical="center" wrapText="1"/>
      <protection hidden="1"/>
    </xf>
    <xf numFmtId="0" fontId="60" fillId="0" borderId="20" xfId="2" quotePrefix="1" applyFont="1" applyAlignment="1">
      <alignment horizontal="left" vertical="center" wrapText="1"/>
    </xf>
    <xf numFmtId="0" fontId="15" fillId="0" borderId="20" xfId="2" quotePrefix="1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179" fontId="71" fillId="0" borderId="0" xfId="0" applyNumberFormat="1" applyFont="1" applyAlignment="1" applyProtection="1">
      <alignment horizontal="center"/>
      <protection locked="0"/>
    </xf>
    <xf numFmtId="166" fontId="2" fillId="0" borderId="0" xfId="0" applyNumberFormat="1" applyFont="1" applyAlignment="1">
      <alignment horizontal="left"/>
    </xf>
    <xf numFmtId="0" fontId="8" fillId="0" borderId="35" xfId="0" applyFont="1" applyBorder="1" applyAlignment="1">
      <alignment horizontal="center" vertical="center" wrapText="1"/>
    </xf>
    <xf numFmtId="0" fontId="9" fillId="0" borderId="44" xfId="0" applyFont="1" applyBorder="1"/>
    <xf numFmtId="0" fontId="9" fillId="0" borderId="36" xfId="0" applyFont="1" applyBorder="1"/>
    <xf numFmtId="0" fontId="15" fillId="0" borderId="16" xfId="0" applyFont="1" applyBorder="1" applyAlignment="1">
      <alignment vertical="center"/>
    </xf>
    <xf numFmtId="0" fontId="60" fillId="0" borderId="15" xfId="0" applyFont="1" applyBorder="1"/>
    <xf numFmtId="0" fontId="15" fillId="0" borderId="16" xfId="0" applyFont="1" applyBorder="1" applyAlignment="1">
      <alignment horizontal="left" vertical="center"/>
    </xf>
    <xf numFmtId="0" fontId="10" fillId="0" borderId="38" xfId="0" applyFont="1" applyBorder="1" applyAlignment="1">
      <alignment horizontal="center" vertical="center" wrapText="1"/>
    </xf>
    <xf numFmtId="0" fontId="9" fillId="0" borderId="20" xfId="0" applyFont="1" applyBorder="1"/>
    <xf numFmtId="0" fontId="9" fillId="0" borderId="39" xfId="0" applyFont="1" applyBorder="1"/>
    <xf numFmtId="0" fontId="5" fillId="0" borderId="16" xfId="0" applyFont="1" applyBorder="1" applyAlignment="1">
      <alignment horizontal="center" vertical="center"/>
    </xf>
    <xf numFmtId="0" fontId="9" fillId="0" borderId="15" xfId="0" applyFont="1" applyBorder="1"/>
    <xf numFmtId="0" fontId="6" fillId="0" borderId="0" xfId="0" applyFont="1" applyAlignment="1">
      <alignment horizontal="left" vertical="center" wrapText="1"/>
    </xf>
    <xf numFmtId="0" fontId="63" fillId="0" borderId="0" xfId="0" applyFont="1" applyAlignment="1">
      <alignment horizontal="center" vertical="center"/>
    </xf>
    <xf numFmtId="0" fontId="50" fillId="0" borderId="0" xfId="0" applyFont="1"/>
    <xf numFmtId="0" fontId="62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60" fillId="0" borderId="53" xfId="0" applyFont="1" applyBorder="1" applyAlignment="1">
      <alignment horizontal="center" vertical="center"/>
    </xf>
    <xf numFmtId="0" fontId="52" fillId="0" borderId="54" xfId="0" applyFont="1" applyBorder="1"/>
    <xf numFmtId="0" fontId="51" fillId="0" borderId="49" xfId="0" applyFont="1" applyBorder="1" applyAlignment="1">
      <alignment horizontal="center" vertical="center"/>
    </xf>
    <xf numFmtId="0" fontId="52" fillId="0" borderId="47" xfId="0" applyFont="1" applyBorder="1"/>
    <xf numFmtId="0" fontId="60" fillId="2" borderId="16" xfId="0" applyFont="1" applyFill="1" applyBorder="1" applyAlignment="1">
      <alignment horizontal="left" vertical="center" wrapText="1"/>
    </xf>
    <xf numFmtId="0" fontId="52" fillId="0" borderId="15" xfId="0" applyFont="1" applyBorder="1"/>
    <xf numFmtId="0" fontId="61" fillId="0" borderId="0" xfId="0" applyFont="1" applyAlignment="1">
      <alignment horizontal="left" vertical="center"/>
    </xf>
    <xf numFmtId="0" fontId="60" fillId="0" borderId="0" xfId="0" applyFont="1" applyAlignment="1">
      <alignment horizontal="left" wrapText="1"/>
    </xf>
    <xf numFmtId="0" fontId="51" fillId="0" borderId="46" xfId="0" applyFont="1" applyBorder="1" applyAlignment="1">
      <alignment horizontal="center" vertical="center"/>
    </xf>
    <xf numFmtId="0" fontId="51" fillId="2" borderId="49" xfId="0" applyFont="1" applyFill="1" applyBorder="1" applyAlignment="1">
      <alignment horizontal="center" vertical="center"/>
    </xf>
    <xf numFmtId="0" fontId="52" fillId="0" borderId="50" xfId="0" applyFont="1" applyBorder="1"/>
    <xf numFmtId="0" fontId="52" fillId="0" borderId="51" xfId="0" applyFont="1" applyBorder="1"/>
    <xf numFmtId="0" fontId="53" fillId="0" borderId="43" xfId="0" applyFont="1" applyBorder="1" applyAlignment="1">
      <alignment horizontal="center" vertical="center"/>
    </xf>
    <xf numFmtId="0" fontId="53" fillId="0" borderId="24" xfId="0" applyFont="1" applyBorder="1" applyAlignment="1">
      <alignment horizontal="center" vertical="center"/>
    </xf>
    <xf numFmtId="0" fontId="60" fillId="2" borderId="16" xfId="0" applyFont="1" applyFill="1" applyBorder="1" applyAlignment="1">
      <alignment horizontal="left" vertical="center"/>
    </xf>
    <xf numFmtId="0" fontId="59" fillId="0" borderId="20" xfId="0" applyFont="1" applyBorder="1" applyAlignment="1">
      <alignment horizontal="center" vertical="center"/>
    </xf>
    <xf numFmtId="0" fontId="52" fillId="0" borderId="20" xfId="0" applyFont="1" applyBorder="1"/>
    <xf numFmtId="0" fontId="51" fillId="0" borderId="16" xfId="0" applyFont="1" applyBorder="1" applyAlignment="1">
      <alignment horizontal="center" vertical="center"/>
    </xf>
    <xf numFmtId="0" fontId="51" fillId="0" borderId="25" xfId="0" applyFont="1" applyBorder="1" applyAlignment="1">
      <alignment horizontal="center" vertical="center" wrapText="1"/>
    </xf>
    <xf numFmtId="0" fontId="51" fillId="0" borderId="26" xfId="0" applyFont="1" applyBorder="1" applyAlignment="1">
      <alignment horizontal="center" vertical="center" wrapText="1"/>
    </xf>
    <xf numFmtId="0" fontId="51" fillId="0" borderId="27" xfId="0" applyFont="1" applyBorder="1" applyAlignment="1">
      <alignment horizontal="center" vertical="center" wrapText="1"/>
    </xf>
    <xf numFmtId="0" fontId="47" fillId="0" borderId="30" xfId="0" applyFont="1" applyBorder="1" applyAlignment="1">
      <alignment horizontal="center" vertical="center" wrapText="1"/>
    </xf>
    <xf numFmtId="0" fontId="47" fillId="0" borderId="31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 vertical="center" wrapText="1"/>
    </xf>
    <xf numFmtId="0" fontId="67" fillId="2" borderId="42" xfId="0" applyFont="1" applyFill="1" applyBorder="1" applyAlignment="1">
      <alignment horizontal="center" vertical="center" wrapText="1"/>
    </xf>
    <xf numFmtId="0" fontId="67" fillId="2" borderId="45" xfId="0" applyFont="1" applyFill="1" applyBorder="1" applyAlignment="1">
      <alignment horizontal="center" vertical="center" wrapText="1"/>
    </xf>
    <xf numFmtId="0" fontId="67" fillId="2" borderId="43" xfId="0" applyFont="1" applyFill="1" applyBorder="1" applyAlignment="1">
      <alignment horizontal="center" vertical="center" wrapText="1"/>
    </xf>
    <xf numFmtId="0" fontId="47" fillId="6" borderId="2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9" fillId="0" borderId="4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5" xfId="0" applyFont="1" applyBorder="1"/>
    <xf numFmtId="0" fontId="9" fillId="0" borderId="6" xfId="0" applyFont="1" applyBorder="1"/>
    <xf numFmtId="0" fontId="27" fillId="2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1" xfId="0" applyFont="1" applyBorder="1"/>
    <xf numFmtId="0" fontId="15" fillId="2" borderId="10" xfId="0" applyFont="1" applyFill="1" applyBorder="1" applyAlignment="1">
      <alignment horizontal="left" vertical="center" wrapText="1"/>
    </xf>
    <xf numFmtId="0" fontId="9" fillId="0" borderId="14" xfId="0" applyFont="1" applyBorder="1"/>
    <xf numFmtId="0" fontId="9" fillId="0" borderId="11" xfId="0" applyFont="1" applyBorder="1"/>
    <xf numFmtId="0" fontId="32" fillId="2" borderId="20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24" fillId="0" borderId="42" xfId="0" applyNumberFormat="1" applyFont="1" applyBorder="1" applyAlignment="1">
      <alignment horizontal="center" vertical="center"/>
    </xf>
    <xf numFmtId="178" fontId="24" fillId="0" borderId="43" xfId="0" applyNumberFormat="1" applyFont="1" applyBorder="1" applyAlignment="1">
      <alignment horizontal="center" vertical="center"/>
    </xf>
    <xf numFmtId="178" fontId="9" fillId="6" borderId="42" xfId="2" applyNumberFormat="1" applyFill="1" applyBorder="1" applyAlignment="1">
      <alignment horizontal="center" vertical="center"/>
    </xf>
    <xf numFmtId="178" fontId="9" fillId="6" borderId="43" xfId="2" applyNumberFormat="1" applyFill="1" applyBorder="1" applyAlignment="1">
      <alignment horizontal="center" vertical="center"/>
    </xf>
    <xf numFmtId="0" fontId="47" fillId="6" borderId="20" xfId="2" applyFont="1" applyFill="1" applyAlignment="1">
      <alignment horizontal="center" vertical="center"/>
    </xf>
    <xf numFmtId="0" fontId="35" fillId="2" borderId="18" xfId="0" applyFont="1" applyFill="1" applyBorder="1" applyAlignment="1">
      <alignment horizontal="center"/>
    </xf>
    <xf numFmtId="0" fontId="9" fillId="0" borderId="19" xfId="0" applyFont="1" applyBorder="1"/>
    <xf numFmtId="0" fontId="24" fillId="2" borderId="18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left" vertical="center"/>
    </xf>
    <xf numFmtId="183" fontId="9" fillId="6" borderId="24" xfId="0" applyNumberFormat="1" applyFont="1" applyFill="1" applyBorder="1" applyAlignment="1">
      <alignment horizontal="center" vertical="center"/>
    </xf>
    <xf numFmtId="184" fontId="9" fillId="6" borderId="24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</cellXfs>
  <cellStyles count="7">
    <cellStyle name="Hipervínculo" xfId="6" builtinId="8"/>
    <cellStyle name="Normal" xfId="0" builtinId="0"/>
    <cellStyle name="Normal 2" xfId="1" xr:uid="{49AC9BFB-C321-4C4A-923F-4B833BD2F53B}"/>
    <cellStyle name="Normal 2 2" xfId="2" xr:uid="{DC13531E-CA51-4976-BBC1-3E816696F20A}"/>
    <cellStyle name="Normal 3" xfId="3" xr:uid="{01B0E1B5-4302-4901-85DD-C16BBC77136F}"/>
    <cellStyle name="Normal_ABG-01" xfId="5" xr:uid="{667EFF52-42FD-4F60-8197-36888D629999}"/>
    <cellStyle name="Normal_ENSAYOS" xfId="4" xr:uid="{F2F6F3FB-1102-4F8C-81A6-BB47146B5E8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Pérdida abrasión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85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incertidumbre!$B$41:$B$43</c:f>
              <c:strCache>
                <c:ptCount val="3"/>
                <c:pt idx="0">
                  <c:v>Masa de la muestra de prueba</c:v>
                </c:pt>
                <c:pt idx="1">
                  <c:v>Masa final de la muestra</c:v>
                </c:pt>
                <c:pt idx="2">
                  <c:v>factor de presición </c:v>
                </c:pt>
              </c:strCache>
            </c:strRef>
          </c:cat>
          <c:val>
            <c:numRef>
              <c:f>incertidumbre!$D$41:$D$43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5-48EF-B7A3-B48BB1051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18487</xdr:colOff>
      <xdr:row>57</xdr:row>
      <xdr:rowOff>121920</xdr:rowOff>
    </xdr:from>
    <xdr:to>
      <xdr:col>8</xdr:col>
      <xdr:colOff>767684</xdr:colOff>
      <xdr:row>57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AB34E72-7322-4F7B-92F1-8F7B4CE18008}"/>
            </a:ext>
          </a:extLst>
        </xdr:cNvPr>
        <xdr:cNvCxnSpPr>
          <a:cxnSpLocks noChangeShapeType="1"/>
        </xdr:cNvCxnSpPr>
      </xdr:nvCxnSpPr>
      <xdr:spPr bwMode="auto">
        <a:xfrm flipV="1">
          <a:off x="18487" y="12790170"/>
          <a:ext cx="7264297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428624</xdr:colOff>
      <xdr:row>52</xdr:row>
      <xdr:rowOff>142875</xdr:rowOff>
    </xdr:from>
    <xdr:to>
      <xdr:col>4</xdr:col>
      <xdr:colOff>666749</xdr:colOff>
      <xdr:row>54</xdr:row>
      <xdr:rowOff>190500</xdr:rowOff>
    </xdr:to>
    <xdr:sp macro="" textlink="">
      <xdr:nvSpPr>
        <xdr:cNvPr id="3" name="4 Rectángulo">
          <a:extLst>
            <a:ext uri="{FF2B5EF4-FFF2-40B4-BE49-F238E27FC236}">
              <a16:creationId xmlns:a16="http://schemas.microsoft.com/office/drawing/2014/main" id="{1372AF19-CB46-4787-B355-CF38273FC536}"/>
            </a:ext>
          </a:extLst>
        </xdr:cNvPr>
        <xdr:cNvSpPr/>
      </xdr:nvSpPr>
      <xdr:spPr>
        <a:xfrm>
          <a:off x="730249" y="11779250"/>
          <a:ext cx="2849563" cy="50800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4</xdr:col>
      <xdr:colOff>790573</xdr:colOff>
      <xdr:row>52</xdr:row>
      <xdr:rowOff>142875</xdr:rowOff>
    </xdr:from>
    <xdr:to>
      <xdr:col>7</xdr:col>
      <xdr:colOff>409574</xdr:colOff>
      <xdr:row>54</xdr:row>
      <xdr:rowOff>190500</xdr:rowOff>
    </xdr:to>
    <xdr:sp macro="" textlink="">
      <xdr:nvSpPr>
        <xdr:cNvPr id="4" name="4 Rectángulo">
          <a:extLst>
            <a:ext uri="{FF2B5EF4-FFF2-40B4-BE49-F238E27FC236}">
              <a16:creationId xmlns:a16="http://schemas.microsoft.com/office/drawing/2014/main" id="{1FB7F880-D808-41FF-A7B7-CA9F87B1F8F8}"/>
            </a:ext>
          </a:extLst>
        </xdr:cNvPr>
        <xdr:cNvSpPr/>
      </xdr:nvSpPr>
      <xdr:spPr>
        <a:xfrm>
          <a:off x="3705223" y="11744325"/>
          <a:ext cx="2762251" cy="50482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 editAs="oneCell">
    <xdr:from>
      <xdr:col>0</xdr:col>
      <xdr:colOff>60961</xdr:colOff>
      <xdr:row>19</xdr:row>
      <xdr:rowOff>57150</xdr:rowOff>
    </xdr:from>
    <xdr:to>
      <xdr:col>7</xdr:col>
      <xdr:colOff>917299</xdr:colOff>
      <xdr:row>25</xdr:row>
      <xdr:rowOff>181610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E3EC40-7763-4672-8BCB-C2DAAE0030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 t="10423" b="7144"/>
        <a:stretch/>
      </xdr:blipFill>
      <xdr:spPr>
        <a:xfrm>
          <a:off x="60961" y="3905250"/>
          <a:ext cx="6914238" cy="14960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23812</xdr:colOff>
      <xdr:row>0</xdr:row>
      <xdr:rowOff>46037</xdr:rowOff>
    </xdr:from>
    <xdr:to>
      <xdr:col>5</xdr:col>
      <xdr:colOff>341313</xdr:colOff>
      <xdr:row>4</xdr:row>
      <xdr:rowOff>134908</xdr:rowOff>
    </xdr:to>
    <xdr:pic>
      <xdr:nvPicPr>
        <xdr:cNvPr id="7" name="Imagen 7">
          <a:extLst>
            <a:ext uri="{FF2B5EF4-FFF2-40B4-BE49-F238E27FC236}">
              <a16:creationId xmlns:a16="http://schemas.microsoft.com/office/drawing/2014/main" id="{BDC60C0A-35AB-36FB-980D-8F0DE150F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6875" y="46037"/>
          <a:ext cx="1325563" cy="787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28576</xdr:colOff>
      <xdr:row>37</xdr:row>
      <xdr:rowOff>152400</xdr:rowOff>
    </xdr:from>
    <xdr:to>
      <xdr:col>6</xdr:col>
      <xdr:colOff>67189</xdr:colOff>
      <xdr:row>42</xdr:row>
      <xdr:rowOff>86718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D0DF57-5104-4CF5-8169-7EE1DB1900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329816" y="7719060"/>
          <a:ext cx="1440693" cy="1092558"/>
        </a:xfrm>
        <a:prstGeom prst="rect">
          <a:avLst/>
        </a:prstGeom>
      </xdr:spPr>
    </xdr:pic>
    <xdr:clientData/>
  </xdr:twoCellAnchor>
  <xdr:twoCellAnchor>
    <xdr:from>
      <xdr:col>7</xdr:col>
      <xdr:colOff>647700</xdr:colOff>
      <xdr:row>37</xdr:row>
      <xdr:rowOff>83820</xdr:rowOff>
    </xdr:from>
    <xdr:to>
      <xdr:col>9</xdr:col>
      <xdr:colOff>733425</xdr:colOff>
      <xdr:row>41</xdr:row>
      <xdr:rowOff>66674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47380EF3-0CB9-4BFE-86B2-526E6D950ABC}"/>
            </a:ext>
          </a:extLst>
        </xdr:cNvPr>
        <xdr:cNvSpPr/>
      </xdr:nvSpPr>
      <xdr:spPr bwMode="auto">
        <a:xfrm>
          <a:off x="5135880" y="7909560"/>
          <a:ext cx="1221105" cy="942974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6</xdr:col>
      <xdr:colOff>251460</xdr:colOff>
      <xdr:row>37</xdr:row>
      <xdr:rowOff>205740</xdr:rowOff>
    </xdr:from>
    <xdr:to>
      <xdr:col>7</xdr:col>
      <xdr:colOff>563933</xdr:colOff>
      <xdr:row>42</xdr:row>
      <xdr:rowOff>142973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FE521B-79EC-4C7C-AD50-A4290E618A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3954780" y="77724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464820</xdr:colOff>
      <xdr:row>34</xdr:row>
      <xdr:rowOff>83820</xdr:rowOff>
    </xdr:from>
    <xdr:to>
      <xdr:col>20</xdr:col>
      <xdr:colOff>345531</xdr:colOff>
      <xdr:row>40</xdr:row>
      <xdr:rowOff>30174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D63EB9-C2BD-4556-9511-423E1F686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70485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74295</xdr:colOff>
      <xdr:row>11</xdr:row>
      <xdr:rowOff>3809</xdr:rowOff>
    </xdr:from>
    <xdr:ext cx="5629275" cy="13049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24035" y="1756409"/>
          <a:ext cx="5629275" cy="13049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295275</xdr:colOff>
      <xdr:row>23</xdr:row>
      <xdr:rowOff>0</xdr:rowOff>
    </xdr:from>
    <xdr:ext cx="114300" cy="209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93613" y="3679988"/>
          <a:ext cx="104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14</xdr:row>
      <xdr:rowOff>152400</xdr:rowOff>
    </xdr:from>
    <xdr:ext cx="2371725" cy="30480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312420</xdr:colOff>
      <xdr:row>14</xdr:row>
      <xdr:rowOff>41910</xdr:rowOff>
    </xdr:from>
    <xdr:to>
      <xdr:col>8</xdr:col>
      <xdr:colOff>499110</xdr:colOff>
      <xdr:row>22</xdr:row>
      <xdr:rowOff>155357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31188E7-27A6-4BCF-A25D-6DB7FAA46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9720" y="3089910"/>
          <a:ext cx="2838450" cy="1553627"/>
        </a:xfrm>
        <a:prstGeom prst="rect">
          <a:avLst/>
        </a:prstGeom>
      </xdr:spPr>
    </xdr:pic>
    <xdr:clientData/>
  </xdr:twoCellAnchor>
  <xdr:twoCellAnchor>
    <xdr:from>
      <xdr:col>4</xdr:col>
      <xdr:colOff>87841</xdr:colOff>
      <xdr:row>37</xdr:row>
      <xdr:rowOff>301627</xdr:rowOff>
    </xdr:from>
    <xdr:to>
      <xdr:col>8</xdr:col>
      <xdr:colOff>161925</xdr:colOff>
      <xdr:row>44</xdr:row>
      <xdr:rowOff>0</xdr:rowOff>
    </xdr:to>
    <xdr:graphicFrame macro="">
      <xdr:nvGraphicFramePr>
        <xdr:cNvPr id="8" name="4 Gráfico">
          <a:extLst>
            <a:ext uri="{FF2B5EF4-FFF2-40B4-BE49-F238E27FC236}">
              <a16:creationId xmlns:a16="http://schemas.microsoft.com/office/drawing/2014/main" id="{FBB19FC4-D21F-4500-ABB9-97633F18B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561975</xdr:colOff>
      <xdr:row>0</xdr:row>
      <xdr:rowOff>28574</xdr:rowOff>
    </xdr:from>
    <xdr:to>
      <xdr:col>0</xdr:col>
      <xdr:colOff>1533525</xdr:colOff>
      <xdr:row>3</xdr:row>
      <xdr:rowOff>129036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25A7E140-973C-49CB-B3A7-B0B2E569C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8574"/>
          <a:ext cx="971550" cy="586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57150</xdr:rowOff>
    </xdr:from>
    <xdr:to>
      <xdr:col>11</xdr:col>
      <xdr:colOff>86711</xdr:colOff>
      <xdr:row>5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C2E2B7-DDA9-576A-4FA2-79C37CC15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0"/>
          <a:ext cx="7068536" cy="561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10</xdr:row>
      <xdr:rowOff>114300</xdr:rowOff>
    </xdr:from>
    <xdr:ext cx="6457950" cy="182880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5621-80CA-4A25-BA97-AF362D5ED5C6}">
  <sheetPr>
    <tabColor rgb="FF92D050"/>
  </sheetPr>
  <dimension ref="A1:V61"/>
  <sheetViews>
    <sheetView showGridLines="0" view="pageBreakPreview" zoomScale="120" zoomScaleNormal="120" zoomScaleSheetLayoutView="120" workbookViewId="0">
      <selection activeCell="B9" sqref="B9"/>
    </sheetView>
  </sheetViews>
  <sheetFormatPr baseColWidth="10" defaultColWidth="10.33203125" defaultRowHeight="13.8" x14ac:dyDescent="0.25"/>
  <cols>
    <col min="1" max="1" width="4.5546875" style="388" customWidth="1"/>
    <col min="2" max="2" width="19.88671875" style="388" customWidth="1"/>
    <col min="3" max="3" width="14.33203125" style="388" customWidth="1"/>
    <col min="4" max="4" width="5" style="388" customWidth="1"/>
    <col min="5" max="5" width="15.109375" style="388" customWidth="1"/>
    <col min="6" max="6" width="16.88671875" style="388" customWidth="1"/>
    <col min="7" max="8" width="15.109375" style="388" customWidth="1"/>
    <col min="9" max="9" width="3.33203125" style="388" customWidth="1"/>
    <col min="10" max="10" width="6.44140625" style="388" customWidth="1"/>
    <col min="11" max="11" width="4.109375" style="388" customWidth="1"/>
    <col min="12" max="12" width="8" style="388" customWidth="1"/>
    <col min="13" max="13" width="10.33203125" style="388"/>
    <col min="14" max="14" width="10.5546875" style="388" customWidth="1"/>
    <col min="15" max="16" width="10.33203125" style="388"/>
    <col min="17" max="17" width="16.88671875" style="388" customWidth="1"/>
    <col min="18" max="19" width="10.33203125" style="388"/>
    <col min="20" max="22" width="5.6640625" style="388" customWidth="1"/>
    <col min="23" max="16384" width="10.33203125" style="388"/>
  </cols>
  <sheetData>
    <row r="1" spans="1:21" ht="14.25" customHeight="1" thickTop="1" x14ac:dyDescent="0.25">
      <c r="A1" s="384"/>
      <c r="B1" s="385"/>
      <c r="C1" s="385"/>
      <c r="D1" s="386"/>
      <c r="E1" s="386"/>
      <c r="F1" s="386"/>
      <c r="G1" s="386"/>
      <c r="H1" s="386"/>
      <c r="I1" s="387"/>
    </row>
    <row r="2" spans="1:21" ht="14.25" customHeight="1" x14ac:dyDescent="0.25">
      <c r="A2" s="389"/>
      <c r="B2" s="390"/>
      <c r="C2" s="390"/>
      <c r="D2" s="391"/>
      <c r="E2" s="391"/>
      <c r="F2" s="391"/>
      <c r="G2" s="391"/>
      <c r="H2" s="391"/>
      <c r="I2" s="392"/>
      <c r="L2" s="488" t="s">
        <v>209</v>
      </c>
      <c r="M2" s="489"/>
    </row>
    <row r="3" spans="1:21" ht="14.25" customHeight="1" x14ac:dyDescent="0.25">
      <c r="A3" s="389"/>
      <c r="B3" s="390"/>
      <c r="C3" s="390"/>
      <c r="D3" s="391"/>
      <c r="E3" s="391"/>
      <c r="F3" s="391"/>
      <c r="G3" s="391"/>
      <c r="H3" s="391"/>
      <c r="I3" s="392"/>
      <c r="L3" s="488" t="s">
        <v>210</v>
      </c>
      <c r="M3" s="490"/>
    </row>
    <row r="4" spans="1:21" ht="12" customHeight="1" x14ac:dyDescent="0.25">
      <c r="A4" s="389"/>
      <c r="B4" s="390"/>
      <c r="C4" s="390"/>
      <c r="D4" s="391"/>
      <c r="E4" s="391"/>
      <c r="F4" s="391"/>
      <c r="G4" s="391"/>
      <c r="H4" s="391"/>
      <c r="I4" s="392"/>
      <c r="L4" s="488" t="s">
        <v>211</v>
      </c>
      <c r="M4" s="490"/>
    </row>
    <row r="5" spans="1:21" ht="14.25" customHeight="1" thickBot="1" x14ac:dyDescent="0.3">
      <c r="A5" s="393"/>
      <c r="B5" s="394"/>
      <c r="C5" s="394"/>
      <c r="D5" s="394"/>
      <c r="E5" s="394"/>
      <c r="F5" s="394"/>
      <c r="G5" s="394"/>
      <c r="H5" s="394"/>
      <c r="I5" s="395"/>
      <c r="L5" s="488" t="s">
        <v>7</v>
      </c>
      <c r="M5" s="490"/>
    </row>
    <row r="6" spans="1:21" ht="7.5" customHeight="1" thickTop="1" x14ac:dyDescent="0.25">
      <c r="B6" s="396"/>
      <c r="C6" s="396"/>
      <c r="D6" s="396"/>
      <c r="E6" s="396"/>
      <c r="F6" s="396"/>
      <c r="G6" s="396"/>
      <c r="H6" s="396"/>
      <c r="I6" s="396"/>
      <c r="L6" s="491"/>
      <c r="M6" s="492"/>
    </row>
    <row r="7" spans="1:21" ht="15.9" customHeight="1" x14ac:dyDescent="0.25">
      <c r="A7" s="508" t="s">
        <v>0</v>
      </c>
      <c r="B7" s="508"/>
      <c r="C7" s="508"/>
      <c r="D7" s="508"/>
      <c r="E7" s="508"/>
      <c r="F7" s="508"/>
      <c r="G7" s="508"/>
      <c r="H7" s="508"/>
      <c r="I7" s="508"/>
      <c r="L7" s="488" t="s">
        <v>152</v>
      </c>
      <c r="M7" s="492"/>
    </row>
    <row r="8" spans="1:21" ht="15.9" customHeight="1" x14ac:dyDescent="0.25">
      <c r="A8" s="509" t="s">
        <v>169</v>
      </c>
      <c r="B8" s="509"/>
      <c r="C8" s="509"/>
      <c r="D8" s="509"/>
      <c r="E8" s="509"/>
      <c r="F8" s="509"/>
      <c r="G8" s="509"/>
      <c r="H8" s="509"/>
      <c r="I8" s="509"/>
      <c r="L8" s="488" t="s">
        <v>6</v>
      </c>
      <c r="M8" s="493"/>
      <c r="Q8" s="510"/>
      <c r="R8" s="510"/>
      <c r="S8" s="510"/>
      <c r="T8" s="510"/>
      <c r="U8" s="397"/>
    </row>
    <row r="9" spans="1:21" ht="15.9" customHeight="1" x14ac:dyDescent="0.25">
      <c r="B9" s="398"/>
      <c r="C9" s="398"/>
      <c r="D9" s="398"/>
      <c r="E9" s="398"/>
      <c r="F9" s="398"/>
      <c r="G9" s="398"/>
      <c r="H9" s="398"/>
      <c r="I9" s="398"/>
      <c r="L9" s="488" t="s">
        <v>153</v>
      </c>
      <c r="M9" s="492"/>
      <c r="Q9" s="510"/>
      <c r="R9" s="510"/>
      <c r="S9" s="510"/>
      <c r="T9" s="510"/>
      <c r="U9" s="397"/>
    </row>
    <row r="10" spans="1:21" ht="17.399999999999999" customHeight="1" x14ac:dyDescent="0.25">
      <c r="B10" s="399"/>
      <c r="C10" s="515" t="s">
        <v>170</v>
      </c>
      <c r="D10" s="516"/>
      <c r="E10" s="400" t="s">
        <v>171</v>
      </c>
      <c r="F10" s="401" t="s">
        <v>172</v>
      </c>
      <c r="G10" s="401" t="s">
        <v>173</v>
      </c>
      <c r="I10" s="402"/>
      <c r="J10" s="402"/>
      <c r="K10" s="402"/>
      <c r="L10" s="491"/>
      <c r="M10" s="492"/>
    </row>
    <row r="11" spans="1:21" ht="17.399999999999999" customHeight="1" x14ac:dyDescent="0.25">
      <c r="B11" s="399"/>
      <c r="C11" s="517"/>
      <c r="D11" s="518"/>
      <c r="E11" s="404"/>
      <c r="F11" s="405"/>
      <c r="G11" s="405"/>
      <c r="H11" s="402"/>
      <c r="I11" s="402"/>
      <c r="J11" s="402"/>
      <c r="K11" s="402"/>
      <c r="L11" s="488" t="s">
        <v>12</v>
      </c>
      <c r="M11" s="492"/>
      <c r="N11" s="406"/>
      <c r="O11" s="407"/>
    </row>
    <row r="12" spans="1:21" ht="17.399999999999999" customHeight="1" x14ac:dyDescent="0.25">
      <c r="B12" s="399"/>
      <c r="C12" s="408"/>
      <c r="D12" s="408"/>
      <c r="E12" s="408"/>
      <c r="F12" s="408"/>
      <c r="G12" s="408"/>
      <c r="H12" s="408"/>
      <c r="I12" s="398"/>
      <c r="K12" s="403"/>
      <c r="L12" s="488" t="s">
        <v>14</v>
      </c>
      <c r="M12" s="493"/>
      <c r="N12" s="519"/>
      <c r="O12" s="519"/>
    </row>
    <row r="13" spans="1:21" ht="28.5" customHeight="1" x14ac:dyDescent="0.25">
      <c r="A13" s="520" t="s">
        <v>167</v>
      </c>
      <c r="B13" s="521"/>
      <c r="C13" s="521"/>
      <c r="D13" s="521"/>
      <c r="E13" s="521"/>
      <c r="F13" s="521"/>
      <c r="G13" s="521"/>
      <c r="H13" s="521"/>
      <c r="I13" s="522"/>
      <c r="J13" s="403"/>
      <c r="K13" s="403"/>
      <c r="L13" s="488" t="s">
        <v>16</v>
      </c>
      <c r="M13" s="493"/>
    </row>
    <row r="14" spans="1:21" ht="15" customHeight="1" x14ac:dyDescent="0.25">
      <c r="A14" s="523" t="s">
        <v>9</v>
      </c>
      <c r="B14" s="524"/>
      <c r="C14" s="524"/>
      <c r="D14" s="524"/>
      <c r="E14" s="524"/>
      <c r="F14" s="524"/>
      <c r="G14" s="524"/>
      <c r="H14" s="524"/>
      <c r="I14" s="525"/>
      <c r="J14" s="403"/>
      <c r="K14" s="403"/>
      <c r="L14" s="491"/>
      <c r="M14" s="492"/>
    </row>
    <row r="15" spans="1:21" ht="3.75" customHeight="1" x14ac:dyDescent="0.25">
      <c r="A15" s="410"/>
      <c r="B15" s="410"/>
      <c r="C15" s="410"/>
      <c r="D15" s="409"/>
      <c r="E15" s="409"/>
      <c r="F15" s="410"/>
      <c r="G15" s="410"/>
      <c r="H15" s="410"/>
      <c r="I15" s="410"/>
      <c r="J15" s="403"/>
      <c r="K15" s="403"/>
      <c r="L15" s="488" t="s">
        <v>11</v>
      </c>
      <c r="M15" s="494"/>
    </row>
    <row r="16" spans="1:21" ht="23.25" customHeight="1" x14ac:dyDescent="0.25">
      <c r="A16" s="526" t="s">
        <v>174</v>
      </c>
      <c r="B16" s="526"/>
      <c r="C16" s="526"/>
      <c r="D16" s="411" t="s">
        <v>20</v>
      </c>
      <c r="E16" s="412" t="s">
        <v>175</v>
      </c>
      <c r="F16" s="413"/>
      <c r="G16" s="527" t="s">
        <v>176</v>
      </c>
      <c r="H16" s="527"/>
      <c r="I16" s="414"/>
      <c r="J16" s="403"/>
      <c r="K16" s="403"/>
      <c r="L16" s="488" t="s">
        <v>212</v>
      </c>
      <c r="M16" s="494"/>
    </row>
    <row r="17" spans="1:19" ht="18" customHeight="1" x14ac:dyDescent="0.25">
      <c r="A17" s="528" t="s">
        <v>44</v>
      </c>
      <c r="B17" s="528"/>
      <c r="C17" s="528"/>
      <c r="D17" s="415" t="s">
        <v>23</v>
      </c>
      <c r="E17" s="416"/>
      <c r="F17" s="413"/>
      <c r="G17" s="417" t="s">
        <v>177</v>
      </c>
      <c r="H17" s="417" t="s">
        <v>178</v>
      </c>
      <c r="I17" s="414"/>
      <c r="J17" s="403"/>
      <c r="K17" s="403"/>
      <c r="L17" s="488" t="s">
        <v>213</v>
      </c>
      <c r="M17" s="495"/>
    </row>
    <row r="18" spans="1:19" ht="18" customHeight="1" x14ac:dyDescent="0.25">
      <c r="A18" s="528" t="s">
        <v>179</v>
      </c>
      <c r="B18" s="528"/>
      <c r="C18" s="528"/>
      <c r="D18" s="415" t="s">
        <v>23</v>
      </c>
      <c r="E18" s="418"/>
      <c r="F18" s="413"/>
      <c r="G18" s="413"/>
      <c r="H18" s="413" t="s">
        <v>180</v>
      </c>
      <c r="I18" s="414"/>
      <c r="J18" s="403"/>
      <c r="K18" s="403"/>
    </row>
    <row r="19" spans="1:19" ht="21.6" customHeight="1" x14ac:dyDescent="0.25">
      <c r="A19" s="529" t="s">
        <v>181</v>
      </c>
      <c r="B19" s="529"/>
      <c r="C19" s="529"/>
      <c r="D19" s="415" t="s">
        <v>23</v>
      </c>
      <c r="E19" s="418"/>
      <c r="F19" s="413"/>
      <c r="G19" s="419" t="s">
        <v>182</v>
      </c>
      <c r="H19" s="419">
        <v>500</v>
      </c>
      <c r="I19" s="414"/>
      <c r="J19" s="403"/>
      <c r="K19" s="403"/>
    </row>
    <row r="20" spans="1:19" ht="18" customHeight="1" x14ac:dyDescent="0.25">
      <c r="B20" s="399"/>
      <c r="C20" s="413"/>
      <c r="D20" s="413"/>
      <c r="E20" s="413"/>
      <c r="F20" s="413"/>
      <c r="G20" s="413"/>
      <c r="H20" s="413"/>
      <c r="I20" s="414"/>
      <c r="J20" s="403"/>
      <c r="K20" s="403"/>
    </row>
    <row r="21" spans="1:19" ht="18" customHeight="1" x14ac:dyDescent="0.25">
      <c r="B21" s="399"/>
      <c r="C21" s="413"/>
      <c r="D21" s="413"/>
      <c r="E21" s="413"/>
      <c r="F21" s="413"/>
      <c r="G21" s="413"/>
      <c r="H21" s="413"/>
      <c r="I21" s="414"/>
      <c r="J21" s="403"/>
      <c r="K21" s="403"/>
    </row>
    <row r="22" spans="1:19" ht="18" customHeight="1" x14ac:dyDescent="0.25">
      <c r="F22" s="413"/>
      <c r="G22" s="413"/>
      <c r="H22" s="413"/>
      <c r="I22" s="414"/>
      <c r="J22" s="403"/>
      <c r="K22" s="403"/>
    </row>
    <row r="23" spans="1:19" ht="18" customHeight="1" x14ac:dyDescent="0.25">
      <c r="F23" s="413"/>
      <c r="G23" s="413"/>
      <c r="H23" s="413"/>
      <c r="I23" s="414"/>
      <c r="J23" s="403"/>
      <c r="K23" s="403"/>
    </row>
    <row r="24" spans="1:19" ht="18" customHeight="1" x14ac:dyDescent="0.25">
      <c r="F24" s="413"/>
      <c r="G24" s="413"/>
      <c r="H24" s="413"/>
      <c r="I24" s="414"/>
      <c r="J24" s="403"/>
      <c r="K24" s="403"/>
    </row>
    <row r="25" spans="1:19" ht="18" customHeight="1" x14ac:dyDescent="0.25">
      <c r="F25" s="413"/>
      <c r="G25" s="413"/>
      <c r="H25" s="413"/>
      <c r="I25" s="414"/>
      <c r="J25" s="403"/>
      <c r="K25" s="403"/>
    </row>
    <row r="26" spans="1:19" ht="19.2" customHeight="1" x14ac:dyDescent="0.25">
      <c r="B26" s="420"/>
      <c r="C26" s="413"/>
      <c r="D26" s="413"/>
      <c r="E26" s="413"/>
      <c r="F26" s="413"/>
      <c r="G26" s="413"/>
      <c r="H26" s="413"/>
      <c r="I26" s="414"/>
      <c r="J26" s="403"/>
      <c r="K26" s="403"/>
    </row>
    <row r="27" spans="1:19" ht="15" customHeight="1" x14ac:dyDescent="0.25">
      <c r="A27" s="530" t="s">
        <v>49</v>
      </c>
      <c r="B27" s="530"/>
      <c r="C27" s="530"/>
      <c r="D27" s="530"/>
      <c r="E27" s="511" t="s">
        <v>50</v>
      </c>
      <c r="F27" s="512"/>
      <c r="G27" s="512"/>
      <c r="H27" s="513"/>
      <c r="I27" s="423"/>
      <c r="J27" s="424"/>
      <c r="K27" s="425"/>
      <c r="L27" s="426"/>
      <c r="M27" s="396"/>
      <c r="N27" s="396"/>
      <c r="O27" s="424"/>
      <c r="P27" s="424"/>
      <c r="Q27" s="424"/>
      <c r="R27" s="514"/>
      <c r="S27" s="514"/>
    </row>
    <row r="28" spans="1:19" ht="15" customHeight="1" x14ac:dyDescent="0.25">
      <c r="A28" s="530" t="s">
        <v>51</v>
      </c>
      <c r="B28" s="530"/>
      <c r="C28" s="531" t="s">
        <v>52</v>
      </c>
      <c r="D28" s="532"/>
      <c r="E28" s="421" t="s">
        <v>43</v>
      </c>
      <c r="F28" s="421" t="s">
        <v>54</v>
      </c>
      <c r="G28" s="422" t="s">
        <v>56</v>
      </c>
      <c r="H28" s="422" t="s">
        <v>58</v>
      </c>
      <c r="I28" s="427"/>
      <c r="J28" s="424"/>
      <c r="K28" s="533"/>
      <c r="L28" s="534"/>
      <c r="M28" s="424"/>
      <c r="O28" s="428"/>
      <c r="Q28" s="429"/>
      <c r="R28" s="430"/>
    </row>
    <row r="29" spans="1:19" ht="18" customHeight="1" x14ac:dyDescent="0.25">
      <c r="A29" s="535">
        <v>1.5</v>
      </c>
      <c r="B29" s="535"/>
      <c r="C29" s="536">
        <v>1</v>
      </c>
      <c r="D29" s="536"/>
      <c r="E29" s="432"/>
      <c r="F29" s="433" t="s">
        <v>15</v>
      </c>
      <c r="G29" s="422" t="s">
        <v>15</v>
      </c>
      <c r="H29" s="422" t="s">
        <v>15</v>
      </c>
      <c r="I29" s="434"/>
      <c r="J29" s="424"/>
      <c r="K29" s="425"/>
      <c r="L29" s="426"/>
      <c r="M29" s="424"/>
      <c r="O29" s="435"/>
      <c r="Q29" s="429"/>
      <c r="R29" s="430"/>
    </row>
    <row r="30" spans="1:19" ht="18" customHeight="1" x14ac:dyDescent="0.25">
      <c r="A30" s="535">
        <v>1</v>
      </c>
      <c r="B30" s="535"/>
      <c r="C30" s="535">
        <v>0.75</v>
      </c>
      <c r="D30" s="535"/>
      <c r="E30" s="432"/>
      <c r="F30" s="433" t="s">
        <v>15</v>
      </c>
      <c r="G30" s="422" t="s">
        <v>15</v>
      </c>
      <c r="H30" s="422" t="s">
        <v>15</v>
      </c>
      <c r="I30" s="434"/>
      <c r="J30" s="436"/>
      <c r="K30" s="425"/>
      <c r="L30" s="426"/>
      <c r="M30" s="437"/>
      <c r="N30" s="436"/>
      <c r="O30" s="436"/>
      <c r="P30" s="436"/>
      <c r="Q30" s="429"/>
      <c r="R30" s="438"/>
    </row>
    <row r="31" spans="1:19" ht="18" customHeight="1" x14ac:dyDescent="0.25">
      <c r="A31" s="535">
        <v>0.75</v>
      </c>
      <c r="B31" s="535"/>
      <c r="C31" s="535">
        <v>0.5</v>
      </c>
      <c r="D31" s="535"/>
      <c r="E31" s="432"/>
      <c r="F31" s="432"/>
      <c r="G31" s="433" t="s">
        <v>15</v>
      </c>
      <c r="H31" s="433" t="s">
        <v>15</v>
      </c>
      <c r="I31" s="434"/>
      <c r="J31" s="436"/>
      <c r="K31" s="425"/>
      <c r="L31" s="426"/>
      <c r="M31" s="436"/>
      <c r="N31" s="436"/>
      <c r="O31" s="436"/>
      <c r="P31" s="436"/>
      <c r="Q31" s="429"/>
      <c r="R31" s="438"/>
    </row>
    <row r="32" spans="1:19" ht="18" customHeight="1" x14ac:dyDescent="0.25">
      <c r="A32" s="535">
        <v>0.5</v>
      </c>
      <c r="B32" s="535"/>
      <c r="C32" s="535">
        <v>0.375</v>
      </c>
      <c r="D32" s="535"/>
      <c r="E32" s="432"/>
      <c r="F32" s="432"/>
      <c r="G32" s="433" t="s">
        <v>15</v>
      </c>
      <c r="H32" s="433" t="s">
        <v>15</v>
      </c>
      <c r="I32" s="434"/>
      <c r="J32" s="436"/>
      <c r="K32" s="425"/>
      <c r="L32" s="426"/>
      <c r="M32" s="436"/>
      <c r="N32" s="436"/>
      <c r="O32" s="436"/>
      <c r="P32" s="436"/>
      <c r="Q32" s="429"/>
      <c r="R32" s="438"/>
    </row>
    <row r="33" spans="1:22" ht="18" customHeight="1" x14ac:dyDescent="0.25">
      <c r="A33" s="535">
        <v>0.375</v>
      </c>
      <c r="B33" s="535"/>
      <c r="C33" s="535">
        <v>0.25</v>
      </c>
      <c r="D33" s="535"/>
      <c r="E33" s="433" t="s">
        <v>15</v>
      </c>
      <c r="F33" s="433" t="s">
        <v>15</v>
      </c>
      <c r="G33" s="432"/>
      <c r="H33" s="439"/>
      <c r="I33" s="434"/>
      <c r="J33" s="436"/>
      <c r="K33" s="425"/>
      <c r="L33" s="426"/>
      <c r="M33" s="436"/>
      <c r="N33" s="436"/>
      <c r="O33" s="436"/>
      <c r="P33" s="436"/>
      <c r="Q33" s="429"/>
      <c r="R33" s="438"/>
    </row>
    <row r="34" spans="1:22" ht="18" customHeight="1" x14ac:dyDescent="0.25">
      <c r="A34" s="535">
        <v>0.25</v>
      </c>
      <c r="B34" s="535"/>
      <c r="C34" s="535" t="s">
        <v>183</v>
      </c>
      <c r="D34" s="535"/>
      <c r="E34" s="433" t="s">
        <v>15</v>
      </c>
      <c r="F34" s="433" t="s">
        <v>15</v>
      </c>
      <c r="G34" s="432"/>
      <c r="H34" s="439" t="s">
        <v>15</v>
      </c>
      <c r="I34" s="434"/>
      <c r="J34" s="436"/>
      <c r="K34" s="425"/>
      <c r="L34" s="426"/>
      <c r="M34" s="436"/>
      <c r="N34" s="436"/>
      <c r="O34" s="436"/>
      <c r="P34" s="436"/>
      <c r="Q34" s="436"/>
      <c r="R34" s="436"/>
      <c r="S34" s="436"/>
    </row>
    <row r="35" spans="1:22" ht="18" customHeight="1" x14ac:dyDescent="0.25">
      <c r="A35" s="535" t="s">
        <v>183</v>
      </c>
      <c r="B35" s="535"/>
      <c r="C35" s="535" t="s">
        <v>184</v>
      </c>
      <c r="D35" s="535"/>
      <c r="E35" s="433" t="s">
        <v>15</v>
      </c>
      <c r="F35" s="433" t="s">
        <v>15</v>
      </c>
      <c r="G35" s="433" t="s">
        <v>15</v>
      </c>
      <c r="H35" s="432"/>
      <c r="I35" s="434"/>
      <c r="J35" s="440"/>
      <c r="K35" s="425"/>
      <c r="L35" s="426"/>
      <c r="M35" s="537"/>
      <c r="N35" s="537"/>
      <c r="O35" s="537"/>
      <c r="P35" s="437"/>
      <c r="Q35" s="437"/>
      <c r="R35" s="437"/>
      <c r="S35" s="437"/>
      <c r="T35" s="538"/>
      <c r="U35" s="538"/>
      <c r="V35" s="538"/>
    </row>
    <row r="36" spans="1:22" ht="19.5" customHeight="1" x14ac:dyDescent="0.25">
      <c r="A36" s="536" t="s">
        <v>185</v>
      </c>
      <c r="B36" s="536"/>
      <c r="C36" s="536"/>
      <c r="D36" s="536"/>
      <c r="E36" s="442">
        <f>SUM(E29:E32)</f>
        <v>0</v>
      </c>
      <c r="F36" s="442">
        <f>SUM(F31:F32)</f>
        <v>0</v>
      </c>
      <c r="G36" s="442">
        <f>SUM(G33:G34)</f>
        <v>0</v>
      </c>
      <c r="H36" s="442">
        <f>+H35</f>
        <v>0</v>
      </c>
      <c r="I36" s="434"/>
      <c r="J36" s="440"/>
      <c r="K36" s="425"/>
      <c r="L36" s="426"/>
      <c r="N36" s="437"/>
      <c r="O36" s="437"/>
      <c r="P36" s="437"/>
      <c r="Q36" s="437"/>
      <c r="R36" s="437"/>
      <c r="S36" s="437"/>
      <c r="T36" s="441"/>
      <c r="U36" s="441"/>
      <c r="V36" s="441"/>
    </row>
    <row r="37" spans="1:22" ht="6" customHeight="1" x14ac:dyDescent="0.25">
      <c r="B37" s="425"/>
      <c r="C37" s="443"/>
      <c r="D37" s="444"/>
      <c r="E37" s="444"/>
      <c r="F37" s="444"/>
      <c r="G37" s="444"/>
      <c r="H37" s="444"/>
      <c r="I37" s="434"/>
      <c r="J37" s="435"/>
      <c r="K37" s="425"/>
      <c r="L37" s="426"/>
      <c r="M37" s="445"/>
      <c r="O37" s="446"/>
      <c r="P37" s="428"/>
      <c r="Q37" s="435"/>
      <c r="R37" s="435"/>
      <c r="S37" s="435"/>
      <c r="T37" s="435"/>
      <c r="U37" s="435"/>
      <c r="V37" s="435"/>
    </row>
    <row r="38" spans="1:22" ht="15" customHeight="1" x14ac:dyDescent="0.25">
      <c r="A38" s="447" t="s">
        <v>186</v>
      </c>
      <c r="B38" s="541" t="s">
        <v>19</v>
      </c>
      <c r="C38" s="542"/>
      <c r="D38" s="421" t="s">
        <v>20</v>
      </c>
      <c r="E38" s="448" t="s">
        <v>187</v>
      </c>
      <c r="F38" s="448" t="s">
        <v>188</v>
      </c>
      <c r="G38" s="448" t="s">
        <v>189</v>
      </c>
      <c r="H38" s="448" t="s">
        <v>190</v>
      </c>
      <c r="I38" s="434"/>
      <c r="J38" s="449"/>
      <c r="K38" s="425"/>
      <c r="L38" s="426"/>
      <c r="M38" s="450"/>
      <c r="O38" s="446"/>
      <c r="P38" s="428"/>
      <c r="Q38" s="435"/>
      <c r="R38" s="435"/>
      <c r="S38" s="435"/>
      <c r="T38" s="440"/>
      <c r="U38" s="440"/>
      <c r="V38" s="440"/>
    </row>
    <row r="39" spans="1:22" ht="15" customHeight="1" x14ac:dyDescent="0.25">
      <c r="A39" s="447">
        <v>1</v>
      </c>
      <c r="B39" s="543" t="s">
        <v>191</v>
      </c>
      <c r="C39" s="544"/>
      <c r="D39" s="421"/>
      <c r="E39" s="453">
        <v>12</v>
      </c>
      <c r="F39" s="453">
        <v>11</v>
      </c>
      <c r="G39" s="453">
        <v>8</v>
      </c>
      <c r="H39" s="453">
        <v>6</v>
      </c>
      <c r="I39" s="434"/>
      <c r="J39" s="449"/>
      <c r="K39" s="425"/>
      <c r="L39" s="426"/>
      <c r="M39" s="450"/>
      <c r="O39" s="446"/>
      <c r="P39" s="428"/>
      <c r="Q39" s="435"/>
      <c r="R39" s="435"/>
      <c r="S39" s="435"/>
      <c r="T39" s="440"/>
      <c r="U39" s="440"/>
      <c r="V39" s="440"/>
    </row>
    <row r="40" spans="1:22" ht="19.95" customHeight="1" x14ac:dyDescent="0.25">
      <c r="A40" s="447">
        <v>2</v>
      </c>
      <c r="B40" s="451" t="s">
        <v>192</v>
      </c>
      <c r="C40" s="452"/>
      <c r="D40" s="454" t="s">
        <v>23</v>
      </c>
      <c r="E40" s="453" t="s">
        <v>193</v>
      </c>
      <c r="F40" s="453" t="s">
        <v>194</v>
      </c>
      <c r="G40" s="453" t="s">
        <v>195</v>
      </c>
      <c r="H40" s="453" t="s">
        <v>196</v>
      </c>
      <c r="I40" s="434"/>
      <c r="J40" s="449"/>
      <c r="K40" s="425"/>
      <c r="L40" s="426"/>
      <c r="M40" s="450"/>
      <c r="O40" s="446"/>
      <c r="P40" s="428"/>
      <c r="Q40" s="435"/>
      <c r="R40" s="435"/>
      <c r="S40" s="435"/>
      <c r="T40" s="440"/>
      <c r="U40" s="440"/>
      <c r="V40" s="440"/>
    </row>
    <row r="41" spans="1:22" ht="19.95" customHeight="1" thickBot="1" x14ac:dyDescent="0.3">
      <c r="A41" s="455">
        <v>3</v>
      </c>
      <c r="B41" s="456" t="s">
        <v>197</v>
      </c>
      <c r="C41" s="457"/>
      <c r="D41" s="458" t="s">
        <v>23</v>
      </c>
      <c r="E41" s="459"/>
      <c r="F41" s="459"/>
      <c r="G41" s="459"/>
      <c r="H41" s="459"/>
      <c r="I41" s="434"/>
      <c r="J41" s="449"/>
      <c r="K41" s="425"/>
      <c r="L41" s="426"/>
      <c r="M41" s="450"/>
      <c r="O41" s="446"/>
      <c r="P41" s="428"/>
      <c r="Q41" s="435"/>
      <c r="R41" s="435"/>
      <c r="S41" s="435"/>
      <c r="T41" s="440"/>
      <c r="U41" s="440"/>
      <c r="V41" s="440"/>
    </row>
    <row r="42" spans="1:22" ht="19.95" customHeight="1" thickTop="1" x14ac:dyDescent="0.25">
      <c r="A42" s="460" t="s">
        <v>72</v>
      </c>
      <c r="B42" s="545" t="s">
        <v>161</v>
      </c>
      <c r="C42" s="546"/>
      <c r="D42" s="461" t="s">
        <v>23</v>
      </c>
      <c r="E42" s="462"/>
      <c r="F42" s="462">
        <v>0</v>
      </c>
      <c r="G42" s="462">
        <v>0</v>
      </c>
      <c r="H42" s="462">
        <v>0</v>
      </c>
      <c r="I42" s="434"/>
      <c r="J42" s="449"/>
      <c r="K42" s="425"/>
      <c r="L42" s="426"/>
      <c r="M42" s="450"/>
      <c r="N42" s="463"/>
      <c r="O42" s="446"/>
      <c r="P42" s="428"/>
      <c r="Q42" s="435"/>
      <c r="R42" s="435"/>
      <c r="S42" s="435"/>
      <c r="T42" s="440"/>
      <c r="U42" s="440"/>
      <c r="V42" s="440"/>
    </row>
    <row r="43" spans="1:22" ht="19.95" customHeight="1" x14ac:dyDescent="0.25">
      <c r="A43" s="431" t="s">
        <v>73</v>
      </c>
      <c r="B43" s="547" t="s">
        <v>162</v>
      </c>
      <c r="C43" s="548"/>
      <c r="D43" s="464" t="s">
        <v>23</v>
      </c>
      <c r="E43" s="465"/>
      <c r="F43" s="465"/>
      <c r="G43" s="465"/>
      <c r="H43" s="465"/>
      <c r="I43" s="434"/>
      <c r="J43" s="449"/>
      <c r="K43" s="425"/>
      <c r="L43" s="426"/>
      <c r="M43" s="450"/>
      <c r="O43" s="446"/>
      <c r="P43" s="428"/>
      <c r="Q43" s="435"/>
      <c r="R43" s="435"/>
      <c r="S43" s="435"/>
      <c r="T43" s="440"/>
      <c r="U43" s="440"/>
      <c r="V43" s="440"/>
    </row>
    <row r="44" spans="1:22" ht="19.95" customHeight="1" x14ac:dyDescent="0.25">
      <c r="A44" s="454" t="s">
        <v>74</v>
      </c>
      <c r="B44" s="539" t="s">
        <v>75</v>
      </c>
      <c r="C44" s="540"/>
      <c r="D44" s="464" t="s">
        <v>23</v>
      </c>
      <c r="E44" s="442"/>
      <c r="F44" s="442"/>
      <c r="G44" s="442"/>
      <c r="H44" s="442"/>
      <c r="I44" s="466"/>
      <c r="K44" s="425"/>
      <c r="L44" s="426"/>
      <c r="M44" s="445"/>
      <c r="O44" s="446"/>
      <c r="P44" s="428"/>
      <c r="Q44" s="435"/>
      <c r="R44" s="435"/>
      <c r="S44" s="435"/>
      <c r="T44" s="435"/>
      <c r="U44" s="467"/>
      <c r="V44" s="435"/>
    </row>
    <row r="45" spans="1:22" ht="22.95" customHeight="1" x14ac:dyDescent="0.25">
      <c r="A45" s="454" t="s">
        <v>76</v>
      </c>
      <c r="B45" s="539" t="s">
        <v>77</v>
      </c>
      <c r="C45" s="540"/>
      <c r="D45" s="464" t="s">
        <v>23</v>
      </c>
      <c r="E45" s="442"/>
      <c r="F45" s="442"/>
      <c r="G45" s="442"/>
      <c r="H45" s="442"/>
      <c r="I45" s="466"/>
      <c r="K45" s="425"/>
      <c r="L45" s="426"/>
      <c r="M45" s="445"/>
      <c r="O45" s="446"/>
      <c r="P45" s="428"/>
      <c r="Q45" s="435"/>
      <c r="R45" s="435"/>
      <c r="S45" s="435"/>
      <c r="T45" s="435"/>
      <c r="U45" s="467"/>
      <c r="V45" s="435"/>
    </row>
    <row r="46" spans="1:22" ht="19.95" customHeight="1" x14ac:dyDescent="0.25">
      <c r="A46" s="454" t="s">
        <v>78</v>
      </c>
      <c r="B46" s="550" t="s">
        <v>198</v>
      </c>
      <c r="C46" s="551"/>
      <c r="D46" s="464" t="s">
        <v>26</v>
      </c>
      <c r="E46" s="468"/>
      <c r="F46" s="468"/>
      <c r="G46" s="468"/>
      <c r="H46" s="468"/>
      <c r="I46" s="469"/>
      <c r="J46" s="470"/>
      <c r="K46" s="471"/>
      <c r="L46" s="426"/>
      <c r="M46" s="450"/>
      <c r="O46" s="446"/>
      <c r="P46" s="428"/>
      <c r="Q46" s="435"/>
      <c r="R46" s="435"/>
      <c r="S46" s="435"/>
      <c r="T46" s="472"/>
      <c r="U46" s="473"/>
      <c r="V46" s="472"/>
    </row>
    <row r="47" spans="1:22" ht="24.75" customHeight="1" x14ac:dyDescent="0.25">
      <c r="A47" s="454" t="s">
        <v>199</v>
      </c>
      <c r="B47" s="550" t="s">
        <v>163</v>
      </c>
      <c r="C47" s="551"/>
      <c r="D47" s="464" t="s">
        <v>26</v>
      </c>
      <c r="E47" s="454"/>
      <c r="F47" s="454"/>
      <c r="G47" s="454"/>
      <c r="H47" s="454"/>
      <c r="K47" s="403"/>
      <c r="L47" s="426"/>
      <c r="M47" s="450"/>
      <c r="O47" s="446"/>
      <c r="P47" s="428"/>
      <c r="Q47" s="435"/>
      <c r="R47" s="435"/>
      <c r="S47" s="435"/>
      <c r="T47" s="472"/>
      <c r="U47" s="473"/>
      <c r="V47" s="472"/>
    </row>
    <row r="48" spans="1:22" ht="11.25" customHeight="1" x14ac:dyDescent="0.25">
      <c r="B48" s="474" t="s">
        <v>200</v>
      </c>
      <c r="C48" s="475"/>
      <c r="D48" s="475"/>
      <c r="E48" s="475"/>
      <c r="K48" s="403"/>
      <c r="L48" s="426"/>
      <c r="M48" s="450"/>
      <c r="O48" s="446"/>
      <c r="P48" s="428"/>
      <c r="Q48" s="435"/>
      <c r="R48" s="435"/>
      <c r="S48" s="435"/>
      <c r="T48" s="472"/>
      <c r="U48" s="473"/>
      <c r="V48" s="472"/>
    </row>
    <row r="49" spans="1:22" ht="20.25" customHeight="1" x14ac:dyDescent="0.25">
      <c r="A49" s="552"/>
      <c r="B49" s="553" t="s">
        <v>201</v>
      </c>
      <c r="C49" s="476" t="s">
        <v>202</v>
      </c>
      <c r="D49" s="556"/>
      <c r="E49" s="556"/>
      <c r="F49" s="477" t="s">
        <v>203</v>
      </c>
      <c r="G49" s="557"/>
      <c r="H49" s="558"/>
      <c r="K49" s="403"/>
      <c r="L49" s="426"/>
      <c r="M49" s="445"/>
      <c r="O49" s="446"/>
      <c r="P49" s="428"/>
      <c r="Q49" s="435"/>
      <c r="R49" s="435"/>
      <c r="S49" s="435"/>
      <c r="T49" s="472"/>
      <c r="U49" s="473"/>
      <c r="V49" s="472"/>
    </row>
    <row r="50" spans="1:22" ht="25.5" customHeight="1" x14ac:dyDescent="0.25">
      <c r="A50" s="552"/>
      <c r="B50" s="554"/>
      <c r="C50" s="476" t="s">
        <v>204</v>
      </c>
      <c r="D50" s="556"/>
      <c r="E50" s="556"/>
      <c r="F50" s="476" t="s">
        <v>205</v>
      </c>
      <c r="G50" s="559"/>
      <c r="H50" s="560"/>
      <c r="K50" s="403"/>
      <c r="L50" s="426"/>
      <c r="M50" s="445"/>
      <c r="O50" s="446"/>
      <c r="P50" s="428"/>
      <c r="Q50" s="435"/>
      <c r="R50" s="435"/>
      <c r="S50" s="435"/>
      <c r="T50" s="472"/>
      <c r="U50" s="473"/>
      <c r="V50" s="472"/>
    </row>
    <row r="51" spans="1:22" ht="25.5" customHeight="1" x14ac:dyDescent="0.25">
      <c r="A51" s="478"/>
      <c r="B51" s="555"/>
      <c r="C51" s="476" t="s">
        <v>206</v>
      </c>
      <c r="D51" s="556"/>
      <c r="E51" s="556"/>
      <c r="F51" s="479"/>
      <c r="G51" s="559"/>
      <c r="H51" s="560"/>
      <c r="K51" s="403"/>
      <c r="L51" s="426"/>
      <c r="M51" s="445"/>
      <c r="O51" s="446"/>
      <c r="P51" s="428"/>
      <c r="Q51" s="435"/>
      <c r="R51" s="435"/>
      <c r="S51" s="435"/>
      <c r="T51" s="472"/>
      <c r="U51" s="473"/>
      <c r="V51" s="472"/>
    </row>
    <row r="52" spans="1:22" ht="25.5" customHeight="1" x14ac:dyDescent="0.25">
      <c r="A52" s="480" t="s">
        <v>30</v>
      </c>
      <c r="B52" s="481"/>
      <c r="C52" s="481"/>
      <c r="D52" s="481"/>
      <c r="E52" s="481"/>
      <c r="F52" s="481"/>
      <c r="G52" s="481"/>
      <c r="H52" s="481"/>
      <c r="K52" s="403"/>
      <c r="L52" s="426"/>
      <c r="M52" s="445"/>
      <c r="O52" s="446"/>
      <c r="P52" s="428"/>
      <c r="Q52" s="435"/>
      <c r="R52" s="435"/>
      <c r="S52" s="435"/>
      <c r="T52" s="472"/>
      <c r="U52" s="473"/>
      <c r="V52" s="472"/>
    </row>
    <row r="53" spans="1:22" ht="18" customHeight="1" x14ac:dyDescent="0.25">
      <c r="C53" s="482"/>
      <c r="D53" s="482"/>
      <c r="E53" s="482"/>
      <c r="F53" s="482"/>
      <c r="G53" s="482"/>
      <c r="H53" s="482"/>
      <c r="K53" s="403"/>
      <c r="L53" s="483"/>
      <c r="M53" s="445"/>
      <c r="O53" s="446"/>
      <c r="P53" s="428"/>
      <c r="Q53" s="435"/>
      <c r="R53" s="435"/>
      <c r="S53" s="435"/>
      <c r="T53" s="472"/>
      <c r="U53" s="473"/>
      <c r="V53" s="472"/>
    </row>
    <row r="54" spans="1:22" ht="18" customHeight="1" x14ac:dyDescent="0.25">
      <c r="D54" s="482"/>
      <c r="E54" s="482"/>
      <c r="K54" s="403"/>
      <c r="M54" s="445"/>
      <c r="O54" s="446"/>
      <c r="P54" s="428"/>
      <c r="Q54" s="435"/>
      <c r="R54" s="435"/>
      <c r="S54" s="435"/>
      <c r="T54" s="435"/>
      <c r="U54" s="484"/>
      <c r="V54" s="435"/>
    </row>
    <row r="55" spans="1:22" ht="18" customHeight="1" x14ac:dyDescent="0.25">
      <c r="B55" s="388" t="s">
        <v>207</v>
      </c>
      <c r="C55" s="482"/>
      <c r="D55" s="482"/>
      <c r="E55" s="482"/>
      <c r="F55" s="482"/>
      <c r="G55" s="482"/>
      <c r="H55" s="482"/>
      <c r="K55" s="403"/>
      <c r="M55" s="445"/>
      <c r="O55" s="446"/>
      <c r="P55" s="428"/>
      <c r="Q55" s="435"/>
      <c r="R55" s="435"/>
      <c r="S55" s="435"/>
    </row>
    <row r="56" spans="1:22" ht="16.95" customHeight="1" x14ac:dyDescent="0.25">
      <c r="A56" s="485" t="s">
        <v>32</v>
      </c>
      <c r="B56" s="485"/>
      <c r="J56" s="435"/>
      <c r="K56" s="403"/>
    </row>
    <row r="57" spans="1:22" ht="13.95" customHeight="1" x14ac:dyDescent="0.25">
      <c r="A57" s="485" t="s">
        <v>166</v>
      </c>
      <c r="B57" s="485"/>
      <c r="C57" s="486"/>
      <c r="D57" s="486"/>
      <c r="E57" s="486"/>
      <c r="F57" s="486"/>
      <c r="G57" s="486"/>
      <c r="H57" s="486"/>
      <c r="I57" s="486"/>
      <c r="J57" s="403"/>
      <c r="K57" s="403"/>
      <c r="L57" s="403"/>
    </row>
    <row r="58" spans="1:22" ht="12" customHeight="1" x14ac:dyDescent="0.25"/>
    <row r="59" spans="1:22" ht="26.4" customHeight="1" x14ac:dyDescent="0.25">
      <c r="A59" s="549" t="s">
        <v>208</v>
      </c>
      <c r="B59" s="549"/>
      <c r="C59" s="549"/>
      <c r="D59" s="549"/>
      <c r="E59" s="549"/>
      <c r="F59" s="549"/>
      <c r="G59" s="549"/>
      <c r="H59" s="549"/>
      <c r="I59" s="549"/>
    </row>
    <row r="60" spans="1:22" ht="15.9" customHeight="1" x14ac:dyDescent="0.25"/>
    <row r="61" spans="1:22" ht="15.9" customHeight="1" x14ac:dyDescent="0.25"/>
  </sheetData>
  <protectedRanges>
    <protectedRange sqref="C26 C16:C21" name="Rango3_3_1_1_1_1_1_1_1_1"/>
    <protectedRange sqref="C12" name="Rango3_3_1_1_1_1_1_1_1_1_1_1"/>
  </protectedRanges>
  <mergeCells count="56">
    <mergeCell ref="A59:I59"/>
    <mergeCell ref="B45:C45"/>
    <mergeCell ref="B46:C46"/>
    <mergeCell ref="B47:C47"/>
    <mergeCell ref="A49:A50"/>
    <mergeCell ref="B49:B51"/>
    <mergeCell ref="D49:E49"/>
    <mergeCell ref="G49:H49"/>
    <mergeCell ref="D50:E50"/>
    <mergeCell ref="G50:H50"/>
    <mergeCell ref="D51:E51"/>
    <mergeCell ref="G51:H51"/>
    <mergeCell ref="A30:B30"/>
    <mergeCell ref="C30:D30"/>
    <mergeCell ref="B44:C44"/>
    <mergeCell ref="A34:B34"/>
    <mergeCell ref="C34:D34"/>
    <mergeCell ref="A35:B35"/>
    <mergeCell ref="C35:D35"/>
    <mergeCell ref="A36:D36"/>
    <mergeCell ref="B38:C38"/>
    <mergeCell ref="B39:C39"/>
    <mergeCell ref="B42:C42"/>
    <mergeCell ref="B43:C43"/>
    <mergeCell ref="M35:O35"/>
    <mergeCell ref="T35:V35"/>
    <mergeCell ref="A31:B31"/>
    <mergeCell ref="C31:D31"/>
    <mergeCell ref="A32:B32"/>
    <mergeCell ref="C32:D32"/>
    <mergeCell ref="A33:B33"/>
    <mergeCell ref="C33:D33"/>
    <mergeCell ref="A28:B28"/>
    <mergeCell ref="C28:D28"/>
    <mergeCell ref="K28:L28"/>
    <mergeCell ref="A29:B29"/>
    <mergeCell ref="C29:D29"/>
    <mergeCell ref="E27:H27"/>
    <mergeCell ref="R27:S27"/>
    <mergeCell ref="C10:D10"/>
    <mergeCell ref="C11:D11"/>
    <mergeCell ref="N12:O12"/>
    <mergeCell ref="A13:I13"/>
    <mergeCell ref="A14:I14"/>
    <mergeCell ref="A16:C16"/>
    <mergeCell ref="G16:H16"/>
    <mergeCell ref="A17:C17"/>
    <mergeCell ref="A18:C18"/>
    <mergeCell ref="A19:C19"/>
    <mergeCell ref="A27:D27"/>
    <mergeCell ref="A7:I7"/>
    <mergeCell ref="A8:I8"/>
    <mergeCell ref="Q8:R8"/>
    <mergeCell ref="S8:T8"/>
    <mergeCell ref="Q9:R9"/>
    <mergeCell ref="S9:T9"/>
  </mergeCells>
  <printOptions horizontalCentered="1" verticalCentered="1"/>
  <pageMargins left="0" right="0.59055118110236227" top="0.78740157480314965" bottom="0" header="0" footer="0"/>
  <pageSetup paperSize="9" scale="74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5"/>
  <sheetViews>
    <sheetView showGridLines="0" tabSelected="1" view="pageBreakPreview" topLeftCell="A10" zoomScaleNormal="100" zoomScaleSheetLayoutView="100" workbookViewId="0">
      <selection activeCell="L18" sqref="L18"/>
    </sheetView>
  </sheetViews>
  <sheetFormatPr baseColWidth="10" defaultColWidth="12.5546875" defaultRowHeight="15" customHeight="1" x14ac:dyDescent="0.25"/>
  <cols>
    <col min="1" max="1" width="11.109375" customWidth="1"/>
    <col min="2" max="2" width="2" customWidth="1"/>
    <col min="3" max="3" width="4.44140625" customWidth="1"/>
    <col min="4" max="4" width="1.44140625" customWidth="1"/>
    <col min="5" max="5" width="14.5546875" customWidth="1"/>
    <col min="6" max="6" width="20.44140625" customWidth="1"/>
    <col min="7" max="7" width="11.44140625" customWidth="1"/>
    <col min="8" max="8" width="15.109375" customWidth="1"/>
    <col min="9" max="9" width="1.44140625" customWidth="1"/>
    <col min="10" max="10" width="14" customWidth="1"/>
    <col min="11" max="11" width="6.44140625" customWidth="1"/>
    <col min="12" max="12" width="10.44140625" customWidth="1"/>
    <col min="13" max="13" width="2.5546875" customWidth="1"/>
    <col min="14" max="14" width="8.88671875" customWidth="1"/>
    <col min="15" max="15" width="10.44140625" hidden="1" customWidth="1"/>
    <col min="16" max="16" width="10.44140625" customWidth="1"/>
    <col min="17" max="17" width="3.44140625" customWidth="1"/>
    <col min="18" max="19" width="10.44140625" customWidth="1"/>
    <col min="20" max="22" width="5.5546875" customWidth="1"/>
    <col min="23" max="24" width="10.44140625" customWidth="1"/>
  </cols>
  <sheetData>
    <row r="1" spans="1:24" ht="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25">
      <c r="A2" s="563" t="s">
        <v>0</v>
      </c>
      <c r="B2" s="564"/>
      <c r="C2" s="564"/>
      <c r="D2" s="564"/>
      <c r="E2" s="564"/>
      <c r="F2" s="564"/>
      <c r="G2" s="564"/>
      <c r="H2" s="564"/>
      <c r="I2" s="564"/>
      <c r="J2" s="564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25">
      <c r="A3" s="565">
        <v>0</v>
      </c>
      <c r="B3" s="565"/>
      <c r="C3" s="565"/>
      <c r="D3" s="565"/>
      <c r="E3" s="565"/>
      <c r="F3" s="565"/>
      <c r="G3" s="565"/>
      <c r="H3" s="565"/>
      <c r="I3" s="565"/>
      <c r="J3" s="56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 x14ac:dyDescent="0.25">
      <c r="A5" s="5" t="s">
        <v>1</v>
      </c>
      <c r="B5" s="5" t="s">
        <v>2</v>
      </c>
      <c r="C5" s="578">
        <f>+FORMATO!M2</f>
        <v>0</v>
      </c>
      <c r="D5" s="578"/>
      <c r="E5" s="578"/>
      <c r="F5" s="578"/>
      <c r="G5" s="578"/>
      <c r="H5" s="7" t="s">
        <v>3</v>
      </c>
      <c r="I5" s="8" t="s">
        <v>2</v>
      </c>
      <c r="J5" s="6" t="s">
        <v>165</v>
      </c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 x14ac:dyDescent="0.25">
      <c r="A6" s="5" t="s">
        <v>4</v>
      </c>
      <c r="B6" s="5" t="s">
        <v>2</v>
      </c>
      <c r="C6" s="578">
        <f>+FORMATO!M3</f>
        <v>0</v>
      </c>
      <c r="D6" s="578"/>
      <c r="E6" s="578"/>
      <c r="F6" s="578"/>
      <c r="G6" s="578"/>
      <c r="H6" s="288" t="s">
        <v>152</v>
      </c>
      <c r="I6" s="8" t="s">
        <v>2</v>
      </c>
      <c r="J6" s="382">
        <f>+FORMATO!M7</f>
        <v>0</v>
      </c>
      <c r="K6" s="9"/>
      <c r="L6" s="2"/>
      <c r="M6" s="10"/>
      <c r="N6" s="11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6.5" customHeight="1" x14ac:dyDescent="0.25">
      <c r="A7" s="5" t="s">
        <v>5</v>
      </c>
      <c r="B7" s="5" t="s">
        <v>2</v>
      </c>
      <c r="C7" s="578">
        <f>+FORMATO!M4</f>
        <v>0</v>
      </c>
      <c r="D7" s="578"/>
      <c r="E7" s="578"/>
      <c r="F7" s="578"/>
      <c r="G7" s="578"/>
      <c r="H7" s="288" t="s">
        <v>153</v>
      </c>
      <c r="I7" s="8" t="s">
        <v>2</v>
      </c>
      <c r="J7" s="382">
        <f>+FORMATO!M9</f>
        <v>0</v>
      </c>
      <c r="K7" s="9"/>
      <c r="L7" s="2"/>
      <c r="M7" s="566"/>
      <c r="N7" s="564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 x14ac:dyDescent="0.25">
      <c r="A8" s="5" t="s">
        <v>7</v>
      </c>
      <c r="B8" s="5" t="s">
        <v>2</v>
      </c>
      <c r="C8" s="578">
        <f>+FORMATO!M5</f>
        <v>0</v>
      </c>
      <c r="D8" s="578"/>
      <c r="E8" s="578"/>
      <c r="F8" s="578"/>
      <c r="G8" s="578"/>
      <c r="H8" s="7" t="s">
        <v>6</v>
      </c>
      <c r="I8" s="8" t="s">
        <v>2</v>
      </c>
      <c r="J8" s="336">
        <f>+FORMATO!M8</f>
        <v>0</v>
      </c>
      <c r="K8" s="9"/>
      <c r="L8" s="2"/>
      <c r="M8" s="12"/>
      <c r="N8" s="1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.75" customHeight="1" x14ac:dyDescent="0.25">
      <c r="A9" s="262" t="s">
        <v>8</v>
      </c>
      <c r="B9" s="262"/>
      <c r="C9" s="263"/>
      <c r="D9" s="263"/>
      <c r="E9" s="264"/>
      <c r="F9" s="264"/>
      <c r="G9" s="264"/>
      <c r="H9" s="265"/>
      <c r="I9" s="263"/>
      <c r="J9" s="266"/>
      <c r="K9" s="9"/>
      <c r="L9" s="2"/>
      <c r="M9" s="12"/>
      <c r="N9" s="1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5.5" customHeight="1" x14ac:dyDescent="0.25">
      <c r="A10" s="567" t="s">
        <v>167</v>
      </c>
      <c r="B10" s="568"/>
      <c r="C10" s="568"/>
      <c r="D10" s="568"/>
      <c r="E10" s="568"/>
      <c r="F10" s="568"/>
      <c r="G10" s="568"/>
      <c r="H10" s="568"/>
      <c r="I10" s="568"/>
      <c r="J10" s="56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8" customHeight="1" x14ac:dyDescent="0.25">
      <c r="A11" s="573" t="s">
        <v>9</v>
      </c>
      <c r="B11" s="574"/>
      <c r="C11" s="574"/>
      <c r="D11" s="574"/>
      <c r="E11" s="574"/>
      <c r="F11" s="574"/>
      <c r="G11" s="574"/>
      <c r="H11" s="574"/>
      <c r="I11" s="574"/>
      <c r="J11" s="575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75" customHeight="1" x14ac:dyDescent="0.25">
      <c r="A12" s="339" t="s">
        <v>10</v>
      </c>
      <c r="B12" s="340"/>
      <c r="C12" s="340"/>
      <c r="D12" s="340"/>
      <c r="E12" s="340"/>
      <c r="F12" s="340"/>
      <c r="G12" s="340"/>
      <c r="H12" s="340"/>
      <c r="I12" s="340"/>
      <c r="J12" s="34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.75" customHeight="1" x14ac:dyDescent="0.25">
      <c r="A13" s="267" t="s">
        <v>11</v>
      </c>
      <c r="B13" s="262"/>
      <c r="C13" s="268"/>
      <c r="D13" s="268" t="s">
        <v>2</v>
      </c>
      <c r="E13" s="496">
        <f>+FORMATO!M15</f>
        <v>0</v>
      </c>
      <c r="F13" s="269"/>
      <c r="G13" s="269"/>
      <c r="H13" s="270" t="s">
        <v>12</v>
      </c>
      <c r="I13" s="271" t="s">
        <v>2</v>
      </c>
      <c r="J13" s="383">
        <f>+FORMATO!C11</f>
        <v>0</v>
      </c>
      <c r="K13" s="1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customHeight="1" x14ac:dyDescent="0.25">
      <c r="A14" s="267" t="s">
        <v>13</v>
      </c>
      <c r="B14" s="262"/>
      <c r="C14" s="268"/>
      <c r="D14" s="268" t="s">
        <v>2</v>
      </c>
      <c r="E14" s="496">
        <f>+FORMATO!M16</f>
        <v>0</v>
      </c>
      <c r="F14" s="269"/>
      <c r="G14" s="269"/>
      <c r="H14" s="270" t="s">
        <v>14</v>
      </c>
      <c r="I14" s="271" t="s">
        <v>2</v>
      </c>
      <c r="J14" s="342">
        <f>+FORMATO!M12</f>
        <v>0</v>
      </c>
      <c r="K14" s="14"/>
      <c r="L14" s="2"/>
      <c r="M14" s="2"/>
      <c r="N14" s="2"/>
      <c r="O14" s="2" t="s">
        <v>15</v>
      </c>
      <c r="P14" s="2"/>
      <c r="Q14" s="2"/>
      <c r="R14" s="2"/>
      <c r="S14" s="2"/>
      <c r="T14" s="2"/>
      <c r="U14" s="2"/>
      <c r="V14" s="2"/>
      <c r="W14" s="2"/>
      <c r="X14" s="2"/>
    </row>
    <row r="15" spans="1:24" ht="15.75" customHeight="1" x14ac:dyDescent="0.25">
      <c r="A15" s="272" t="s">
        <v>151</v>
      </c>
      <c r="B15" s="262"/>
      <c r="C15" s="268"/>
      <c r="D15" s="268" t="s">
        <v>2</v>
      </c>
      <c r="E15" s="496">
        <f>+FORMATO!M17</f>
        <v>0</v>
      </c>
      <c r="F15" s="269"/>
      <c r="G15" s="269"/>
      <c r="H15" s="270" t="s">
        <v>16</v>
      </c>
      <c r="I15" s="271" t="s">
        <v>2</v>
      </c>
      <c r="J15" s="342">
        <f>+FORMATO!M13</f>
        <v>0</v>
      </c>
      <c r="K15" s="14"/>
      <c r="L15" s="2"/>
      <c r="M15" s="2"/>
      <c r="N15" s="2"/>
      <c r="O15" s="15">
        <v>1</v>
      </c>
      <c r="P15" s="2"/>
      <c r="Q15" s="2"/>
      <c r="R15" s="2"/>
      <c r="S15" s="2"/>
      <c r="T15" s="2"/>
      <c r="U15" s="2"/>
      <c r="V15" s="2"/>
      <c r="W15" s="2"/>
      <c r="X15" s="2"/>
    </row>
    <row r="16" spans="1:24" ht="15.75" customHeight="1" x14ac:dyDescent="0.25">
      <c r="A16" s="343" t="s">
        <v>17</v>
      </c>
      <c r="B16" s="344"/>
      <c r="C16" s="345"/>
      <c r="D16" s="345" t="s">
        <v>2</v>
      </c>
      <c r="E16" s="346" t="s">
        <v>18</v>
      </c>
      <c r="F16" s="285"/>
      <c r="G16" s="344"/>
      <c r="H16" s="347"/>
      <c r="I16" s="345"/>
      <c r="J16" s="348"/>
      <c r="K16" s="14"/>
      <c r="L16" s="2"/>
      <c r="M16" s="2"/>
      <c r="N16" s="2"/>
      <c r="O16" s="15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customHeight="1" x14ac:dyDescent="0.25">
      <c r="A17" s="274"/>
      <c r="B17" s="275"/>
      <c r="C17" s="275"/>
      <c r="D17" s="275"/>
      <c r="E17" s="275"/>
      <c r="F17" s="275"/>
      <c r="G17" s="275"/>
      <c r="H17" s="275"/>
      <c r="I17" s="275"/>
      <c r="J17" s="276"/>
      <c r="K17" s="16"/>
      <c r="L17" s="17"/>
      <c r="M17" s="17"/>
      <c r="N17" s="17"/>
      <c r="O17" s="15">
        <v>3</v>
      </c>
      <c r="P17" s="17"/>
      <c r="Q17" s="17"/>
      <c r="R17" s="17"/>
      <c r="S17" s="17"/>
      <c r="T17" s="2"/>
      <c r="U17" s="2"/>
      <c r="V17" s="2"/>
      <c r="W17" s="2"/>
      <c r="X17" s="2"/>
    </row>
    <row r="18" spans="1:24" ht="15.75" customHeight="1" x14ac:dyDescent="0.25">
      <c r="A18" s="274"/>
      <c r="B18" s="275"/>
      <c r="C18" s="275"/>
      <c r="D18" s="275"/>
      <c r="E18" s="576" t="s">
        <v>19</v>
      </c>
      <c r="F18" s="577"/>
      <c r="G18" s="18" t="s">
        <v>20</v>
      </c>
      <c r="H18" s="18" t="s">
        <v>21</v>
      </c>
      <c r="I18" s="275"/>
      <c r="J18" s="276"/>
      <c r="K18" s="16"/>
      <c r="L18" s="17"/>
      <c r="M18" s="17"/>
      <c r="N18" s="17"/>
      <c r="O18" s="17"/>
      <c r="P18" s="17"/>
      <c r="Q18" s="17"/>
      <c r="R18" s="17"/>
      <c r="S18" s="17"/>
      <c r="T18" s="2"/>
      <c r="U18" s="2"/>
      <c r="V18" s="2"/>
      <c r="W18" s="2"/>
      <c r="X18" s="2"/>
    </row>
    <row r="19" spans="1:24" ht="21" customHeight="1" x14ac:dyDescent="0.25">
      <c r="A19" s="277"/>
      <c r="B19" s="273"/>
      <c r="C19" s="262"/>
      <c r="D19" s="262"/>
      <c r="E19" s="570" t="s">
        <v>161</v>
      </c>
      <c r="F19" s="571"/>
      <c r="G19" s="33" t="s">
        <v>23</v>
      </c>
      <c r="H19" s="33" t="e">
        <f>ROUND(DATOS!M30,0)</f>
        <v>#VALUE!</v>
      </c>
      <c r="I19" s="278"/>
      <c r="J19" s="279"/>
      <c r="K19" s="19"/>
      <c r="L19" s="20"/>
      <c r="M19" s="2"/>
      <c r="N19" s="21"/>
      <c r="O19" s="22"/>
      <c r="P19" s="23"/>
      <c r="Q19" s="2"/>
      <c r="R19" s="23"/>
      <c r="S19" s="23"/>
      <c r="T19" s="24"/>
      <c r="U19" s="24"/>
      <c r="V19" s="24"/>
      <c r="W19" s="2"/>
      <c r="X19" s="2"/>
    </row>
    <row r="20" spans="1:24" ht="21" customHeight="1" x14ac:dyDescent="0.25">
      <c r="A20" s="277"/>
      <c r="B20" s="273"/>
      <c r="C20" s="262"/>
      <c r="D20" s="262"/>
      <c r="E20" s="570" t="s">
        <v>162</v>
      </c>
      <c r="F20" s="571"/>
      <c r="G20" s="33" t="s">
        <v>23</v>
      </c>
      <c r="H20" s="33" t="str">
        <f>+DATOS!M33</f>
        <v/>
      </c>
      <c r="I20" s="280"/>
      <c r="J20" s="281"/>
      <c r="K20" s="2"/>
      <c r="L20" s="25"/>
      <c r="M20" s="2"/>
      <c r="N20" s="21"/>
      <c r="O20" s="22"/>
      <c r="P20" s="23"/>
      <c r="Q20" s="2"/>
      <c r="R20" s="23"/>
      <c r="S20" s="23"/>
      <c r="T20" s="23"/>
      <c r="U20" s="19"/>
      <c r="V20" s="23"/>
      <c r="W20" s="2"/>
      <c r="X20" s="2"/>
    </row>
    <row r="21" spans="1:24" ht="21" customHeight="1" x14ac:dyDescent="0.25">
      <c r="A21" s="277"/>
      <c r="B21" s="273"/>
      <c r="C21" s="262"/>
      <c r="D21" s="262"/>
      <c r="E21" s="572" t="s">
        <v>25</v>
      </c>
      <c r="F21" s="571"/>
      <c r="G21" s="26" t="s">
        <v>26</v>
      </c>
      <c r="H21" s="26" t="str">
        <f>+DATOS!M34</f>
        <v/>
      </c>
      <c r="I21" s="282"/>
      <c r="J21" s="283"/>
      <c r="K21" s="2"/>
      <c r="L21" s="20"/>
      <c r="M21" s="2"/>
      <c r="N21" s="21"/>
      <c r="O21" s="22"/>
      <c r="P21" s="23"/>
      <c r="Q21" s="2"/>
      <c r="R21" s="23"/>
      <c r="S21" s="23"/>
      <c r="T21" s="27"/>
      <c r="U21" s="27"/>
      <c r="V21" s="27"/>
      <c r="W21" s="2"/>
      <c r="X21" s="2"/>
    </row>
    <row r="22" spans="1:24" ht="13.5" customHeight="1" x14ac:dyDescent="0.25">
      <c r="A22" s="284"/>
      <c r="B22" s="285"/>
      <c r="C22" s="285"/>
      <c r="D22" s="285"/>
      <c r="E22" s="285"/>
      <c r="F22" s="285"/>
      <c r="G22" s="285"/>
      <c r="H22" s="285"/>
      <c r="I22" s="286"/>
      <c r="J22" s="287"/>
      <c r="K22" s="2"/>
      <c r="L22" s="20"/>
      <c r="M22" s="2"/>
      <c r="N22" s="21"/>
      <c r="O22" s="22"/>
      <c r="P22" s="23"/>
      <c r="Q22" s="2"/>
      <c r="R22" s="23"/>
      <c r="S22" s="23"/>
      <c r="T22" s="27"/>
      <c r="U22" s="27"/>
      <c r="V22" s="27"/>
      <c r="W22" s="2"/>
      <c r="X22" s="2"/>
    </row>
    <row r="23" spans="1:24" ht="3.75" customHeight="1" x14ac:dyDescent="0.25">
      <c r="A23" s="28"/>
      <c r="B23" s="28"/>
      <c r="C23" s="29"/>
      <c r="D23" s="29"/>
      <c r="E23" s="29"/>
      <c r="F23" s="30"/>
      <c r="G23" s="31"/>
      <c r="H23" s="2"/>
      <c r="I23" s="27"/>
      <c r="J23" s="2"/>
      <c r="K23" s="2"/>
      <c r="L23" s="20"/>
      <c r="M23" s="2"/>
      <c r="N23" s="21"/>
      <c r="O23" s="22"/>
      <c r="P23" s="23"/>
      <c r="Q23" s="2"/>
      <c r="R23" s="23"/>
      <c r="S23" s="23"/>
      <c r="T23" s="27"/>
      <c r="U23" s="27"/>
      <c r="V23" s="27"/>
      <c r="W23" s="2"/>
      <c r="X23" s="2"/>
    </row>
    <row r="24" spans="1:24" ht="15" customHeight="1" x14ac:dyDescent="0.25">
      <c r="A24" s="28" t="s">
        <v>27</v>
      </c>
      <c r="B24" s="28"/>
      <c r="C24" s="29"/>
      <c r="D24" s="29"/>
      <c r="E24" s="29"/>
      <c r="F24" s="2"/>
      <c r="G24" s="2"/>
      <c r="H24" s="2"/>
      <c r="I24" s="27"/>
      <c r="J24" s="2"/>
      <c r="K24" s="2"/>
      <c r="L24" s="20"/>
      <c r="M24" s="2"/>
      <c r="N24" s="21"/>
      <c r="O24" s="22"/>
      <c r="P24" s="23"/>
      <c r="Q24" s="2"/>
      <c r="R24" s="23"/>
      <c r="S24" s="23"/>
      <c r="T24" s="27"/>
      <c r="U24" s="27"/>
      <c r="V24" s="27"/>
      <c r="W24" s="2"/>
      <c r="X24" s="2"/>
    </row>
    <row r="25" spans="1:24" ht="19.5" customHeight="1" x14ac:dyDescent="0.25">
      <c r="A25" s="32" t="s">
        <v>28</v>
      </c>
      <c r="B25" s="32"/>
      <c r="C25" s="29"/>
      <c r="D25" s="29"/>
      <c r="E25" s="29"/>
      <c r="F25" s="2"/>
      <c r="G25" s="33">
        <f>+DATOS!H16</f>
        <v>0</v>
      </c>
      <c r="H25" s="2"/>
      <c r="I25" s="27"/>
      <c r="J25" s="2"/>
      <c r="K25" s="2"/>
      <c r="L25" s="20"/>
      <c r="M25" s="2"/>
      <c r="N25" s="21"/>
      <c r="O25" s="22"/>
      <c r="P25" s="23"/>
      <c r="Q25" s="2"/>
      <c r="R25" s="23"/>
      <c r="S25" s="23"/>
      <c r="T25" s="27"/>
      <c r="U25" s="27"/>
      <c r="V25" s="27"/>
      <c r="W25" s="2"/>
      <c r="X25" s="2"/>
    </row>
    <row r="26" spans="1:24" ht="19.5" customHeight="1" x14ac:dyDescent="0.25">
      <c r="A26" s="32" t="s">
        <v>29</v>
      </c>
      <c r="B26" s="32"/>
      <c r="C26" s="29"/>
      <c r="D26" s="29"/>
      <c r="E26" s="29"/>
      <c r="F26" s="2"/>
      <c r="G26" s="34" t="str">
        <f>+DATOS!H12</f>
        <v>-</v>
      </c>
      <c r="H26" s="35"/>
      <c r="I26" s="27"/>
      <c r="J26" s="2"/>
      <c r="K26" s="2"/>
      <c r="L26" s="20"/>
      <c r="M26" s="2"/>
      <c r="N26" s="21"/>
      <c r="O26" s="22"/>
      <c r="P26" s="23"/>
      <c r="Q26" s="2"/>
      <c r="R26" s="23"/>
      <c r="S26" s="23"/>
      <c r="T26" s="27"/>
      <c r="U26" s="27"/>
      <c r="V26" s="27"/>
      <c r="W26" s="2"/>
      <c r="X26" s="2"/>
    </row>
    <row r="27" spans="1:24" ht="9" customHeight="1" x14ac:dyDescent="0.25">
      <c r="A27" s="32"/>
      <c r="B27" s="32"/>
      <c r="C27" s="29"/>
      <c r="D27" s="29"/>
      <c r="E27" s="29"/>
      <c r="F27" s="2"/>
      <c r="G27" s="2"/>
      <c r="H27" s="2"/>
      <c r="I27" s="27"/>
      <c r="J27" s="2"/>
      <c r="K27" s="2"/>
      <c r="L27" s="20"/>
      <c r="M27" s="2"/>
      <c r="N27" s="21"/>
      <c r="O27" s="22"/>
      <c r="P27" s="23"/>
      <c r="Q27" s="2"/>
      <c r="R27" s="23"/>
      <c r="S27" s="23"/>
      <c r="T27" s="27"/>
      <c r="U27" s="27"/>
      <c r="V27" s="27"/>
      <c r="W27" s="2"/>
      <c r="X27" s="2"/>
    </row>
    <row r="28" spans="1:24" ht="15.75" customHeight="1" x14ac:dyDescent="0.25">
      <c r="A28" s="36" t="s">
        <v>30</v>
      </c>
      <c r="B28" s="37"/>
      <c r="C28" s="2"/>
      <c r="D28" s="2"/>
      <c r="E28" s="2"/>
      <c r="F28" s="2"/>
      <c r="G28" s="2"/>
      <c r="H28" s="2"/>
      <c r="I28" s="27"/>
      <c r="J28" s="2"/>
      <c r="K28" s="2"/>
      <c r="L28" s="20"/>
      <c r="M28" s="2"/>
      <c r="N28" s="21"/>
      <c r="O28" s="22"/>
      <c r="P28" s="23"/>
      <c r="Q28" s="2"/>
      <c r="R28" s="23"/>
      <c r="S28" s="23"/>
      <c r="T28" s="27"/>
      <c r="U28" s="27"/>
      <c r="V28" s="27"/>
      <c r="W28" s="2"/>
      <c r="X28" s="2"/>
    </row>
    <row r="29" spans="1:24" ht="15.75" customHeight="1" x14ac:dyDescent="0.25">
      <c r="A29" s="504" t="s">
        <v>227</v>
      </c>
      <c r="B29" s="504"/>
      <c r="C29" s="504"/>
      <c r="D29" s="505"/>
      <c r="E29" s="505"/>
      <c r="F29" s="506"/>
      <c r="G29" s="507"/>
      <c r="H29" s="507"/>
      <c r="I29" s="507"/>
      <c r="J29" s="507"/>
      <c r="K29" s="39"/>
      <c r="L29" s="25"/>
      <c r="M29" s="2"/>
      <c r="N29" s="21"/>
      <c r="O29" s="22"/>
      <c r="P29" s="23"/>
      <c r="Q29" s="2"/>
      <c r="R29" s="23"/>
      <c r="S29" s="23"/>
      <c r="T29" s="27"/>
      <c r="U29" s="27"/>
      <c r="V29" s="27"/>
      <c r="W29" s="2"/>
      <c r="X29" s="2"/>
    </row>
    <row r="30" spans="1:24" ht="36" customHeight="1" x14ac:dyDescent="0.25">
      <c r="A30" s="561" t="s">
        <v>228</v>
      </c>
      <c r="B30" s="561"/>
      <c r="C30" s="561"/>
      <c r="D30" s="561"/>
      <c r="E30" s="561"/>
      <c r="F30" s="561"/>
      <c r="G30" s="561"/>
      <c r="H30" s="561"/>
      <c r="I30" s="561"/>
      <c r="J30" s="561"/>
      <c r="K30" s="2"/>
      <c r="L30" s="25"/>
      <c r="M30" s="2"/>
      <c r="N30" s="21"/>
      <c r="O30" s="22"/>
      <c r="P30" s="23"/>
      <c r="Q30" s="2"/>
      <c r="R30" s="23"/>
      <c r="S30" s="23"/>
      <c r="T30" s="27"/>
      <c r="U30" s="27"/>
      <c r="V30" s="27"/>
      <c r="W30" s="2"/>
      <c r="X30" s="2"/>
    </row>
    <row r="31" spans="1:24" ht="15" customHeight="1" x14ac:dyDescent="0.25">
      <c r="A31" s="561" t="s">
        <v>229</v>
      </c>
      <c r="B31" s="561"/>
      <c r="C31" s="561"/>
      <c r="D31" s="561"/>
      <c r="E31" s="561"/>
      <c r="F31" s="561"/>
      <c r="G31" s="561"/>
      <c r="H31" s="561"/>
      <c r="I31" s="561"/>
      <c r="J31" s="561"/>
      <c r="K31" s="40"/>
      <c r="L31" s="25"/>
      <c r="M31" s="2"/>
      <c r="N31" s="21"/>
      <c r="O31" s="22"/>
      <c r="P31" s="23"/>
      <c r="Q31" s="2"/>
      <c r="R31" s="23"/>
      <c r="S31" s="23"/>
      <c r="T31" s="27"/>
      <c r="U31" s="27"/>
      <c r="V31" s="27"/>
      <c r="W31" s="2"/>
      <c r="X31" s="2"/>
    </row>
    <row r="32" spans="1:24" ht="27" customHeight="1" x14ac:dyDescent="0.25">
      <c r="A32" s="561" t="s">
        <v>230</v>
      </c>
      <c r="B32" s="561"/>
      <c r="C32" s="561"/>
      <c r="D32" s="561"/>
      <c r="E32" s="561"/>
      <c r="F32" s="561"/>
      <c r="G32" s="561"/>
      <c r="H32" s="561"/>
      <c r="I32" s="561"/>
      <c r="J32" s="561"/>
      <c r="K32" s="2"/>
      <c r="L32" s="25"/>
      <c r="M32" s="2"/>
      <c r="N32" s="21"/>
      <c r="O32" s="22"/>
      <c r="P32" s="23"/>
      <c r="Q32" s="2"/>
      <c r="R32" s="23"/>
      <c r="S32" s="23"/>
      <c r="T32" s="23"/>
      <c r="U32" s="23"/>
      <c r="V32" s="23"/>
      <c r="W32" s="2"/>
      <c r="X32" s="2"/>
    </row>
    <row r="33" spans="1:24" ht="23.4" customHeight="1" x14ac:dyDescent="0.25">
      <c r="A33" s="562" t="s">
        <v>231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338"/>
      <c r="L33" s="338"/>
      <c r="M33" s="338"/>
      <c r="N33" s="338"/>
      <c r="O33" s="22"/>
      <c r="P33" s="23"/>
      <c r="Q33" s="2"/>
      <c r="R33" s="23"/>
      <c r="S33" s="23"/>
      <c r="T33" s="23"/>
      <c r="U33" s="23"/>
      <c r="V33" s="23"/>
      <c r="W33" s="2"/>
      <c r="X33" s="2"/>
    </row>
    <row r="34" spans="1:24" ht="6.75" customHeight="1" x14ac:dyDescent="0.25">
      <c r="A34" s="36"/>
      <c r="B34" s="36"/>
      <c r="C34" s="38"/>
      <c r="D34" s="38"/>
      <c r="E34" s="38"/>
      <c r="F34" s="2"/>
      <c r="G34" s="2"/>
      <c r="H34" s="2"/>
      <c r="I34" s="2"/>
      <c r="J34" s="2"/>
      <c r="K34" s="27"/>
      <c r="L34" s="25"/>
      <c r="M34" s="2"/>
      <c r="N34" s="21"/>
      <c r="O34" s="22"/>
      <c r="P34" s="23"/>
      <c r="Q34" s="2"/>
      <c r="R34" s="23"/>
      <c r="S34" s="23"/>
      <c r="T34" s="23"/>
      <c r="U34" s="23"/>
      <c r="V34" s="23"/>
      <c r="W34" s="2"/>
      <c r="X34" s="2"/>
    </row>
    <row r="35" spans="1:24" ht="15.75" customHeight="1" x14ac:dyDescent="0.25">
      <c r="A35" s="36" t="s">
        <v>31</v>
      </c>
      <c r="B35" s="36"/>
      <c r="C35" s="27"/>
      <c r="D35" s="27"/>
      <c r="E35" s="27"/>
      <c r="F35" s="27"/>
      <c r="G35" s="27"/>
      <c r="H35" s="27"/>
      <c r="I35" s="27"/>
      <c r="J35" s="27"/>
      <c r="K35" s="27"/>
      <c r="L35" s="25"/>
      <c r="M35" s="2"/>
      <c r="N35" s="21"/>
      <c r="O35" s="22"/>
      <c r="P35" s="23"/>
      <c r="Q35" s="2"/>
      <c r="R35" s="23"/>
      <c r="S35" s="23"/>
      <c r="T35" s="2"/>
      <c r="U35" s="2"/>
      <c r="V35" s="2"/>
      <c r="W35" s="2"/>
      <c r="X35" s="2"/>
    </row>
    <row r="36" spans="1:24" ht="16.5" customHeight="1" x14ac:dyDescent="0.25">
      <c r="A36" s="42"/>
      <c r="B36" s="43"/>
      <c r="C36" s="41"/>
      <c r="D36" s="41"/>
      <c r="E36" s="41"/>
      <c r="F36" s="41"/>
      <c r="G36" s="41"/>
      <c r="H36" s="41"/>
      <c r="I36" s="41"/>
      <c r="J36" s="41"/>
      <c r="K36" s="27"/>
      <c r="L36" s="25"/>
      <c r="M36" s="2"/>
      <c r="N36" s="21"/>
      <c r="O36" s="22"/>
      <c r="P36" s="23"/>
      <c r="Q36" s="2"/>
      <c r="R36" s="23"/>
      <c r="S36" s="23"/>
      <c r="T36" s="2"/>
      <c r="U36" s="2"/>
      <c r="V36" s="2"/>
      <c r="W36" s="2"/>
      <c r="X36" s="2"/>
    </row>
    <row r="37" spans="1:24" ht="15.75" customHeight="1" x14ac:dyDescent="0.25">
      <c r="A37" s="36"/>
      <c r="B37" s="36"/>
      <c r="C37" s="38"/>
      <c r="D37" s="38"/>
      <c r="E37" s="38"/>
      <c r="F37" s="38"/>
      <c r="G37" s="38"/>
      <c r="H37" s="38"/>
      <c r="I37" s="38"/>
      <c r="J37" s="38"/>
      <c r="K37" s="27"/>
      <c r="L37" s="25"/>
      <c r="M37" s="2"/>
      <c r="N37" s="21"/>
      <c r="O37" s="22"/>
      <c r="P37" s="23"/>
      <c r="Q37" s="2"/>
      <c r="R37" s="23"/>
      <c r="S37" s="23"/>
      <c r="T37" s="2"/>
      <c r="U37" s="2"/>
      <c r="V37" s="2"/>
      <c r="W37" s="2"/>
      <c r="X37" s="2"/>
    </row>
    <row r="38" spans="1:24" ht="28.8" customHeight="1" x14ac:dyDescent="0.25">
      <c r="A38" s="36"/>
      <c r="B38" s="36"/>
      <c r="C38" s="38"/>
      <c r="D38" s="38"/>
      <c r="E38" s="38"/>
      <c r="F38" s="38"/>
      <c r="G38" s="38"/>
      <c r="H38" s="38"/>
      <c r="I38" s="38"/>
      <c r="J38" s="38"/>
      <c r="K38" s="27"/>
      <c r="L38" s="25"/>
      <c r="M38" s="2"/>
      <c r="N38" s="21"/>
      <c r="O38" s="22"/>
      <c r="P38" s="23"/>
      <c r="Q38" s="2"/>
      <c r="R38" s="23"/>
      <c r="S38" s="23"/>
      <c r="T38" s="2"/>
      <c r="U38" s="2"/>
      <c r="V38" s="2"/>
      <c r="W38" s="2"/>
      <c r="X38" s="2"/>
    </row>
    <row r="39" spans="1:24" ht="15.75" customHeight="1" x14ac:dyDescent="0.25">
      <c r="A39" s="36"/>
      <c r="B39" s="36"/>
      <c r="C39" s="38"/>
      <c r="D39" s="38"/>
      <c r="E39" s="38"/>
      <c r="F39" s="38"/>
      <c r="G39" s="38"/>
      <c r="H39" s="38"/>
      <c r="I39" s="38"/>
      <c r="J39" s="38"/>
      <c r="K39" s="27"/>
      <c r="L39" s="25"/>
      <c r="M39" s="2"/>
      <c r="N39" s="21"/>
      <c r="O39" s="22"/>
      <c r="P39" s="23"/>
      <c r="Q39" s="2"/>
      <c r="R39" s="23"/>
      <c r="S39" s="23"/>
      <c r="T39" s="2"/>
      <c r="U39" s="2"/>
      <c r="V39" s="2"/>
      <c r="W39" s="2"/>
      <c r="X39" s="2"/>
    </row>
    <row r="40" spans="1:24" ht="15.75" customHeight="1" x14ac:dyDescent="0.25">
      <c r="A40" s="36"/>
      <c r="B40" s="36"/>
      <c r="C40" s="38"/>
      <c r="D40" s="38"/>
      <c r="E40" s="38"/>
      <c r="F40" s="38"/>
      <c r="G40" s="38"/>
      <c r="H40" s="38"/>
      <c r="I40" s="38"/>
      <c r="J40" s="38"/>
      <c r="K40" s="27"/>
      <c r="L40" s="25"/>
      <c r="M40" s="2"/>
      <c r="N40" s="21"/>
      <c r="O40" s="22"/>
      <c r="P40" s="23"/>
      <c r="Q40" s="2"/>
      <c r="R40" s="23"/>
      <c r="S40" s="23"/>
      <c r="T40" s="2"/>
      <c r="U40" s="2"/>
      <c r="V40" s="2"/>
      <c r="W40" s="2"/>
      <c r="X40" s="2"/>
    </row>
    <row r="41" spans="1:24" ht="15.75" customHeight="1" x14ac:dyDescent="0.25">
      <c r="A41" s="36"/>
      <c r="B41" s="36"/>
      <c r="C41" s="38"/>
      <c r="D41" s="38"/>
      <c r="E41" s="38"/>
      <c r="F41" s="38"/>
      <c r="G41" s="38"/>
      <c r="H41" s="38"/>
      <c r="I41" s="38"/>
      <c r="J41" s="38"/>
      <c r="K41" s="27"/>
      <c r="L41" s="25"/>
      <c r="M41" s="2"/>
      <c r="N41" s="21"/>
      <c r="O41" s="22"/>
      <c r="P41" s="23"/>
      <c r="Q41" s="2"/>
      <c r="R41" s="23"/>
      <c r="S41" s="23"/>
      <c r="T41" s="2"/>
      <c r="U41" s="2"/>
      <c r="V41" s="2"/>
      <c r="W41" s="2"/>
      <c r="X41" s="2"/>
    </row>
    <row r="42" spans="1:24" ht="15.75" customHeight="1" x14ac:dyDescent="0.25">
      <c r="A42" s="36"/>
      <c r="B42" s="36"/>
      <c r="C42" s="38"/>
      <c r="D42" s="38"/>
      <c r="E42" s="38"/>
      <c r="F42" s="2"/>
      <c r="G42" s="2"/>
      <c r="H42" s="2"/>
      <c r="I42" s="2"/>
      <c r="J42" s="2"/>
      <c r="K42" s="27"/>
      <c r="L42" s="25"/>
      <c r="M42" s="2"/>
      <c r="N42" s="21"/>
      <c r="O42" s="22"/>
      <c r="P42" s="23"/>
      <c r="Q42" s="2"/>
      <c r="R42" s="23"/>
      <c r="S42" s="23"/>
      <c r="T42" s="2"/>
      <c r="U42" s="2"/>
      <c r="V42" s="2"/>
      <c r="W42" s="2"/>
      <c r="X42" s="2"/>
    </row>
    <row r="43" spans="1:24" ht="15.75" customHeight="1" x14ac:dyDescent="0.25">
      <c r="A43" s="6" t="s">
        <v>32</v>
      </c>
      <c r="B43" s="6"/>
      <c r="C43" s="2"/>
      <c r="D43" s="2"/>
      <c r="E43" s="2"/>
      <c r="F43" s="2"/>
      <c r="G43" s="2"/>
      <c r="H43" s="2"/>
      <c r="I43" s="2"/>
      <c r="J43" s="2"/>
      <c r="K43" s="23"/>
      <c r="L43" s="25"/>
      <c r="M43" s="2"/>
      <c r="N43" s="25"/>
      <c r="O43" s="23"/>
      <c r="P43" s="23"/>
      <c r="Q43" s="2"/>
      <c r="R43" s="23"/>
      <c r="S43" s="25"/>
      <c r="T43" s="2"/>
      <c r="U43" s="2"/>
      <c r="V43" s="2"/>
      <c r="W43" s="2"/>
      <c r="X43" s="2"/>
    </row>
    <row r="44" spans="1:24" ht="15.75" customHeight="1" x14ac:dyDescent="0.25">
      <c r="A44" s="6" t="s">
        <v>232</v>
      </c>
      <c r="B44" s="6"/>
      <c r="C44" s="2"/>
      <c r="D44" s="2"/>
      <c r="E44" s="2"/>
      <c r="F44" s="2"/>
      <c r="G44" s="2"/>
      <c r="H44" s="2"/>
      <c r="I44" s="2"/>
      <c r="J44" s="44" t="s">
        <v>33</v>
      </c>
      <c r="K44" s="2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3.5" customHeight="1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30.75" customHeight="1" x14ac:dyDescent="0.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3.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3.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3.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3.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3.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3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3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3.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3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3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3.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3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3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3.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3.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3.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3.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3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3.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3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3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3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3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3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3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3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3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3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3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</sheetData>
  <sheetProtection algorithmName="SHA-512" hashValue="Frfnxq9nwP2hoskuFaSWNjBfkMtWS05EVsGo+EZ6s1Qjo4nDCr0hsQQfgFPLODY5fQWjrfN5YLGQNaAY5kINNw==" saltValue="oeazzZczi8yssDJ0TgR3ZA==" spinCount="100000" sheet="1" objects="1" scenarios="1"/>
  <mergeCells count="17">
    <mergeCell ref="M7:N7"/>
    <mergeCell ref="A10:J10"/>
    <mergeCell ref="E19:F19"/>
    <mergeCell ref="E20:F20"/>
    <mergeCell ref="E21:F21"/>
    <mergeCell ref="A11:J11"/>
    <mergeCell ref="E18:F18"/>
    <mergeCell ref="C7:G7"/>
    <mergeCell ref="C8:G8"/>
    <mergeCell ref="A32:J32"/>
    <mergeCell ref="A33:J33"/>
    <mergeCell ref="A2:J2"/>
    <mergeCell ref="A3:J3"/>
    <mergeCell ref="A31:J31"/>
    <mergeCell ref="C5:G5"/>
    <mergeCell ref="C6:G6"/>
    <mergeCell ref="A30:J30"/>
  </mergeCells>
  <printOptions horizontalCentered="1"/>
  <pageMargins left="0" right="0" top="1.5748031496062993" bottom="0" header="0" footer="0"/>
  <pageSetup paperSize="274" scale="95" orientation="portrait" r:id="rId1"/>
  <headerFooter scaleWithDoc="0">
    <oddHeader xml:space="preserve">&amp;C&amp;G
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8"/>
  <sheetViews>
    <sheetView showGridLines="0" workbookViewId="0">
      <selection activeCell="G9" sqref="G9"/>
    </sheetView>
  </sheetViews>
  <sheetFormatPr baseColWidth="10" defaultColWidth="12.5546875" defaultRowHeight="15" customHeight="1" x14ac:dyDescent="0.25"/>
  <cols>
    <col min="1" max="1" width="5.109375" style="126" customWidth="1"/>
    <col min="2" max="2" width="14.5546875" style="126" customWidth="1"/>
    <col min="3" max="3" width="14.88671875" style="126" customWidth="1"/>
    <col min="4" max="4" width="3.6640625" style="126" customWidth="1"/>
    <col min="5" max="11" width="14" style="126" customWidth="1"/>
    <col min="12" max="12" width="16.44140625" style="126" customWidth="1"/>
    <col min="13" max="18" width="12.6640625" style="126" customWidth="1"/>
    <col min="19" max="19" width="13.44140625" style="126" customWidth="1"/>
    <col min="20" max="20" width="15.109375" style="126" customWidth="1"/>
    <col min="21" max="23" width="7.44140625" style="126" customWidth="1"/>
    <col min="24" max="24" width="10.44140625" style="126" customWidth="1"/>
    <col min="25" max="27" width="5.5546875" style="126" customWidth="1"/>
    <col min="28" max="16384" width="12.5546875" style="126"/>
  </cols>
  <sheetData>
    <row r="1" spans="1:27" ht="7.5" customHeight="1" thickBot="1" x14ac:dyDescent="0.3">
      <c r="A1" s="181"/>
      <c r="B1" s="181"/>
      <c r="C1" s="181"/>
      <c r="D1" s="182"/>
      <c r="E1" s="182"/>
      <c r="F1" s="182"/>
      <c r="G1" s="182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25"/>
      <c r="T1" s="125"/>
      <c r="U1" s="125"/>
      <c r="V1" s="125"/>
      <c r="W1" s="125"/>
      <c r="X1" s="125"/>
      <c r="Y1" s="125"/>
      <c r="Z1" s="125"/>
      <c r="AA1" s="125"/>
    </row>
    <row r="2" spans="1:27" ht="15.75" customHeight="1" x14ac:dyDescent="0.25">
      <c r="A2" s="601" t="s">
        <v>167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3"/>
      <c r="S2" s="125"/>
      <c r="T2" s="125"/>
      <c r="U2" s="125"/>
      <c r="V2" s="125"/>
      <c r="W2" s="125"/>
      <c r="X2" s="125"/>
      <c r="Y2" s="125"/>
      <c r="Z2" s="125"/>
      <c r="AA2" s="125"/>
    </row>
    <row r="3" spans="1:27" ht="12" customHeight="1" thickBot="1" x14ac:dyDescent="0.3">
      <c r="A3" s="604" t="s">
        <v>9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  <c r="N3" s="605"/>
      <c r="O3" s="605"/>
      <c r="P3" s="605"/>
      <c r="Q3" s="605"/>
      <c r="R3" s="606"/>
      <c r="S3" s="125"/>
      <c r="T3" s="125"/>
      <c r="U3" s="125"/>
      <c r="V3" s="125"/>
      <c r="W3" s="125"/>
      <c r="X3" s="125"/>
      <c r="Y3" s="125"/>
      <c r="Z3" s="125"/>
      <c r="AA3" s="125"/>
    </row>
    <row r="4" spans="1:27" ht="3.75" customHeight="1" x14ac:dyDescent="0.25">
      <c r="A4" s="202"/>
      <c r="B4" s="203"/>
      <c r="C4" s="203"/>
      <c r="D4" s="204"/>
      <c r="E4" s="204"/>
      <c r="F4" s="204"/>
      <c r="G4" s="204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6"/>
      <c r="S4" s="125"/>
      <c r="T4" s="125"/>
      <c r="U4" s="125"/>
      <c r="V4" s="125"/>
      <c r="W4" s="125"/>
      <c r="X4" s="125"/>
      <c r="Y4" s="125"/>
      <c r="Z4" s="125"/>
      <c r="AA4" s="125"/>
    </row>
    <row r="5" spans="1:27" ht="15.75" customHeight="1" x14ac:dyDescent="0.25">
      <c r="A5" s="207" t="s">
        <v>35</v>
      </c>
      <c r="B5" s="184"/>
      <c r="C5" s="184"/>
      <c r="D5" s="184"/>
      <c r="E5" s="184"/>
      <c r="F5" s="184"/>
      <c r="G5" s="184"/>
      <c r="H5" s="179"/>
      <c r="I5" s="179"/>
      <c r="J5" s="179"/>
      <c r="K5" s="179"/>
      <c r="L5" s="179"/>
      <c r="M5" s="185"/>
      <c r="N5" s="186"/>
      <c r="O5" s="186"/>
      <c r="P5" s="186"/>
      <c r="Q5" s="186"/>
      <c r="R5" s="208"/>
      <c r="S5" s="125"/>
      <c r="T5" s="128"/>
      <c r="U5" s="128"/>
      <c r="V5" s="125"/>
      <c r="W5" s="125"/>
      <c r="X5" s="125"/>
      <c r="Y5" s="125"/>
      <c r="Z5" s="125"/>
      <c r="AA5" s="125"/>
    </row>
    <row r="6" spans="1:27" ht="18" customHeight="1" x14ac:dyDescent="0.25">
      <c r="A6" s="207" t="s">
        <v>36</v>
      </c>
      <c r="B6" s="184"/>
      <c r="C6" s="187">
        <f>+balanza!C10</f>
        <v>1</v>
      </c>
      <c r="D6" s="184" t="s">
        <v>23</v>
      </c>
      <c r="E6" s="184"/>
      <c r="F6" s="184"/>
      <c r="G6" s="184"/>
      <c r="H6" s="188"/>
      <c r="I6" s="188"/>
      <c r="J6" s="188"/>
      <c r="K6" s="188"/>
      <c r="L6" s="188"/>
      <c r="M6" s="188"/>
      <c r="N6" s="186"/>
      <c r="O6" s="186"/>
      <c r="P6" s="186"/>
      <c r="Q6" s="186"/>
      <c r="R6" s="209"/>
      <c r="S6" s="125"/>
      <c r="T6" s="125"/>
      <c r="U6" s="125"/>
      <c r="V6" s="125"/>
      <c r="W6" s="125"/>
      <c r="X6" s="125"/>
      <c r="Y6" s="125"/>
      <c r="Z6" s="125"/>
      <c r="AA6" s="125"/>
    </row>
    <row r="7" spans="1:27" ht="18" customHeight="1" x14ac:dyDescent="0.25">
      <c r="A7" s="207" t="s">
        <v>37</v>
      </c>
      <c r="B7" s="184"/>
      <c r="C7" s="356">
        <f>+balanza!C7</f>
        <v>-1.4899999999999999E-6</v>
      </c>
      <c r="D7" s="184"/>
      <c r="E7" s="184"/>
      <c r="F7" s="184"/>
      <c r="G7" s="184"/>
      <c r="H7" s="190"/>
      <c r="I7" s="190"/>
      <c r="J7" s="190"/>
      <c r="K7" s="190"/>
      <c r="L7" s="190"/>
      <c r="M7" s="190"/>
      <c r="N7" s="186"/>
      <c r="O7" s="186"/>
      <c r="P7" s="186"/>
      <c r="Q7" s="186"/>
      <c r="R7" s="209"/>
      <c r="S7" s="125"/>
      <c r="T7" s="125"/>
      <c r="U7" s="125"/>
      <c r="V7" s="125"/>
      <c r="W7" s="125"/>
      <c r="X7" s="125"/>
      <c r="Y7" s="125"/>
      <c r="Z7" s="125"/>
      <c r="AA7" s="125"/>
    </row>
    <row r="8" spans="1:27" ht="13.5" customHeight="1" x14ac:dyDescent="0.25">
      <c r="A8" s="207" t="s">
        <v>38</v>
      </c>
      <c r="B8" s="184"/>
      <c r="C8" s="189" t="str">
        <f>+balanza!C11</f>
        <v>EQP-0054</v>
      </c>
      <c r="D8" s="184"/>
      <c r="E8" s="184"/>
      <c r="F8" s="184"/>
      <c r="G8" s="184"/>
      <c r="H8" s="191"/>
      <c r="I8" s="191"/>
      <c r="J8" s="192"/>
      <c r="K8" s="192"/>
      <c r="L8" s="192"/>
      <c r="M8" s="185"/>
      <c r="N8" s="186"/>
      <c r="O8" s="186"/>
      <c r="P8" s="186"/>
      <c r="Q8" s="186"/>
      <c r="R8" s="209"/>
      <c r="S8" s="125"/>
      <c r="T8" s="125"/>
      <c r="U8" s="125"/>
      <c r="V8" s="125"/>
      <c r="W8" s="125"/>
      <c r="X8" s="125"/>
      <c r="Y8" s="125"/>
      <c r="Z8" s="125"/>
      <c r="AA8" s="125"/>
    </row>
    <row r="9" spans="1:27" ht="15.75" customHeight="1" x14ac:dyDescent="0.25">
      <c r="A9" s="207" t="s">
        <v>40</v>
      </c>
      <c r="B9" s="184"/>
      <c r="C9" s="193">
        <f>+balanza!D12</f>
        <v>46160</v>
      </c>
      <c r="D9" s="184"/>
      <c r="E9" s="194"/>
      <c r="F9" s="184"/>
      <c r="G9" s="184"/>
      <c r="H9" s="195"/>
      <c r="I9" s="195"/>
      <c r="J9" s="195"/>
      <c r="K9" s="195"/>
      <c r="L9" s="195"/>
      <c r="M9" s="195"/>
      <c r="N9" s="183"/>
      <c r="O9" s="186"/>
      <c r="P9" s="186"/>
      <c r="Q9" s="186"/>
      <c r="R9" s="209"/>
      <c r="S9" s="125"/>
      <c r="T9" s="125"/>
      <c r="U9" s="125"/>
      <c r="V9" s="125"/>
      <c r="W9" s="125"/>
      <c r="X9" s="125"/>
      <c r="Y9" s="125"/>
      <c r="Z9" s="125"/>
      <c r="AA9" s="125"/>
    </row>
    <row r="10" spans="1:27" ht="3.75" customHeight="1" x14ac:dyDescent="0.25">
      <c r="A10" s="210"/>
      <c r="B10" s="196"/>
      <c r="C10" s="197"/>
      <c r="D10" s="198"/>
      <c r="E10" s="198"/>
      <c r="F10" s="198"/>
      <c r="G10" s="198"/>
      <c r="H10" s="199"/>
      <c r="I10" s="199"/>
      <c r="J10" s="198"/>
      <c r="K10" s="198"/>
      <c r="L10" s="198"/>
      <c r="M10" s="200"/>
      <c r="N10" s="201"/>
      <c r="O10" s="186"/>
      <c r="P10" s="186"/>
      <c r="Q10" s="186"/>
      <c r="R10" s="209"/>
      <c r="S10" s="125"/>
      <c r="T10" s="125"/>
      <c r="U10" s="125"/>
      <c r="V10" s="125"/>
      <c r="W10" s="125"/>
      <c r="X10" s="125"/>
      <c r="Y10" s="125"/>
      <c r="Z10" s="125"/>
      <c r="AA10" s="125"/>
    </row>
    <row r="11" spans="1:27" ht="15.75" customHeight="1" x14ac:dyDescent="0.25">
      <c r="A11" s="211"/>
      <c r="B11" s="179"/>
      <c r="C11" s="179"/>
      <c r="D11" s="179"/>
      <c r="E11" s="179"/>
      <c r="F11" s="179"/>
      <c r="G11" s="179"/>
      <c r="H11" s="290" t="s">
        <v>159</v>
      </c>
      <c r="I11" s="290" t="s">
        <v>160</v>
      </c>
      <c r="J11" s="179"/>
      <c r="K11" s="179"/>
      <c r="L11" s="179"/>
      <c r="M11" s="598" t="s">
        <v>41</v>
      </c>
      <c r="N11" s="599"/>
      <c r="O11" s="599"/>
      <c r="P11" s="180"/>
      <c r="Q11" s="180"/>
      <c r="R11" s="212"/>
      <c r="S11" s="130"/>
      <c r="T11" s="130"/>
      <c r="U11" s="130"/>
      <c r="V11" s="130"/>
      <c r="W11" s="130"/>
      <c r="X11" s="130"/>
      <c r="Y11" s="125"/>
      <c r="Z11" s="125"/>
      <c r="AA11" s="125"/>
    </row>
    <row r="12" spans="1:27" ht="15.75" customHeight="1" x14ac:dyDescent="0.25">
      <c r="A12" s="211"/>
      <c r="B12" s="600" t="s">
        <v>19</v>
      </c>
      <c r="C12" s="588"/>
      <c r="D12" s="131" t="s">
        <v>20</v>
      </c>
      <c r="E12" s="132" t="s">
        <v>21</v>
      </c>
      <c r="F12" s="213"/>
      <c r="G12" s="133" t="s">
        <v>42</v>
      </c>
      <c r="H12" s="300" t="s">
        <v>15</v>
      </c>
      <c r="I12" s="133" t="s">
        <v>15</v>
      </c>
      <c r="J12" s="179"/>
      <c r="K12" s="179"/>
      <c r="L12" s="179"/>
      <c r="M12" s="179"/>
      <c r="N12" s="214"/>
      <c r="O12" s="214"/>
      <c r="P12" s="214"/>
      <c r="Q12" s="214"/>
      <c r="R12" s="212"/>
      <c r="S12" s="130"/>
      <c r="T12" s="130"/>
      <c r="U12" s="130"/>
      <c r="V12" s="130"/>
      <c r="W12" s="130"/>
      <c r="X12" s="130"/>
      <c r="Y12" s="125"/>
      <c r="Z12" s="125"/>
      <c r="AA12" s="125"/>
    </row>
    <row r="13" spans="1:27" ht="18.75" customHeight="1" x14ac:dyDescent="0.25">
      <c r="A13" s="211"/>
      <c r="B13" s="597" t="s">
        <v>44</v>
      </c>
      <c r="C13" s="588"/>
      <c r="D13" s="135" t="s">
        <v>23</v>
      </c>
      <c r="E13" s="175">
        <f>+FORMATO!E17</f>
        <v>0</v>
      </c>
      <c r="F13" s="213"/>
      <c r="G13" s="136" t="s">
        <v>150</v>
      </c>
      <c r="H13" s="174"/>
      <c r="I13" s="133" t="e">
        <f>+IF(H13=P34,"Cumple","No Cumple")</f>
        <v>#N/A</v>
      </c>
      <c r="K13" s="179"/>
      <c r="L13" s="179"/>
      <c r="M13" s="179"/>
      <c r="N13" s="214"/>
      <c r="O13" s="214"/>
      <c r="P13" s="214"/>
      <c r="Q13" s="214"/>
      <c r="R13" s="215"/>
      <c r="S13" s="130"/>
      <c r="T13" s="130"/>
      <c r="U13" s="130"/>
      <c r="V13" s="130"/>
      <c r="W13" s="130"/>
      <c r="X13" s="130"/>
      <c r="Y13" s="125"/>
      <c r="Z13" s="125"/>
      <c r="AA13" s="125"/>
    </row>
    <row r="14" spans="1:27" ht="18.75" customHeight="1" x14ac:dyDescent="0.25">
      <c r="A14" s="211"/>
      <c r="B14" s="597" t="s">
        <v>45</v>
      </c>
      <c r="C14" s="588"/>
      <c r="D14" s="135" t="s">
        <v>23</v>
      </c>
      <c r="E14" s="175">
        <f>+FORMATO!E18</f>
        <v>0</v>
      </c>
      <c r="F14" s="213"/>
      <c r="G14" s="136" t="s">
        <v>154</v>
      </c>
      <c r="H14" s="487">
        <f>+FORMATO!E41</f>
        <v>0</v>
      </c>
      <c r="I14" s="136" t="e">
        <f>IF(AND(O34=H12,H14&gt;Q34,H14&lt;R34),"Cumple","No Cumple")</f>
        <v>#N/A</v>
      </c>
      <c r="K14" s="179"/>
      <c r="L14" s="179"/>
      <c r="M14" s="179"/>
      <c r="N14" s="214"/>
      <c r="O14" s="214"/>
      <c r="P14" s="214"/>
      <c r="Q14" s="214"/>
      <c r="R14" s="215"/>
      <c r="S14" s="130"/>
      <c r="T14" s="130"/>
      <c r="U14" s="130"/>
      <c r="V14" s="130"/>
      <c r="W14" s="130"/>
      <c r="X14" s="130"/>
      <c r="Y14" s="125"/>
      <c r="Z14" s="125"/>
      <c r="AA14" s="125"/>
    </row>
    <row r="15" spans="1:27" ht="18.75" customHeight="1" x14ac:dyDescent="0.25">
      <c r="A15" s="211"/>
      <c r="B15" s="597" t="s">
        <v>47</v>
      </c>
      <c r="C15" s="588"/>
      <c r="D15" s="135" t="s">
        <v>23</v>
      </c>
      <c r="E15" s="175">
        <f>+FORMATO!E19</f>
        <v>0</v>
      </c>
      <c r="F15" s="213"/>
      <c r="G15" s="325" t="s">
        <v>46</v>
      </c>
      <c r="H15" s="326"/>
      <c r="I15" s="290">
        <f>+FORMATO!G11</f>
        <v>0</v>
      </c>
      <c r="J15" s="179"/>
      <c r="K15" s="179"/>
      <c r="L15" s="179"/>
      <c r="M15" s="179"/>
      <c r="N15" s="214"/>
      <c r="O15" s="214"/>
      <c r="P15" s="214"/>
      <c r="Q15" s="214"/>
      <c r="R15" s="215"/>
      <c r="S15" s="130"/>
      <c r="T15" s="130"/>
      <c r="U15" s="130"/>
      <c r="V15" s="130"/>
      <c r="W15" s="130"/>
      <c r="X15" s="130"/>
      <c r="Y15" s="125"/>
      <c r="Z15" s="125"/>
      <c r="AA15" s="125"/>
    </row>
    <row r="16" spans="1:27" ht="18.75" customHeight="1" x14ac:dyDescent="0.25">
      <c r="A16" s="211"/>
      <c r="B16" s="597" t="s">
        <v>48</v>
      </c>
      <c r="C16" s="588"/>
      <c r="D16" s="138"/>
      <c r="E16" s="138" t="e">
        <f>(E14-E15)/E15*100</f>
        <v>#DIV/0!</v>
      </c>
      <c r="F16" s="324" t="e">
        <f>IF(E16&lt;0.1,"cumple","no cumple")</f>
        <v>#DIV/0!</v>
      </c>
      <c r="G16" s="136" t="s">
        <v>168</v>
      </c>
      <c r="H16" s="327"/>
      <c r="I16" s="179"/>
      <c r="J16" s="179"/>
      <c r="K16" s="179"/>
      <c r="L16" s="179"/>
      <c r="M16" s="179"/>
      <c r="N16" s="214"/>
      <c r="O16" s="214"/>
      <c r="P16" s="214"/>
      <c r="Q16" s="214"/>
      <c r="R16" s="215"/>
      <c r="S16" s="130"/>
      <c r="T16" s="130"/>
      <c r="U16" s="130"/>
      <c r="V16" s="130"/>
      <c r="W16" s="130"/>
      <c r="X16" s="130"/>
      <c r="Y16" s="125"/>
      <c r="Z16" s="125"/>
      <c r="AA16" s="125"/>
    </row>
    <row r="17" spans="1:27" ht="15.75" customHeight="1" thickBot="1" x14ac:dyDescent="0.3">
      <c r="A17" s="211"/>
      <c r="B17" s="139"/>
      <c r="C17" s="139"/>
      <c r="D17" s="139"/>
      <c r="E17" s="139"/>
      <c r="F17" s="213"/>
      <c r="G17" s="213"/>
      <c r="H17" s="183"/>
      <c r="I17" s="179"/>
      <c r="J17" s="179"/>
      <c r="K17" s="179"/>
      <c r="L17" s="179"/>
      <c r="M17" s="179"/>
      <c r="N17" s="214"/>
      <c r="O17" s="214"/>
      <c r="P17" s="214"/>
      <c r="Q17" s="214"/>
      <c r="R17" s="215"/>
      <c r="S17" s="130"/>
      <c r="T17" s="130"/>
      <c r="U17" s="130"/>
      <c r="V17" s="130"/>
      <c r="W17" s="130"/>
      <c r="X17" s="130"/>
      <c r="Y17" s="125"/>
      <c r="Z17" s="125"/>
      <c r="AA17" s="125"/>
    </row>
    <row r="18" spans="1:27" ht="15.75" customHeight="1" x14ac:dyDescent="0.25">
      <c r="A18" s="216"/>
      <c r="B18" s="591" t="s">
        <v>49</v>
      </c>
      <c r="C18" s="586"/>
      <c r="D18" s="360"/>
      <c r="E18" s="592" t="s">
        <v>50</v>
      </c>
      <c r="F18" s="593"/>
      <c r="G18" s="593"/>
      <c r="H18" s="593"/>
      <c r="I18" s="593"/>
      <c r="J18" s="593"/>
      <c r="K18" s="593"/>
      <c r="L18" s="594"/>
      <c r="M18" s="595" t="s">
        <v>164</v>
      </c>
      <c r="N18" s="596"/>
      <c r="O18" s="596"/>
      <c r="P18" s="596"/>
      <c r="Q18" s="214"/>
      <c r="R18" s="215"/>
      <c r="S18" s="142"/>
      <c r="T18" s="142"/>
      <c r="U18" s="141"/>
      <c r="V18" s="579"/>
      <c r="W18" s="580"/>
      <c r="X18" s="580"/>
      <c r="Y18" s="125"/>
      <c r="Z18" s="125"/>
      <c r="AA18" s="125"/>
    </row>
    <row r="19" spans="1:27" ht="15.75" customHeight="1" x14ac:dyDescent="0.25">
      <c r="A19" s="216"/>
      <c r="B19" s="222" t="s">
        <v>51</v>
      </c>
      <c r="C19" s="143" t="s">
        <v>52</v>
      </c>
      <c r="D19" s="140"/>
      <c r="E19" s="131" t="s">
        <v>43</v>
      </c>
      <c r="F19" s="131" t="s">
        <v>53</v>
      </c>
      <c r="G19" s="131" t="s">
        <v>54</v>
      </c>
      <c r="H19" s="131" t="s">
        <v>55</v>
      </c>
      <c r="I19" s="144" t="s">
        <v>56</v>
      </c>
      <c r="J19" s="131" t="s">
        <v>57</v>
      </c>
      <c r="K19" s="144" t="s">
        <v>58</v>
      </c>
      <c r="L19" s="361" t="s">
        <v>59</v>
      </c>
      <c r="M19" s="357" t="s">
        <v>60</v>
      </c>
      <c r="N19" s="301" t="s">
        <v>61</v>
      </c>
      <c r="O19" s="301" t="s">
        <v>62</v>
      </c>
      <c r="P19" s="301" t="s">
        <v>63</v>
      </c>
      <c r="Q19" s="192"/>
      <c r="R19" s="215"/>
      <c r="S19" s="141"/>
      <c r="T19" s="125"/>
      <c r="U19" s="145"/>
      <c r="V19" s="141"/>
      <c r="W19" s="145"/>
      <c r="X19" s="125"/>
      <c r="Y19" s="125"/>
      <c r="Z19" s="125"/>
      <c r="AA19" s="125"/>
    </row>
    <row r="20" spans="1:27" ht="19.5" customHeight="1" x14ac:dyDescent="0.25">
      <c r="A20" s="216"/>
      <c r="B20" s="362">
        <v>1.5</v>
      </c>
      <c r="C20" s="146">
        <v>1</v>
      </c>
      <c r="D20" s="140"/>
      <c r="E20" s="176">
        <f>+FORMATO!E29</f>
        <v>0</v>
      </c>
      <c r="F20" s="162">
        <f>+E20+$C$7*E20</f>
        <v>0</v>
      </c>
      <c r="G20" s="147" t="s">
        <v>15</v>
      </c>
      <c r="H20" s="302" t="s">
        <v>15</v>
      </c>
      <c r="I20" s="131" t="s">
        <v>15</v>
      </c>
      <c r="J20" s="143" t="s">
        <v>15</v>
      </c>
      <c r="K20" s="131" t="s">
        <v>15</v>
      </c>
      <c r="L20" s="363" t="s">
        <v>15</v>
      </c>
      <c r="M20" s="358" t="str">
        <f>IF(E20="","",IF(AND(E20&lt;=1275,E20&gt;=1225),"cumple","no cumple"))</f>
        <v>no cumple</v>
      </c>
      <c r="N20" s="295"/>
      <c r="O20" s="148"/>
      <c r="P20" s="148"/>
      <c r="Q20" s="289"/>
      <c r="R20" s="215"/>
      <c r="S20" s="141"/>
      <c r="T20" s="125"/>
      <c r="U20" s="145"/>
      <c r="V20" s="141"/>
      <c r="W20" s="145"/>
      <c r="X20" s="125"/>
      <c r="Y20" s="125"/>
      <c r="Z20" s="125"/>
      <c r="AA20" s="125"/>
    </row>
    <row r="21" spans="1:27" ht="19.5" customHeight="1" x14ac:dyDescent="0.25">
      <c r="A21" s="216"/>
      <c r="B21" s="362">
        <v>1</v>
      </c>
      <c r="C21" s="146">
        <v>0.75</v>
      </c>
      <c r="D21" s="140"/>
      <c r="E21" s="176">
        <f>+FORMATO!E30</f>
        <v>0</v>
      </c>
      <c r="F21" s="162">
        <f t="shared" ref="F21:F23" si="0">+E21+$C$7*E21</f>
        <v>0</v>
      </c>
      <c r="G21" s="147" t="s">
        <v>15</v>
      </c>
      <c r="H21" s="302" t="s">
        <v>15</v>
      </c>
      <c r="I21" s="131" t="s">
        <v>15</v>
      </c>
      <c r="J21" s="143" t="s">
        <v>15</v>
      </c>
      <c r="K21" s="131" t="s">
        <v>15</v>
      </c>
      <c r="L21" s="363" t="s">
        <v>15</v>
      </c>
      <c r="M21" s="358" t="str">
        <f t="shared" ref="M21" si="1">IF(E21="","",IF(AND(E21&lt;=1275,E21&gt;=1225),"cumple","no cumple"))</f>
        <v>no cumple</v>
      </c>
      <c r="N21" s="295"/>
      <c r="O21" s="148"/>
      <c r="P21" s="148"/>
      <c r="Q21" s="289"/>
      <c r="R21" s="215"/>
      <c r="S21" s="149"/>
      <c r="T21" s="149"/>
      <c r="U21" s="149"/>
      <c r="V21" s="141"/>
      <c r="W21" s="150"/>
      <c r="X21" s="125"/>
      <c r="Y21" s="125"/>
      <c r="Z21" s="125"/>
      <c r="AA21" s="125"/>
    </row>
    <row r="22" spans="1:27" ht="19.5" customHeight="1" x14ac:dyDescent="0.25">
      <c r="A22" s="216"/>
      <c r="B22" s="362">
        <v>0.75</v>
      </c>
      <c r="C22" s="146">
        <v>0.5</v>
      </c>
      <c r="D22" s="140"/>
      <c r="E22" s="176">
        <f>+FORMATO!E31</f>
        <v>0</v>
      </c>
      <c r="F22" s="162">
        <f t="shared" si="0"/>
        <v>0</v>
      </c>
      <c r="G22" s="177">
        <f>+FORMATO!F31</f>
        <v>0</v>
      </c>
      <c r="H22" s="162">
        <f>+G22+$C$7*G22</f>
        <v>0</v>
      </c>
      <c r="I22" s="131" t="s">
        <v>15</v>
      </c>
      <c r="J22" s="143" t="s">
        <v>15</v>
      </c>
      <c r="K22" s="131" t="s">
        <v>15</v>
      </c>
      <c r="L22" s="363" t="s">
        <v>15</v>
      </c>
      <c r="M22" s="358" t="str">
        <f t="shared" ref="M22:M23" si="2">IF(E22="","",IF(AND(E22&lt;=1260,E22&gt;=1240),"cumple","no cumple"))</f>
        <v>no cumple</v>
      </c>
      <c r="N22" s="162" t="str">
        <f t="shared" ref="N22:N23" si="3">IF(G22="","",IF(AND(G22&lt;=2510,G22&gt;=2490),"cumple","no cumple"))</f>
        <v>no cumple</v>
      </c>
      <c r="O22" s="148"/>
      <c r="P22" s="148"/>
      <c r="Q22" s="289"/>
      <c r="R22" s="215"/>
      <c r="S22" s="149"/>
      <c r="T22" s="149"/>
      <c r="U22" s="149"/>
      <c r="V22" s="149"/>
      <c r="W22" s="149"/>
      <c r="X22" s="149"/>
      <c r="Y22" s="125"/>
      <c r="Z22" s="125"/>
      <c r="AA22" s="125"/>
    </row>
    <row r="23" spans="1:27" ht="19.5" customHeight="1" x14ac:dyDescent="0.25">
      <c r="A23" s="216"/>
      <c r="B23" s="362">
        <v>0.5</v>
      </c>
      <c r="C23" s="146">
        <v>0.375</v>
      </c>
      <c r="D23" s="140"/>
      <c r="E23" s="176">
        <f>+FORMATO!E32</f>
        <v>0</v>
      </c>
      <c r="F23" s="162">
        <f t="shared" si="0"/>
        <v>0</v>
      </c>
      <c r="G23" s="177">
        <f>+FORMATO!F32</f>
        <v>0</v>
      </c>
      <c r="H23" s="162">
        <f>+G23+$C$7*G23</f>
        <v>0</v>
      </c>
      <c r="I23" s="131" t="s">
        <v>15</v>
      </c>
      <c r="J23" s="143" t="s">
        <v>15</v>
      </c>
      <c r="K23" s="131" t="s">
        <v>15</v>
      </c>
      <c r="L23" s="363" t="s">
        <v>15</v>
      </c>
      <c r="M23" s="358" t="str">
        <f t="shared" si="2"/>
        <v>no cumple</v>
      </c>
      <c r="N23" s="162" t="str">
        <f t="shared" si="3"/>
        <v>no cumple</v>
      </c>
      <c r="O23" s="162"/>
      <c r="P23" s="162"/>
      <c r="Q23" s="219"/>
      <c r="R23" s="215"/>
      <c r="S23" s="142"/>
      <c r="T23" s="142"/>
      <c r="U23" s="142"/>
      <c r="V23" s="581"/>
      <c r="W23" s="580"/>
      <c r="X23" s="151"/>
      <c r="Y23" s="582"/>
      <c r="Z23" s="580"/>
      <c r="AA23" s="580"/>
    </row>
    <row r="24" spans="1:27" ht="19.5" customHeight="1" x14ac:dyDescent="0.25">
      <c r="A24" s="216"/>
      <c r="B24" s="362">
        <v>0.375</v>
      </c>
      <c r="C24" s="146">
        <v>0.25</v>
      </c>
      <c r="D24" s="140"/>
      <c r="E24" s="152" t="s">
        <v>15</v>
      </c>
      <c r="F24" s="152" t="s">
        <v>15</v>
      </c>
      <c r="G24" s="135" t="s">
        <v>15</v>
      </c>
      <c r="H24" s="135" t="s">
        <v>15</v>
      </c>
      <c r="I24" s="178">
        <f>+FORMATO!G33</f>
        <v>0</v>
      </c>
      <c r="J24" s="162">
        <f>+I24+$C$7*I24</f>
        <v>0</v>
      </c>
      <c r="K24" s="131" t="s">
        <v>15</v>
      </c>
      <c r="L24" s="363" t="s">
        <v>15</v>
      </c>
      <c r="M24" s="359"/>
      <c r="N24" s="162"/>
      <c r="O24" s="162" t="str">
        <f t="shared" ref="O24:O25" si="4">IF(I24="","",IF(AND(I24&lt;=2510,I24&gt;=2490),"cumple","no cumple"))</f>
        <v>no cumple</v>
      </c>
      <c r="P24" s="162"/>
      <c r="Q24" s="219"/>
      <c r="R24" s="215"/>
      <c r="S24" s="151"/>
      <c r="T24" s="151"/>
      <c r="U24" s="151"/>
      <c r="V24" s="151"/>
      <c r="W24" s="151"/>
      <c r="X24" s="151"/>
      <c r="Y24" s="580"/>
      <c r="Z24" s="580"/>
      <c r="AA24" s="580"/>
    </row>
    <row r="25" spans="1:27" ht="19.5" customHeight="1" x14ac:dyDescent="0.25">
      <c r="A25" s="216"/>
      <c r="B25" s="362">
        <v>0.25</v>
      </c>
      <c r="C25" s="146" t="s">
        <v>64</v>
      </c>
      <c r="D25" s="140"/>
      <c r="E25" s="152" t="s">
        <v>15</v>
      </c>
      <c r="F25" s="152" t="s">
        <v>15</v>
      </c>
      <c r="G25" s="135" t="s">
        <v>15</v>
      </c>
      <c r="H25" s="135" t="s">
        <v>15</v>
      </c>
      <c r="I25" s="178">
        <f>+FORMATO!G34</f>
        <v>0</v>
      </c>
      <c r="J25" s="162">
        <f>+I25+$C$7*I25</f>
        <v>0</v>
      </c>
      <c r="K25" s="131" t="s">
        <v>15</v>
      </c>
      <c r="L25" s="363" t="s">
        <v>15</v>
      </c>
      <c r="M25" s="359"/>
      <c r="N25" s="162"/>
      <c r="O25" s="162" t="str">
        <f t="shared" si="4"/>
        <v>no cumple</v>
      </c>
      <c r="P25" s="162"/>
      <c r="Q25" s="219"/>
      <c r="R25" s="215"/>
      <c r="S25" s="151"/>
      <c r="T25" s="151"/>
      <c r="U25" s="151"/>
      <c r="V25" s="151"/>
      <c r="W25" s="151"/>
      <c r="X25" s="151"/>
      <c r="Y25" s="580"/>
      <c r="Z25" s="580"/>
      <c r="AA25" s="580"/>
    </row>
    <row r="26" spans="1:27" ht="19.5" customHeight="1" x14ac:dyDescent="0.25">
      <c r="A26" s="216"/>
      <c r="B26" s="362" t="s">
        <v>64</v>
      </c>
      <c r="C26" s="146" t="s">
        <v>65</v>
      </c>
      <c r="D26" s="140"/>
      <c r="E26" s="152" t="s">
        <v>15</v>
      </c>
      <c r="F26" s="152" t="s">
        <v>15</v>
      </c>
      <c r="G26" s="135" t="s">
        <v>15</v>
      </c>
      <c r="H26" s="135" t="s">
        <v>15</v>
      </c>
      <c r="I26" s="131" t="s">
        <v>15</v>
      </c>
      <c r="J26" s="131" t="s">
        <v>15</v>
      </c>
      <c r="K26" s="178">
        <f>+FORMATO!H35</f>
        <v>0</v>
      </c>
      <c r="L26" s="364">
        <f>+K26+$C$7*K26</f>
        <v>0</v>
      </c>
      <c r="M26" s="359"/>
      <c r="N26" s="296"/>
      <c r="O26" s="162"/>
      <c r="P26" s="162" t="str">
        <f t="shared" ref="P26:P27" si="5">IF(K26="","",IF(AND(K26&lt;=5010,K26&gt;=4990),"cumple","no cumple"))</f>
        <v>no cumple</v>
      </c>
      <c r="Q26" s="219"/>
      <c r="R26" s="215"/>
      <c r="S26" s="151"/>
      <c r="T26" s="151"/>
      <c r="U26" s="151"/>
      <c r="V26" s="151"/>
      <c r="W26" s="151"/>
      <c r="X26" s="151"/>
      <c r="Y26" s="580"/>
      <c r="Z26" s="580"/>
      <c r="AA26" s="580"/>
    </row>
    <row r="27" spans="1:27" ht="19.5" customHeight="1" thickBot="1" x14ac:dyDescent="0.3">
      <c r="A27" s="216"/>
      <c r="B27" s="583" t="s">
        <v>66</v>
      </c>
      <c r="C27" s="584"/>
      <c r="D27" s="365"/>
      <c r="E27" s="366">
        <f>SUM(E20:E23)</f>
        <v>0</v>
      </c>
      <c r="F27" s="366">
        <f>IF(E20="","",SUM(F20:F23))</f>
        <v>0</v>
      </c>
      <c r="G27" s="367">
        <f>SUM(G22:G23)</f>
        <v>0</v>
      </c>
      <c r="H27" s="367">
        <f>IF(G22="","",SUM(H22:H23))</f>
        <v>0</v>
      </c>
      <c r="I27" s="367">
        <f>SUM(I23:I26)</f>
        <v>0</v>
      </c>
      <c r="J27" s="366">
        <f>IF(I24="","",SUM(J24:J25))</f>
        <v>0</v>
      </c>
      <c r="K27" s="367">
        <f>SUM(K23:K26)</f>
        <v>0</v>
      </c>
      <c r="L27" s="368">
        <f>IF(K26="","",SUM(L26))</f>
        <v>0</v>
      </c>
      <c r="M27" s="358" t="str">
        <f>IF(E27="","",IF(AND(E27&lt;=5010,E27&gt;=4990),"cumple","no cumple"))</f>
        <v>no cumple</v>
      </c>
      <c r="N27" s="162" t="str">
        <f>IF(G27="","",IF(AND(G27&lt;=5010,G27&gt;=4990),"cumple","no cumple"))</f>
        <v>no cumple</v>
      </c>
      <c r="O27" s="162" t="str">
        <f>IF(I27="","",IF(AND(I27&lt;=5010,I27&gt;=4990),"cumple","no cumple"))</f>
        <v>no cumple</v>
      </c>
      <c r="P27" s="162" t="str">
        <f t="shared" si="5"/>
        <v>no cumple</v>
      </c>
      <c r="Q27" s="219"/>
      <c r="R27" s="215"/>
      <c r="S27" s="151"/>
      <c r="T27" s="151"/>
      <c r="U27" s="151"/>
      <c r="V27" s="151"/>
      <c r="W27" s="151"/>
      <c r="X27" s="151"/>
      <c r="Y27" s="154"/>
      <c r="Z27" s="154"/>
      <c r="AA27" s="154"/>
    </row>
    <row r="28" spans="1:27" ht="15.75" customHeight="1" thickBot="1" x14ac:dyDescent="0.3">
      <c r="A28" s="216"/>
      <c r="B28" s="217"/>
      <c r="C28" s="217"/>
      <c r="D28" s="217"/>
      <c r="E28" s="217"/>
      <c r="F28" s="217"/>
      <c r="G28" s="218"/>
      <c r="H28" s="218"/>
      <c r="I28" s="219"/>
      <c r="J28" s="220"/>
      <c r="K28" s="220"/>
      <c r="L28" s="220"/>
      <c r="M28" s="220"/>
      <c r="N28" s="221"/>
      <c r="O28" s="214"/>
      <c r="P28" s="214"/>
      <c r="Q28" s="214"/>
      <c r="R28" s="215"/>
      <c r="S28" s="159"/>
      <c r="T28" s="125"/>
      <c r="U28" s="160"/>
      <c r="V28" s="125"/>
      <c r="W28" s="145"/>
      <c r="X28" s="145"/>
      <c r="Y28" s="161"/>
      <c r="Z28" s="161"/>
      <c r="AA28" s="161"/>
    </row>
    <row r="29" spans="1:27" ht="15.75" customHeight="1" x14ac:dyDescent="0.25">
      <c r="A29" s="369" t="s">
        <v>67</v>
      </c>
      <c r="B29" s="585" t="s">
        <v>19</v>
      </c>
      <c r="C29" s="586"/>
      <c r="D29" s="370" t="s">
        <v>20</v>
      </c>
      <c r="E29" s="379" t="s">
        <v>60</v>
      </c>
      <c r="F29" s="380" t="s">
        <v>68</v>
      </c>
      <c r="G29" s="379" t="s">
        <v>61</v>
      </c>
      <c r="H29" s="380" t="s">
        <v>69</v>
      </c>
      <c r="I29" s="379" t="s">
        <v>62</v>
      </c>
      <c r="J29" s="380" t="s">
        <v>70</v>
      </c>
      <c r="K29" s="379" t="s">
        <v>63</v>
      </c>
      <c r="L29" s="380" t="s">
        <v>71</v>
      </c>
      <c r="M29" s="371"/>
      <c r="N29" s="221"/>
      <c r="O29" s="136" t="s">
        <v>155</v>
      </c>
      <c r="P29" s="136" t="s">
        <v>156</v>
      </c>
      <c r="Q29" s="136" t="s">
        <v>157</v>
      </c>
      <c r="R29" s="136" t="s">
        <v>158</v>
      </c>
      <c r="S29" s="159"/>
      <c r="T29" s="125"/>
      <c r="U29" s="160"/>
      <c r="V29" s="125"/>
      <c r="W29" s="145"/>
      <c r="X29" s="145"/>
      <c r="Y29" s="161"/>
      <c r="Z29" s="161"/>
      <c r="AA29" s="161"/>
    </row>
    <row r="30" spans="1:27" ht="25.5" customHeight="1" x14ac:dyDescent="0.25">
      <c r="A30" s="223" t="s">
        <v>72</v>
      </c>
      <c r="B30" s="597" t="s">
        <v>161</v>
      </c>
      <c r="C30" s="588"/>
      <c r="D30" s="135" t="s">
        <v>23</v>
      </c>
      <c r="E30" s="153"/>
      <c r="F30" s="162">
        <f>+F27</f>
        <v>0</v>
      </c>
      <c r="G30" s="153"/>
      <c r="H30" s="162">
        <f>+H27</f>
        <v>0</v>
      </c>
      <c r="I30" s="153"/>
      <c r="J30" s="162">
        <f>+J27</f>
        <v>0</v>
      </c>
      <c r="K30" s="153"/>
      <c r="L30" s="162">
        <f>+L27</f>
        <v>0</v>
      </c>
      <c r="M30" s="364" t="str">
        <f>IF(H12="A",F30,IF(H12="B",H30,IF(H12="C",J30,IF(H12="D",L30,""))))</f>
        <v/>
      </c>
      <c r="N30" s="221"/>
      <c r="O30" s="137" t="s">
        <v>43</v>
      </c>
      <c r="P30" s="137">
        <v>12</v>
      </c>
      <c r="Q30" s="137">
        <v>4975</v>
      </c>
      <c r="R30" s="137">
        <v>5025</v>
      </c>
      <c r="S30" s="159"/>
      <c r="T30" s="125"/>
      <c r="U30" s="160"/>
      <c r="V30" s="125"/>
      <c r="W30" s="145"/>
      <c r="X30" s="145"/>
      <c r="Y30" s="161"/>
      <c r="Z30" s="161"/>
      <c r="AA30" s="161"/>
    </row>
    <row r="31" spans="1:27" ht="25.5" customHeight="1" x14ac:dyDescent="0.25">
      <c r="A31" s="223" t="s">
        <v>73</v>
      </c>
      <c r="B31" s="587" t="s">
        <v>162</v>
      </c>
      <c r="C31" s="588"/>
      <c r="D31" s="163" t="s">
        <v>23</v>
      </c>
      <c r="E31" s="259">
        <f>+FORMATO!E43</f>
        <v>0</v>
      </c>
      <c r="F31" s="162"/>
      <c r="G31" s="176">
        <f>+FORMATO!F43</f>
        <v>0</v>
      </c>
      <c r="H31" s="162"/>
      <c r="I31" s="176">
        <f>+FORMATO!G43</f>
        <v>0</v>
      </c>
      <c r="J31" s="162"/>
      <c r="K31" s="176">
        <f>+FORMATO!H43</f>
        <v>0</v>
      </c>
      <c r="L31" s="162"/>
      <c r="M31" s="364"/>
      <c r="N31" s="221"/>
      <c r="O31" s="137" t="s">
        <v>54</v>
      </c>
      <c r="P31" s="137">
        <v>11</v>
      </c>
      <c r="Q31" s="137">
        <v>4555</v>
      </c>
      <c r="R31" s="137">
        <v>4605</v>
      </c>
      <c r="S31" s="159"/>
      <c r="T31" s="125"/>
      <c r="U31" s="160"/>
      <c r="V31" s="125"/>
      <c r="W31" s="145"/>
      <c r="X31" s="145"/>
      <c r="Y31" s="161"/>
      <c r="Z31" s="161"/>
      <c r="AA31" s="161"/>
    </row>
    <row r="32" spans="1:27" ht="25.5" customHeight="1" x14ac:dyDescent="0.25">
      <c r="A32" s="224" t="s">
        <v>74</v>
      </c>
      <c r="B32" s="587" t="s">
        <v>75</v>
      </c>
      <c r="C32" s="588"/>
      <c r="D32" s="163" t="s">
        <v>23</v>
      </c>
      <c r="E32" s="259">
        <f>+FORMATO!E44</f>
        <v>0</v>
      </c>
      <c r="F32" s="162"/>
      <c r="G32" s="176">
        <f>+FORMATO!F44</f>
        <v>0</v>
      </c>
      <c r="H32" s="162"/>
      <c r="I32" s="176">
        <f>+FORMATO!G44</f>
        <v>0</v>
      </c>
      <c r="J32" s="162"/>
      <c r="K32" s="176">
        <f>+FORMATO!H44</f>
        <v>0</v>
      </c>
      <c r="L32" s="162"/>
      <c r="M32" s="364"/>
      <c r="N32" s="221"/>
      <c r="O32" s="137" t="s">
        <v>56</v>
      </c>
      <c r="P32" s="137">
        <v>8</v>
      </c>
      <c r="Q32" s="137">
        <v>3310</v>
      </c>
      <c r="R32" s="137">
        <v>3350</v>
      </c>
      <c r="S32" s="159"/>
      <c r="T32" s="125"/>
      <c r="U32" s="160"/>
      <c r="V32" s="125"/>
      <c r="W32" s="145"/>
      <c r="X32" s="145"/>
      <c r="Y32" s="161"/>
      <c r="Z32" s="161"/>
      <c r="AA32" s="161"/>
    </row>
    <row r="33" spans="1:27" ht="25.5" customHeight="1" x14ac:dyDescent="0.25">
      <c r="A33" s="224" t="s">
        <v>76</v>
      </c>
      <c r="B33" s="587" t="s">
        <v>77</v>
      </c>
      <c r="C33" s="588"/>
      <c r="D33" s="163" t="s">
        <v>23</v>
      </c>
      <c r="E33" s="259">
        <f>+FORMATO!E45</f>
        <v>0</v>
      </c>
      <c r="F33" s="162">
        <f>E33+$C$7*E33</f>
        <v>0</v>
      </c>
      <c r="G33" s="176">
        <f>+FORMATO!F45</f>
        <v>0</v>
      </c>
      <c r="H33" s="162">
        <f>G33+$C$7*G33</f>
        <v>0</v>
      </c>
      <c r="I33" s="176">
        <f>+FORMATO!G45</f>
        <v>0</v>
      </c>
      <c r="J33" s="162">
        <f>I33+$C$7*I33</f>
        <v>0</v>
      </c>
      <c r="K33" s="176">
        <f>+FORMATO!H45</f>
        <v>0</v>
      </c>
      <c r="L33" s="162">
        <f>K33+$C$7*K33</f>
        <v>0</v>
      </c>
      <c r="M33" s="364" t="str">
        <f>IF(H12="A",F33,IF(H12="B",H33,IF(H12="C",J33,IF(H12="D",L33,""))))</f>
        <v/>
      </c>
      <c r="N33" s="221"/>
      <c r="O33" s="137" t="s">
        <v>58</v>
      </c>
      <c r="P33" s="137">
        <v>6</v>
      </c>
      <c r="Q33" s="137">
        <v>2485</v>
      </c>
      <c r="R33" s="137">
        <v>2515</v>
      </c>
      <c r="S33" s="159"/>
      <c r="T33" s="125"/>
      <c r="U33" s="160"/>
      <c r="V33" s="125"/>
      <c r="W33" s="145"/>
      <c r="X33" s="145"/>
      <c r="Y33" s="161"/>
      <c r="Z33" s="161"/>
      <c r="AA33" s="161"/>
    </row>
    <row r="34" spans="1:27" ht="25.5" customHeight="1" x14ac:dyDescent="0.25">
      <c r="A34" s="224" t="s">
        <v>78</v>
      </c>
      <c r="B34" s="587" t="s">
        <v>79</v>
      </c>
      <c r="C34" s="588"/>
      <c r="D34" s="163" t="s">
        <v>26</v>
      </c>
      <c r="E34" s="164"/>
      <c r="F34" s="164" t="str">
        <f>IF(F33=0,"---",((F30-F33)/F30)*100)</f>
        <v>---</v>
      </c>
      <c r="G34" s="164"/>
      <c r="H34" s="164" t="str">
        <f>IF(H33=0,"---",((H30-H33)/H30)*100)</f>
        <v>---</v>
      </c>
      <c r="I34" s="164"/>
      <c r="J34" s="164" t="str">
        <f>IF(J33=0,"---",((J30-J33)/J30)*100)</f>
        <v>---</v>
      </c>
      <c r="K34" s="164"/>
      <c r="L34" s="164" t="str">
        <f>IF(L33=0,"---",((L30-L33)/L30)*100)</f>
        <v>---</v>
      </c>
      <c r="M34" s="364" t="str">
        <f>IF(H12="A",F34,IF(H12="B",H34,IF(H12="C",J34,IF(H12="D",L34,""))))</f>
        <v/>
      </c>
      <c r="N34" s="221"/>
      <c r="O34" s="137" t="str">
        <f>+H12</f>
        <v>-</v>
      </c>
      <c r="P34" s="137" t="e">
        <f>LOOKUP(O34,O30:O33,P30:P33)</f>
        <v>#N/A</v>
      </c>
      <c r="Q34" s="137" t="e">
        <f>LOOKUP(O34,O30:O33,Q30:Q33)</f>
        <v>#N/A</v>
      </c>
      <c r="R34" s="137" t="e">
        <f>LOOKUP(O34,O30:O33,R30:R33)</f>
        <v>#N/A</v>
      </c>
      <c r="S34" s="159"/>
      <c r="T34" s="125"/>
      <c r="U34" s="160"/>
      <c r="V34" s="125"/>
      <c r="W34" s="145"/>
      <c r="X34" s="145"/>
      <c r="Y34" s="161"/>
      <c r="Z34" s="161"/>
      <c r="AA34" s="161"/>
    </row>
    <row r="35" spans="1:27" ht="21" customHeight="1" x14ac:dyDescent="0.25">
      <c r="A35" s="216"/>
      <c r="B35" s="337" t="s">
        <v>48</v>
      </c>
      <c r="C35" s="293"/>
      <c r="D35" s="294"/>
      <c r="E35" s="291" t="str">
        <f>IF(E27=0,"",(E32-E33)/E33*100)</f>
        <v/>
      </c>
      <c r="F35" s="297" t="str">
        <f>IF(E35="","",IF(E35&lt;0.1,"Cumple","No Cumple"))</f>
        <v/>
      </c>
      <c r="G35" s="291" t="str">
        <f>IF(G27=0,"",(G32-G33)/G33*100)</f>
        <v/>
      </c>
      <c r="H35" s="292" t="str">
        <f>IF(G35="","",IF(G35&lt;0.1,"cumple","no cumple"))</f>
        <v/>
      </c>
      <c r="I35" s="291" t="str">
        <f>IF(I27=0,"",(I32-I33)/I33*100)</f>
        <v/>
      </c>
      <c r="J35" s="328" t="str">
        <f>IF(I35="","",IF(I35&lt;0.1,"cumple","no cumple"))</f>
        <v/>
      </c>
      <c r="K35" s="291" t="str">
        <f>IF(K27=0,"",(K32-K33)/K33*100)</f>
        <v/>
      </c>
      <c r="L35" s="292" t="str">
        <f>IF(K35="","",IF(K35&lt;0.1,"cumple","no cumple"))</f>
        <v/>
      </c>
      <c r="M35" s="372"/>
      <c r="N35" s="221"/>
      <c r="O35" s="214"/>
      <c r="P35" s="214"/>
      <c r="Q35" s="214"/>
      <c r="R35" s="215"/>
      <c r="S35" s="159"/>
      <c r="T35" s="125"/>
      <c r="U35" s="160"/>
      <c r="V35" s="125"/>
      <c r="W35" s="145"/>
      <c r="X35" s="145"/>
      <c r="Y35" s="161"/>
      <c r="Z35" s="161"/>
      <c r="AA35" s="161"/>
    </row>
    <row r="36" spans="1:27" ht="21" customHeight="1" thickBot="1" x14ac:dyDescent="0.3">
      <c r="A36" s="225"/>
      <c r="B36" s="373" t="s">
        <v>163</v>
      </c>
      <c r="C36" s="374"/>
      <c r="D36" s="375" t="s">
        <v>26</v>
      </c>
      <c r="E36" s="376" t="str">
        <f>IF(E27=0,"",((E31-E33)/E27)*100)</f>
        <v/>
      </c>
      <c r="F36" s="377" t="str">
        <f>IF(E36="","",IF(E36&lt;=0.2,"Cumple","No Cumple"))</f>
        <v/>
      </c>
      <c r="G36" s="376" t="str">
        <f>IF(G27=0,"",((G31-G33)/G27)*100)</f>
        <v/>
      </c>
      <c r="H36" s="377" t="str">
        <f>IF(G36="","",IF(G36&lt;=0.2,"Cumple","No Cumple"))</f>
        <v/>
      </c>
      <c r="I36" s="376" t="str">
        <f>IF(I27=0,"",((I31-I33)/I27)*100)</f>
        <v/>
      </c>
      <c r="J36" s="377" t="str">
        <f>IF(I36="","",IF(I36&lt;=0.2,"Cumple","No Cumple"))</f>
        <v/>
      </c>
      <c r="K36" s="376" t="str">
        <f>IF(K27=0,"",((K31-K33)/K27)*100)</f>
        <v/>
      </c>
      <c r="L36" s="377" t="str">
        <f>IF(K36="","",IF(K36&lt;=0.2,"Cumple","No Cumple"))</f>
        <v/>
      </c>
      <c r="M36" s="378"/>
      <c r="N36" s="221"/>
      <c r="O36" s="214"/>
      <c r="P36" s="214"/>
      <c r="Q36" s="214"/>
      <c r="R36" s="215"/>
      <c r="S36" s="159"/>
      <c r="T36" s="125"/>
      <c r="U36" s="160"/>
      <c r="V36" s="125"/>
      <c r="W36" s="145"/>
      <c r="X36" s="145"/>
      <c r="Y36" s="161"/>
      <c r="Z36" s="161"/>
      <c r="AA36" s="161"/>
    </row>
    <row r="37" spans="1:27" ht="15.75" customHeight="1" thickBot="1" x14ac:dyDescent="0.3">
      <c r="A37" s="225"/>
      <c r="B37" s="226"/>
      <c r="C37" s="226"/>
      <c r="D37" s="226"/>
      <c r="E37" s="226"/>
      <c r="F37" s="226"/>
      <c r="G37" s="227"/>
      <c r="H37" s="227"/>
      <c r="I37" s="227"/>
      <c r="J37" s="228"/>
      <c r="K37" s="228"/>
      <c r="L37" s="228"/>
      <c r="M37" s="228"/>
      <c r="N37" s="229"/>
      <c r="O37" s="230"/>
      <c r="P37" s="230"/>
      <c r="Q37" s="230"/>
      <c r="R37" s="231"/>
      <c r="S37" s="159"/>
      <c r="T37" s="125"/>
      <c r="U37" s="160"/>
      <c r="V37" s="125"/>
      <c r="W37" s="145"/>
      <c r="X37" s="145"/>
      <c r="Y37" s="161"/>
      <c r="Z37" s="161"/>
      <c r="AA37" s="161"/>
    </row>
    <row r="38" spans="1:27" ht="15.75" customHeight="1" x14ac:dyDescent="0.25">
      <c r="A38" s="125"/>
      <c r="B38" s="125"/>
      <c r="C38" s="125"/>
      <c r="D38" s="125"/>
      <c r="E38" s="125"/>
      <c r="F38" s="125"/>
      <c r="G38" s="130"/>
      <c r="H38" s="156"/>
      <c r="I38" s="156"/>
      <c r="J38" s="157"/>
      <c r="K38" s="157"/>
      <c r="L38" s="157"/>
      <c r="M38" s="157"/>
      <c r="N38" s="158"/>
      <c r="O38" s="134"/>
      <c r="P38" s="134"/>
      <c r="Q38" s="134"/>
      <c r="R38" s="130"/>
      <c r="S38" s="159"/>
      <c r="T38" s="125"/>
      <c r="U38" s="160"/>
      <c r="V38" s="125"/>
      <c r="W38" s="145"/>
      <c r="X38" s="145"/>
      <c r="Y38" s="161"/>
      <c r="Z38" s="161"/>
      <c r="AA38" s="161"/>
    </row>
    <row r="39" spans="1:27" ht="15.75" customHeight="1" x14ac:dyDescent="0.25">
      <c r="A39" s="125"/>
      <c r="B39" s="125"/>
      <c r="C39" s="125"/>
      <c r="D39" s="125"/>
      <c r="E39" s="125"/>
      <c r="F39" s="125"/>
      <c r="G39" s="156"/>
      <c r="H39" s="156"/>
      <c r="I39" s="156"/>
      <c r="J39" s="157"/>
      <c r="K39" s="157"/>
      <c r="L39" s="157"/>
      <c r="M39" s="157"/>
      <c r="N39" s="158"/>
      <c r="O39" s="134"/>
      <c r="P39" s="134"/>
      <c r="Q39" s="134"/>
      <c r="R39" s="130"/>
      <c r="S39" s="159"/>
      <c r="T39" s="125"/>
      <c r="U39" s="160"/>
      <c r="V39" s="125"/>
      <c r="W39" s="145"/>
      <c r="X39" s="145"/>
      <c r="Y39" s="161"/>
      <c r="Z39" s="161"/>
      <c r="AA39" s="161"/>
    </row>
    <row r="40" spans="1:27" ht="15.75" customHeight="1" x14ac:dyDescent="0.25">
      <c r="A40" s="125"/>
      <c r="B40" s="125"/>
      <c r="C40" s="125"/>
      <c r="D40" s="125"/>
      <c r="E40" s="125"/>
      <c r="F40" s="125"/>
      <c r="G40" s="156"/>
      <c r="H40" s="156"/>
      <c r="I40" s="156"/>
      <c r="J40" s="157"/>
      <c r="K40" s="157"/>
      <c r="L40" s="157"/>
      <c r="M40" s="157"/>
      <c r="N40" s="158"/>
      <c r="O40" s="134"/>
      <c r="P40" s="134"/>
      <c r="Q40" s="134"/>
      <c r="R40" s="130"/>
      <c r="S40" s="159"/>
      <c r="T40" s="125"/>
      <c r="U40" s="160"/>
      <c r="V40" s="125"/>
      <c r="W40" s="145"/>
      <c r="X40" s="145"/>
      <c r="Y40" s="161"/>
      <c r="Z40" s="161"/>
      <c r="AA40" s="161"/>
    </row>
    <row r="41" spans="1:27" ht="15" customHeight="1" x14ac:dyDescent="0.25">
      <c r="A41" s="165"/>
      <c r="B41" s="155"/>
      <c r="C41" s="155"/>
      <c r="D41" s="125"/>
      <c r="E41" s="125"/>
      <c r="F41" s="125"/>
      <c r="G41" s="125"/>
      <c r="H41" s="125"/>
      <c r="I41" s="125"/>
      <c r="J41" s="166"/>
      <c r="K41" s="166"/>
      <c r="L41" s="166"/>
      <c r="M41" s="125"/>
      <c r="N41" s="125"/>
      <c r="O41" s="127"/>
      <c r="P41" s="127"/>
      <c r="Q41" s="127"/>
      <c r="R41" s="130"/>
      <c r="S41" s="159"/>
      <c r="T41" s="125"/>
      <c r="U41" s="160"/>
      <c r="V41" s="125"/>
      <c r="W41" s="145"/>
      <c r="X41" s="145"/>
      <c r="Y41" s="166"/>
      <c r="Z41" s="166"/>
      <c r="AA41" s="166"/>
    </row>
    <row r="42" spans="1:27" ht="17.25" customHeight="1" x14ac:dyDescent="0.25">
      <c r="A42" s="167"/>
      <c r="B42" s="589"/>
      <c r="C42" s="580"/>
      <c r="D42" s="125"/>
      <c r="E42" s="125"/>
      <c r="F42" s="125"/>
      <c r="G42" s="125"/>
      <c r="H42" s="125"/>
      <c r="I42" s="125"/>
      <c r="J42" s="166"/>
      <c r="K42" s="166"/>
      <c r="L42" s="166"/>
      <c r="M42" s="125"/>
      <c r="N42" s="125"/>
      <c r="O42" s="127"/>
      <c r="P42" s="127"/>
      <c r="Q42" s="127"/>
      <c r="R42" s="130"/>
      <c r="S42" s="159"/>
      <c r="T42" s="125"/>
      <c r="U42" s="160"/>
      <c r="V42" s="125"/>
      <c r="W42" s="145"/>
      <c r="X42" s="145"/>
      <c r="Y42" s="166"/>
      <c r="Z42" s="166"/>
      <c r="AA42" s="166"/>
    </row>
    <row r="43" spans="1:27" ht="10.5" customHeight="1" x14ac:dyDescent="0.25">
      <c r="A43" s="134"/>
      <c r="B43" s="155"/>
      <c r="C43" s="155"/>
      <c r="D43" s="125"/>
      <c r="E43" s="125"/>
      <c r="F43" s="125"/>
      <c r="G43" s="125"/>
      <c r="H43" s="125"/>
      <c r="I43" s="125"/>
      <c r="J43" s="166"/>
      <c r="K43" s="166"/>
      <c r="L43" s="166"/>
      <c r="M43" s="125"/>
      <c r="N43" s="125"/>
      <c r="O43" s="127"/>
      <c r="P43" s="127"/>
      <c r="Q43" s="127"/>
      <c r="R43" s="130"/>
      <c r="S43" s="159"/>
      <c r="T43" s="125"/>
      <c r="U43" s="160"/>
      <c r="V43" s="125"/>
      <c r="W43" s="145"/>
      <c r="X43" s="145"/>
      <c r="Y43" s="166"/>
      <c r="Z43" s="166"/>
      <c r="AA43" s="166"/>
    </row>
    <row r="44" spans="1:27" ht="15.75" customHeight="1" x14ac:dyDescent="0.25">
      <c r="A44" s="168"/>
      <c r="B44" s="125"/>
      <c r="C44" s="125"/>
      <c r="D44" s="125"/>
      <c r="E44" s="125"/>
      <c r="F44" s="125"/>
      <c r="G44" s="125"/>
      <c r="H44" s="125"/>
      <c r="I44" s="125"/>
      <c r="J44" s="166"/>
      <c r="K44" s="166"/>
      <c r="L44" s="166"/>
      <c r="M44" s="125"/>
      <c r="N44" s="125"/>
      <c r="O44" s="127"/>
      <c r="P44" s="127"/>
      <c r="Q44" s="127"/>
      <c r="R44" s="130"/>
      <c r="S44" s="159"/>
      <c r="T44" s="125"/>
      <c r="U44" s="160"/>
      <c r="V44" s="125"/>
      <c r="W44" s="145"/>
      <c r="X44" s="145"/>
      <c r="Y44" s="166"/>
      <c r="Z44" s="166"/>
      <c r="AA44" s="166"/>
    </row>
    <row r="45" spans="1:27" ht="15.75" customHeight="1" x14ac:dyDescent="0.25">
      <c r="A45" s="167"/>
      <c r="B45" s="125"/>
      <c r="C45" s="125"/>
      <c r="D45" s="125"/>
      <c r="E45" s="125"/>
      <c r="F45" s="125"/>
      <c r="G45" s="125"/>
      <c r="H45" s="125"/>
      <c r="I45" s="125"/>
      <c r="J45" s="166"/>
      <c r="K45" s="166"/>
      <c r="L45" s="166"/>
      <c r="M45" s="125"/>
      <c r="N45" s="125"/>
      <c r="O45" s="127"/>
      <c r="P45" s="127"/>
      <c r="Q45" s="127"/>
      <c r="R45" s="130"/>
      <c r="S45" s="169"/>
      <c r="T45" s="125"/>
      <c r="U45" s="160"/>
      <c r="V45" s="125"/>
      <c r="W45" s="145"/>
      <c r="X45" s="145"/>
      <c r="Y45" s="166"/>
      <c r="Z45" s="166"/>
      <c r="AA45" s="166"/>
    </row>
    <row r="46" spans="1:27" ht="15.75" customHeight="1" x14ac:dyDescent="0.25">
      <c r="A46" s="167"/>
      <c r="B46" s="125"/>
      <c r="C46" s="125"/>
      <c r="D46" s="125"/>
      <c r="E46" s="125"/>
      <c r="F46" s="125"/>
      <c r="G46" s="125"/>
      <c r="H46" s="125"/>
      <c r="I46" s="125"/>
      <c r="J46" s="166"/>
      <c r="K46" s="166"/>
      <c r="L46" s="166"/>
      <c r="M46" s="125"/>
      <c r="N46" s="125"/>
      <c r="O46" s="127"/>
      <c r="P46" s="127"/>
      <c r="Q46" s="127"/>
      <c r="R46" s="130"/>
      <c r="S46" s="169"/>
      <c r="T46" s="125"/>
      <c r="U46" s="160"/>
      <c r="V46" s="125"/>
      <c r="W46" s="145"/>
      <c r="X46" s="145"/>
      <c r="Y46" s="166"/>
      <c r="Z46" s="166"/>
      <c r="AA46" s="166"/>
    </row>
    <row r="47" spans="1:27" ht="26.25" customHeight="1" x14ac:dyDescent="0.25">
      <c r="A47" s="590"/>
      <c r="B47" s="580"/>
      <c r="C47" s="580"/>
      <c r="D47" s="580"/>
      <c r="E47" s="580"/>
      <c r="F47" s="580"/>
      <c r="G47" s="580"/>
      <c r="H47" s="580"/>
      <c r="I47" s="580"/>
      <c r="J47" s="580"/>
      <c r="K47" s="580"/>
      <c r="L47" s="580"/>
      <c r="M47" s="580"/>
      <c r="N47" s="166"/>
      <c r="O47" s="127"/>
      <c r="P47" s="127"/>
      <c r="Q47" s="127"/>
      <c r="R47" s="134"/>
      <c r="S47" s="169"/>
      <c r="T47" s="125"/>
      <c r="U47" s="160"/>
      <c r="V47" s="125"/>
      <c r="W47" s="145"/>
      <c r="X47" s="145"/>
      <c r="Y47" s="166"/>
      <c r="Z47" s="166"/>
      <c r="AA47" s="166"/>
    </row>
    <row r="48" spans="1:27" ht="15.75" customHeight="1" x14ac:dyDescent="0.25">
      <c r="A48" s="167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66"/>
      <c r="O48" s="127"/>
      <c r="P48" s="127"/>
      <c r="Q48" s="127"/>
      <c r="R48" s="125"/>
      <c r="S48" s="169"/>
      <c r="T48" s="125"/>
      <c r="U48" s="160"/>
      <c r="V48" s="125"/>
      <c r="W48" s="145"/>
      <c r="X48" s="145"/>
      <c r="Y48" s="145"/>
      <c r="Z48" s="145"/>
      <c r="AA48" s="145"/>
    </row>
    <row r="49" spans="1:27" ht="15.75" customHeight="1" x14ac:dyDescent="0.25">
      <c r="A49" s="170"/>
      <c r="B49" s="124"/>
      <c r="C49" s="124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66"/>
      <c r="O49" s="127"/>
      <c r="P49" s="127"/>
      <c r="Q49" s="127"/>
      <c r="R49" s="125"/>
      <c r="S49" s="169"/>
      <c r="T49" s="125"/>
      <c r="U49" s="160"/>
      <c r="V49" s="125"/>
      <c r="W49" s="145"/>
      <c r="X49" s="145"/>
      <c r="Y49" s="145"/>
      <c r="Z49" s="145"/>
      <c r="AA49" s="145"/>
    </row>
    <row r="50" spans="1:27" ht="15.75" customHeight="1" x14ac:dyDescent="0.25">
      <c r="A50" s="170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66"/>
      <c r="O50" s="127"/>
      <c r="P50" s="127"/>
      <c r="Q50" s="127"/>
      <c r="R50" s="125"/>
      <c r="S50" s="169"/>
      <c r="T50" s="125"/>
      <c r="U50" s="160"/>
      <c r="V50" s="125"/>
      <c r="W50" s="145"/>
      <c r="X50" s="145"/>
      <c r="Y50" s="125"/>
      <c r="Z50" s="125"/>
      <c r="AA50" s="125"/>
    </row>
    <row r="51" spans="1:27" ht="15.75" customHeight="1" x14ac:dyDescent="0.25">
      <c r="A51" s="170"/>
      <c r="B51" s="124"/>
      <c r="C51" s="124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66"/>
      <c r="O51" s="127"/>
      <c r="P51" s="127"/>
      <c r="Q51" s="127"/>
      <c r="R51" s="125"/>
      <c r="S51" s="169"/>
      <c r="T51" s="125"/>
      <c r="U51" s="160"/>
      <c r="V51" s="125"/>
      <c r="W51" s="145"/>
      <c r="X51" s="145"/>
      <c r="Y51" s="125"/>
      <c r="Z51" s="125"/>
      <c r="AA51" s="125"/>
    </row>
    <row r="52" spans="1:27" ht="15.75" customHeight="1" x14ac:dyDescent="0.25">
      <c r="A52" s="129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45"/>
      <c r="O52" s="127"/>
      <c r="P52" s="127"/>
      <c r="Q52" s="127"/>
      <c r="R52" s="125"/>
      <c r="S52" s="169"/>
      <c r="T52" s="125"/>
      <c r="U52" s="169"/>
      <c r="V52" s="125"/>
      <c r="W52" s="145"/>
      <c r="X52" s="169"/>
      <c r="Y52" s="125"/>
      <c r="Z52" s="125"/>
      <c r="AA52" s="125"/>
    </row>
    <row r="53" spans="1:27" ht="15.75" customHeight="1" x14ac:dyDescent="0.25">
      <c r="A53" s="129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71"/>
      <c r="N53" s="145"/>
      <c r="O53" s="127"/>
      <c r="P53" s="127"/>
      <c r="Q53" s="127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 spans="1:27" ht="13.5" customHeight="1" x14ac:dyDescent="0.25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27"/>
      <c r="O54" s="127"/>
      <c r="P54" s="127"/>
      <c r="Q54" s="127"/>
      <c r="R54" s="127"/>
      <c r="S54" s="125"/>
      <c r="T54" s="125"/>
      <c r="U54" s="125"/>
      <c r="V54" s="125"/>
      <c r="W54" s="125"/>
      <c r="X54" s="125"/>
      <c r="Y54" s="125"/>
      <c r="Z54" s="125"/>
      <c r="AA54" s="125"/>
    </row>
    <row r="55" spans="1:27" ht="15.75" customHeight="1" x14ac:dyDescent="0.2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 spans="1:27" ht="30.75" customHeight="1" x14ac:dyDescent="0.25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 spans="1:27" ht="15.75" customHeight="1" x14ac:dyDescent="0.25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 spans="1:27" ht="15.75" customHeight="1" x14ac:dyDescent="0.25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 spans="1:27" ht="13.5" customHeight="1" x14ac:dyDescent="0.25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 spans="1:27" ht="13.5" customHeight="1" x14ac:dyDescent="0.25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 spans="1:27" ht="13.5" customHeight="1" x14ac:dyDescent="0.25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 spans="1:27" ht="13.5" customHeight="1" x14ac:dyDescent="0.25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 spans="1:27" ht="13.5" customHeight="1" x14ac:dyDescent="0.25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 spans="1:27" ht="13.5" customHeight="1" x14ac:dyDescent="0.25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 spans="1:27" ht="13.5" customHeight="1" x14ac:dyDescent="0.2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 spans="1:27" ht="13.5" customHeight="1" x14ac:dyDescent="0.25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 spans="1:27" ht="13.5" customHeight="1" x14ac:dyDescent="0.25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 spans="1:27" ht="13.5" customHeight="1" x14ac:dyDescent="0.25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 spans="1:27" ht="13.5" customHeight="1" x14ac:dyDescent="0.25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 spans="1:27" ht="13.5" customHeight="1" x14ac:dyDescent="0.25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 spans="1:27" ht="13.5" customHeight="1" x14ac:dyDescent="0.25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 spans="1:27" ht="13.5" customHeight="1" x14ac:dyDescent="0.25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 spans="1:27" ht="13.5" customHeight="1" x14ac:dyDescent="0.25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 spans="1:27" ht="13.5" customHeight="1" x14ac:dyDescent="0.25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 spans="1:27" ht="13.5" customHeight="1" x14ac:dyDescent="0.2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 spans="1:27" ht="13.5" customHeight="1" x14ac:dyDescent="0.25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 spans="1:27" ht="13.5" customHeight="1" x14ac:dyDescent="0.25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 spans="1:27" ht="13.5" customHeight="1" x14ac:dyDescent="0.25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 spans="1:27" ht="13.5" customHeight="1" x14ac:dyDescent="0.25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 spans="1:27" ht="13.5" customHeight="1" x14ac:dyDescent="0.25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 spans="1:27" ht="13.5" customHeight="1" x14ac:dyDescent="0.25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 spans="1:27" ht="13.5" customHeight="1" x14ac:dyDescent="0.25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 spans="1:27" ht="13.5" customHeight="1" x14ac:dyDescent="0.25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 spans="1:27" ht="13.5" customHeight="1" x14ac:dyDescent="0.25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 spans="1:27" ht="13.5" customHeight="1" x14ac:dyDescent="0.2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 spans="1:27" ht="13.5" customHeight="1" x14ac:dyDescent="0.25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 spans="1:27" ht="13.5" customHeight="1" x14ac:dyDescent="0.25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 spans="1:27" ht="13.5" customHeight="1" x14ac:dyDescent="0.25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 spans="1:27" ht="13.5" customHeight="1" x14ac:dyDescent="0.25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 spans="1:27" ht="13.5" customHeight="1" x14ac:dyDescent="0.25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 spans="1:27" ht="13.5" customHeight="1" x14ac:dyDescent="0.25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 spans="1:27" ht="13.5" customHeight="1" x14ac:dyDescent="0.25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 spans="1:27" ht="13.5" customHeight="1" x14ac:dyDescent="0.25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 spans="1:27" ht="13.5" customHeight="1" x14ac:dyDescent="0.25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 spans="1:27" ht="13.5" customHeight="1" x14ac:dyDescent="0.2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 spans="1:27" ht="13.5" customHeight="1" x14ac:dyDescent="0.25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 spans="1:27" ht="13.5" customHeight="1" x14ac:dyDescent="0.25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 spans="1:27" ht="13.5" customHeight="1" x14ac:dyDescent="0.25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 spans="1:27" ht="13.5" customHeight="1" x14ac:dyDescent="0.25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 spans="1:27" ht="13.5" customHeight="1" x14ac:dyDescent="0.25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 spans="1:27" ht="13.5" customHeight="1" x14ac:dyDescent="0.25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 spans="1:27" ht="13.5" customHeight="1" x14ac:dyDescent="0.25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 spans="1:27" ht="13.5" customHeight="1" x14ac:dyDescent="0.25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 spans="1:27" ht="13.5" customHeight="1" x14ac:dyDescent="0.25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 spans="1:27" ht="13.5" customHeight="1" x14ac:dyDescent="0.2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 spans="1:27" ht="13.5" customHeight="1" x14ac:dyDescent="0.25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 spans="1:27" ht="13.5" customHeight="1" x14ac:dyDescent="0.25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 spans="1:27" ht="13.5" customHeight="1" x14ac:dyDescent="0.25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 spans="1:27" ht="13.5" customHeight="1" x14ac:dyDescent="0.25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 spans="1:27" ht="13.5" customHeight="1" x14ac:dyDescent="0.25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 spans="1:27" ht="13.5" customHeight="1" x14ac:dyDescent="0.25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 spans="1:27" ht="13.5" customHeight="1" x14ac:dyDescent="0.25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 spans="1:27" ht="13.5" customHeight="1" x14ac:dyDescent="0.25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 spans="1:27" ht="13.5" customHeight="1" x14ac:dyDescent="0.25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 spans="1:27" ht="13.5" customHeight="1" x14ac:dyDescent="0.2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 spans="1:27" ht="13.5" customHeight="1" x14ac:dyDescent="0.25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 spans="1:27" ht="13.5" customHeight="1" x14ac:dyDescent="0.25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 spans="1:27" ht="13.5" customHeight="1" x14ac:dyDescent="0.25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 spans="1:27" ht="13.5" customHeight="1" x14ac:dyDescent="0.25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 spans="1:27" ht="13.5" customHeight="1" x14ac:dyDescent="0.25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 spans="1:27" ht="13.5" customHeight="1" x14ac:dyDescent="0.25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 spans="1:27" ht="13.5" customHeight="1" x14ac:dyDescent="0.25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 spans="1:27" ht="13.5" customHeight="1" x14ac:dyDescent="0.25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 spans="1:27" ht="13.5" customHeight="1" x14ac:dyDescent="0.25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 spans="1:27" ht="13.5" customHeight="1" x14ac:dyDescent="0.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 spans="1:27" ht="13.5" customHeight="1" x14ac:dyDescent="0.25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 spans="1:27" ht="13.5" customHeight="1" x14ac:dyDescent="0.25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 spans="1:27" ht="13.5" customHeight="1" x14ac:dyDescent="0.25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 spans="1:27" ht="13.5" customHeight="1" x14ac:dyDescent="0.25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 spans="1:27" ht="13.5" customHeight="1" x14ac:dyDescent="0.25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 spans="1:27" ht="13.5" customHeight="1" x14ac:dyDescent="0.25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 spans="1:27" ht="13.5" customHeight="1" x14ac:dyDescent="0.25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 spans="1:27" ht="13.5" customHeight="1" x14ac:dyDescent="0.25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 spans="1:27" ht="13.5" customHeight="1" x14ac:dyDescent="0.25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 spans="1:27" ht="13.5" customHeight="1" x14ac:dyDescent="0.2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 spans="1:27" ht="13.5" customHeight="1" x14ac:dyDescent="0.25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 spans="1:27" ht="13.5" customHeight="1" x14ac:dyDescent="0.25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 spans="1:27" ht="13.5" customHeight="1" x14ac:dyDescent="0.25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 spans="1:27" ht="13.5" customHeight="1" x14ac:dyDescent="0.25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 spans="1:27" ht="13.5" customHeight="1" x14ac:dyDescent="0.25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 spans="1:27" ht="13.5" customHeight="1" x14ac:dyDescent="0.25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 spans="1:27" ht="13.5" customHeight="1" x14ac:dyDescent="0.25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 spans="1:27" ht="13.5" customHeight="1" x14ac:dyDescent="0.25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 spans="1:27" ht="13.5" customHeight="1" x14ac:dyDescent="0.25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 spans="1:27" ht="13.5" customHeight="1" x14ac:dyDescent="0.2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 spans="1:27" ht="13.5" customHeight="1" x14ac:dyDescent="0.25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 spans="1:27" ht="13.5" customHeight="1" x14ac:dyDescent="0.25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 spans="1:27" ht="13.5" customHeight="1" x14ac:dyDescent="0.25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 spans="1:27" ht="13.5" customHeight="1" x14ac:dyDescent="0.25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 spans="1:27" ht="13.5" customHeight="1" x14ac:dyDescent="0.25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 spans="1:27" ht="13.5" customHeight="1" x14ac:dyDescent="0.25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 spans="1:27" ht="13.5" customHeight="1" x14ac:dyDescent="0.25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 spans="1:27" ht="13.5" customHeight="1" x14ac:dyDescent="0.25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 spans="1:27" ht="13.5" customHeight="1" x14ac:dyDescent="0.25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 spans="1:27" ht="13.5" customHeight="1" x14ac:dyDescent="0.2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 spans="1:27" ht="13.5" customHeight="1" x14ac:dyDescent="0.25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 spans="1:27" ht="13.5" customHeight="1" x14ac:dyDescent="0.25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 spans="1:27" ht="13.5" customHeight="1" x14ac:dyDescent="0.25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 spans="1:27" ht="13.5" customHeight="1" x14ac:dyDescent="0.25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 spans="1:27" ht="13.5" customHeight="1" x14ac:dyDescent="0.25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 spans="1:27" ht="13.5" customHeight="1" x14ac:dyDescent="0.25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 spans="1:27" ht="13.5" customHeight="1" x14ac:dyDescent="0.25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 spans="1:27" ht="13.5" customHeight="1" x14ac:dyDescent="0.25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 spans="1:27" ht="13.5" customHeight="1" x14ac:dyDescent="0.25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 spans="1:27" ht="13.5" customHeight="1" x14ac:dyDescent="0.2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 spans="1:27" ht="13.5" customHeight="1" x14ac:dyDescent="0.25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 spans="1:27" ht="13.5" customHeight="1" x14ac:dyDescent="0.25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 spans="1:27" ht="13.5" customHeight="1" x14ac:dyDescent="0.25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 spans="1:27" ht="13.5" customHeight="1" x14ac:dyDescent="0.25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 spans="1:27" ht="13.5" customHeight="1" x14ac:dyDescent="0.25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 spans="1:27" ht="13.5" customHeight="1" x14ac:dyDescent="0.25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 spans="1:27" ht="13.5" customHeight="1" x14ac:dyDescent="0.25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 spans="1:27" ht="13.5" customHeight="1" x14ac:dyDescent="0.25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 spans="1:27" ht="13.5" customHeight="1" x14ac:dyDescent="0.25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 spans="1:27" ht="13.5" customHeight="1" x14ac:dyDescent="0.2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 spans="1:27" ht="13.5" customHeight="1" x14ac:dyDescent="0.25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 spans="1:27" ht="13.5" customHeight="1" x14ac:dyDescent="0.25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 spans="1:27" ht="13.5" customHeight="1" x14ac:dyDescent="0.25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 spans="1:27" ht="13.5" customHeight="1" x14ac:dyDescent="0.25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 spans="1:27" ht="13.5" customHeight="1" x14ac:dyDescent="0.25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 spans="1:27" ht="13.5" customHeight="1" x14ac:dyDescent="0.25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 spans="1:27" ht="13.5" customHeight="1" x14ac:dyDescent="0.25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 spans="1:27" ht="13.5" customHeight="1" x14ac:dyDescent="0.25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 spans="1:27" ht="13.5" customHeight="1" x14ac:dyDescent="0.25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 spans="1:27" ht="13.5" customHeight="1" x14ac:dyDescent="0.2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 spans="1:27" ht="13.5" customHeight="1" x14ac:dyDescent="0.25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 spans="1:27" ht="13.5" customHeight="1" x14ac:dyDescent="0.25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 spans="1:27" ht="13.5" customHeight="1" x14ac:dyDescent="0.25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 spans="1:27" ht="13.5" customHeight="1" x14ac:dyDescent="0.25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 spans="1:27" ht="13.5" customHeight="1" x14ac:dyDescent="0.25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 spans="1:27" ht="13.5" customHeight="1" x14ac:dyDescent="0.25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 spans="1:27" ht="13.5" customHeight="1" x14ac:dyDescent="0.25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 spans="1:27" ht="13.5" customHeight="1" x14ac:dyDescent="0.25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 spans="1:27" ht="13.5" customHeight="1" x14ac:dyDescent="0.25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 spans="1:27" ht="13.5" customHeight="1" x14ac:dyDescent="0.2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 spans="1:27" ht="13.5" customHeight="1" x14ac:dyDescent="0.25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 spans="1:27" ht="13.5" customHeight="1" x14ac:dyDescent="0.25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 spans="1:27" ht="13.5" customHeight="1" x14ac:dyDescent="0.25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 spans="1:27" ht="13.5" customHeight="1" x14ac:dyDescent="0.25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 spans="1:27" ht="13.5" customHeight="1" x14ac:dyDescent="0.25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 spans="1:27" ht="13.5" customHeight="1" x14ac:dyDescent="0.25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 spans="1:27" ht="13.5" customHeight="1" x14ac:dyDescent="0.25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 spans="1:27" ht="13.5" customHeight="1" x14ac:dyDescent="0.25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 spans="1:27" ht="13.5" customHeight="1" x14ac:dyDescent="0.25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 spans="1:27" ht="13.5" customHeight="1" x14ac:dyDescent="0.2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 spans="1:27" ht="13.5" customHeight="1" x14ac:dyDescent="0.25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 spans="1:27" ht="13.5" customHeight="1" x14ac:dyDescent="0.25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 spans="1:27" ht="13.5" customHeight="1" x14ac:dyDescent="0.25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 spans="1:27" ht="13.5" customHeight="1" x14ac:dyDescent="0.25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 spans="1:27" ht="13.5" customHeight="1" x14ac:dyDescent="0.25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 spans="1:27" ht="13.5" customHeight="1" x14ac:dyDescent="0.25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 spans="1:27" ht="13.5" customHeight="1" x14ac:dyDescent="0.25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 spans="1:27" ht="13.5" customHeight="1" x14ac:dyDescent="0.25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 spans="1:27" ht="13.5" customHeight="1" x14ac:dyDescent="0.25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 spans="1:27" ht="13.5" customHeight="1" x14ac:dyDescent="0.2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 spans="1:27" ht="13.5" customHeight="1" x14ac:dyDescent="0.25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 spans="1:27" ht="13.5" customHeight="1" x14ac:dyDescent="0.25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 spans="1:27" ht="13.5" customHeight="1" x14ac:dyDescent="0.25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 spans="1:27" ht="13.5" customHeight="1" x14ac:dyDescent="0.25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 spans="1:27" ht="13.5" customHeight="1" x14ac:dyDescent="0.25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 spans="1:27" ht="13.5" customHeight="1" x14ac:dyDescent="0.25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 spans="1:27" ht="13.5" customHeight="1" x14ac:dyDescent="0.25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 spans="1:27" ht="13.5" customHeight="1" x14ac:dyDescent="0.25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 spans="1:27" ht="13.5" customHeight="1" x14ac:dyDescent="0.25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 spans="1:27" ht="13.5" customHeight="1" x14ac:dyDescent="0.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 spans="1:27" ht="13.5" customHeight="1" x14ac:dyDescent="0.25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 spans="1:27" ht="13.5" customHeight="1" x14ac:dyDescent="0.25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 spans="1:27" ht="13.5" customHeight="1" x14ac:dyDescent="0.25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 spans="1:27" ht="13.5" customHeight="1" x14ac:dyDescent="0.25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 spans="1:27" ht="13.5" customHeight="1" x14ac:dyDescent="0.25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 spans="1:27" ht="13.5" customHeight="1" x14ac:dyDescent="0.25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 spans="1:27" ht="13.5" customHeight="1" x14ac:dyDescent="0.25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 spans="1:27" ht="13.5" customHeight="1" x14ac:dyDescent="0.25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 spans="1:27" ht="13.5" customHeight="1" x14ac:dyDescent="0.25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 spans="1:27" ht="13.5" customHeight="1" x14ac:dyDescent="0.2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 spans="1:27" ht="13.5" customHeight="1" x14ac:dyDescent="0.25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 spans="1:27" ht="13.5" customHeight="1" x14ac:dyDescent="0.25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 spans="1:27" ht="13.5" customHeight="1" x14ac:dyDescent="0.25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 spans="1:27" ht="13.5" customHeight="1" x14ac:dyDescent="0.25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 spans="1:27" ht="13.5" customHeight="1" x14ac:dyDescent="0.25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 spans="1:27" ht="13.5" customHeight="1" x14ac:dyDescent="0.25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 spans="1:27" ht="13.5" customHeight="1" x14ac:dyDescent="0.25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 spans="1:27" ht="13.5" customHeight="1" x14ac:dyDescent="0.25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 spans="1:27" ht="13.5" customHeight="1" x14ac:dyDescent="0.25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 spans="1:27" ht="13.5" customHeight="1" x14ac:dyDescent="0.2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 spans="1:27" ht="13.5" customHeight="1" x14ac:dyDescent="0.25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spans="1:27" ht="13.5" customHeight="1" x14ac:dyDescent="0.25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 spans="1:27" ht="13.5" customHeight="1" x14ac:dyDescent="0.25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spans="1:27" ht="13.5" customHeight="1" x14ac:dyDescent="0.25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spans="1:27" ht="13.5" customHeight="1" x14ac:dyDescent="0.25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spans="1:27" ht="13.5" customHeight="1" x14ac:dyDescent="0.25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spans="1:27" ht="13.5" customHeight="1" x14ac:dyDescent="0.25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 spans="1:27" ht="13.5" customHeight="1" x14ac:dyDescent="0.25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 spans="1:27" ht="13.5" customHeight="1" x14ac:dyDescent="0.25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 spans="1:27" ht="13.5" customHeight="1" x14ac:dyDescent="0.2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 spans="1:27" ht="13.5" customHeight="1" x14ac:dyDescent="0.25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 spans="1:27" ht="13.5" customHeight="1" x14ac:dyDescent="0.25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 spans="1:27" ht="13.5" customHeight="1" x14ac:dyDescent="0.25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 spans="1:27" ht="13.5" customHeight="1" x14ac:dyDescent="0.25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 spans="1:27" ht="13.5" customHeight="1" x14ac:dyDescent="0.25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 spans="1:27" ht="13.5" customHeight="1" x14ac:dyDescent="0.25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 spans="1:27" ht="13.5" customHeight="1" x14ac:dyDescent="0.25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 spans="1:27" ht="13.5" customHeight="1" x14ac:dyDescent="0.25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 spans="1:27" ht="13.5" customHeight="1" x14ac:dyDescent="0.25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 spans="1:27" ht="13.5" customHeight="1" x14ac:dyDescent="0.2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 spans="1:27" ht="13.5" customHeight="1" x14ac:dyDescent="0.25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 spans="1:27" ht="13.5" customHeight="1" x14ac:dyDescent="0.25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 spans="1:27" ht="13.5" customHeight="1" x14ac:dyDescent="0.25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 spans="1:27" ht="13.5" customHeight="1" x14ac:dyDescent="0.25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 spans="1:27" ht="13.5" customHeight="1" x14ac:dyDescent="0.25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 spans="1:27" ht="13.5" customHeight="1" x14ac:dyDescent="0.25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 spans="1:27" ht="13.5" customHeight="1" x14ac:dyDescent="0.25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 spans="1:27" ht="13.5" customHeight="1" x14ac:dyDescent="0.25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 spans="1:27" ht="13.5" customHeight="1" x14ac:dyDescent="0.25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 spans="1:27" ht="13.5" customHeight="1" x14ac:dyDescent="0.2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 spans="1:27" ht="13.5" customHeight="1" x14ac:dyDescent="0.25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 spans="1:27" ht="13.5" customHeight="1" x14ac:dyDescent="0.25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 spans="1:27" ht="13.5" customHeight="1" x14ac:dyDescent="0.25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 spans="1:27" ht="13.5" customHeight="1" x14ac:dyDescent="0.25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 spans="1:27" ht="13.5" customHeight="1" x14ac:dyDescent="0.25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 spans="1:27" ht="13.5" customHeight="1" x14ac:dyDescent="0.25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 spans="1:27" ht="13.5" customHeight="1" x14ac:dyDescent="0.25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 spans="1:27" ht="13.5" customHeight="1" x14ac:dyDescent="0.25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 spans="1:27" ht="13.5" customHeight="1" x14ac:dyDescent="0.25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 spans="1:27" ht="13.5" customHeight="1" x14ac:dyDescent="0.2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 spans="1:27" ht="13.5" customHeight="1" x14ac:dyDescent="0.25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 spans="1:27" ht="13.5" customHeight="1" x14ac:dyDescent="0.25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 spans="1:27" ht="13.5" customHeight="1" x14ac:dyDescent="0.25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 spans="1:27" ht="13.5" customHeight="1" x14ac:dyDescent="0.25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 spans="1:27" ht="13.5" customHeight="1" x14ac:dyDescent="0.25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 spans="1:27" ht="13.5" customHeight="1" x14ac:dyDescent="0.25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 spans="1:27" ht="13.5" customHeight="1" x14ac:dyDescent="0.25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 spans="1:27" ht="13.5" customHeight="1" x14ac:dyDescent="0.25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 spans="1:27" ht="13.5" customHeight="1" x14ac:dyDescent="0.25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 spans="1:27" ht="13.5" customHeight="1" x14ac:dyDescent="0.2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 spans="1:27" ht="13.5" customHeight="1" x14ac:dyDescent="0.25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 spans="1:27" ht="13.5" customHeight="1" x14ac:dyDescent="0.25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 spans="1:27" ht="13.5" customHeight="1" x14ac:dyDescent="0.25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 spans="1:27" ht="13.5" customHeight="1" x14ac:dyDescent="0.25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 spans="1:27" ht="13.5" customHeight="1" x14ac:dyDescent="0.25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 spans="1:27" ht="13.5" customHeight="1" x14ac:dyDescent="0.25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 spans="1:27" ht="13.5" customHeight="1" x14ac:dyDescent="0.25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 spans="1:27" ht="13.5" customHeight="1" x14ac:dyDescent="0.25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 spans="1:27" ht="13.5" customHeight="1" x14ac:dyDescent="0.25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 spans="1:27" ht="13.5" customHeight="1" x14ac:dyDescent="0.2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 spans="1:27" ht="13.5" customHeight="1" x14ac:dyDescent="0.25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 spans="1:27" ht="13.5" customHeight="1" x14ac:dyDescent="0.25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 spans="1:27" ht="13.5" customHeight="1" x14ac:dyDescent="0.25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 spans="1:27" ht="13.5" customHeight="1" x14ac:dyDescent="0.25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 spans="1:27" ht="13.5" customHeight="1" x14ac:dyDescent="0.25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 spans="1:27" ht="13.5" customHeight="1" x14ac:dyDescent="0.25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 spans="1:27" ht="13.5" customHeight="1" x14ac:dyDescent="0.25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 spans="1:27" ht="13.5" customHeight="1" x14ac:dyDescent="0.25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 spans="1:27" ht="13.5" customHeight="1" x14ac:dyDescent="0.25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 spans="1:27" ht="13.5" customHeight="1" x14ac:dyDescent="0.2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 spans="1:27" ht="13.5" customHeight="1" x14ac:dyDescent="0.25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 spans="1:27" ht="13.5" customHeight="1" x14ac:dyDescent="0.25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 spans="1:27" ht="13.5" customHeight="1" x14ac:dyDescent="0.25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 spans="1:27" ht="13.5" customHeight="1" x14ac:dyDescent="0.25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 spans="1:27" ht="13.5" customHeight="1" x14ac:dyDescent="0.25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 spans="1:27" ht="13.5" customHeight="1" x14ac:dyDescent="0.25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 spans="1:27" ht="13.5" customHeight="1" x14ac:dyDescent="0.25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 spans="1:27" ht="13.5" customHeight="1" x14ac:dyDescent="0.25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 spans="1:27" ht="13.5" customHeight="1" x14ac:dyDescent="0.25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 spans="1:27" ht="13.5" customHeight="1" x14ac:dyDescent="0.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 spans="1:27" ht="13.5" customHeight="1" x14ac:dyDescent="0.25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 spans="1:27" ht="13.5" customHeight="1" x14ac:dyDescent="0.25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 spans="1:27" ht="13.5" customHeight="1" x14ac:dyDescent="0.25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 spans="1:27" ht="13.5" customHeight="1" x14ac:dyDescent="0.25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 spans="1:27" ht="13.5" customHeight="1" x14ac:dyDescent="0.25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 spans="1:27" ht="13.5" customHeight="1" x14ac:dyDescent="0.25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 spans="1:27" ht="13.5" customHeight="1" x14ac:dyDescent="0.25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 spans="1:27" ht="13.5" customHeight="1" x14ac:dyDescent="0.25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 spans="1:27" ht="13.5" customHeight="1" x14ac:dyDescent="0.25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 spans="1:27" ht="13.5" customHeight="1" x14ac:dyDescent="0.2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 spans="1:27" ht="13.5" customHeight="1" x14ac:dyDescent="0.25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 spans="1:27" ht="13.5" customHeight="1" x14ac:dyDescent="0.25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 spans="1:27" ht="13.5" customHeight="1" x14ac:dyDescent="0.25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 spans="1:27" ht="13.5" customHeight="1" x14ac:dyDescent="0.25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 spans="1:27" ht="13.5" customHeight="1" x14ac:dyDescent="0.25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 spans="1:27" ht="13.5" customHeight="1" x14ac:dyDescent="0.25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 spans="1:27" ht="13.5" customHeight="1" x14ac:dyDescent="0.25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 spans="1:27" ht="13.5" customHeight="1" x14ac:dyDescent="0.25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 spans="1:27" ht="13.5" customHeight="1" x14ac:dyDescent="0.25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 spans="1:27" ht="13.5" customHeight="1" x14ac:dyDescent="0.2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 spans="1:27" ht="13.5" customHeight="1" x14ac:dyDescent="0.25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 spans="1:27" ht="13.5" customHeight="1" x14ac:dyDescent="0.25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 spans="1:27" ht="13.5" customHeight="1" x14ac:dyDescent="0.25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 spans="1:27" ht="13.5" customHeight="1" x14ac:dyDescent="0.25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 spans="1:27" ht="13.5" customHeight="1" x14ac:dyDescent="0.25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 spans="1:27" ht="13.5" customHeight="1" x14ac:dyDescent="0.25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 spans="1:27" ht="13.5" customHeight="1" x14ac:dyDescent="0.25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 spans="1:27" ht="13.5" customHeight="1" x14ac:dyDescent="0.25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 spans="1:27" ht="13.5" customHeight="1" x14ac:dyDescent="0.25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 spans="1:27" ht="13.5" customHeight="1" x14ac:dyDescent="0.2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 spans="1:27" ht="13.5" customHeight="1" x14ac:dyDescent="0.25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 spans="1:27" ht="13.5" customHeight="1" x14ac:dyDescent="0.25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 spans="1:27" ht="13.5" customHeight="1" x14ac:dyDescent="0.25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 spans="1:27" ht="13.5" customHeight="1" x14ac:dyDescent="0.25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 spans="1:27" ht="13.5" customHeight="1" x14ac:dyDescent="0.25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 spans="1:27" ht="13.5" customHeight="1" x14ac:dyDescent="0.25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 spans="1:27" ht="13.5" customHeight="1" x14ac:dyDescent="0.25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 spans="1:27" ht="13.5" customHeight="1" x14ac:dyDescent="0.25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 spans="1:27" ht="13.5" customHeight="1" x14ac:dyDescent="0.25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 spans="1:27" ht="13.5" customHeight="1" x14ac:dyDescent="0.2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 spans="1:27" ht="13.5" customHeight="1" x14ac:dyDescent="0.25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 spans="1:27" ht="13.5" customHeight="1" x14ac:dyDescent="0.25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 spans="1:27" ht="13.5" customHeight="1" x14ac:dyDescent="0.25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 spans="1:27" ht="13.5" customHeight="1" x14ac:dyDescent="0.25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 spans="1:27" ht="13.5" customHeight="1" x14ac:dyDescent="0.25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 spans="1:27" ht="13.5" customHeight="1" x14ac:dyDescent="0.25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 spans="1:27" ht="13.5" customHeight="1" x14ac:dyDescent="0.25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 spans="1:27" ht="13.5" customHeight="1" x14ac:dyDescent="0.25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 spans="1:27" ht="13.5" customHeight="1" x14ac:dyDescent="0.25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 spans="1:27" ht="13.5" customHeight="1" x14ac:dyDescent="0.2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 spans="1:27" ht="13.5" customHeight="1" x14ac:dyDescent="0.25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 spans="1:27" ht="13.5" customHeight="1" x14ac:dyDescent="0.25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 spans="1:27" ht="13.5" customHeight="1" x14ac:dyDescent="0.25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 spans="1:27" ht="13.5" customHeight="1" x14ac:dyDescent="0.25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 spans="1:27" ht="13.5" customHeight="1" x14ac:dyDescent="0.25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 spans="1:27" ht="13.5" customHeight="1" x14ac:dyDescent="0.25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 spans="1:27" ht="13.5" customHeight="1" x14ac:dyDescent="0.25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 spans="1:27" ht="13.5" customHeight="1" x14ac:dyDescent="0.25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 spans="1:27" ht="13.5" customHeight="1" x14ac:dyDescent="0.25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 spans="1:27" ht="13.5" customHeight="1" x14ac:dyDescent="0.2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 spans="1:27" ht="13.5" customHeight="1" x14ac:dyDescent="0.25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 spans="1:27" ht="13.5" customHeight="1" x14ac:dyDescent="0.25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 spans="1:27" ht="13.5" customHeight="1" x14ac:dyDescent="0.25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 spans="1:27" ht="13.5" customHeight="1" x14ac:dyDescent="0.25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 spans="1:27" ht="13.5" customHeight="1" x14ac:dyDescent="0.25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 spans="1:27" ht="13.5" customHeight="1" x14ac:dyDescent="0.25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 spans="1:27" ht="13.5" customHeight="1" x14ac:dyDescent="0.25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 spans="1:27" ht="13.5" customHeight="1" x14ac:dyDescent="0.25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 spans="1:27" ht="13.5" customHeight="1" x14ac:dyDescent="0.25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 spans="1:27" ht="13.5" customHeight="1" x14ac:dyDescent="0.2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 spans="1:27" ht="13.5" customHeight="1" x14ac:dyDescent="0.25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 spans="1:27" ht="13.5" customHeight="1" x14ac:dyDescent="0.25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 spans="1:27" ht="13.5" customHeight="1" x14ac:dyDescent="0.25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 spans="1:27" ht="13.5" customHeight="1" x14ac:dyDescent="0.25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 spans="1:27" ht="13.5" customHeight="1" x14ac:dyDescent="0.25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 spans="1:27" ht="13.5" customHeight="1" x14ac:dyDescent="0.25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 spans="1:27" ht="13.5" customHeight="1" x14ac:dyDescent="0.25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 spans="1:27" ht="13.5" customHeight="1" x14ac:dyDescent="0.25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 spans="1:27" ht="13.5" customHeight="1" x14ac:dyDescent="0.25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 spans="1:27" ht="13.5" customHeight="1" x14ac:dyDescent="0.2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 spans="1:27" ht="13.5" customHeight="1" x14ac:dyDescent="0.25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 spans="1:27" ht="13.5" customHeight="1" x14ac:dyDescent="0.25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 spans="1:27" ht="13.5" customHeight="1" x14ac:dyDescent="0.25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 spans="1:27" ht="13.5" customHeight="1" x14ac:dyDescent="0.25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 spans="1:27" ht="13.5" customHeight="1" x14ac:dyDescent="0.25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 spans="1:27" ht="13.5" customHeight="1" x14ac:dyDescent="0.25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 spans="1:27" ht="13.5" customHeight="1" x14ac:dyDescent="0.25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 spans="1:27" ht="13.5" customHeight="1" x14ac:dyDescent="0.25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 spans="1:27" ht="13.5" customHeight="1" x14ac:dyDescent="0.25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 spans="1:27" ht="13.5" customHeight="1" x14ac:dyDescent="0.2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 spans="1:27" ht="13.5" customHeight="1" x14ac:dyDescent="0.25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 spans="1:27" ht="13.5" customHeight="1" x14ac:dyDescent="0.25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 spans="1:27" ht="13.5" customHeight="1" x14ac:dyDescent="0.25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 spans="1:27" ht="13.5" customHeight="1" x14ac:dyDescent="0.25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 spans="1:27" ht="13.5" customHeight="1" x14ac:dyDescent="0.25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 spans="1:27" ht="13.5" customHeight="1" x14ac:dyDescent="0.25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 spans="1:27" ht="13.5" customHeight="1" x14ac:dyDescent="0.25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 spans="1:27" ht="13.5" customHeight="1" x14ac:dyDescent="0.25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 spans="1:27" ht="13.5" customHeight="1" x14ac:dyDescent="0.25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 spans="1:27" ht="13.5" customHeight="1" x14ac:dyDescent="0.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 spans="1:27" ht="13.5" customHeight="1" x14ac:dyDescent="0.25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 spans="1:27" ht="13.5" customHeight="1" x14ac:dyDescent="0.25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 spans="1:27" ht="13.5" customHeight="1" x14ac:dyDescent="0.25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 spans="1:27" ht="13.5" customHeight="1" x14ac:dyDescent="0.25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 spans="1:27" ht="13.5" customHeight="1" x14ac:dyDescent="0.25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 spans="1:27" ht="13.5" customHeight="1" x14ac:dyDescent="0.25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 spans="1:27" ht="13.5" customHeight="1" x14ac:dyDescent="0.25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 spans="1:27" ht="13.5" customHeight="1" x14ac:dyDescent="0.25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 spans="1:27" ht="13.5" customHeight="1" x14ac:dyDescent="0.25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 spans="1:27" ht="13.5" customHeight="1" x14ac:dyDescent="0.2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 spans="1:27" ht="13.5" customHeight="1" x14ac:dyDescent="0.25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 spans="1:27" ht="13.5" customHeight="1" x14ac:dyDescent="0.25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 spans="1:27" ht="13.5" customHeight="1" x14ac:dyDescent="0.25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 spans="1:27" ht="13.5" customHeight="1" x14ac:dyDescent="0.25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 spans="1:27" ht="13.5" customHeight="1" x14ac:dyDescent="0.25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 spans="1:27" ht="13.5" customHeight="1" x14ac:dyDescent="0.25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 spans="1:27" ht="13.5" customHeight="1" x14ac:dyDescent="0.25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 spans="1:27" ht="13.5" customHeight="1" x14ac:dyDescent="0.25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 spans="1:27" ht="13.5" customHeight="1" x14ac:dyDescent="0.25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 spans="1:27" ht="13.5" customHeight="1" x14ac:dyDescent="0.2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 spans="1:27" ht="13.5" customHeight="1" x14ac:dyDescent="0.25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 spans="1:27" ht="13.5" customHeight="1" x14ac:dyDescent="0.25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 spans="1:27" ht="13.5" customHeight="1" x14ac:dyDescent="0.25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 spans="1:27" ht="13.5" customHeight="1" x14ac:dyDescent="0.25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 spans="1:27" ht="13.5" customHeight="1" x14ac:dyDescent="0.25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 spans="1:27" ht="13.5" customHeight="1" x14ac:dyDescent="0.25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 spans="1:27" ht="13.5" customHeight="1" x14ac:dyDescent="0.25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 spans="1:27" ht="13.5" customHeight="1" x14ac:dyDescent="0.25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 spans="1:27" ht="13.5" customHeight="1" x14ac:dyDescent="0.25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 spans="1:27" ht="13.5" customHeight="1" x14ac:dyDescent="0.2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 spans="1:27" ht="13.5" customHeight="1" x14ac:dyDescent="0.25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 spans="1:27" ht="13.5" customHeight="1" x14ac:dyDescent="0.25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 spans="1:27" ht="13.5" customHeight="1" x14ac:dyDescent="0.25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 spans="1:27" ht="13.5" customHeight="1" x14ac:dyDescent="0.25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 spans="1:27" ht="13.5" customHeight="1" x14ac:dyDescent="0.25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 spans="1:27" ht="13.5" customHeight="1" x14ac:dyDescent="0.25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 spans="1:27" ht="13.5" customHeight="1" x14ac:dyDescent="0.25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 spans="1:27" ht="13.5" customHeight="1" x14ac:dyDescent="0.25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 spans="1:27" ht="13.5" customHeight="1" x14ac:dyDescent="0.25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 spans="1:27" ht="13.5" customHeight="1" x14ac:dyDescent="0.2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 spans="1:27" ht="13.5" customHeight="1" x14ac:dyDescent="0.25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 spans="1:27" ht="13.5" customHeight="1" x14ac:dyDescent="0.25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 spans="1:27" ht="13.5" customHeight="1" x14ac:dyDescent="0.25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 spans="1:27" ht="13.5" customHeight="1" x14ac:dyDescent="0.25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 spans="1:27" ht="13.5" customHeight="1" x14ac:dyDescent="0.25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 spans="1:27" ht="13.5" customHeight="1" x14ac:dyDescent="0.25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 spans="1:27" ht="13.5" customHeight="1" x14ac:dyDescent="0.25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 spans="1:27" ht="13.5" customHeight="1" x14ac:dyDescent="0.25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 spans="1:27" ht="13.5" customHeight="1" x14ac:dyDescent="0.25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 spans="1:27" ht="13.5" customHeight="1" x14ac:dyDescent="0.2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 spans="1:27" ht="13.5" customHeight="1" x14ac:dyDescent="0.25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 spans="1:27" ht="13.5" customHeight="1" x14ac:dyDescent="0.25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 spans="1:27" ht="13.5" customHeight="1" x14ac:dyDescent="0.25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 spans="1:27" ht="13.5" customHeight="1" x14ac:dyDescent="0.25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 spans="1:27" ht="13.5" customHeight="1" x14ac:dyDescent="0.25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 spans="1:27" ht="13.5" customHeight="1" x14ac:dyDescent="0.25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 spans="1:27" ht="13.5" customHeight="1" x14ac:dyDescent="0.25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 spans="1:27" ht="13.5" customHeight="1" x14ac:dyDescent="0.25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 spans="1:27" ht="13.5" customHeight="1" x14ac:dyDescent="0.25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 spans="1:27" ht="13.5" customHeight="1" x14ac:dyDescent="0.2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 spans="1:27" ht="13.5" customHeight="1" x14ac:dyDescent="0.25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 spans="1:27" ht="13.5" customHeight="1" x14ac:dyDescent="0.25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 spans="1:27" ht="13.5" customHeight="1" x14ac:dyDescent="0.25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 spans="1:27" ht="13.5" customHeight="1" x14ac:dyDescent="0.25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 spans="1:27" ht="13.5" customHeight="1" x14ac:dyDescent="0.25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 spans="1:27" ht="13.5" customHeight="1" x14ac:dyDescent="0.25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 spans="1:27" ht="13.5" customHeight="1" x14ac:dyDescent="0.25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 spans="1:27" ht="13.5" customHeight="1" x14ac:dyDescent="0.25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 spans="1:27" ht="13.5" customHeight="1" x14ac:dyDescent="0.25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 spans="1:27" ht="13.5" customHeight="1" x14ac:dyDescent="0.2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 spans="1:27" ht="13.5" customHeight="1" x14ac:dyDescent="0.25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 spans="1:27" ht="13.5" customHeight="1" x14ac:dyDescent="0.25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 spans="1:27" ht="13.5" customHeight="1" x14ac:dyDescent="0.25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 spans="1:27" ht="13.5" customHeight="1" x14ac:dyDescent="0.25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 spans="1:27" ht="13.5" customHeight="1" x14ac:dyDescent="0.25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 spans="1:27" ht="13.5" customHeight="1" x14ac:dyDescent="0.25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 spans="1:27" ht="13.5" customHeight="1" x14ac:dyDescent="0.25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 spans="1:27" ht="13.5" customHeight="1" x14ac:dyDescent="0.25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 spans="1:27" ht="13.5" customHeight="1" x14ac:dyDescent="0.25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 spans="1:27" ht="13.5" customHeight="1" x14ac:dyDescent="0.2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 spans="1:27" ht="13.5" customHeight="1" x14ac:dyDescent="0.25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 spans="1:27" ht="13.5" customHeight="1" x14ac:dyDescent="0.25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 spans="1:27" ht="13.5" customHeight="1" x14ac:dyDescent="0.25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 spans="1:27" ht="13.5" customHeight="1" x14ac:dyDescent="0.25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 spans="1:27" ht="13.5" customHeight="1" x14ac:dyDescent="0.25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 spans="1:27" ht="13.5" customHeight="1" x14ac:dyDescent="0.25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 spans="1:27" ht="13.5" customHeight="1" x14ac:dyDescent="0.25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 spans="1:27" ht="13.5" customHeight="1" x14ac:dyDescent="0.25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 spans="1:27" ht="13.5" customHeight="1" x14ac:dyDescent="0.25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 spans="1:27" ht="13.5" customHeight="1" x14ac:dyDescent="0.2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 spans="1:27" ht="13.5" customHeight="1" x14ac:dyDescent="0.25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 spans="1:27" ht="13.5" customHeight="1" x14ac:dyDescent="0.25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 spans="1:27" ht="13.5" customHeight="1" x14ac:dyDescent="0.25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 spans="1:27" ht="13.5" customHeight="1" x14ac:dyDescent="0.25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 spans="1:27" ht="13.5" customHeight="1" x14ac:dyDescent="0.25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 spans="1:27" ht="13.5" customHeight="1" x14ac:dyDescent="0.25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 spans="1:27" ht="13.5" customHeight="1" x14ac:dyDescent="0.25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 spans="1:27" ht="13.5" customHeight="1" x14ac:dyDescent="0.25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 spans="1:27" ht="13.5" customHeight="1" x14ac:dyDescent="0.25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 spans="1:27" ht="13.5" customHeight="1" x14ac:dyDescent="0.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 spans="1:27" ht="13.5" customHeight="1" x14ac:dyDescent="0.25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 spans="1:27" ht="13.5" customHeight="1" x14ac:dyDescent="0.25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 spans="1:27" ht="13.5" customHeight="1" x14ac:dyDescent="0.25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 spans="1:27" ht="13.5" customHeight="1" x14ac:dyDescent="0.25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 spans="1:27" ht="13.5" customHeight="1" x14ac:dyDescent="0.25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 spans="1:27" ht="13.5" customHeight="1" x14ac:dyDescent="0.25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 spans="1:27" ht="13.5" customHeight="1" x14ac:dyDescent="0.25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 spans="1:27" ht="13.5" customHeight="1" x14ac:dyDescent="0.25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 spans="1:27" ht="13.5" customHeight="1" x14ac:dyDescent="0.25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 spans="1:27" ht="13.5" customHeight="1" x14ac:dyDescent="0.2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 spans="1:27" ht="13.5" customHeight="1" x14ac:dyDescent="0.25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 spans="1:27" ht="13.5" customHeight="1" x14ac:dyDescent="0.25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 spans="1:27" ht="13.5" customHeight="1" x14ac:dyDescent="0.25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 spans="1:27" ht="13.5" customHeight="1" x14ac:dyDescent="0.25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 spans="1:27" ht="13.5" customHeight="1" x14ac:dyDescent="0.25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 spans="1:27" ht="13.5" customHeight="1" x14ac:dyDescent="0.25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 spans="1:27" ht="13.5" customHeight="1" x14ac:dyDescent="0.25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 spans="1:27" ht="13.5" customHeight="1" x14ac:dyDescent="0.25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 spans="1:27" ht="13.5" customHeight="1" x14ac:dyDescent="0.25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 spans="1:27" ht="13.5" customHeight="1" x14ac:dyDescent="0.2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 spans="1:27" ht="13.5" customHeight="1" x14ac:dyDescent="0.25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 spans="1:27" ht="13.5" customHeight="1" x14ac:dyDescent="0.25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 spans="1:27" ht="13.5" customHeight="1" x14ac:dyDescent="0.25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 spans="1:27" ht="13.5" customHeight="1" x14ac:dyDescent="0.25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 spans="1:27" ht="13.5" customHeight="1" x14ac:dyDescent="0.25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 spans="1:27" ht="13.5" customHeight="1" x14ac:dyDescent="0.25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 spans="1:27" ht="13.5" customHeight="1" x14ac:dyDescent="0.25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 spans="1:27" ht="13.5" customHeight="1" x14ac:dyDescent="0.25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 spans="1:27" ht="13.5" customHeight="1" x14ac:dyDescent="0.25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 spans="1:27" ht="13.5" customHeight="1" x14ac:dyDescent="0.2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 spans="1:27" ht="13.5" customHeight="1" x14ac:dyDescent="0.25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 spans="1:27" ht="13.5" customHeight="1" x14ac:dyDescent="0.25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 spans="1:27" ht="13.5" customHeight="1" x14ac:dyDescent="0.25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 spans="1:27" ht="13.5" customHeight="1" x14ac:dyDescent="0.25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 spans="1:27" ht="13.5" customHeight="1" x14ac:dyDescent="0.25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 spans="1:27" ht="13.5" customHeight="1" x14ac:dyDescent="0.25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 spans="1:27" ht="13.5" customHeight="1" x14ac:dyDescent="0.25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 spans="1:27" ht="13.5" customHeight="1" x14ac:dyDescent="0.25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 spans="1:27" ht="13.5" customHeight="1" x14ac:dyDescent="0.25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 spans="1:27" ht="13.5" customHeight="1" x14ac:dyDescent="0.2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 spans="1:27" ht="13.5" customHeight="1" x14ac:dyDescent="0.25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 spans="1:27" ht="13.5" customHeight="1" x14ac:dyDescent="0.25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 spans="1:27" ht="13.5" customHeight="1" x14ac:dyDescent="0.25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 spans="1:27" ht="13.5" customHeight="1" x14ac:dyDescent="0.25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 spans="1:27" ht="13.5" customHeight="1" x14ac:dyDescent="0.25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 spans="1:27" ht="13.5" customHeight="1" x14ac:dyDescent="0.25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 spans="1:27" ht="13.5" customHeight="1" x14ac:dyDescent="0.25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 spans="1:27" ht="13.5" customHeight="1" x14ac:dyDescent="0.25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 spans="1:27" ht="13.5" customHeight="1" x14ac:dyDescent="0.25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 spans="1:27" ht="13.5" customHeight="1" x14ac:dyDescent="0.2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 spans="1:27" ht="13.5" customHeight="1" x14ac:dyDescent="0.25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 spans="1:27" ht="13.5" customHeight="1" x14ac:dyDescent="0.25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 spans="1:27" ht="13.5" customHeight="1" x14ac:dyDescent="0.25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 spans="1:27" ht="13.5" customHeight="1" x14ac:dyDescent="0.25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 spans="1:27" ht="13.5" customHeight="1" x14ac:dyDescent="0.25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 spans="1:27" ht="13.5" customHeight="1" x14ac:dyDescent="0.25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 spans="1:27" ht="13.5" customHeight="1" x14ac:dyDescent="0.25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 spans="1:27" ht="13.5" customHeight="1" x14ac:dyDescent="0.25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 spans="1:27" ht="13.5" customHeight="1" x14ac:dyDescent="0.25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 spans="1:27" ht="13.5" customHeight="1" x14ac:dyDescent="0.2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 spans="1:27" ht="13.5" customHeight="1" x14ac:dyDescent="0.25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 spans="1:27" ht="13.5" customHeight="1" x14ac:dyDescent="0.25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 spans="1:27" ht="13.5" customHeight="1" x14ac:dyDescent="0.25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 spans="1:27" ht="13.5" customHeight="1" x14ac:dyDescent="0.25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 spans="1:27" ht="13.5" customHeight="1" x14ac:dyDescent="0.25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 spans="1:27" ht="13.5" customHeight="1" x14ac:dyDescent="0.25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 spans="1:27" ht="13.5" customHeight="1" x14ac:dyDescent="0.25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 spans="1:27" ht="13.5" customHeight="1" x14ac:dyDescent="0.25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 spans="1:27" ht="13.5" customHeight="1" x14ac:dyDescent="0.25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 spans="1:27" ht="13.5" customHeight="1" x14ac:dyDescent="0.2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 spans="1:27" ht="13.5" customHeight="1" x14ac:dyDescent="0.25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 spans="1:27" ht="13.5" customHeight="1" x14ac:dyDescent="0.25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 spans="1:27" ht="13.5" customHeight="1" x14ac:dyDescent="0.25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 spans="1:27" ht="13.5" customHeight="1" x14ac:dyDescent="0.25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 spans="1:27" ht="13.5" customHeight="1" x14ac:dyDescent="0.25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 spans="1:27" ht="13.5" customHeight="1" x14ac:dyDescent="0.25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 spans="1:27" ht="13.5" customHeight="1" x14ac:dyDescent="0.25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 spans="1:27" ht="13.5" customHeight="1" x14ac:dyDescent="0.25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 spans="1:27" ht="13.5" customHeight="1" x14ac:dyDescent="0.25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 spans="1:27" ht="13.5" customHeight="1" x14ac:dyDescent="0.2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 spans="1:27" ht="13.5" customHeight="1" x14ac:dyDescent="0.25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 spans="1:27" ht="13.5" customHeight="1" x14ac:dyDescent="0.25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 spans="1:27" ht="13.5" customHeight="1" x14ac:dyDescent="0.25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 spans="1:27" ht="13.5" customHeight="1" x14ac:dyDescent="0.25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 spans="1:27" ht="13.5" customHeight="1" x14ac:dyDescent="0.25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 spans="1:27" ht="13.5" customHeight="1" x14ac:dyDescent="0.25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 spans="1:27" ht="13.5" customHeight="1" x14ac:dyDescent="0.25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 spans="1:27" ht="13.5" customHeight="1" x14ac:dyDescent="0.25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 spans="1:27" ht="13.5" customHeight="1" x14ac:dyDescent="0.25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 spans="1:27" ht="13.5" customHeight="1" x14ac:dyDescent="0.2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 spans="1:27" ht="13.5" customHeight="1" x14ac:dyDescent="0.25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 spans="1:27" ht="13.5" customHeight="1" x14ac:dyDescent="0.25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 spans="1:27" ht="13.5" customHeight="1" x14ac:dyDescent="0.25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 spans="1:27" ht="13.5" customHeight="1" x14ac:dyDescent="0.25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 spans="1:27" ht="13.5" customHeight="1" x14ac:dyDescent="0.25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 spans="1:27" ht="13.5" customHeight="1" x14ac:dyDescent="0.25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 spans="1:27" ht="13.5" customHeight="1" x14ac:dyDescent="0.25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 spans="1:27" ht="13.5" customHeight="1" x14ac:dyDescent="0.25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 spans="1:27" ht="13.5" customHeight="1" x14ac:dyDescent="0.25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 spans="1:27" ht="13.5" customHeight="1" x14ac:dyDescent="0.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 spans="1:27" ht="13.5" customHeight="1" x14ac:dyDescent="0.25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 spans="1:27" ht="13.5" customHeight="1" x14ac:dyDescent="0.25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 spans="1:27" ht="13.5" customHeight="1" x14ac:dyDescent="0.25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 spans="1:27" ht="13.5" customHeight="1" x14ac:dyDescent="0.25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 spans="1:27" ht="13.5" customHeight="1" x14ac:dyDescent="0.25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 spans="1:27" ht="13.5" customHeight="1" x14ac:dyDescent="0.25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 spans="1:27" ht="13.5" customHeight="1" x14ac:dyDescent="0.25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 spans="1:27" ht="13.5" customHeight="1" x14ac:dyDescent="0.25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 spans="1:27" ht="13.5" customHeight="1" x14ac:dyDescent="0.25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 spans="1:27" ht="13.5" customHeight="1" x14ac:dyDescent="0.2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 spans="1:27" ht="13.5" customHeight="1" x14ac:dyDescent="0.25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 spans="1:27" ht="13.5" customHeight="1" x14ac:dyDescent="0.25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 spans="1:27" ht="13.5" customHeight="1" x14ac:dyDescent="0.25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 spans="1:27" ht="13.5" customHeight="1" x14ac:dyDescent="0.25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 spans="1:27" ht="13.5" customHeight="1" x14ac:dyDescent="0.25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 spans="1:27" ht="13.5" customHeight="1" x14ac:dyDescent="0.25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 spans="1:27" ht="13.5" customHeight="1" x14ac:dyDescent="0.25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 spans="1:27" ht="13.5" customHeight="1" x14ac:dyDescent="0.25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 spans="1:27" ht="13.5" customHeight="1" x14ac:dyDescent="0.25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 spans="1:27" ht="13.5" customHeight="1" x14ac:dyDescent="0.2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 spans="1:27" ht="13.5" customHeight="1" x14ac:dyDescent="0.25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 spans="1:27" ht="13.5" customHeight="1" x14ac:dyDescent="0.25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 spans="1:27" ht="13.5" customHeight="1" x14ac:dyDescent="0.25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 spans="1:27" ht="13.5" customHeight="1" x14ac:dyDescent="0.25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 spans="1:27" ht="13.5" customHeight="1" x14ac:dyDescent="0.25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 spans="1:27" ht="13.5" customHeight="1" x14ac:dyDescent="0.25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 spans="1:27" ht="13.5" customHeight="1" x14ac:dyDescent="0.25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 spans="1:27" ht="13.5" customHeight="1" x14ac:dyDescent="0.25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 spans="1:27" ht="13.5" customHeight="1" x14ac:dyDescent="0.25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 spans="1:27" ht="13.5" customHeight="1" x14ac:dyDescent="0.2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 spans="1:27" ht="13.5" customHeight="1" x14ac:dyDescent="0.25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 spans="1:27" ht="13.5" customHeight="1" x14ac:dyDescent="0.25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 spans="1:27" ht="13.5" customHeight="1" x14ac:dyDescent="0.25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 spans="1:27" ht="13.5" customHeight="1" x14ac:dyDescent="0.25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 spans="1:27" ht="13.5" customHeight="1" x14ac:dyDescent="0.25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 spans="1:27" ht="13.5" customHeight="1" x14ac:dyDescent="0.25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 spans="1:27" ht="13.5" customHeight="1" x14ac:dyDescent="0.25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 spans="1:27" ht="13.5" customHeight="1" x14ac:dyDescent="0.25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 spans="1:27" ht="13.5" customHeight="1" x14ac:dyDescent="0.25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 spans="1:27" ht="13.5" customHeight="1" x14ac:dyDescent="0.2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 spans="1:27" ht="13.5" customHeight="1" x14ac:dyDescent="0.25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 spans="1:27" ht="13.5" customHeight="1" x14ac:dyDescent="0.25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 spans="1:27" ht="13.5" customHeight="1" x14ac:dyDescent="0.25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 spans="1:27" ht="13.5" customHeight="1" x14ac:dyDescent="0.25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 spans="1:27" ht="13.5" customHeight="1" x14ac:dyDescent="0.25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 spans="1:27" ht="13.5" customHeight="1" x14ac:dyDescent="0.25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 spans="1:27" ht="13.5" customHeight="1" x14ac:dyDescent="0.25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 spans="1:27" ht="13.5" customHeight="1" x14ac:dyDescent="0.25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 spans="1:27" ht="13.5" customHeight="1" x14ac:dyDescent="0.25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 spans="1:27" ht="13.5" customHeight="1" x14ac:dyDescent="0.2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 spans="1:27" ht="13.5" customHeight="1" x14ac:dyDescent="0.25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 spans="1:27" ht="13.5" customHeight="1" x14ac:dyDescent="0.25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 spans="1:27" ht="13.5" customHeight="1" x14ac:dyDescent="0.25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 spans="1:27" ht="13.5" customHeight="1" x14ac:dyDescent="0.25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 spans="1:27" ht="13.5" customHeight="1" x14ac:dyDescent="0.25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 spans="1:27" ht="13.5" customHeight="1" x14ac:dyDescent="0.25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 spans="1:27" ht="13.5" customHeight="1" x14ac:dyDescent="0.25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 spans="1:27" ht="13.5" customHeight="1" x14ac:dyDescent="0.25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 spans="1:27" ht="13.5" customHeight="1" x14ac:dyDescent="0.25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 spans="1:27" ht="13.5" customHeight="1" x14ac:dyDescent="0.2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 spans="1:27" ht="13.5" customHeight="1" x14ac:dyDescent="0.25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 spans="1:27" ht="13.5" customHeight="1" x14ac:dyDescent="0.25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 spans="1:27" ht="13.5" customHeight="1" x14ac:dyDescent="0.25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 spans="1:27" ht="13.5" customHeight="1" x14ac:dyDescent="0.25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 spans="1:27" ht="13.5" customHeight="1" x14ac:dyDescent="0.25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 spans="1:27" ht="13.5" customHeight="1" x14ac:dyDescent="0.25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 spans="1:27" ht="13.5" customHeight="1" x14ac:dyDescent="0.25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 spans="1:27" ht="13.5" customHeight="1" x14ac:dyDescent="0.25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 spans="1:27" ht="13.5" customHeight="1" x14ac:dyDescent="0.25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 spans="1:27" ht="13.5" customHeight="1" x14ac:dyDescent="0.2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 spans="1:27" ht="13.5" customHeight="1" x14ac:dyDescent="0.25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 spans="1:27" ht="13.5" customHeight="1" x14ac:dyDescent="0.25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 spans="1:27" ht="13.5" customHeight="1" x14ac:dyDescent="0.25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 spans="1:27" ht="13.5" customHeight="1" x14ac:dyDescent="0.25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 spans="1:27" ht="13.5" customHeight="1" x14ac:dyDescent="0.25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 spans="1:27" ht="13.5" customHeight="1" x14ac:dyDescent="0.25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 spans="1:27" ht="13.5" customHeight="1" x14ac:dyDescent="0.25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 spans="1:27" ht="13.5" customHeight="1" x14ac:dyDescent="0.25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 spans="1:27" ht="13.5" customHeight="1" x14ac:dyDescent="0.25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 spans="1:27" ht="13.5" customHeight="1" x14ac:dyDescent="0.2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 spans="1:27" ht="13.5" customHeight="1" x14ac:dyDescent="0.25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 spans="1:27" ht="13.5" customHeight="1" x14ac:dyDescent="0.25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 spans="1:27" ht="13.5" customHeight="1" x14ac:dyDescent="0.25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 spans="1:27" ht="13.5" customHeight="1" x14ac:dyDescent="0.25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 spans="1:27" ht="13.5" customHeight="1" x14ac:dyDescent="0.25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 spans="1:27" ht="13.5" customHeight="1" x14ac:dyDescent="0.25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 spans="1:27" ht="13.5" customHeight="1" x14ac:dyDescent="0.25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 spans="1:27" ht="13.5" customHeight="1" x14ac:dyDescent="0.25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 spans="1:27" ht="13.5" customHeight="1" x14ac:dyDescent="0.25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 spans="1:27" ht="13.5" customHeight="1" x14ac:dyDescent="0.2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 spans="1:27" ht="13.5" customHeight="1" x14ac:dyDescent="0.25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 spans="1:27" ht="13.5" customHeight="1" x14ac:dyDescent="0.25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 spans="1:27" ht="13.5" customHeight="1" x14ac:dyDescent="0.25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 spans="1:27" ht="13.5" customHeight="1" x14ac:dyDescent="0.25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 spans="1:27" ht="13.5" customHeight="1" x14ac:dyDescent="0.25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 spans="1:27" ht="13.5" customHeight="1" x14ac:dyDescent="0.25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 spans="1:27" ht="13.5" customHeight="1" x14ac:dyDescent="0.25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 spans="1:27" ht="13.5" customHeight="1" x14ac:dyDescent="0.25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 spans="1:27" ht="13.5" customHeight="1" x14ac:dyDescent="0.25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 spans="1:27" ht="13.5" customHeight="1" x14ac:dyDescent="0.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 spans="1:27" ht="13.5" customHeight="1" x14ac:dyDescent="0.25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 spans="1:27" ht="13.5" customHeight="1" x14ac:dyDescent="0.25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 spans="1:27" ht="13.5" customHeight="1" x14ac:dyDescent="0.25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 spans="1:27" ht="13.5" customHeight="1" x14ac:dyDescent="0.25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 spans="1:27" ht="13.5" customHeight="1" x14ac:dyDescent="0.25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 spans="1:27" ht="13.5" customHeight="1" x14ac:dyDescent="0.25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 spans="1:27" ht="13.5" customHeight="1" x14ac:dyDescent="0.25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 spans="1:27" ht="13.5" customHeight="1" x14ac:dyDescent="0.25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 spans="1:27" ht="13.5" customHeight="1" x14ac:dyDescent="0.25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 spans="1:27" ht="13.5" customHeight="1" x14ac:dyDescent="0.2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 spans="1:27" ht="13.5" customHeight="1" x14ac:dyDescent="0.25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 spans="1:27" ht="13.5" customHeight="1" x14ac:dyDescent="0.25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 spans="1:27" ht="13.5" customHeight="1" x14ac:dyDescent="0.25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 spans="1:27" ht="13.5" customHeight="1" x14ac:dyDescent="0.25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 spans="1:27" ht="13.5" customHeight="1" x14ac:dyDescent="0.25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 spans="1:27" ht="13.5" customHeight="1" x14ac:dyDescent="0.25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 spans="1:27" ht="13.5" customHeight="1" x14ac:dyDescent="0.25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 spans="1:27" ht="13.5" customHeight="1" x14ac:dyDescent="0.25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 spans="1:27" ht="13.5" customHeight="1" x14ac:dyDescent="0.25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 spans="1:27" ht="13.5" customHeight="1" x14ac:dyDescent="0.2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 spans="1:27" ht="13.5" customHeight="1" x14ac:dyDescent="0.25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 spans="1:27" ht="13.5" customHeight="1" x14ac:dyDescent="0.25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 spans="1:27" ht="13.5" customHeight="1" x14ac:dyDescent="0.25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 spans="1:27" ht="13.5" customHeight="1" x14ac:dyDescent="0.25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 spans="1:27" ht="13.5" customHeight="1" x14ac:dyDescent="0.25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 spans="1:27" ht="13.5" customHeight="1" x14ac:dyDescent="0.25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 spans="1:27" ht="13.5" customHeight="1" x14ac:dyDescent="0.25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 spans="1:27" ht="13.5" customHeight="1" x14ac:dyDescent="0.25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 spans="1:27" ht="13.5" customHeight="1" x14ac:dyDescent="0.25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 spans="1:27" ht="13.5" customHeight="1" x14ac:dyDescent="0.2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 spans="1:27" ht="13.5" customHeight="1" x14ac:dyDescent="0.25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 spans="1:27" ht="13.5" customHeight="1" x14ac:dyDescent="0.25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 spans="1:27" ht="13.5" customHeight="1" x14ac:dyDescent="0.25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 spans="1:27" ht="13.5" customHeight="1" x14ac:dyDescent="0.25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 spans="1:27" ht="13.5" customHeight="1" x14ac:dyDescent="0.25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 spans="1:27" ht="13.5" customHeight="1" x14ac:dyDescent="0.25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 spans="1:27" ht="13.5" customHeight="1" x14ac:dyDescent="0.25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 spans="1:27" ht="13.5" customHeight="1" x14ac:dyDescent="0.25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 spans="1:27" ht="13.5" customHeight="1" x14ac:dyDescent="0.25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 spans="1:27" ht="13.5" customHeight="1" x14ac:dyDescent="0.2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 spans="1:27" ht="13.5" customHeight="1" x14ac:dyDescent="0.25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 spans="1:27" ht="13.5" customHeight="1" x14ac:dyDescent="0.25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 spans="1:27" ht="13.5" customHeight="1" x14ac:dyDescent="0.25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 spans="1:27" ht="13.5" customHeight="1" x14ac:dyDescent="0.25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 spans="1:27" ht="13.5" customHeight="1" x14ac:dyDescent="0.25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 spans="1:27" ht="13.5" customHeight="1" x14ac:dyDescent="0.25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 spans="1:27" ht="13.5" customHeight="1" x14ac:dyDescent="0.25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 spans="1:27" ht="13.5" customHeight="1" x14ac:dyDescent="0.25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 spans="1:27" ht="13.5" customHeight="1" x14ac:dyDescent="0.25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 spans="1:27" ht="13.5" customHeight="1" x14ac:dyDescent="0.2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 spans="1:27" ht="13.5" customHeight="1" x14ac:dyDescent="0.25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 spans="1:27" ht="13.5" customHeight="1" x14ac:dyDescent="0.25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 spans="1:27" ht="13.5" customHeight="1" x14ac:dyDescent="0.25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 spans="1:27" ht="13.5" customHeight="1" x14ac:dyDescent="0.25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 spans="1:27" ht="13.5" customHeight="1" x14ac:dyDescent="0.25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 spans="1:27" ht="13.5" customHeight="1" x14ac:dyDescent="0.25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 spans="1:27" ht="13.5" customHeight="1" x14ac:dyDescent="0.25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 spans="1:27" ht="13.5" customHeight="1" x14ac:dyDescent="0.25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 spans="1:27" ht="13.5" customHeight="1" x14ac:dyDescent="0.25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 spans="1:27" ht="13.5" customHeight="1" x14ac:dyDescent="0.2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 spans="1:27" ht="13.5" customHeight="1" x14ac:dyDescent="0.25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 spans="1:27" ht="13.5" customHeight="1" x14ac:dyDescent="0.25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 spans="1:27" ht="13.5" customHeight="1" x14ac:dyDescent="0.25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 spans="1:27" ht="13.5" customHeight="1" x14ac:dyDescent="0.25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 spans="1:27" ht="13.5" customHeight="1" x14ac:dyDescent="0.25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 spans="1:27" ht="13.5" customHeight="1" x14ac:dyDescent="0.25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 spans="1:27" ht="13.5" customHeight="1" x14ac:dyDescent="0.25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 spans="1:27" ht="13.5" customHeight="1" x14ac:dyDescent="0.25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 spans="1:27" ht="13.5" customHeight="1" x14ac:dyDescent="0.25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 spans="1:27" ht="13.5" customHeight="1" x14ac:dyDescent="0.2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 spans="1:27" ht="13.5" customHeight="1" x14ac:dyDescent="0.25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 spans="1:27" ht="13.5" customHeight="1" x14ac:dyDescent="0.25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 spans="1:27" ht="13.5" customHeight="1" x14ac:dyDescent="0.25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 spans="1:27" ht="13.5" customHeight="1" x14ac:dyDescent="0.25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 spans="1:27" ht="13.5" customHeight="1" x14ac:dyDescent="0.25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 spans="1:27" ht="13.5" customHeight="1" x14ac:dyDescent="0.25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 spans="1:27" ht="13.5" customHeight="1" x14ac:dyDescent="0.25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 spans="1:27" ht="13.5" customHeight="1" x14ac:dyDescent="0.25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 spans="1:27" ht="13.5" customHeight="1" x14ac:dyDescent="0.25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 spans="1:27" ht="13.5" customHeight="1" x14ac:dyDescent="0.2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 spans="1:27" ht="13.5" customHeight="1" x14ac:dyDescent="0.25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 spans="1:27" ht="13.5" customHeight="1" x14ac:dyDescent="0.25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 spans="1:27" ht="13.5" customHeight="1" x14ac:dyDescent="0.25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 spans="1:27" ht="13.5" customHeight="1" x14ac:dyDescent="0.25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 spans="1:27" ht="13.5" customHeight="1" x14ac:dyDescent="0.25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 spans="1:27" ht="13.5" customHeight="1" x14ac:dyDescent="0.25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 spans="1:27" ht="13.5" customHeight="1" x14ac:dyDescent="0.25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 spans="1:27" ht="13.5" customHeight="1" x14ac:dyDescent="0.25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 spans="1:27" ht="13.5" customHeight="1" x14ac:dyDescent="0.25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 spans="1:27" ht="13.5" customHeight="1" x14ac:dyDescent="0.2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 spans="1:27" ht="13.5" customHeight="1" x14ac:dyDescent="0.25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 spans="1:27" ht="13.5" customHeight="1" x14ac:dyDescent="0.25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 spans="1:27" ht="13.5" customHeight="1" x14ac:dyDescent="0.25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 spans="1:27" ht="13.5" customHeight="1" x14ac:dyDescent="0.25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 spans="1:27" ht="13.5" customHeight="1" x14ac:dyDescent="0.25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 spans="1:27" ht="13.5" customHeight="1" x14ac:dyDescent="0.25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 spans="1:27" ht="13.5" customHeight="1" x14ac:dyDescent="0.25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 spans="1:27" ht="13.5" customHeight="1" x14ac:dyDescent="0.25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 spans="1:27" ht="13.5" customHeight="1" x14ac:dyDescent="0.25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 spans="1:27" ht="13.5" customHeight="1" x14ac:dyDescent="0.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 spans="1:27" ht="13.5" customHeight="1" x14ac:dyDescent="0.25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 spans="1:27" ht="13.5" customHeight="1" x14ac:dyDescent="0.25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 spans="1:27" ht="13.5" customHeight="1" x14ac:dyDescent="0.25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 spans="1:27" ht="13.5" customHeight="1" x14ac:dyDescent="0.25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 spans="1:27" ht="13.5" customHeight="1" x14ac:dyDescent="0.25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 spans="1:27" ht="13.5" customHeight="1" x14ac:dyDescent="0.25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 spans="1:27" ht="13.5" customHeight="1" x14ac:dyDescent="0.25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 spans="1:27" ht="13.5" customHeight="1" x14ac:dyDescent="0.25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 spans="1:27" ht="13.5" customHeight="1" x14ac:dyDescent="0.25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 spans="1:27" ht="13.5" customHeight="1" x14ac:dyDescent="0.2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 spans="1:27" ht="13.5" customHeight="1" x14ac:dyDescent="0.25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 spans="1:27" ht="13.5" customHeight="1" x14ac:dyDescent="0.25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 spans="1:27" ht="13.5" customHeight="1" x14ac:dyDescent="0.25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 spans="1:27" ht="13.5" customHeight="1" x14ac:dyDescent="0.25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 spans="1:27" ht="13.5" customHeight="1" x14ac:dyDescent="0.25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 spans="1:27" ht="13.5" customHeight="1" x14ac:dyDescent="0.25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 spans="1:27" ht="13.5" customHeight="1" x14ac:dyDescent="0.25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 spans="1:27" ht="13.5" customHeight="1" x14ac:dyDescent="0.25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 spans="1:27" ht="13.5" customHeight="1" x14ac:dyDescent="0.25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 spans="1:27" ht="13.5" customHeight="1" x14ac:dyDescent="0.2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 spans="1:27" ht="13.5" customHeight="1" x14ac:dyDescent="0.25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 spans="1:27" ht="13.5" customHeight="1" x14ac:dyDescent="0.25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 spans="1:27" ht="13.5" customHeight="1" x14ac:dyDescent="0.25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 spans="1:27" ht="13.5" customHeight="1" x14ac:dyDescent="0.25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 spans="1:27" ht="13.5" customHeight="1" x14ac:dyDescent="0.25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 spans="1:27" ht="13.5" customHeight="1" x14ac:dyDescent="0.25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 spans="1:27" ht="13.5" customHeight="1" x14ac:dyDescent="0.25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 spans="1:27" ht="13.5" customHeight="1" x14ac:dyDescent="0.25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 spans="1:27" ht="13.5" customHeight="1" x14ac:dyDescent="0.25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 spans="1:27" ht="13.5" customHeight="1" x14ac:dyDescent="0.2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 spans="1:27" ht="13.5" customHeight="1" x14ac:dyDescent="0.25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 spans="1:27" ht="13.5" customHeight="1" x14ac:dyDescent="0.25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 spans="1:27" ht="13.5" customHeight="1" x14ac:dyDescent="0.25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 spans="1:27" ht="13.5" customHeight="1" x14ac:dyDescent="0.25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 spans="1:27" ht="13.5" customHeight="1" x14ac:dyDescent="0.25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 spans="1:27" ht="13.5" customHeight="1" x14ac:dyDescent="0.25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 spans="1:27" ht="13.5" customHeight="1" x14ac:dyDescent="0.25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 spans="1:27" ht="13.5" customHeight="1" x14ac:dyDescent="0.25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 spans="1:27" ht="13.5" customHeight="1" x14ac:dyDescent="0.25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 spans="1:27" ht="13.5" customHeight="1" x14ac:dyDescent="0.2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 spans="1:27" ht="13.5" customHeight="1" x14ac:dyDescent="0.25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 spans="1:27" ht="13.5" customHeight="1" x14ac:dyDescent="0.25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 spans="1:27" ht="13.5" customHeight="1" x14ac:dyDescent="0.25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 spans="1:27" ht="13.5" customHeight="1" x14ac:dyDescent="0.25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 spans="1:27" ht="13.5" customHeight="1" x14ac:dyDescent="0.25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 spans="1:27" ht="13.5" customHeight="1" x14ac:dyDescent="0.25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 spans="1:27" ht="13.5" customHeight="1" x14ac:dyDescent="0.25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 spans="1:27" ht="13.5" customHeight="1" x14ac:dyDescent="0.25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 spans="1:27" ht="13.5" customHeight="1" x14ac:dyDescent="0.25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 spans="1:27" ht="13.5" customHeight="1" x14ac:dyDescent="0.2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 spans="1:27" ht="13.5" customHeight="1" x14ac:dyDescent="0.25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 spans="1:27" ht="13.5" customHeight="1" x14ac:dyDescent="0.25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 spans="1:27" ht="13.5" customHeight="1" x14ac:dyDescent="0.25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 spans="1:27" ht="13.5" customHeight="1" x14ac:dyDescent="0.25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 spans="1:27" ht="13.5" customHeight="1" x14ac:dyDescent="0.25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 spans="1:27" ht="13.5" customHeight="1" x14ac:dyDescent="0.25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 spans="1:27" ht="13.5" customHeight="1" x14ac:dyDescent="0.25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 spans="1:27" ht="13.5" customHeight="1" x14ac:dyDescent="0.25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 spans="1:27" ht="13.5" customHeight="1" x14ac:dyDescent="0.25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 spans="1:27" ht="13.5" customHeight="1" x14ac:dyDescent="0.2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 spans="1:27" ht="13.5" customHeight="1" x14ac:dyDescent="0.25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 spans="1:27" ht="13.5" customHeight="1" x14ac:dyDescent="0.25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 spans="1:27" ht="13.5" customHeight="1" x14ac:dyDescent="0.25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 spans="1:27" ht="13.5" customHeight="1" x14ac:dyDescent="0.25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 spans="1:27" ht="13.5" customHeight="1" x14ac:dyDescent="0.25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 spans="1:27" ht="13.5" customHeight="1" x14ac:dyDescent="0.25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 spans="1:27" ht="13.5" customHeight="1" x14ac:dyDescent="0.25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 spans="1:27" ht="13.5" customHeight="1" x14ac:dyDescent="0.25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 spans="1:27" ht="13.5" customHeight="1" x14ac:dyDescent="0.25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 spans="1:27" ht="13.5" customHeight="1" x14ac:dyDescent="0.2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 spans="1:27" ht="13.5" customHeight="1" x14ac:dyDescent="0.25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 spans="1:27" ht="13.5" customHeight="1" x14ac:dyDescent="0.25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 spans="1:27" ht="13.5" customHeight="1" x14ac:dyDescent="0.25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 spans="1:27" ht="13.5" customHeight="1" x14ac:dyDescent="0.25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 spans="1:27" ht="13.5" customHeight="1" x14ac:dyDescent="0.25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 spans="1:27" ht="13.5" customHeight="1" x14ac:dyDescent="0.25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 spans="1:27" ht="13.5" customHeight="1" x14ac:dyDescent="0.25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 spans="1:27" ht="13.5" customHeight="1" x14ac:dyDescent="0.25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 spans="1:27" ht="13.5" customHeight="1" x14ac:dyDescent="0.25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 spans="1:27" ht="13.5" customHeight="1" x14ac:dyDescent="0.2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 spans="1:27" ht="13.5" customHeight="1" x14ac:dyDescent="0.25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 spans="1:27" ht="13.5" customHeight="1" x14ac:dyDescent="0.25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 spans="1:27" ht="13.5" customHeight="1" x14ac:dyDescent="0.25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 spans="1:27" ht="13.5" customHeight="1" x14ac:dyDescent="0.25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 spans="1:27" ht="13.5" customHeight="1" x14ac:dyDescent="0.25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 spans="1:27" ht="13.5" customHeight="1" x14ac:dyDescent="0.25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 spans="1:27" ht="13.5" customHeight="1" x14ac:dyDescent="0.25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 spans="1:27" ht="13.5" customHeight="1" x14ac:dyDescent="0.25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 spans="1:27" ht="13.5" customHeight="1" x14ac:dyDescent="0.25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 spans="1:27" ht="13.5" customHeight="1" x14ac:dyDescent="0.2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 spans="1:27" ht="13.5" customHeight="1" x14ac:dyDescent="0.25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 spans="1:27" ht="13.5" customHeight="1" x14ac:dyDescent="0.25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 spans="1:27" ht="13.5" customHeight="1" x14ac:dyDescent="0.25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 spans="1:27" ht="13.5" customHeight="1" x14ac:dyDescent="0.25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 spans="1:27" ht="13.5" customHeight="1" x14ac:dyDescent="0.25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 spans="1:27" ht="13.5" customHeight="1" x14ac:dyDescent="0.25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 spans="1:27" ht="13.5" customHeight="1" x14ac:dyDescent="0.25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 spans="1:27" ht="13.5" customHeight="1" x14ac:dyDescent="0.25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 spans="1:27" ht="13.5" customHeight="1" x14ac:dyDescent="0.25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 spans="1:27" ht="13.5" customHeight="1" x14ac:dyDescent="0.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 spans="1:27" ht="13.5" customHeight="1" x14ac:dyDescent="0.25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 spans="1:27" ht="13.5" customHeight="1" x14ac:dyDescent="0.25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 spans="1:27" ht="13.5" customHeight="1" x14ac:dyDescent="0.25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 spans="1:27" ht="13.5" customHeight="1" x14ac:dyDescent="0.25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 spans="1:27" ht="13.5" customHeight="1" x14ac:dyDescent="0.25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 spans="1:27" ht="13.5" customHeight="1" x14ac:dyDescent="0.25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 spans="1:27" ht="13.5" customHeight="1" x14ac:dyDescent="0.25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 spans="1:27" ht="13.5" customHeight="1" x14ac:dyDescent="0.25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 spans="1:27" ht="13.5" customHeight="1" x14ac:dyDescent="0.25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 spans="1:27" ht="13.5" customHeight="1" x14ac:dyDescent="0.2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 spans="1:27" ht="13.5" customHeight="1" x14ac:dyDescent="0.25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 spans="1:27" ht="13.5" customHeight="1" x14ac:dyDescent="0.25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 spans="1:27" ht="13.5" customHeight="1" x14ac:dyDescent="0.25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 spans="1:27" ht="13.5" customHeight="1" x14ac:dyDescent="0.25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 spans="1:27" ht="13.5" customHeight="1" x14ac:dyDescent="0.25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 spans="1:27" ht="13.5" customHeight="1" x14ac:dyDescent="0.25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 spans="1:27" ht="13.5" customHeight="1" x14ac:dyDescent="0.25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 spans="1:27" ht="13.5" customHeight="1" x14ac:dyDescent="0.25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 spans="1:27" ht="13.5" customHeight="1" x14ac:dyDescent="0.25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 spans="1:27" ht="13.5" customHeight="1" x14ac:dyDescent="0.2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 spans="1:27" ht="13.5" customHeight="1" x14ac:dyDescent="0.25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 spans="1:27" ht="13.5" customHeight="1" x14ac:dyDescent="0.25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 spans="1:27" ht="13.5" customHeight="1" x14ac:dyDescent="0.25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 spans="1:27" ht="13.5" customHeight="1" x14ac:dyDescent="0.25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 spans="1:27" ht="13.5" customHeight="1" x14ac:dyDescent="0.25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 spans="1:27" ht="13.5" customHeight="1" x14ac:dyDescent="0.25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 spans="1:27" ht="13.5" customHeight="1" x14ac:dyDescent="0.25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 spans="1:27" ht="13.5" customHeight="1" x14ac:dyDescent="0.25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 spans="1:27" ht="13.5" customHeight="1" x14ac:dyDescent="0.25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 spans="1:27" ht="13.5" customHeight="1" x14ac:dyDescent="0.2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 spans="1:27" ht="13.5" customHeight="1" x14ac:dyDescent="0.25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 spans="1:27" ht="13.5" customHeight="1" x14ac:dyDescent="0.25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 spans="1:27" ht="13.5" customHeight="1" x14ac:dyDescent="0.25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 spans="1:27" ht="13.5" customHeight="1" x14ac:dyDescent="0.25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 spans="1:27" ht="13.5" customHeight="1" x14ac:dyDescent="0.25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 spans="1:27" ht="13.5" customHeight="1" x14ac:dyDescent="0.25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 spans="1:27" ht="13.5" customHeight="1" x14ac:dyDescent="0.25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 spans="1:27" ht="13.5" customHeight="1" x14ac:dyDescent="0.25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 spans="1:27" ht="13.5" customHeight="1" x14ac:dyDescent="0.25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 spans="1:27" ht="13.5" customHeight="1" x14ac:dyDescent="0.2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 spans="1:27" ht="13.5" customHeight="1" x14ac:dyDescent="0.25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 spans="1:27" ht="13.5" customHeight="1" x14ac:dyDescent="0.25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 spans="1:27" ht="13.5" customHeight="1" x14ac:dyDescent="0.25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 spans="1:27" ht="13.5" customHeight="1" x14ac:dyDescent="0.25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 spans="1:27" ht="13.5" customHeight="1" x14ac:dyDescent="0.25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 spans="1:27" ht="13.5" customHeight="1" x14ac:dyDescent="0.25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 spans="1:27" ht="13.5" customHeight="1" x14ac:dyDescent="0.25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 spans="1:27" ht="13.5" customHeight="1" x14ac:dyDescent="0.25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 spans="1:27" ht="13.5" customHeight="1" x14ac:dyDescent="0.25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 spans="1:27" ht="13.5" customHeight="1" x14ac:dyDescent="0.2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 spans="1:27" ht="13.5" customHeight="1" x14ac:dyDescent="0.25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 spans="1:27" ht="13.5" customHeight="1" x14ac:dyDescent="0.25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 spans="1:27" ht="13.5" customHeight="1" x14ac:dyDescent="0.25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 spans="1:27" ht="13.5" customHeight="1" x14ac:dyDescent="0.25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 spans="1:27" ht="13.5" customHeight="1" x14ac:dyDescent="0.25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 spans="1:27" ht="13.5" customHeight="1" x14ac:dyDescent="0.25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 spans="1:27" ht="13.5" customHeight="1" x14ac:dyDescent="0.25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 spans="1:27" ht="13.5" customHeight="1" x14ac:dyDescent="0.25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 spans="1:27" ht="13.5" customHeight="1" x14ac:dyDescent="0.25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 spans="1:27" ht="13.5" customHeight="1" x14ac:dyDescent="0.2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 spans="1:27" ht="13.5" customHeight="1" x14ac:dyDescent="0.25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 spans="1:27" ht="13.5" customHeight="1" x14ac:dyDescent="0.25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 spans="1:27" ht="13.5" customHeight="1" x14ac:dyDescent="0.25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 spans="1:27" ht="13.5" customHeight="1" x14ac:dyDescent="0.25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 spans="1:27" ht="13.5" customHeight="1" x14ac:dyDescent="0.25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 spans="1:27" ht="13.5" customHeight="1" x14ac:dyDescent="0.25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 spans="1:27" ht="13.5" customHeight="1" x14ac:dyDescent="0.25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 spans="1:27" ht="13.5" customHeight="1" x14ac:dyDescent="0.25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 spans="1:27" ht="13.5" customHeight="1" x14ac:dyDescent="0.25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 spans="1:27" ht="13.5" customHeight="1" x14ac:dyDescent="0.2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 spans="1:27" ht="13.5" customHeight="1" x14ac:dyDescent="0.25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 spans="1:27" ht="13.5" customHeight="1" x14ac:dyDescent="0.25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  <row r="998" spans="1:27" ht="13.5" customHeight="1" x14ac:dyDescent="0.25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</row>
  </sheetData>
  <mergeCells count="23">
    <mergeCell ref="M11:O11"/>
    <mergeCell ref="B12:C12"/>
    <mergeCell ref="B13:C13"/>
    <mergeCell ref="A2:R2"/>
    <mergeCell ref="A3:R3"/>
    <mergeCell ref="B14:C14"/>
    <mergeCell ref="B15:C15"/>
    <mergeCell ref="B30:C30"/>
    <mergeCell ref="B31:C31"/>
    <mergeCell ref="B32:C32"/>
    <mergeCell ref="B16:C16"/>
    <mergeCell ref="B33:C33"/>
    <mergeCell ref="B34:C34"/>
    <mergeCell ref="B42:C42"/>
    <mergeCell ref="A47:M47"/>
    <mergeCell ref="B18:C18"/>
    <mergeCell ref="E18:L18"/>
    <mergeCell ref="M18:P18"/>
    <mergeCell ref="V18:X18"/>
    <mergeCell ref="V23:W23"/>
    <mergeCell ref="Y23:AA26"/>
    <mergeCell ref="B27:C27"/>
    <mergeCell ref="B29:C29"/>
  </mergeCells>
  <dataValidations count="1">
    <dataValidation type="list" allowBlank="1" showErrorMessage="1" sqref="H12" xr:uid="{00000000-0002-0000-0100-000000000000}">
      <formula1>"-,A,B,C,D"</formula1>
    </dataValidation>
  </dataValidations>
  <printOptions horizontalCentered="1" verticalCentered="1"/>
  <pageMargins left="0" right="0" top="0.39370078740157483" bottom="0" header="0" footer="0"/>
  <pageSetup scale="9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4BEE36-A97D-445B-B232-68CFC006924E}">
          <x14:formula1>
            <xm:f>precision!#REF!</xm:f>
          </x14:formula1>
          <xm:sqref>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topLeftCell="A25" workbookViewId="0">
      <selection activeCell="C35" sqref="C35"/>
    </sheetView>
  </sheetViews>
  <sheetFormatPr baseColWidth="10" defaultColWidth="12.5546875" defaultRowHeight="15" customHeight="1" x14ac:dyDescent="0.25"/>
  <cols>
    <col min="1" max="1" width="25.44140625" customWidth="1"/>
    <col min="2" max="2" width="9.44140625" customWidth="1"/>
    <col min="3" max="3" width="13.109375" customWidth="1"/>
    <col min="4" max="4" width="13.44140625" customWidth="1"/>
    <col min="5" max="5" width="12.44140625" customWidth="1"/>
    <col min="6" max="6" width="14.44140625" customWidth="1"/>
    <col min="7" max="8" width="12.109375" customWidth="1"/>
    <col min="9" max="9" width="9.88671875" customWidth="1"/>
    <col min="10" max="10" width="14.44140625" customWidth="1"/>
    <col min="11" max="11" width="16" customWidth="1"/>
    <col min="12" max="12" width="12.88671875" customWidth="1"/>
    <col min="13" max="13" width="13.5546875" customWidth="1"/>
    <col min="14" max="14" width="12.109375" customWidth="1"/>
    <col min="15" max="15" width="10.109375" customWidth="1"/>
    <col min="16" max="16" width="14.88671875" customWidth="1"/>
    <col min="17" max="17" width="16" customWidth="1"/>
    <col min="18" max="18" width="12.88671875" customWidth="1"/>
    <col min="19" max="19" width="11.44140625" customWidth="1"/>
    <col min="20" max="20" width="13.88671875" customWidth="1"/>
    <col min="21" max="21" width="10.109375" customWidth="1"/>
    <col min="22" max="22" width="12.44140625" customWidth="1"/>
    <col min="23" max="23" width="16.44140625" customWidth="1"/>
    <col min="24" max="24" width="12.88671875" customWidth="1"/>
    <col min="25" max="25" width="12.44140625" customWidth="1"/>
    <col min="26" max="26" width="12" customWidth="1"/>
  </cols>
  <sheetData>
    <row r="1" spans="1:26" ht="12.75" customHeight="1" x14ac:dyDescent="0.25">
      <c r="A1" s="611"/>
      <c r="B1" s="612"/>
      <c r="C1" s="617" t="s">
        <v>80</v>
      </c>
      <c r="D1" s="618"/>
      <c r="E1" s="618"/>
      <c r="F1" s="618"/>
      <c r="G1" s="618"/>
      <c r="H1" s="612"/>
      <c r="I1" s="46" t="s">
        <v>81</v>
      </c>
      <c r="J1" s="46" t="s">
        <v>82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2.75" customHeight="1" x14ac:dyDescent="0.25">
      <c r="A2" s="613"/>
      <c r="B2" s="614"/>
      <c r="C2" s="613"/>
      <c r="D2" s="564"/>
      <c r="E2" s="564"/>
      <c r="F2" s="564"/>
      <c r="G2" s="564"/>
      <c r="H2" s="614"/>
      <c r="I2" s="46" t="s">
        <v>83</v>
      </c>
      <c r="J2" s="48">
        <v>3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2.75" customHeight="1" x14ac:dyDescent="0.25">
      <c r="A3" s="613"/>
      <c r="B3" s="614"/>
      <c r="C3" s="613"/>
      <c r="D3" s="564"/>
      <c r="E3" s="564"/>
      <c r="F3" s="564"/>
      <c r="G3" s="564"/>
      <c r="H3" s="614"/>
      <c r="I3" s="46" t="s">
        <v>84</v>
      </c>
      <c r="J3" s="497">
        <v>46146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2.75" customHeight="1" x14ac:dyDescent="0.25">
      <c r="A4" s="615"/>
      <c r="B4" s="616"/>
      <c r="C4" s="615"/>
      <c r="D4" s="619"/>
      <c r="E4" s="619"/>
      <c r="F4" s="619"/>
      <c r="G4" s="619"/>
      <c r="H4" s="616"/>
      <c r="I4" s="46" t="s">
        <v>85</v>
      </c>
      <c r="J4" s="46" t="s">
        <v>86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2.75" customHeight="1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28.5" customHeight="1" x14ac:dyDescent="0.25">
      <c r="A6" s="49" t="s">
        <v>87</v>
      </c>
      <c r="B6" s="620" t="s">
        <v>34</v>
      </c>
      <c r="C6" s="621"/>
      <c r="D6" s="621"/>
      <c r="E6" s="621"/>
      <c r="F6" s="621"/>
      <c r="G6" s="621"/>
      <c r="H6" s="621"/>
      <c r="I6" s="621"/>
      <c r="J6" s="622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8" customHeight="1" x14ac:dyDescent="0.25">
      <c r="A7" s="49" t="s">
        <v>88</v>
      </c>
      <c r="B7" s="50" t="s">
        <v>9</v>
      </c>
      <c r="C7" s="51"/>
      <c r="D7" s="51"/>
      <c r="E7" s="51"/>
      <c r="F7" s="52"/>
      <c r="G7" s="52"/>
      <c r="H7" s="52"/>
      <c r="I7" s="52"/>
      <c r="J7" s="53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8" customHeight="1" x14ac:dyDescent="0.25">
      <c r="A8" s="49" t="s">
        <v>89</v>
      </c>
      <c r="B8" s="54" t="s">
        <v>90</v>
      </c>
      <c r="C8" s="51"/>
      <c r="D8" s="51"/>
      <c r="E8" s="51"/>
      <c r="F8" s="52"/>
      <c r="G8" s="52"/>
      <c r="H8" s="52"/>
      <c r="I8" s="52"/>
      <c r="J8" s="53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8" customHeight="1" x14ac:dyDescent="0.25">
      <c r="A9" s="55" t="s">
        <v>215</v>
      </c>
      <c r="B9" s="54" t="s">
        <v>91</v>
      </c>
      <c r="C9" s="51"/>
      <c r="D9" s="51"/>
      <c r="E9" s="51"/>
      <c r="F9" s="52"/>
      <c r="G9" s="52"/>
      <c r="H9" s="52"/>
      <c r="I9" s="52"/>
      <c r="J9" s="53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2.75" customHeight="1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" customHeight="1" x14ac:dyDescent="0.25">
      <c r="A11" s="56" t="s">
        <v>214</v>
      </c>
      <c r="B11" s="57"/>
      <c r="C11" s="57"/>
      <c r="D11" s="57"/>
      <c r="E11" s="57"/>
      <c r="F11" s="57"/>
      <c r="G11" s="57"/>
      <c r="H11" s="5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7.5" customHeight="1" x14ac:dyDescent="0.25">
      <c r="A12" s="56"/>
      <c r="B12" s="57"/>
      <c r="C12" s="57"/>
      <c r="D12" s="57"/>
      <c r="E12" s="57"/>
      <c r="F12" s="57"/>
      <c r="G12" s="57"/>
      <c r="H12" s="5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" customHeight="1" x14ac:dyDescent="0.25">
      <c r="A13" s="58" t="s">
        <v>92</v>
      </c>
      <c r="B13" s="57"/>
      <c r="C13" s="57"/>
      <c r="D13" s="58" t="s">
        <v>93</v>
      </c>
      <c r="E13" s="57"/>
      <c r="F13" s="56" t="s">
        <v>94</v>
      </c>
      <c r="G13" s="57"/>
      <c r="H13" s="5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9" customHeight="1" x14ac:dyDescent="0.25">
      <c r="A14" s="57"/>
      <c r="B14" s="57"/>
      <c r="C14" s="57"/>
      <c r="D14" s="57"/>
      <c r="E14" s="57"/>
      <c r="F14" s="57"/>
      <c r="G14" s="57"/>
      <c r="H14" s="5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" customHeight="1" x14ac:dyDescent="0.25">
      <c r="A15" s="59"/>
      <c r="B15" s="57"/>
      <c r="C15" s="57"/>
      <c r="D15" s="57"/>
      <c r="E15" s="57"/>
      <c r="F15" s="57"/>
      <c r="G15" s="57"/>
      <c r="H15" s="5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" customHeight="1" x14ac:dyDescent="0.25">
      <c r="A16" s="59" t="s">
        <v>95</v>
      </c>
      <c r="B16" s="57"/>
      <c r="C16" s="57"/>
      <c r="D16" s="57"/>
      <c r="E16" s="57"/>
      <c r="F16" s="57"/>
      <c r="G16" s="57"/>
      <c r="H16" s="5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1.25" customHeight="1" x14ac:dyDescent="0.25">
      <c r="A17" s="59" t="s">
        <v>96</v>
      </c>
      <c r="B17" s="47"/>
      <c r="C17" s="57"/>
      <c r="D17" s="57"/>
      <c r="E17" s="57"/>
      <c r="F17" s="57"/>
      <c r="G17" s="57"/>
      <c r="H17" s="5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" customHeight="1" x14ac:dyDescent="0.25">
      <c r="A18" s="59" t="s">
        <v>97</v>
      </c>
      <c r="B18" s="57"/>
      <c r="C18" s="57"/>
      <c r="D18" s="57"/>
      <c r="E18" s="57"/>
      <c r="F18" s="57"/>
      <c r="G18" s="57"/>
      <c r="H18" s="5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" customHeight="1" x14ac:dyDescent="0.25">
      <c r="A19" s="59"/>
      <c r="B19" s="57"/>
      <c r="C19" s="57"/>
      <c r="D19" s="57"/>
      <c r="E19" s="57"/>
      <c r="F19" s="57"/>
      <c r="G19" s="57"/>
      <c r="H19" s="5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" customHeight="1" x14ac:dyDescent="0.25">
      <c r="A20" s="58" t="s">
        <v>98</v>
      </c>
      <c r="B20" s="57"/>
      <c r="C20" s="57"/>
      <c r="D20" s="57"/>
      <c r="E20" s="57"/>
      <c r="F20" s="57"/>
      <c r="G20" s="57"/>
      <c r="H20" s="5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2.75" customHeight="1" x14ac:dyDescent="0.25">
      <c r="A21" s="57"/>
      <c r="B21" s="57"/>
      <c r="C21" s="57"/>
      <c r="D21" s="57"/>
      <c r="E21" s="57"/>
      <c r="F21" s="57"/>
      <c r="G21" s="57"/>
      <c r="H21" s="5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" customHeight="1" x14ac:dyDescent="0.25">
      <c r="A22" s="59" t="s">
        <v>99</v>
      </c>
      <c r="B22" s="57"/>
      <c r="C22" s="57"/>
      <c r="D22" s="57"/>
      <c r="E22" s="57"/>
      <c r="F22" s="57"/>
      <c r="G22" s="57"/>
      <c r="H22" s="5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2.75" customHeight="1" x14ac:dyDescent="0.25">
      <c r="A23" s="57"/>
      <c r="B23" s="57"/>
      <c r="C23" s="57"/>
      <c r="D23" s="57"/>
      <c r="E23" s="57"/>
      <c r="F23" s="57"/>
      <c r="G23" s="57"/>
      <c r="H23" s="5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21" customHeight="1" x14ac:dyDescent="0.25">
      <c r="A24" s="60" t="s">
        <v>100</v>
      </c>
      <c r="B24" s="61"/>
      <c r="C24" s="61"/>
      <c r="D24" s="62"/>
      <c r="E24" s="61"/>
      <c r="F24" s="61"/>
      <c r="G24" s="61"/>
      <c r="H24" s="61"/>
      <c r="I24" s="63"/>
      <c r="J24" s="63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37.5" customHeight="1" x14ac:dyDescent="0.25">
      <c r="A25" s="64" t="s">
        <v>101</v>
      </c>
      <c r="B25" s="65" t="s">
        <v>102</v>
      </c>
      <c r="C25" s="64" t="s">
        <v>103</v>
      </c>
      <c r="D25" s="65" t="s">
        <v>104</v>
      </c>
      <c r="E25" s="65" t="s">
        <v>105</v>
      </c>
      <c r="F25" s="65" t="s">
        <v>106</v>
      </c>
      <c r="G25" s="65" t="s">
        <v>107</v>
      </c>
      <c r="H25" s="65" t="s">
        <v>108</v>
      </c>
      <c r="I25" s="45"/>
      <c r="J25" s="66"/>
      <c r="K25" s="66"/>
      <c r="L25" s="66"/>
      <c r="M25" s="66"/>
      <c r="N25" s="66"/>
      <c r="O25" s="45"/>
      <c r="P25" s="66"/>
      <c r="Q25" s="66"/>
      <c r="R25" s="66"/>
      <c r="S25" s="66"/>
      <c r="T25" s="66"/>
      <c r="U25" s="45"/>
      <c r="V25" s="66"/>
      <c r="W25" s="66"/>
      <c r="X25" s="66"/>
      <c r="Y25" s="66"/>
      <c r="Z25" s="66"/>
    </row>
    <row r="26" spans="1:26" ht="21.75" customHeight="1" x14ac:dyDescent="0.25">
      <c r="A26" s="308" t="s">
        <v>109</v>
      </c>
      <c r="B26" s="309"/>
      <c r="C26" s="153" t="e">
        <f>+(C27-C31)/C27*100</f>
        <v>#VALUE!</v>
      </c>
      <c r="D26" s="310" t="s">
        <v>110</v>
      </c>
      <c r="E26" s="310" t="s">
        <v>110</v>
      </c>
      <c r="F26" s="310" t="s">
        <v>110</v>
      </c>
      <c r="G26" s="67" t="s">
        <v>110</v>
      </c>
      <c r="H26" s="67" t="s">
        <v>110</v>
      </c>
      <c r="I26" s="68"/>
      <c r="J26" s="623"/>
      <c r="K26" s="574"/>
      <c r="L26" s="574"/>
      <c r="M26" s="574"/>
      <c r="N26" s="63"/>
      <c r="O26" s="63"/>
      <c r="P26" s="63"/>
      <c r="Q26" s="63"/>
      <c r="R26" s="63"/>
      <c r="S26" s="69"/>
      <c r="T26" s="69"/>
      <c r="U26" s="68"/>
      <c r="V26" s="69"/>
      <c r="W26" s="69"/>
      <c r="X26" s="69"/>
      <c r="Y26" s="69"/>
      <c r="Z26" s="69"/>
    </row>
    <row r="27" spans="1:26" ht="21.75" customHeight="1" x14ac:dyDescent="0.25">
      <c r="A27" s="311" t="s">
        <v>22</v>
      </c>
      <c r="B27" s="312" t="s">
        <v>23</v>
      </c>
      <c r="C27" s="313" t="str">
        <f>+DATOS!M30</f>
        <v/>
      </c>
      <c r="D27" s="314" t="s">
        <v>110</v>
      </c>
      <c r="E27" s="315" t="s">
        <v>110</v>
      </c>
      <c r="F27" s="316" t="e">
        <f>SQRT((F28*F28)+(F29*F29)+(F30*F30))</f>
        <v>#VALUE!</v>
      </c>
      <c r="G27" s="256" t="e">
        <f>100*C31/C27/C27</f>
        <v>#VALUE!</v>
      </c>
      <c r="H27" s="256" t="e">
        <f>+G27*F27</f>
        <v>#VALUE!</v>
      </c>
      <c r="I27" s="70" t="s">
        <v>56</v>
      </c>
      <c r="J27" s="624"/>
      <c r="K27" s="574"/>
      <c r="L27" s="242"/>
      <c r="M27" s="242"/>
      <c r="N27" s="63"/>
      <c r="O27" s="63"/>
      <c r="P27" s="63"/>
      <c r="Q27" s="63"/>
      <c r="R27" s="63"/>
      <c r="S27" s="71"/>
      <c r="T27" s="71"/>
      <c r="U27" s="72"/>
      <c r="V27" s="72"/>
      <c r="W27" s="71"/>
      <c r="X27" s="73"/>
      <c r="Y27" s="71"/>
      <c r="Z27" s="71"/>
    </row>
    <row r="28" spans="1:26" ht="21.75" customHeight="1" x14ac:dyDescent="0.25">
      <c r="A28" s="323" t="s">
        <v>113</v>
      </c>
      <c r="B28" s="317" t="s">
        <v>23</v>
      </c>
      <c r="C28" s="318"/>
      <c r="D28" s="319">
        <f>+balanza!E24</f>
        <v>0</v>
      </c>
      <c r="E28" s="320" t="s">
        <v>114</v>
      </c>
      <c r="F28" s="321">
        <f>+D28</f>
        <v>0</v>
      </c>
      <c r="G28" s="74" t="s">
        <v>110</v>
      </c>
      <c r="H28" s="74" t="s">
        <v>110</v>
      </c>
      <c r="I28" s="75"/>
      <c r="J28" s="243"/>
      <c r="K28" s="244"/>
      <c r="L28" s="245"/>
      <c r="M28" s="246"/>
      <c r="N28" s="63"/>
      <c r="O28" s="63"/>
      <c r="P28" s="63"/>
      <c r="Q28" s="63"/>
      <c r="R28" s="63"/>
      <c r="S28" s="71"/>
      <c r="T28" s="76"/>
      <c r="U28" s="77"/>
      <c r="V28" s="78"/>
      <c r="W28" s="79"/>
      <c r="X28" s="78"/>
      <c r="Y28" s="71"/>
      <c r="Z28" s="76"/>
    </row>
    <row r="29" spans="1:26" ht="21.75" customHeight="1" x14ac:dyDescent="0.25">
      <c r="A29" s="323" t="s">
        <v>115</v>
      </c>
      <c r="B29" s="317" t="s">
        <v>23</v>
      </c>
      <c r="C29" s="318"/>
      <c r="D29" s="319" t="e">
        <f>2*(SQRT(balanza!$C$8+balanza!$D$8*(POWER(C27,2))))</f>
        <v>#VALUE!</v>
      </c>
      <c r="E29" s="320" t="s">
        <v>116</v>
      </c>
      <c r="F29" s="321" t="e">
        <f>+D29/2</f>
        <v>#VALUE!</v>
      </c>
      <c r="G29" s="74" t="s">
        <v>110</v>
      </c>
      <c r="H29" s="74" t="s">
        <v>110</v>
      </c>
      <c r="I29" s="75"/>
      <c r="J29" s="243"/>
      <c r="K29" s="244"/>
      <c r="L29" s="245"/>
      <c r="M29" s="246"/>
      <c r="N29" s="63"/>
      <c r="O29" s="63"/>
      <c r="P29" s="63"/>
      <c r="Q29" s="63"/>
      <c r="R29" s="63"/>
      <c r="S29" s="71"/>
      <c r="T29" s="76"/>
      <c r="U29" s="77"/>
      <c r="V29" s="72"/>
      <c r="W29" s="79"/>
      <c r="X29" s="78"/>
      <c r="Y29" s="71"/>
      <c r="Z29" s="76"/>
    </row>
    <row r="30" spans="1:26" ht="21.75" customHeight="1" x14ac:dyDescent="0.25">
      <c r="A30" s="323" t="s">
        <v>117</v>
      </c>
      <c r="B30" s="317" t="s">
        <v>23</v>
      </c>
      <c r="C30" s="318"/>
      <c r="D30" s="319">
        <f>+balanza!C10</f>
        <v>1</v>
      </c>
      <c r="E30" s="322" t="s">
        <v>118</v>
      </c>
      <c r="F30" s="321">
        <f>+D30/SQRT(3)/2</f>
        <v>0.28867513459481292</v>
      </c>
      <c r="G30" s="74" t="s">
        <v>110</v>
      </c>
      <c r="H30" s="74" t="s">
        <v>110</v>
      </c>
      <c r="I30" s="75"/>
      <c r="J30" s="243"/>
      <c r="K30" s="244"/>
      <c r="L30" s="245"/>
      <c r="M30" s="246"/>
      <c r="N30" s="63"/>
      <c r="O30" s="63"/>
      <c r="P30" s="63"/>
      <c r="Q30" s="63"/>
      <c r="R30" s="63"/>
      <c r="S30" s="71"/>
      <c r="T30" s="76"/>
      <c r="U30" s="77"/>
      <c r="V30" s="72"/>
      <c r="W30" s="70"/>
      <c r="X30" s="78"/>
      <c r="Y30" s="71"/>
      <c r="Z30" s="76"/>
    </row>
    <row r="31" spans="1:26" ht="21.75" customHeight="1" x14ac:dyDescent="0.25">
      <c r="A31" s="311" t="s">
        <v>24</v>
      </c>
      <c r="B31" s="312" t="s">
        <v>23</v>
      </c>
      <c r="C31" s="313" t="str">
        <f>+DATOS!M33</f>
        <v/>
      </c>
      <c r="D31" s="312"/>
      <c r="E31" s="314" t="s">
        <v>110</v>
      </c>
      <c r="F31" s="316" t="e">
        <f>SQRT((F32*F32)+(F33*F33)+(F34*F34))</f>
        <v>#VALUE!</v>
      </c>
      <c r="G31" s="241" t="e">
        <f>100/C27</f>
        <v>#VALUE!</v>
      </c>
      <c r="H31" s="241" t="e">
        <f>+G31*F31</f>
        <v>#VALUE!</v>
      </c>
      <c r="I31" s="70" t="s">
        <v>119</v>
      </c>
      <c r="J31" s="243"/>
      <c r="K31" s="244"/>
      <c r="L31" s="245"/>
      <c r="M31" s="246"/>
      <c r="N31" s="47"/>
      <c r="O31" s="47"/>
      <c r="P31" s="47"/>
      <c r="Q31" s="47"/>
      <c r="R31" s="47"/>
      <c r="S31" s="81"/>
      <c r="T31" s="78"/>
      <c r="U31" s="72"/>
      <c r="V31" s="82"/>
      <c r="W31" s="72"/>
      <c r="X31" s="73"/>
      <c r="Y31" s="81"/>
      <c r="Z31" s="78"/>
    </row>
    <row r="32" spans="1:26" ht="21.75" customHeight="1" x14ac:dyDescent="0.25">
      <c r="A32" s="323" t="s">
        <v>113</v>
      </c>
      <c r="B32" s="317" t="s">
        <v>23</v>
      </c>
      <c r="C32" s="318"/>
      <c r="D32" s="319">
        <f>+balanza!E25</f>
        <v>0</v>
      </c>
      <c r="E32" s="320" t="s">
        <v>114</v>
      </c>
      <c r="F32" s="321">
        <f>+D32</f>
        <v>0</v>
      </c>
      <c r="G32" s="74" t="s">
        <v>110</v>
      </c>
      <c r="H32" s="74" t="s">
        <v>110</v>
      </c>
      <c r="I32" s="77"/>
      <c r="J32" s="240"/>
      <c r="K32" s="247"/>
      <c r="L32" s="248"/>
      <c r="M32" s="246"/>
      <c r="N32" s="76"/>
      <c r="O32" s="77"/>
      <c r="P32" s="78"/>
      <c r="Q32" s="79"/>
      <c r="R32" s="78"/>
      <c r="S32" s="71"/>
      <c r="T32" s="76"/>
      <c r="U32" s="77"/>
      <c r="V32" s="78"/>
      <c r="W32" s="79"/>
      <c r="X32" s="78"/>
      <c r="Y32" s="71"/>
      <c r="Z32" s="76"/>
    </row>
    <row r="33" spans="1:26" ht="21.75" customHeight="1" x14ac:dyDescent="0.25">
      <c r="A33" s="323" t="s">
        <v>115</v>
      </c>
      <c r="B33" s="317" t="s">
        <v>23</v>
      </c>
      <c r="C33" s="318"/>
      <c r="D33" s="319" t="e">
        <f>2*(SQRT(balanza!$C$8+balanza!$D$8*(POWER(C31,2))))</f>
        <v>#VALUE!</v>
      </c>
      <c r="E33" s="320" t="s">
        <v>116</v>
      </c>
      <c r="F33" s="321" t="e">
        <f>+D33/2</f>
        <v>#VALUE!</v>
      </c>
      <c r="G33" s="74" t="s">
        <v>110</v>
      </c>
      <c r="H33" s="74" t="s">
        <v>110</v>
      </c>
      <c r="I33" s="77"/>
      <c r="J33" s="249"/>
      <c r="K33" s="250"/>
      <c r="L33" s="251"/>
      <c r="M33" s="252"/>
      <c r="N33" s="76"/>
      <c r="O33" s="77"/>
      <c r="P33" s="72"/>
      <c r="Q33" s="79"/>
      <c r="R33" s="78"/>
      <c r="S33" s="71"/>
      <c r="T33" s="76"/>
      <c r="U33" s="77"/>
      <c r="V33" s="72"/>
      <c r="W33" s="79"/>
      <c r="X33" s="78"/>
      <c r="Y33" s="71"/>
      <c r="Z33" s="76"/>
    </row>
    <row r="34" spans="1:26" ht="21.75" customHeight="1" x14ac:dyDescent="0.25">
      <c r="A34" s="323" t="s">
        <v>117</v>
      </c>
      <c r="B34" s="317" t="s">
        <v>23</v>
      </c>
      <c r="C34" s="318"/>
      <c r="D34" s="319">
        <f>+balanza!C10</f>
        <v>1</v>
      </c>
      <c r="E34" s="322" t="s">
        <v>118</v>
      </c>
      <c r="F34" s="321">
        <f>+D34/SQRT(3)/2</f>
        <v>0.28867513459481292</v>
      </c>
      <c r="G34" s="74" t="s">
        <v>110</v>
      </c>
      <c r="H34" s="74" t="s">
        <v>110</v>
      </c>
      <c r="I34" s="77"/>
      <c r="J34" s="249"/>
      <c r="K34" s="253"/>
      <c r="L34" s="251"/>
      <c r="M34" s="252"/>
      <c r="N34" s="76"/>
      <c r="O34" s="77"/>
      <c r="P34" s="72"/>
      <c r="Q34" s="70"/>
      <c r="R34" s="78"/>
      <c r="S34" s="71"/>
      <c r="T34" s="76"/>
      <c r="U34" s="77"/>
      <c r="V34" s="72"/>
      <c r="W34" s="70"/>
      <c r="X34" s="78"/>
      <c r="Y34" s="71"/>
      <c r="Z34" s="76"/>
    </row>
    <row r="35" spans="1:26" ht="21.75" customHeight="1" x14ac:dyDescent="0.25">
      <c r="A35" s="257" t="s">
        <v>120</v>
      </c>
      <c r="B35" s="333" t="s">
        <v>26</v>
      </c>
      <c r="C35" s="307">
        <f>+precision!B7</f>
        <v>9.6689694720198741E-3</v>
      </c>
      <c r="D35" s="241"/>
      <c r="E35" s="258" t="s">
        <v>121</v>
      </c>
      <c r="F35" s="307">
        <f>C35/SQRT(1)</f>
        <v>9.6689694720198741E-3</v>
      </c>
      <c r="G35" s="260">
        <v>1</v>
      </c>
      <c r="H35" s="241">
        <f>+F35*G35</f>
        <v>9.6689694720198741E-3</v>
      </c>
      <c r="I35" s="78"/>
      <c r="J35" s="251"/>
      <c r="K35" s="250"/>
      <c r="L35" s="251"/>
      <c r="M35" s="254"/>
      <c r="N35" s="78"/>
      <c r="O35" s="78"/>
      <c r="P35" s="78"/>
      <c r="Q35" s="79"/>
      <c r="R35" s="78"/>
      <c r="S35" s="83"/>
      <c r="T35" s="78"/>
      <c r="U35" s="78"/>
      <c r="V35" s="78"/>
      <c r="W35" s="79"/>
      <c r="X35" s="78"/>
      <c r="Y35" s="83"/>
      <c r="Z35" s="78"/>
    </row>
    <row r="36" spans="1:26" ht="21.75" customHeight="1" x14ac:dyDescent="0.25">
      <c r="A36" s="84" t="s">
        <v>122</v>
      </c>
      <c r="B36" s="85"/>
      <c r="C36" s="86"/>
      <c r="D36" s="86"/>
      <c r="E36" s="87"/>
      <c r="F36" s="86"/>
      <c r="G36" s="334" t="s">
        <v>26</v>
      </c>
      <c r="H36" s="80" t="e">
        <f>SQRT((H27*H27)+(H31*H31)+(H35*H35))</f>
        <v>#VALUE!</v>
      </c>
      <c r="I36" s="72"/>
      <c r="J36" s="249"/>
      <c r="K36" s="250"/>
      <c r="L36" s="249"/>
      <c r="M36" s="255"/>
      <c r="N36" s="72"/>
      <c r="O36" s="72"/>
      <c r="P36" s="72"/>
      <c r="Q36" s="79"/>
      <c r="R36" s="72"/>
      <c r="S36" s="88"/>
      <c r="T36" s="72"/>
      <c r="U36" s="72"/>
      <c r="V36" s="72"/>
      <c r="W36" s="79"/>
      <c r="X36" s="72"/>
      <c r="Y36" s="88"/>
      <c r="Z36" s="72"/>
    </row>
    <row r="37" spans="1:26" ht="21.75" customHeight="1" x14ac:dyDescent="0.25">
      <c r="A37" s="84" t="s">
        <v>123</v>
      </c>
      <c r="B37" s="89"/>
      <c r="C37" s="89"/>
      <c r="D37" s="85"/>
      <c r="E37" s="89"/>
      <c r="F37" s="85"/>
      <c r="G37" s="334" t="s">
        <v>26</v>
      </c>
      <c r="H37" s="330" t="e">
        <f>+H36*2</f>
        <v>#VALUE!</v>
      </c>
      <c r="I37" s="90"/>
      <c r="J37" s="63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8" customHeight="1" x14ac:dyDescent="0.25">
      <c r="A38" s="47"/>
      <c r="B38" s="47"/>
      <c r="C38" s="47"/>
      <c r="D38" s="63"/>
      <c r="E38" s="63"/>
      <c r="F38" s="63"/>
      <c r="G38" s="63"/>
      <c r="H38" s="78"/>
      <c r="I38" s="63"/>
      <c r="J38" s="63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21.75" customHeight="1" x14ac:dyDescent="0.25">
      <c r="A39" s="607" t="s">
        <v>216</v>
      </c>
      <c r="B39" s="608"/>
      <c r="C39" s="608"/>
      <c r="D39" s="609"/>
      <c r="E39" s="232"/>
      <c r="F39" s="232"/>
      <c r="G39" s="232"/>
      <c r="H39" s="232"/>
      <c r="I39" s="232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21.75" customHeight="1" x14ac:dyDescent="0.25">
      <c r="A40" s="610" t="s">
        <v>111</v>
      </c>
      <c r="B40" s="610"/>
      <c r="C40" s="233" t="s">
        <v>112</v>
      </c>
      <c r="D40" s="233" t="s">
        <v>26</v>
      </c>
      <c r="E40" s="232"/>
      <c r="F40" s="232"/>
      <c r="G40" s="232"/>
      <c r="H40" s="232"/>
      <c r="I40" s="232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21.75" customHeight="1" x14ac:dyDescent="0.25">
      <c r="A41" s="331"/>
      <c r="B41" s="332" t="str">
        <f>+A27</f>
        <v>Masa de la muestra de prueba</v>
      </c>
      <c r="C41" s="261" t="e">
        <f>+H27</f>
        <v>#VALUE!</v>
      </c>
      <c r="D41" s="234" t="e">
        <f>+C41/$C$44</f>
        <v>#VALUE!</v>
      </c>
      <c r="E41" s="232"/>
      <c r="F41" s="232"/>
      <c r="G41" s="232"/>
      <c r="H41" s="232"/>
      <c r="I41" s="232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21.75" customHeight="1" x14ac:dyDescent="0.25">
      <c r="A42" s="331"/>
      <c r="B42" s="332" t="str">
        <f>+A31</f>
        <v>Masa final de la muestra</v>
      </c>
      <c r="C42" s="261" t="e">
        <f>+H31</f>
        <v>#VALUE!</v>
      </c>
      <c r="D42" s="234" t="e">
        <f>+C42/$C$44</f>
        <v>#VALUE!</v>
      </c>
      <c r="E42" s="232"/>
      <c r="F42" s="232"/>
      <c r="G42" s="232"/>
      <c r="H42" s="232"/>
      <c r="I42" s="232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21.75" customHeight="1" x14ac:dyDescent="0.25">
      <c r="A43" s="331"/>
      <c r="B43" s="332" t="str">
        <f>+A35</f>
        <v xml:space="preserve">factor de presición </v>
      </c>
      <c r="C43" s="261">
        <f>+H35</f>
        <v>9.6689694720198741E-3</v>
      </c>
      <c r="D43" s="234" t="e">
        <f>+C43/$C$44</f>
        <v>#VALUE!</v>
      </c>
      <c r="E43" s="232"/>
      <c r="F43" s="232"/>
      <c r="G43" s="232"/>
      <c r="H43" s="232"/>
      <c r="I43" s="232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21.75" customHeight="1" x14ac:dyDescent="0.25">
      <c r="A44" s="235"/>
      <c r="B44" s="236"/>
      <c r="C44" s="237" t="e">
        <f>SUM(C41:C43)</f>
        <v>#VALUE!</v>
      </c>
      <c r="D44" s="238" t="e">
        <f>SUM(D41:D43)</f>
        <v>#VALUE!</v>
      </c>
      <c r="E44" s="239"/>
      <c r="F44" s="239"/>
      <c r="G44" s="239"/>
      <c r="H44" s="239"/>
      <c r="I44" s="239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21.75" customHeight="1" x14ac:dyDescent="0.25">
      <c r="A45" s="239"/>
      <c r="B45" s="239"/>
      <c r="C45" s="239"/>
      <c r="D45" s="239"/>
      <c r="E45" s="239"/>
      <c r="F45" s="239"/>
      <c r="G45" s="239"/>
      <c r="H45" s="239"/>
      <c r="I45" s="239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21.75" customHeight="1" x14ac:dyDescent="0.25">
      <c r="A46" s="239"/>
      <c r="B46" s="305"/>
      <c r="C46" s="305"/>
      <c r="D46" s="305"/>
      <c r="E46" s="239"/>
      <c r="F46" s="239"/>
      <c r="G46" s="239"/>
      <c r="H46" s="239"/>
      <c r="I46" s="239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</row>
    <row r="47" spans="1:26" ht="21.75" customHeight="1" x14ac:dyDescent="0.25">
      <c r="A47" s="498" t="s">
        <v>217</v>
      </c>
      <c r="B47" s="625" t="s">
        <v>218</v>
      </c>
      <c r="C47" s="626"/>
      <c r="D47" s="499"/>
      <c r="E47" s="627" t="s">
        <v>219</v>
      </c>
      <c r="F47" s="627"/>
      <c r="G47" s="628" t="s">
        <v>220</v>
      </c>
      <c r="H47" s="629"/>
      <c r="I47" s="239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</row>
    <row r="48" spans="1:26" ht="21.75" customHeight="1" x14ac:dyDescent="0.25">
      <c r="A48" s="355"/>
      <c r="B48" s="355"/>
      <c r="C48" s="355"/>
      <c r="D48" s="355"/>
      <c r="E48" s="355"/>
      <c r="F48" s="355"/>
      <c r="G48" s="355"/>
      <c r="H48" s="355"/>
      <c r="I48" s="239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</row>
    <row r="49" spans="1:26" ht="21.75" customHeight="1" x14ac:dyDescent="0.25">
      <c r="A49" s="500" t="s">
        <v>221</v>
      </c>
      <c r="B49" s="630">
        <v>45414</v>
      </c>
      <c r="C49" s="631"/>
      <c r="D49" s="355"/>
      <c r="E49" s="632" t="s">
        <v>222</v>
      </c>
      <c r="F49" s="632"/>
      <c r="G49" s="630">
        <v>45414</v>
      </c>
      <c r="H49" s="631"/>
      <c r="I49" s="239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</row>
    <row r="50" spans="1:26" ht="21.75" customHeight="1" x14ac:dyDescent="0.25">
      <c r="A50" s="305"/>
      <c r="B50" s="306"/>
      <c r="C50" s="306"/>
      <c r="D50" s="306"/>
      <c r="E50" s="239"/>
      <c r="F50" s="239"/>
      <c r="G50" s="239"/>
      <c r="H50" s="239"/>
      <c r="I50" s="239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</row>
    <row r="51" spans="1:26" ht="21.75" customHeight="1" x14ac:dyDescent="0.25">
      <c r="A51" s="239"/>
      <c r="B51" s="306"/>
      <c r="C51" s="306"/>
      <c r="D51" s="306"/>
      <c r="E51" s="239"/>
      <c r="F51" s="239"/>
      <c r="G51" s="239"/>
      <c r="H51" s="239"/>
      <c r="I51" s="239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</row>
    <row r="52" spans="1:26" ht="21.75" customHeight="1" x14ac:dyDescent="0.25">
      <c r="A52" s="239"/>
      <c r="B52" s="239"/>
      <c r="C52" s="239"/>
      <c r="D52" s="239"/>
      <c r="E52" s="239"/>
      <c r="F52" s="239"/>
      <c r="G52" s="239"/>
      <c r="H52" s="239"/>
      <c r="I52" s="239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</row>
    <row r="53" spans="1:26" ht="21.75" customHeight="1" x14ac:dyDescent="0.25">
      <c r="A53" s="239"/>
      <c r="B53" s="239"/>
      <c r="C53" s="239"/>
      <c r="D53" s="239"/>
      <c r="E53" s="239"/>
      <c r="F53" s="239"/>
      <c r="G53" s="239"/>
      <c r="H53" s="239"/>
      <c r="I53" s="239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</row>
    <row r="54" spans="1:26" ht="21.75" customHeight="1" x14ac:dyDescent="0.25">
      <c r="A54" s="239"/>
      <c r="B54" s="239"/>
      <c r="C54" s="239"/>
      <c r="D54" s="239"/>
      <c r="E54" s="239"/>
      <c r="F54" s="239"/>
      <c r="G54" s="239"/>
      <c r="H54" s="239"/>
      <c r="I54" s="239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</row>
    <row r="55" spans="1:26" ht="21.75" customHeight="1" x14ac:dyDescent="0.25">
      <c r="A55" s="239"/>
      <c r="B55" s="239"/>
      <c r="C55" s="239"/>
      <c r="D55" s="239"/>
      <c r="E55" s="239"/>
      <c r="F55" s="239"/>
      <c r="G55" s="239"/>
      <c r="H55" s="239"/>
      <c r="I55" s="239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</row>
    <row r="56" spans="1:26" ht="21.75" customHeight="1" x14ac:dyDescent="0.25">
      <c r="A56" s="239"/>
      <c r="B56" s="239"/>
      <c r="C56" s="239"/>
      <c r="D56" s="239"/>
      <c r="E56" s="239"/>
      <c r="F56" s="239"/>
      <c r="G56" s="239"/>
      <c r="H56" s="239"/>
      <c r="I56" s="239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</row>
    <row r="57" spans="1:26" ht="21.75" customHeight="1" x14ac:dyDescent="0.25">
      <c r="A57" s="239"/>
      <c r="B57" s="239"/>
      <c r="C57" s="239"/>
      <c r="D57" s="239"/>
      <c r="E57" s="239"/>
      <c r="F57" s="239"/>
      <c r="G57" s="239"/>
      <c r="H57" s="239"/>
      <c r="I57" s="239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</row>
    <row r="58" spans="1:26" ht="21.75" customHeight="1" x14ac:dyDescent="0.25">
      <c r="A58" s="239"/>
      <c r="B58" s="239"/>
      <c r="C58" s="239"/>
      <c r="D58" s="239"/>
      <c r="E58" s="239"/>
      <c r="F58" s="239"/>
      <c r="G58" s="239"/>
      <c r="H58" s="239"/>
      <c r="I58" s="239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</row>
    <row r="59" spans="1:26" ht="21.75" customHeight="1" x14ac:dyDescent="0.25">
      <c r="A59" s="239"/>
      <c r="B59" s="239"/>
      <c r="C59" s="239"/>
      <c r="D59" s="239"/>
      <c r="E59" s="239"/>
      <c r="F59" s="239"/>
      <c r="G59" s="239"/>
      <c r="H59" s="239"/>
      <c r="I59" s="239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</row>
    <row r="60" spans="1:26" ht="21.75" customHeight="1" x14ac:dyDescent="0.25">
      <c r="A60" s="239"/>
      <c r="B60" s="239"/>
      <c r="C60" s="239"/>
      <c r="D60" s="239"/>
      <c r="E60" s="239"/>
      <c r="F60" s="239"/>
      <c r="G60" s="239"/>
      <c r="H60" s="239"/>
      <c r="I60" s="239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</row>
    <row r="61" spans="1:26" ht="21.75" customHeight="1" x14ac:dyDescent="0.25">
      <c r="A61" s="239"/>
      <c r="B61" s="239"/>
      <c r="C61" s="239"/>
      <c r="D61" s="239"/>
      <c r="E61" s="239"/>
      <c r="F61" s="239"/>
      <c r="G61" s="239"/>
      <c r="H61" s="239"/>
      <c r="I61" s="239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</row>
    <row r="62" spans="1:26" ht="21.75" customHeight="1" x14ac:dyDescent="0.25">
      <c r="A62" s="239"/>
      <c r="B62" s="239"/>
      <c r="C62" s="239"/>
      <c r="D62" s="239"/>
      <c r="E62" s="239"/>
      <c r="F62" s="239"/>
      <c r="G62" s="239"/>
      <c r="H62" s="239"/>
      <c r="I62" s="239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</row>
    <row r="63" spans="1:26" ht="21.75" customHeight="1" x14ac:dyDescent="0.25">
      <c r="A63" s="239"/>
      <c r="B63" s="239"/>
      <c r="C63" s="239"/>
      <c r="D63" s="239"/>
      <c r="E63" s="239"/>
      <c r="F63" s="239"/>
      <c r="G63" s="239"/>
      <c r="H63" s="239"/>
      <c r="I63" s="239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</row>
    <row r="64" spans="1:26" ht="21.75" customHeight="1" x14ac:dyDescent="0.25">
      <c r="A64" s="239"/>
      <c r="B64" s="239"/>
      <c r="C64" s="239"/>
      <c r="D64" s="239"/>
      <c r="E64" s="239"/>
      <c r="F64" s="239"/>
      <c r="G64" s="239"/>
      <c r="H64" s="239"/>
      <c r="I64" s="239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</row>
    <row r="65" spans="1:26" ht="21.75" customHeight="1" x14ac:dyDescent="0.25">
      <c r="A65" s="239"/>
      <c r="B65" s="239"/>
      <c r="C65" s="239"/>
      <c r="D65" s="239"/>
      <c r="E65" s="239"/>
      <c r="F65" s="239"/>
      <c r="G65" s="239"/>
      <c r="H65" s="239"/>
      <c r="I65" s="239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</row>
    <row r="66" spans="1:26" ht="21.75" customHeight="1" x14ac:dyDescent="0.25">
      <c r="A66" s="239"/>
      <c r="B66" s="239"/>
      <c r="C66" s="239"/>
      <c r="D66" s="239"/>
      <c r="E66" s="239"/>
      <c r="F66" s="239"/>
      <c r="G66" s="239"/>
      <c r="H66" s="239"/>
      <c r="I66" s="239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</row>
    <row r="67" spans="1:26" ht="21.75" customHeight="1" x14ac:dyDescent="0.25">
      <c r="A67" s="239"/>
      <c r="B67" s="239"/>
      <c r="C67" s="239"/>
      <c r="D67" s="239"/>
      <c r="E67" s="239"/>
      <c r="F67" s="239"/>
      <c r="G67" s="239"/>
      <c r="H67" s="239"/>
      <c r="I67" s="239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</row>
    <row r="68" spans="1:26" ht="21.75" customHeight="1" x14ac:dyDescent="0.25">
      <c r="A68" s="239"/>
      <c r="B68" s="239"/>
      <c r="C68" s="239"/>
      <c r="D68" s="239"/>
      <c r="E68" s="239"/>
      <c r="F68" s="239"/>
      <c r="G68" s="239"/>
      <c r="H68" s="239"/>
      <c r="I68" s="239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</row>
    <row r="69" spans="1:26" ht="21.75" customHeight="1" x14ac:dyDescent="0.25">
      <c r="A69" s="239"/>
      <c r="B69" s="239"/>
      <c r="C69" s="239"/>
      <c r="D69" s="239"/>
      <c r="E69" s="239"/>
      <c r="F69" s="239"/>
      <c r="G69" s="239"/>
      <c r="H69" s="239"/>
      <c r="I69" s="239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</row>
    <row r="70" spans="1:26" ht="21.75" customHeight="1" x14ac:dyDescent="0.25">
      <c r="A70" s="239"/>
      <c r="B70" s="239"/>
      <c r="C70" s="239"/>
      <c r="D70" s="239"/>
      <c r="E70" s="239"/>
      <c r="F70" s="239"/>
      <c r="G70" s="239"/>
      <c r="H70" s="239"/>
      <c r="I70" s="239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</row>
    <row r="71" spans="1:26" ht="12.75" customHeight="1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2.75" customHeight="1" x14ac:dyDescent="0.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2.75" customHeight="1" x14ac:dyDescent="0.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2.75" customHeight="1" x14ac:dyDescent="0.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2.75" customHeight="1" x14ac:dyDescent="0.2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2.75" customHeight="1" x14ac:dyDescent="0.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2.75" customHeight="1" x14ac:dyDescent="0.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2.75" customHeight="1" x14ac:dyDescent="0.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2.75" customHeight="1" x14ac:dyDescent="0.2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2.75" customHeight="1" x14ac:dyDescent="0.2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2.75" customHeight="1" x14ac:dyDescent="0.2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2.75" customHeight="1" x14ac:dyDescent="0.2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2.75" customHeight="1" x14ac:dyDescent="0.2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2.75" customHeight="1" x14ac:dyDescent="0.2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2.75" customHeight="1" x14ac:dyDescent="0.2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2.75" customHeight="1" x14ac:dyDescent="0.2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2.75" customHeight="1" x14ac:dyDescent="0.2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2.75" customHeight="1" x14ac:dyDescent="0.2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2.75" customHeight="1" x14ac:dyDescent="0.2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2.75" customHeight="1" x14ac:dyDescent="0.2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2.75" customHeight="1" x14ac:dyDescent="0.2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2.75" customHeight="1" x14ac:dyDescent="0.2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2.75" customHeight="1" x14ac:dyDescent="0.2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2.75" customHeight="1" x14ac:dyDescent="0.2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2.75" customHeight="1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2.75" customHeight="1" x14ac:dyDescent="0.2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2.75" customHeight="1" x14ac:dyDescent="0.2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2.75" customHeight="1" x14ac:dyDescent="0.2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2.75" customHeight="1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2.75" customHeight="1" x14ac:dyDescent="0.2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2.75" customHeight="1" x14ac:dyDescent="0.2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2.75" customHeight="1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2.75" customHeight="1" x14ac:dyDescent="0.2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2.75" customHeight="1" x14ac:dyDescent="0.2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2.75" customHeight="1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2.75" customHeight="1" x14ac:dyDescent="0.2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2.75" customHeight="1" x14ac:dyDescent="0.2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2.75" customHeight="1" x14ac:dyDescent="0.2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2.75" customHeight="1" x14ac:dyDescent="0.2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2.75" customHeight="1" x14ac:dyDescent="0.2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2.75" customHeight="1" x14ac:dyDescent="0.2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2.75" customHeight="1" x14ac:dyDescent="0.2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2.75" customHeight="1" x14ac:dyDescent="0.2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2.75" customHeight="1" x14ac:dyDescent="0.2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2.75" customHeight="1" x14ac:dyDescent="0.2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2.75" customHeight="1" x14ac:dyDescent="0.2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2.75" customHeight="1" x14ac:dyDescent="0.2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2.75" customHeight="1" x14ac:dyDescent="0.2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2.75" customHeight="1" x14ac:dyDescent="0.2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2.75" customHeight="1" x14ac:dyDescent="0.2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2.75" customHeight="1" x14ac:dyDescent="0.2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2.75" customHeight="1" x14ac:dyDescent="0.2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2.75" customHeight="1" x14ac:dyDescent="0.2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2.75" customHeight="1" x14ac:dyDescent="0.2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2.75" customHeight="1" x14ac:dyDescent="0.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2.75" customHeight="1" x14ac:dyDescent="0.2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2.75" customHeight="1" x14ac:dyDescent="0.2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2.75" customHeight="1" x14ac:dyDescent="0.2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2.75" customHeight="1" x14ac:dyDescent="0.2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2.75" customHeight="1" x14ac:dyDescent="0.2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2.75" customHeight="1" x14ac:dyDescent="0.2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2.75" customHeight="1" x14ac:dyDescent="0.2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2.75" customHeight="1" x14ac:dyDescent="0.2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2.75" customHeight="1" x14ac:dyDescent="0.2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2.75" customHeight="1" x14ac:dyDescent="0.2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2.75" customHeight="1" x14ac:dyDescent="0.2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2.75" customHeight="1" x14ac:dyDescent="0.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2.75" customHeight="1" x14ac:dyDescent="0.2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2.75" customHeight="1" x14ac:dyDescent="0.25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2.75" customHeight="1" x14ac:dyDescent="0.25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2.75" customHeight="1" x14ac:dyDescent="0.25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2.75" customHeight="1" x14ac:dyDescent="0.25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2.75" customHeight="1" x14ac:dyDescent="0.25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2.75" customHeight="1" x14ac:dyDescent="0.25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2.75" customHeight="1" x14ac:dyDescent="0.2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2.75" customHeight="1" x14ac:dyDescent="0.25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2.75" customHeight="1" x14ac:dyDescent="0.25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2.75" customHeight="1" x14ac:dyDescent="0.2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2.75" customHeight="1" x14ac:dyDescent="0.2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2.75" customHeight="1" x14ac:dyDescent="0.2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2.75" customHeight="1" x14ac:dyDescent="0.2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2.75" customHeight="1" x14ac:dyDescent="0.2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2.75" customHeight="1" x14ac:dyDescent="0.2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2.75" customHeight="1" x14ac:dyDescent="0.25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2.75" customHeight="1" x14ac:dyDescent="0.2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2.75" customHeight="1" x14ac:dyDescent="0.25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2.75" customHeight="1" x14ac:dyDescent="0.25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2.75" customHeight="1" x14ac:dyDescent="0.25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2.75" customHeight="1" x14ac:dyDescent="0.25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2.75" customHeight="1" x14ac:dyDescent="0.25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2.75" customHeight="1" x14ac:dyDescent="0.25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2.75" customHeight="1" x14ac:dyDescent="0.25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2.75" customHeight="1" x14ac:dyDescent="0.25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2.75" customHeight="1" x14ac:dyDescent="0.25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2.75" customHeight="1" x14ac:dyDescent="0.2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2.75" customHeight="1" x14ac:dyDescent="0.2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2.75" customHeight="1" x14ac:dyDescent="0.2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2.75" customHeight="1" x14ac:dyDescent="0.2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2.75" customHeight="1" x14ac:dyDescent="0.25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2.75" customHeight="1" x14ac:dyDescent="0.25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2.75" customHeight="1" x14ac:dyDescent="0.25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2.75" customHeight="1" x14ac:dyDescent="0.25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2.75" customHeight="1" x14ac:dyDescent="0.25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2.75" customHeight="1" x14ac:dyDescent="0.25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2.75" customHeight="1" x14ac:dyDescent="0.2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2.75" customHeight="1" x14ac:dyDescent="0.2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2.75" customHeight="1" x14ac:dyDescent="0.2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2.75" customHeight="1" x14ac:dyDescent="0.2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2.75" customHeight="1" x14ac:dyDescent="0.2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2.75" customHeight="1" x14ac:dyDescent="0.25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2.75" customHeight="1" x14ac:dyDescent="0.25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2.75" customHeight="1" x14ac:dyDescent="0.25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2.75" customHeight="1" x14ac:dyDescent="0.25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2.75" customHeight="1" x14ac:dyDescent="0.25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2.75" customHeight="1" x14ac:dyDescent="0.2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2.75" customHeight="1" x14ac:dyDescent="0.25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2.75" customHeight="1" x14ac:dyDescent="0.25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2.75" customHeight="1" x14ac:dyDescent="0.25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2.75" customHeight="1" x14ac:dyDescent="0.25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2.75" customHeight="1" x14ac:dyDescent="0.25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2.75" customHeight="1" x14ac:dyDescent="0.25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2.75" customHeight="1" x14ac:dyDescent="0.25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2.75" customHeight="1" x14ac:dyDescent="0.25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2.75" customHeight="1" x14ac:dyDescent="0.25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2.75" customHeight="1" x14ac:dyDescent="0.2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2.75" customHeight="1" x14ac:dyDescent="0.25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2.75" customHeight="1" x14ac:dyDescent="0.25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2.75" customHeight="1" x14ac:dyDescent="0.25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2.75" customHeight="1" x14ac:dyDescent="0.25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2.75" customHeight="1" x14ac:dyDescent="0.25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2.75" customHeight="1" x14ac:dyDescent="0.25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2.75" customHeight="1" x14ac:dyDescent="0.25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2.75" customHeight="1" x14ac:dyDescent="0.25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2.75" customHeight="1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2.75" customHeight="1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2.75" customHeight="1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2.75" customHeight="1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2.75" customHeight="1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2.75" customHeight="1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2.75" customHeight="1" x14ac:dyDescent="0.2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2.75" customHeight="1" x14ac:dyDescent="0.2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2.75" customHeight="1" x14ac:dyDescent="0.2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2.75" customHeight="1" x14ac:dyDescent="0.2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2.75" customHeight="1" x14ac:dyDescent="0.2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2.75" customHeight="1" x14ac:dyDescent="0.2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2.75" customHeight="1" x14ac:dyDescent="0.2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2.75" customHeight="1" x14ac:dyDescent="0.2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2.75" customHeight="1" x14ac:dyDescent="0.2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2.75" customHeight="1" x14ac:dyDescent="0.2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2.75" customHeight="1" x14ac:dyDescent="0.2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2.75" customHeight="1" x14ac:dyDescent="0.2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2.75" customHeight="1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2.75" customHeight="1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2.75" customHeight="1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2.75" customHeight="1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2.75" customHeight="1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2.75" customHeight="1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2.75" customHeight="1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2.75" customHeight="1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2.75" customHeight="1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2.75" customHeight="1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2.75" customHeight="1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2.75" customHeight="1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2.75" customHeight="1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2.75" customHeight="1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2.75" customHeight="1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2.75" customHeight="1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2.75" customHeight="1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2.75" customHeight="1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2.75" customHeight="1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2.75" customHeight="1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2.75" customHeight="1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2.75" customHeight="1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2.75" customHeight="1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2.75" customHeight="1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2.75" customHeight="1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2.75" customHeight="1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2.75" customHeight="1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2.75" customHeight="1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2.75" customHeight="1" x14ac:dyDescent="0.2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2.75" customHeight="1" x14ac:dyDescent="0.2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2.75" customHeight="1" x14ac:dyDescent="0.2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2.75" customHeight="1" x14ac:dyDescent="0.2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2.75" customHeight="1" x14ac:dyDescent="0.2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2.75" customHeight="1" x14ac:dyDescent="0.2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2.75" customHeight="1" x14ac:dyDescent="0.2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2.75" customHeight="1" x14ac:dyDescent="0.2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2.75" customHeight="1" x14ac:dyDescent="0.2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2.75" customHeight="1" x14ac:dyDescent="0.2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2.75" customHeight="1" x14ac:dyDescent="0.2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2.75" customHeight="1" x14ac:dyDescent="0.2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2.75" customHeight="1" x14ac:dyDescent="0.2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2.75" customHeight="1" x14ac:dyDescent="0.2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2.75" customHeight="1" x14ac:dyDescent="0.2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2.75" customHeight="1" x14ac:dyDescent="0.2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2.75" customHeight="1" x14ac:dyDescent="0.2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2.75" customHeight="1" x14ac:dyDescent="0.2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2.75" customHeight="1" x14ac:dyDescent="0.2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2.75" customHeight="1" x14ac:dyDescent="0.2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2.75" customHeight="1" x14ac:dyDescent="0.2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2.75" customHeight="1" x14ac:dyDescent="0.2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2.75" customHeight="1" x14ac:dyDescent="0.2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2.75" customHeight="1" x14ac:dyDescent="0.2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2.75" customHeight="1" x14ac:dyDescent="0.2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2.75" customHeight="1" x14ac:dyDescent="0.2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2.75" customHeight="1" x14ac:dyDescent="0.2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2.75" customHeight="1" x14ac:dyDescent="0.2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2.75" customHeight="1" x14ac:dyDescent="0.2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2.75" customHeight="1" x14ac:dyDescent="0.2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2.75" customHeight="1" x14ac:dyDescent="0.2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2.75" customHeight="1" x14ac:dyDescent="0.2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2.75" customHeight="1" x14ac:dyDescent="0.2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2.75" customHeight="1" x14ac:dyDescent="0.2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2.75" customHeight="1" x14ac:dyDescent="0.2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2.75" customHeight="1" x14ac:dyDescent="0.2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2.75" customHeight="1" x14ac:dyDescent="0.2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2.75" customHeight="1" x14ac:dyDescent="0.2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2.75" customHeight="1" x14ac:dyDescent="0.2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2.75" customHeight="1" x14ac:dyDescent="0.2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2.75" customHeight="1" x14ac:dyDescent="0.2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2.75" customHeight="1" x14ac:dyDescent="0.2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2.75" customHeight="1" x14ac:dyDescent="0.2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2.75" customHeight="1" x14ac:dyDescent="0.2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2.75" customHeight="1" x14ac:dyDescent="0.2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2.75" customHeight="1" x14ac:dyDescent="0.2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2.75" customHeight="1" x14ac:dyDescent="0.2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2.75" customHeight="1" x14ac:dyDescent="0.2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2.75" customHeight="1" x14ac:dyDescent="0.2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2.75" customHeight="1" x14ac:dyDescent="0.2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2.75" customHeight="1" x14ac:dyDescent="0.2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2.75" customHeight="1" x14ac:dyDescent="0.2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2.75" customHeight="1" x14ac:dyDescent="0.2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2.75" customHeight="1" x14ac:dyDescent="0.2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2.75" customHeight="1" x14ac:dyDescent="0.2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2.75" customHeight="1" x14ac:dyDescent="0.2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2.75" customHeight="1" x14ac:dyDescent="0.2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2.75" customHeight="1" x14ac:dyDescent="0.2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2.75" customHeight="1" x14ac:dyDescent="0.2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2.75" customHeight="1" x14ac:dyDescent="0.2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2.75" customHeight="1" x14ac:dyDescent="0.2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2.75" customHeight="1" x14ac:dyDescent="0.2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2.75" customHeight="1" x14ac:dyDescent="0.2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2.75" customHeight="1" x14ac:dyDescent="0.2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2.75" customHeight="1" x14ac:dyDescent="0.2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2.75" customHeight="1" x14ac:dyDescent="0.2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2.75" customHeight="1" x14ac:dyDescent="0.2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2.75" customHeight="1" x14ac:dyDescent="0.2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2.75" customHeight="1" x14ac:dyDescent="0.2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2.75" customHeight="1" x14ac:dyDescent="0.2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2.75" customHeight="1" x14ac:dyDescent="0.2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2.75" customHeight="1" x14ac:dyDescent="0.2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2.75" customHeight="1" x14ac:dyDescent="0.2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2.75" customHeight="1" x14ac:dyDescent="0.2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2.75" customHeight="1" x14ac:dyDescent="0.2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2.75" customHeight="1" x14ac:dyDescent="0.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2.75" customHeight="1" x14ac:dyDescent="0.2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2.75" customHeight="1" x14ac:dyDescent="0.2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2.75" customHeight="1" x14ac:dyDescent="0.2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2.75" customHeight="1" x14ac:dyDescent="0.2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2.75" customHeight="1" x14ac:dyDescent="0.2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2.75" customHeight="1" x14ac:dyDescent="0.2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2.75" customHeight="1" x14ac:dyDescent="0.2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2.75" customHeight="1" x14ac:dyDescent="0.2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2.75" customHeight="1" x14ac:dyDescent="0.2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2.75" customHeight="1" x14ac:dyDescent="0.2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2.75" customHeight="1" x14ac:dyDescent="0.2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2.75" customHeight="1" x14ac:dyDescent="0.2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2.75" customHeight="1" x14ac:dyDescent="0.2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2.75" customHeight="1" x14ac:dyDescent="0.2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2.75" customHeight="1" x14ac:dyDescent="0.2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2.75" customHeight="1" x14ac:dyDescent="0.2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2.75" customHeight="1" x14ac:dyDescent="0.2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2.75" customHeight="1" x14ac:dyDescent="0.2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2.75" customHeight="1" x14ac:dyDescent="0.2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2.75" customHeight="1" x14ac:dyDescent="0.2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2.75" customHeight="1" x14ac:dyDescent="0.2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2.75" customHeight="1" x14ac:dyDescent="0.2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2.75" customHeight="1" x14ac:dyDescent="0.2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2.75" customHeight="1" x14ac:dyDescent="0.2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2.75" customHeight="1" x14ac:dyDescent="0.2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2.75" customHeight="1" x14ac:dyDescent="0.2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2.75" customHeight="1" x14ac:dyDescent="0.2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2.75" customHeight="1" x14ac:dyDescent="0.2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2.75" customHeight="1" x14ac:dyDescent="0.2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2.75" customHeight="1" x14ac:dyDescent="0.2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2.75" customHeight="1" x14ac:dyDescent="0.2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2.75" customHeight="1" x14ac:dyDescent="0.2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2.75" customHeight="1" x14ac:dyDescent="0.2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2.75" customHeight="1" x14ac:dyDescent="0.2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2.75" customHeight="1" x14ac:dyDescent="0.2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2.75" customHeight="1" x14ac:dyDescent="0.2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2.75" customHeight="1" x14ac:dyDescent="0.2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2.75" customHeight="1" x14ac:dyDescent="0.2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2.75" customHeight="1" x14ac:dyDescent="0.2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2.75" customHeight="1" x14ac:dyDescent="0.2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2.75" customHeight="1" x14ac:dyDescent="0.2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2.75" customHeight="1" x14ac:dyDescent="0.2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2.75" customHeight="1" x14ac:dyDescent="0.2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2.75" customHeight="1" x14ac:dyDescent="0.2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2.75" customHeight="1" x14ac:dyDescent="0.2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2.75" customHeight="1" x14ac:dyDescent="0.2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2.75" customHeight="1" x14ac:dyDescent="0.2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2.75" customHeight="1" x14ac:dyDescent="0.2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2.75" customHeight="1" x14ac:dyDescent="0.2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2.75" customHeight="1" x14ac:dyDescent="0.2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2.75" customHeight="1" x14ac:dyDescent="0.2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2.75" customHeight="1" x14ac:dyDescent="0.2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2.75" customHeight="1" x14ac:dyDescent="0.2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2.75" customHeight="1" x14ac:dyDescent="0.2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2.75" customHeight="1" x14ac:dyDescent="0.2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2.75" customHeight="1" x14ac:dyDescent="0.2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2.75" customHeight="1" x14ac:dyDescent="0.2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2.75" customHeight="1" x14ac:dyDescent="0.2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2.75" customHeight="1" x14ac:dyDescent="0.2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2.75" customHeight="1" x14ac:dyDescent="0.2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2.75" customHeight="1" x14ac:dyDescent="0.2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2.75" customHeight="1" x14ac:dyDescent="0.2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2.75" customHeight="1" x14ac:dyDescent="0.2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2.75" customHeight="1" x14ac:dyDescent="0.2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2.75" customHeight="1" x14ac:dyDescent="0.2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2.75" customHeight="1" x14ac:dyDescent="0.2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2.75" customHeight="1" x14ac:dyDescent="0.2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2.75" customHeight="1" x14ac:dyDescent="0.2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2.75" customHeight="1" x14ac:dyDescent="0.2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2.75" customHeight="1" x14ac:dyDescent="0.2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2.75" customHeight="1" x14ac:dyDescent="0.2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2.75" customHeight="1" x14ac:dyDescent="0.2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2.75" customHeight="1" x14ac:dyDescent="0.2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2.75" customHeight="1" x14ac:dyDescent="0.2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2.75" customHeight="1" x14ac:dyDescent="0.2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2.75" customHeight="1" x14ac:dyDescent="0.2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2.75" customHeight="1" x14ac:dyDescent="0.2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2.75" customHeight="1" x14ac:dyDescent="0.2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2.75" customHeight="1" x14ac:dyDescent="0.2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2.75" customHeight="1" x14ac:dyDescent="0.2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2.75" customHeight="1" x14ac:dyDescent="0.2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2.75" customHeight="1" x14ac:dyDescent="0.2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2.75" customHeight="1" x14ac:dyDescent="0.2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2.75" customHeight="1" x14ac:dyDescent="0.2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2.75" customHeight="1" x14ac:dyDescent="0.2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2.75" customHeight="1" x14ac:dyDescent="0.2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2.75" customHeight="1" x14ac:dyDescent="0.2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2.75" customHeight="1" x14ac:dyDescent="0.2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2.75" customHeight="1" x14ac:dyDescent="0.2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2.75" customHeight="1" x14ac:dyDescent="0.2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2.75" customHeight="1" x14ac:dyDescent="0.2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2.75" customHeight="1" x14ac:dyDescent="0.2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2.75" customHeight="1" x14ac:dyDescent="0.2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2.75" customHeight="1" x14ac:dyDescent="0.2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2.75" customHeight="1" x14ac:dyDescent="0.2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2.75" customHeight="1" x14ac:dyDescent="0.2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2.75" customHeight="1" x14ac:dyDescent="0.2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2.75" customHeight="1" x14ac:dyDescent="0.2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2.75" customHeight="1" x14ac:dyDescent="0.2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2.75" customHeight="1" x14ac:dyDescent="0.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2.75" customHeight="1" x14ac:dyDescent="0.2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2.75" customHeight="1" x14ac:dyDescent="0.2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2.75" customHeight="1" x14ac:dyDescent="0.2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2.75" customHeight="1" x14ac:dyDescent="0.2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2.75" customHeight="1" x14ac:dyDescent="0.2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2.75" customHeight="1" x14ac:dyDescent="0.2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2.75" customHeight="1" x14ac:dyDescent="0.2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2.75" customHeight="1" x14ac:dyDescent="0.2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2.75" customHeight="1" x14ac:dyDescent="0.2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2.75" customHeight="1" x14ac:dyDescent="0.2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2.75" customHeight="1" x14ac:dyDescent="0.2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2.75" customHeight="1" x14ac:dyDescent="0.2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2.75" customHeight="1" x14ac:dyDescent="0.2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2.75" customHeight="1" x14ac:dyDescent="0.2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2.75" customHeight="1" x14ac:dyDescent="0.2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2.75" customHeight="1" x14ac:dyDescent="0.2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2.75" customHeight="1" x14ac:dyDescent="0.2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2.75" customHeight="1" x14ac:dyDescent="0.2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2.75" customHeight="1" x14ac:dyDescent="0.2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2.75" customHeight="1" x14ac:dyDescent="0.2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2.75" customHeight="1" x14ac:dyDescent="0.2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2.75" customHeight="1" x14ac:dyDescent="0.2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2.75" customHeight="1" x14ac:dyDescent="0.2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2.75" customHeight="1" x14ac:dyDescent="0.2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2.75" customHeight="1" x14ac:dyDescent="0.2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2.75" customHeight="1" x14ac:dyDescent="0.2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2.75" customHeight="1" x14ac:dyDescent="0.2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2.75" customHeight="1" x14ac:dyDescent="0.2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2.75" customHeight="1" x14ac:dyDescent="0.2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2.75" customHeight="1" x14ac:dyDescent="0.2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2.75" customHeight="1" x14ac:dyDescent="0.2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2.75" customHeight="1" x14ac:dyDescent="0.2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2.75" customHeight="1" x14ac:dyDescent="0.2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2.75" customHeight="1" x14ac:dyDescent="0.2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2.75" customHeight="1" x14ac:dyDescent="0.2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2.75" customHeight="1" x14ac:dyDescent="0.2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2.75" customHeight="1" x14ac:dyDescent="0.2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2.75" customHeight="1" x14ac:dyDescent="0.2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2.75" customHeight="1" x14ac:dyDescent="0.2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2.75" customHeight="1" x14ac:dyDescent="0.2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2.75" customHeight="1" x14ac:dyDescent="0.2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2.75" customHeight="1" x14ac:dyDescent="0.2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2.75" customHeight="1" x14ac:dyDescent="0.2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2.75" customHeight="1" x14ac:dyDescent="0.2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2.75" customHeight="1" x14ac:dyDescent="0.2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2.75" customHeight="1" x14ac:dyDescent="0.2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2.75" customHeight="1" x14ac:dyDescent="0.2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2.75" customHeight="1" x14ac:dyDescent="0.2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2.75" customHeight="1" x14ac:dyDescent="0.2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2.75" customHeight="1" x14ac:dyDescent="0.2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2.75" customHeight="1" x14ac:dyDescent="0.2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2.75" customHeight="1" x14ac:dyDescent="0.2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2.75" customHeight="1" x14ac:dyDescent="0.2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2.75" customHeight="1" x14ac:dyDescent="0.2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2.75" customHeight="1" x14ac:dyDescent="0.2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2.75" customHeight="1" x14ac:dyDescent="0.2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2.75" customHeight="1" x14ac:dyDescent="0.2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2.75" customHeight="1" x14ac:dyDescent="0.2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2.75" customHeight="1" x14ac:dyDescent="0.2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2.75" customHeight="1" x14ac:dyDescent="0.2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2.75" customHeight="1" x14ac:dyDescent="0.2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2.75" customHeight="1" x14ac:dyDescent="0.2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2.75" customHeight="1" x14ac:dyDescent="0.2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2.75" customHeight="1" x14ac:dyDescent="0.2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2.75" customHeight="1" x14ac:dyDescent="0.2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2.75" customHeight="1" x14ac:dyDescent="0.2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2.75" customHeight="1" x14ac:dyDescent="0.2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2.75" customHeight="1" x14ac:dyDescent="0.2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2.75" customHeight="1" x14ac:dyDescent="0.2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2.75" customHeight="1" x14ac:dyDescent="0.2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2.75" customHeight="1" x14ac:dyDescent="0.2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2.75" customHeight="1" x14ac:dyDescent="0.2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2.75" customHeight="1" x14ac:dyDescent="0.2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2.75" customHeight="1" x14ac:dyDescent="0.2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2.75" customHeight="1" x14ac:dyDescent="0.2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2.75" customHeight="1" x14ac:dyDescent="0.2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2.75" customHeight="1" x14ac:dyDescent="0.2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2.75" customHeight="1" x14ac:dyDescent="0.2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2.75" customHeight="1" x14ac:dyDescent="0.2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2.75" customHeight="1" x14ac:dyDescent="0.2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2.75" customHeight="1" x14ac:dyDescent="0.2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2.75" customHeight="1" x14ac:dyDescent="0.2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2.75" customHeight="1" x14ac:dyDescent="0.2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2.75" customHeight="1" x14ac:dyDescent="0.2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2.75" customHeight="1" x14ac:dyDescent="0.2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2.75" customHeight="1" x14ac:dyDescent="0.2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2.75" customHeight="1" x14ac:dyDescent="0.2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2.75" customHeight="1" x14ac:dyDescent="0.2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2.75" customHeight="1" x14ac:dyDescent="0.2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2.75" customHeight="1" x14ac:dyDescent="0.2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2.75" customHeight="1" x14ac:dyDescent="0.2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2.75" customHeight="1" x14ac:dyDescent="0.2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2.75" customHeight="1" x14ac:dyDescent="0.2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2.75" customHeight="1" x14ac:dyDescent="0.2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2.75" customHeight="1" x14ac:dyDescent="0.2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2.75" customHeight="1" x14ac:dyDescent="0.2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2.75" customHeight="1" x14ac:dyDescent="0.2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2.75" customHeight="1" x14ac:dyDescent="0.2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2.75" customHeight="1" x14ac:dyDescent="0.2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2.75" customHeight="1" x14ac:dyDescent="0.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2.75" customHeight="1" x14ac:dyDescent="0.2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2.75" customHeight="1" x14ac:dyDescent="0.2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2.75" customHeight="1" x14ac:dyDescent="0.2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2.75" customHeight="1" x14ac:dyDescent="0.2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2.75" customHeight="1" x14ac:dyDescent="0.2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2.75" customHeight="1" x14ac:dyDescent="0.2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2.75" customHeight="1" x14ac:dyDescent="0.2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2.75" customHeight="1" x14ac:dyDescent="0.2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2.75" customHeight="1" x14ac:dyDescent="0.2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2.75" customHeight="1" x14ac:dyDescent="0.2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2.75" customHeight="1" x14ac:dyDescent="0.2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2.75" customHeight="1" x14ac:dyDescent="0.2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2.75" customHeight="1" x14ac:dyDescent="0.2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2.75" customHeight="1" x14ac:dyDescent="0.2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2.75" customHeight="1" x14ac:dyDescent="0.2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2.75" customHeight="1" x14ac:dyDescent="0.2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2.75" customHeight="1" x14ac:dyDescent="0.2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2.75" customHeight="1" x14ac:dyDescent="0.2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2.75" customHeight="1" x14ac:dyDescent="0.2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2.75" customHeight="1" x14ac:dyDescent="0.2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2.75" customHeight="1" x14ac:dyDescent="0.2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2.75" customHeight="1" x14ac:dyDescent="0.2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2.75" customHeight="1" x14ac:dyDescent="0.2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2.75" customHeight="1" x14ac:dyDescent="0.2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2.75" customHeight="1" x14ac:dyDescent="0.2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2.75" customHeight="1" x14ac:dyDescent="0.2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2.75" customHeight="1" x14ac:dyDescent="0.2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2.75" customHeight="1" x14ac:dyDescent="0.2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2.75" customHeight="1" x14ac:dyDescent="0.2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2.75" customHeight="1" x14ac:dyDescent="0.2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2.75" customHeight="1" x14ac:dyDescent="0.2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2.75" customHeight="1" x14ac:dyDescent="0.2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2.75" customHeight="1" x14ac:dyDescent="0.2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2.75" customHeight="1" x14ac:dyDescent="0.2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2.75" customHeight="1" x14ac:dyDescent="0.2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2.75" customHeight="1" x14ac:dyDescent="0.2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2.75" customHeight="1" x14ac:dyDescent="0.2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2.75" customHeight="1" x14ac:dyDescent="0.2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2.75" customHeight="1" x14ac:dyDescent="0.2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2.75" customHeight="1" x14ac:dyDescent="0.2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2.75" customHeight="1" x14ac:dyDescent="0.2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2.75" customHeight="1" x14ac:dyDescent="0.2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2.75" customHeight="1" x14ac:dyDescent="0.2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2.75" customHeight="1" x14ac:dyDescent="0.2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2.75" customHeight="1" x14ac:dyDescent="0.2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2.75" customHeight="1" x14ac:dyDescent="0.2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2.75" customHeight="1" x14ac:dyDescent="0.2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2.75" customHeight="1" x14ac:dyDescent="0.2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2.75" customHeight="1" x14ac:dyDescent="0.2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2.75" customHeight="1" x14ac:dyDescent="0.2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2.75" customHeight="1" x14ac:dyDescent="0.2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2.75" customHeight="1" x14ac:dyDescent="0.2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2.75" customHeight="1" x14ac:dyDescent="0.2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2.75" customHeight="1" x14ac:dyDescent="0.2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2.75" customHeight="1" x14ac:dyDescent="0.2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2.75" customHeight="1" x14ac:dyDescent="0.2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2.75" customHeight="1" x14ac:dyDescent="0.2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2.75" customHeight="1" x14ac:dyDescent="0.2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2.75" customHeight="1" x14ac:dyDescent="0.2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2.75" customHeight="1" x14ac:dyDescent="0.2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2.75" customHeight="1" x14ac:dyDescent="0.2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2.75" customHeight="1" x14ac:dyDescent="0.2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2.75" customHeight="1" x14ac:dyDescent="0.2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2.75" customHeight="1" x14ac:dyDescent="0.2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2.75" customHeight="1" x14ac:dyDescent="0.2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2.75" customHeight="1" x14ac:dyDescent="0.2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2.75" customHeight="1" x14ac:dyDescent="0.2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2.75" customHeight="1" x14ac:dyDescent="0.2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2.75" customHeight="1" x14ac:dyDescent="0.2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2.75" customHeight="1" x14ac:dyDescent="0.2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2.75" customHeight="1" x14ac:dyDescent="0.2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2.75" customHeight="1" x14ac:dyDescent="0.2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2.75" customHeight="1" x14ac:dyDescent="0.2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2.75" customHeight="1" x14ac:dyDescent="0.2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2.75" customHeight="1" x14ac:dyDescent="0.2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2.75" customHeight="1" x14ac:dyDescent="0.2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2.75" customHeight="1" x14ac:dyDescent="0.2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2.75" customHeight="1" x14ac:dyDescent="0.2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2.75" customHeight="1" x14ac:dyDescent="0.2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2.75" customHeight="1" x14ac:dyDescent="0.2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2.75" customHeight="1" x14ac:dyDescent="0.2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2.75" customHeight="1" x14ac:dyDescent="0.2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2.75" customHeight="1" x14ac:dyDescent="0.2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2.75" customHeight="1" x14ac:dyDescent="0.2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2.75" customHeight="1" x14ac:dyDescent="0.2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2.75" customHeight="1" x14ac:dyDescent="0.2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2.75" customHeight="1" x14ac:dyDescent="0.2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2.75" customHeight="1" x14ac:dyDescent="0.2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2.75" customHeight="1" x14ac:dyDescent="0.2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2.75" customHeight="1" x14ac:dyDescent="0.2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2.75" customHeight="1" x14ac:dyDescent="0.2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2.75" customHeight="1" x14ac:dyDescent="0.2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2.75" customHeight="1" x14ac:dyDescent="0.2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2.75" customHeight="1" x14ac:dyDescent="0.2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2.75" customHeight="1" x14ac:dyDescent="0.2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2.75" customHeight="1" x14ac:dyDescent="0.2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2.75" customHeight="1" x14ac:dyDescent="0.2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2.75" customHeight="1" x14ac:dyDescent="0.2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2.75" customHeight="1" x14ac:dyDescent="0.2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2.75" customHeight="1" x14ac:dyDescent="0.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2.75" customHeight="1" x14ac:dyDescent="0.2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2.75" customHeight="1" x14ac:dyDescent="0.2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2.75" customHeight="1" x14ac:dyDescent="0.2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2.75" customHeight="1" x14ac:dyDescent="0.2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2.75" customHeight="1" x14ac:dyDescent="0.2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2.75" customHeight="1" x14ac:dyDescent="0.2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2.75" customHeight="1" x14ac:dyDescent="0.2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2.75" customHeight="1" x14ac:dyDescent="0.2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2.75" customHeight="1" x14ac:dyDescent="0.2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2.75" customHeight="1" x14ac:dyDescent="0.2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2.75" customHeight="1" x14ac:dyDescent="0.2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2.75" customHeight="1" x14ac:dyDescent="0.2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2.75" customHeight="1" x14ac:dyDescent="0.2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2.75" customHeight="1" x14ac:dyDescent="0.2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2.75" customHeight="1" x14ac:dyDescent="0.2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2.75" customHeight="1" x14ac:dyDescent="0.2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2.75" customHeight="1" x14ac:dyDescent="0.2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2.75" customHeight="1" x14ac:dyDescent="0.2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2.75" customHeight="1" x14ac:dyDescent="0.2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2.75" customHeight="1" x14ac:dyDescent="0.2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2.75" customHeight="1" x14ac:dyDescent="0.2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2.75" customHeight="1" x14ac:dyDescent="0.2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2.75" customHeight="1" x14ac:dyDescent="0.2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2.75" customHeight="1" x14ac:dyDescent="0.2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2.75" customHeight="1" x14ac:dyDescent="0.2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2.75" customHeight="1" x14ac:dyDescent="0.2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2.75" customHeight="1" x14ac:dyDescent="0.2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2.75" customHeight="1" x14ac:dyDescent="0.2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2.75" customHeight="1" x14ac:dyDescent="0.2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2.75" customHeight="1" x14ac:dyDescent="0.2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2.75" customHeight="1" x14ac:dyDescent="0.2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2.75" customHeight="1" x14ac:dyDescent="0.2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2.75" customHeight="1" x14ac:dyDescent="0.2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2.75" customHeight="1" x14ac:dyDescent="0.2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2.75" customHeight="1" x14ac:dyDescent="0.2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2.75" customHeight="1" x14ac:dyDescent="0.2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2.75" customHeight="1" x14ac:dyDescent="0.2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2.75" customHeight="1" x14ac:dyDescent="0.2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2.75" customHeight="1" x14ac:dyDescent="0.2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2.75" customHeight="1" x14ac:dyDescent="0.2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2.75" customHeight="1" x14ac:dyDescent="0.2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2.75" customHeight="1" x14ac:dyDescent="0.2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2.75" customHeight="1" x14ac:dyDescent="0.2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2.75" customHeight="1" x14ac:dyDescent="0.2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2.75" customHeight="1" x14ac:dyDescent="0.2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2.75" customHeight="1" x14ac:dyDescent="0.2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2.75" customHeight="1" x14ac:dyDescent="0.2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2.75" customHeight="1" x14ac:dyDescent="0.2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2.75" customHeight="1" x14ac:dyDescent="0.2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2.75" customHeight="1" x14ac:dyDescent="0.2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2.75" customHeight="1" x14ac:dyDescent="0.2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2.75" customHeight="1" x14ac:dyDescent="0.2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2.75" customHeight="1" x14ac:dyDescent="0.2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2.75" customHeight="1" x14ac:dyDescent="0.2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2.75" customHeight="1" x14ac:dyDescent="0.2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2.75" customHeight="1" x14ac:dyDescent="0.2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2.75" customHeight="1" x14ac:dyDescent="0.2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2.75" customHeight="1" x14ac:dyDescent="0.2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2.75" customHeight="1" x14ac:dyDescent="0.2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2.75" customHeight="1" x14ac:dyDescent="0.2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2.75" customHeight="1" x14ac:dyDescent="0.2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2.75" customHeight="1" x14ac:dyDescent="0.2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2.75" customHeight="1" x14ac:dyDescent="0.2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2.75" customHeight="1" x14ac:dyDescent="0.2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2.75" customHeight="1" x14ac:dyDescent="0.2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2.75" customHeight="1" x14ac:dyDescent="0.2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2.75" customHeight="1" x14ac:dyDescent="0.2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2.75" customHeight="1" x14ac:dyDescent="0.2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2.75" customHeight="1" x14ac:dyDescent="0.2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2.75" customHeight="1" x14ac:dyDescent="0.2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2.75" customHeight="1" x14ac:dyDescent="0.2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2.75" customHeight="1" x14ac:dyDescent="0.2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2.75" customHeight="1" x14ac:dyDescent="0.2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2.75" customHeight="1" x14ac:dyDescent="0.2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2.75" customHeight="1" x14ac:dyDescent="0.2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2.75" customHeight="1" x14ac:dyDescent="0.2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2.75" customHeight="1" x14ac:dyDescent="0.2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2.75" customHeight="1" x14ac:dyDescent="0.2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2.75" customHeight="1" x14ac:dyDescent="0.2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2.75" customHeight="1" x14ac:dyDescent="0.2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2.75" customHeight="1" x14ac:dyDescent="0.2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2.75" customHeight="1" x14ac:dyDescent="0.2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2.75" customHeight="1" x14ac:dyDescent="0.2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2.75" customHeight="1" x14ac:dyDescent="0.2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2.75" customHeight="1" x14ac:dyDescent="0.2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2.75" customHeight="1" x14ac:dyDescent="0.2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2.75" customHeight="1" x14ac:dyDescent="0.2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2.75" customHeight="1" x14ac:dyDescent="0.2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2.75" customHeight="1" x14ac:dyDescent="0.2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2.75" customHeight="1" x14ac:dyDescent="0.2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2.75" customHeight="1" x14ac:dyDescent="0.2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2.75" customHeight="1" x14ac:dyDescent="0.2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2.75" customHeight="1" x14ac:dyDescent="0.2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2.75" customHeight="1" x14ac:dyDescent="0.2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2.75" customHeight="1" x14ac:dyDescent="0.2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2.75" customHeight="1" x14ac:dyDescent="0.2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2.75" customHeight="1" x14ac:dyDescent="0.2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2.75" customHeight="1" x14ac:dyDescent="0.2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2.75" customHeight="1" x14ac:dyDescent="0.2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2.75" customHeight="1" x14ac:dyDescent="0.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2.75" customHeight="1" x14ac:dyDescent="0.2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2.75" customHeight="1" x14ac:dyDescent="0.2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2.75" customHeight="1" x14ac:dyDescent="0.2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2.75" customHeight="1" x14ac:dyDescent="0.2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2.75" customHeight="1" x14ac:dyDescent="0.2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2.75" customHeight="1" x14ac:dyDescent="0.2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2.75" customHeight="1" x14ac:dyDescent="0.2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2.75" customHeight="1" x14ac:dyDescent="0.2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2.75" customHeight="1" x14ac:dyDescent="0.2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2.75" customHeight="1" x14ac:dyDescent="0.2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2.75" customHeight="1" x14ac:dyDescent="0.2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2.75" customHeight="1" x14ac:dyDescent="0.2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2.75" customHeight="1" x14ac:dyDescent="0.2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2.75" customHeight="1" x14ac:dyDescent="0.2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2.75" customHeight="1" x14ac:dyDescent="0.2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2.75" customHeight="1" x14ac:dyDescent="0.2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2.75" customHeight="1" x14ac:dyDescent="0.2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2.75" customHeight="1" x14ac:dyDescent="0.2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2.75" customHeight="1" x14ac:dyDescent="0.2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2.75" customHeight="1" x14ac:dyDescent="0.2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2.75" customHeight="1" x14ac:dyDescent="0.2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2.75" customHeight="1" x14ac:dyDescent="0.2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2.75" customHeight="1" x14ac:dyDescent="0.2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2.75" customHeight="1" x14ac:dyDescent="0.2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2.75" customHeight="1" x14ac:dyDescent="0.2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2.75" customHeight="1" x14ac:dyDescent="0.2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2.75" customHeight="1" x14ac:dyDescent="0.2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2.75" customHeight="1" x14ac:dyDescent="0.2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2.75" customHeight="1" x14ac:dyDescent="0.2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2.75" customHeight="1" x14ac:dyDescent="0.2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2.75" customHeight="1" x14ac:dyDescent="0.2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2.75" customHeight="1" x14ac:dyDescent="0.2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2.75" customHeight="1" x14ac:dyDescent="0.2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2.75" customHeight="1" x14ac:dyDescent="0.2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2.75" customHeight="1" x14ac:dyDescent="0.2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2.75" customHeight="1" x14ac:dyDescent="0.2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2.75" customHeight="1" x14ac:dyDescent="0.2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2.75" customHeight="1" x14ac:dyDescent="0.2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2.75" customHeight="1" x14ac:dyDescent="0.2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2.75" customHeight="1" x14ac:dyDescent="0.2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2.75" customHeight="1" x14ac:dyDescent="0.2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2.75" customHeight="1" x14ac:dyDescent="0.2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2.75" customHeight="1" x14ac:dyDescent="0.2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2.75" customHeight="1" x14ac:dyDescent="0.2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2.75" customHeight="1" x14ac:dyDescent="0.2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2.75" customHeight="1" x14ac:dyDescent="0.2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2.75" customHeight="1" x14ac:dyDescent="0.2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2.75" customHeight="1" x14ac:dyDescent="0.2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2.75" customHeight="1" x14ac:dyDescent="0.2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2.75" customHeight="1" x14ac:dyDescent="0.2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2.75" customHeight="1" x14ac:dyDescent="0.2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2.75" customHeight="1" x14ac:dyDescent="0.2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2.75" customHeight="1" x14ac:dyDescent="0.2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2.75" customHeight="1" x14ac:dyDescent="0.2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2.75" customHeight="1" x14ac:dyDescent="0.2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2.75" customHeight="1" x14ac:dyDescent="0.2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2.75" customHeight="1" x14ac:dyDescent="0.2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2.75" customHeight="1" x14ac:dyDescent="0.2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2.75" customHeight="1" x14ac:dyDescent="0.2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2.75" customHeight="1" x14ac:dyDescent="0.2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2.75" customHeight="1" x14ac:dyDescent="0.2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2.75" customHeight="1" x14ac:dyDescent="0.2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2.75" customHeight="1" x14ac:dyDescent="0.2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2.75" customHeight="1" x14ac:dyDescent="0.2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2.75" customHeight="1" x14ac:dyDescent="0.2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2.75" customHeight="1" x14ac:dyDescent="0.2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2.75" customHeight="1" x14ac:dyDescent="0.2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2.75" customHeight="1" x14ac:dyDescent="0.2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2.75" customHeight="1" x14ac:dyDescent="0.2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2.75" customHeight="1" x14ac:dyDescent="0.2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2.75" customHeight="1" x14ac:dyDescent="0.2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2.75" customHeight="1" x14ac:dyDescent="0.2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2.75" customHeight="1" x14ac:dyDescent="0.2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2.75" customHeight="1" x14ac:dyDescent="0.2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2.75" customHeight="1" x14ac:dyDescent="0.2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2.75" customHeight="1" x14ac:dyDescent="0.2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2.75" customHeight="1" x14ac:dyDescent="0.2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2.75" customHeight="1" x14ac:dyDescent="0.2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2.75" customHeight="1" x14ac:dyDescent="0.2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2.75" customHeight="1" x14ac:dyDescent="0.2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2.75" customHeight="1" x14ac:dyDescent="0.2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2.75" customHeight="1" x14ac:dyDescent="0.2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2.75" customHeight="1" x14ac:dyDescent="0.2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2.75" customHeight="1" x14ac:dyDescent="0.2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2.75" customHeight="1" x14ac:dyDescent="0.2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2.75" customHeight="1" x14ac:dyDescent="0.2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2.75" customHeight="1" x14ac:dyDescent="0.2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2.75" customHeight="1" x14ac:dyDescent="0.2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2.75" customHeight="1" x14ac:dyDescent="0.2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2.75" customHeight="1" x14ac:dyDescent="0.2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2.75" customHeight="1" x14ac:dyDescent="0.2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2.75" customHeight="1" x14ac:dyDescent="0.2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2.75" customHeight="1" x14ac:dyDescent="0.2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2.75" customHeight="1" x14ac:dyDescent="0.2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2.75" customHeight="1" x14ac:dyDescent="0.2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2.75" customHeight="1" x14ac:dyDescent="0.2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2.75" customHeight="1" x14ac:dyDescent="0.2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2.75" customHeight="1" x14ac:dyDescent="0.2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2.75" customHeight="1" x14ac:dyDescent="0.2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2.75" customHeight="1" x14ac:dyDescent="0.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2.75" customHeight="1" x14ac:dyDescent="0.2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2.75" customHeight="1" x14ac:dyDescent="0.2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2.75" customHeight="1" x14ac:dyDescent="0.2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2.75" customHeight="1" x14ac:dyDescent="0.2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2.75" customHeight="1" x14ac:dyDescent="0.2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2.75" customHeight="1" x14ac:dyDescent="0.2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2.75" customHeight="1" x14ac:dyDescent="0.2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2.75" customHeight="1" x14ac:dyDescent="0.2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2.75" customHeight="1" x14ac:dyDescent="0.2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2.75" customHeight="1" x14ac:dyDescent="0.2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2.75" customHeight="1" x14ac:dyDescent="0.2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2.75" customHeight="1" x14ac:dyDescent="0.2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2.75" customHeight="1" x14ac:dyDescent="0.2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2.75" customHeight="1" x14ac:dyDescent="0.2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2.75" customHeight="1" x14ac:dyDescent="0.2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2.75" customHeight="1" x14ac:dyDescent="0.2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2.75" customHeight="1" x14ac:dyDescent="0.2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2.75" customHeight="1" x14ac:dyDescent="0.2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2.75" customHeight="1" x14ac:dyDescent="0.2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2.75" customHeight="1" x14ac:dyDescent="0.2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2.75" customHeight="1" x14ac:dyDescent="0.2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2.75" customHeight="1" x14ac:dyDescent="0.2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2.75" customHeight="1" x14ac:dyDescent="0.2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2.75" customHeight="1" x14ac:dyDescent="0.2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2.75" customHeight="1" x14ac:dyDescent="0.2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2.75" customHeight="1" x14ac:dyDescent="0.2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2.75" customHeight="1" x14ac:dyDescent="0.2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2.75" customHeight="1" x14ac:dyDescent="0.2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2.75" customHeight="1" x14ac:dyDescent="0.2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2.75" customHeight="1" x14ac:dyDescent="0.2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2.75" customHeight="1" x14ac:dyDescent="0.2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2.75" customHeight="1" x14ac:dyDescent="0.2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2.75" customHeight="1" x14ac:dyDescent="0.2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2.75" customHeight="1" x14ac:dyDescent="0.2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2.75" customHeight="1" x14ac:dyDescent="0.2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2.75" customHeight="1" x14ac:dyDescent="0.2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2.75" customHeight="1" x14ac:dyDescent="0.2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2.75" customHeight="1" x14ac:dyDescent="0.25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2.75" customHeight="1" x14ac:dyDescent="0.25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2.75" customHeight="1" x14ac:dyDescent="0.2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2.75" customHeight="1" x14ac:dyDescent="0.25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2.75" customHeight="1" x14ac:dyDescent="0.25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2.75" customHeight="1" x14ac:dyDescent="0.25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2.75" customHeight="1" x14ac:dyDescent="0.25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2.75" customHeight="1" x14ac:dyDescent="0.25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2.75" customHeight="1" x14ac:dyDescent="0.25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2.75" customHeight="1" x14ac:dyDescent="0.25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2.75" customHeight="1" x14ac:dyDescent="0.25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2.75" customHeight="1" x14ac:dyDescent="0.25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2.75" customHeight="1" x14ac:dyDescent="0.2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2.75" customHeight="1" x14ac:dyDescent="0.25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2.75" customHeight="1" x14ac:dyDescent="0.25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2.75" customHeight="1" x14ac:dyDescent="0.25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2.75" customHeight="1" x14ac:dyDescent="0.25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2.75" customHeight="1" x14ac:dyDescent="0.25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2.75" customHeight="1" x14ac:dyDescent="0.25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2.75" customHeight="1" x14ac:dyDescent="0.25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2.75" customHeight="1" x14ac:dyDescent="0.25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2.75" customHeight="1" x14ac:dyDescent="0.25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2.75" customHeight="1" x14ac:dyDescent="0.2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2.75" customHeight="1" x14ac:dyDescent="0.25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2.75" customHeight="1" x14ac:dyDescent="0.25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2.75" customHeight="1" x14ac:dyDescent="0.25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2.75" customHeight="1" x14ac:dyDescent="0.25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2.75" customHeight="1" x14ac:dyDescent="0.25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2.75" customHeight="1" x14ac:dyDescent="0.25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2.75" customHeight="1" x14ac:dyDescent="0.25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2.75" customHeight="1" x14ac:dyDescent="0.25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2.75" customHeight="1" x14ac:dyDescent="0.25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2.75" customHeight="1" x14ac:dyDescent="0.2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2.75" customHeight="1" x14ac:dyDescent="0.25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2.75" customHeight="1" x14ac:dyDescent="0.25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2.75" customHeight="1" x14ac:dyDescent="0.25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2.75" customHeight="1" x14ac:dyDescent="0.25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2.75" customHeight="1" x14ac:dyDescent="0.25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2.75" customHeight="1" x14ac:dyDescent="0.25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2.75" customHeight="1" x14ac:dyDescent="0.25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2.75" customHeight="1" x14ac:dyDescent="0.25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2.75" customHeight="1" x14ac:dyDescent="0.25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2.75" customHeight="1" x14ac:dyDescent="0.2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2.75" customHeight="1" x14ac:dyDescent="0.25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2.75" customHeight="1" x14ac:dyDescent="0.25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2.75" customHeight="1" x14ac:dyDescent="0.25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2.75" customHeight="1" x14ac:dyDescent="0.25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2.75" customHeight="1" x14ac:dyDescent="0.25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2.75" customHeight="1" x14ac:dyDescent="0.25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2.75" customHeight="1" x14ac:dyDescent="0.25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2.75" customHeight="1" x14ac:dyDescent="0.25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2.75" customHeight="1" x14ac:dyDescent="0.25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2.75" customHeight="1" x14ac:dyDescent="0.2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2.75" customHeight="1" x14ac:dyDescent="0.25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2.75" customHeight="1" x14ac:dyDescent="0.25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2.75" customHeight="1" x14ac:dyDescent="0.25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2.75" customHeight="1" x14ac:dyDescent="0.25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2.75" customHeight="1" x14ac:dyDescent="0.25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2.75" customHeight="1" x14ac:dyDescent="0.25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2.75" customHeight="1" x14ac:dyDescent="0.25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2.75" customHeight="1" x14ac:dyDescent="0.25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2.75" customHeight="1" x14ac:dyDescent="0.25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2.75" customHeight="1" x14ac:dyDescent="0.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2.75" customHeight="1" x14ac:dyDescent="0.25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2.75" customHeight="1" x14ac:dyDescent="0.25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2.75" customHeight="1" x14ac:dyDescent="0.25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2.75" customHeight="1" x14ac:dyDescent="0.25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2.75" customHeight="1" x14ac:dyDescent="0.25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2.75" customHeight="1" x14ac:dyDescent="0.25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2.75" customHeight="1" x14ac:dyDescent="0.25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2.75" customHeight="1" x14ac:dyDescent="0.25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2.75" customHeight="1" x14ac:dyDescent="0.25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2.75" customHeight="1" x14ac:dyDescent="0.2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2.75" customHeight="1" x14ac:dyDescent="0.25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2.75" customHeight="1" x14ac:dyDescent="0.25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2.75" customHeight="1" x14ac:dyDescent="0.25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2.75" customHeight="1" x14ac:dyDescent="0.25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2.75" customHeight="1" x14ac:dyDescent="0.25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2.75" customHeight="1" x14ac:dyDescent="0.25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2.75" customHeight="1" x14ac:dyDescent="0.25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2.75" customHeight="1" x14ac:dyDescent="0.2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2.75" customHeight="1" x14ac:dyDescent="0.2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2.75" customHeight="1" x14ac:dyDescent="0.2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2.75" customHeight="1" x14ac:dyDescent="0.2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2.75" customHeight="1" x14ac:dyDescent="0.2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2.75" customHeight="1" x14ac:dyDescent="0.2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2.75" customHeight="1" x14ac:dyDescent="0.2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2.75" customHeight="1" x14ac:dyDescent="0.2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2.75" customHeight="1" x14ac:dyDescent="0.2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2.75" customHeight="1" x14ac:dyDescent="0.2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2.75" customHeight="1" x14ac:dyDescent="0.2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2.75" customHeight="1" x14ac:dyDescent="0.2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2.75" customHeight="1" x14ac:dyDescent="0.2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2.75" customHeight="1" x14ac:dyDescent="0.2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2.75" customHeight="1" x14ac:dyDescent="0.2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2.75" customHeight="1" x14ac:dyDescent="0.25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2.75" customHeight="1" x14ac:dyDescent="0.25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2.75" customHeight="1" x14ac:dyDescent="0.25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2.75" customHeight="1" x14ac:dyDescent="0.25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2.75" customHeight="1" x14ac:dyDescent="0.25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2.75" customHeight="1" x14ac:dyDescent="0.25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2.75" customHeight="1" x14ac:dyDescent="0.25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2.75" customHeight="1" x14ac:dyDescent="0.2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2.75" customHeight="1" x14ac:dyDescent="0.25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2.75" customHeight="1" x14ac:dyDescent="0.25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2.75" customHeight="1" x14ac:dyDescent="0.25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2.75" customHeight="1" x14ac:dyDescent="0.25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2.75" customHeight="1" x14ac:dyDescent="0.25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2.75" customHeight="1" x14ac:dyDescent="0.25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2.75" customHeight="1" x14ac:dyDescent="0.25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2.75" customHeight="1" x14ac:dyDescent="0.25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2.75" customHeight="1" x14ac:dyDescent="0.25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2.75" customHeight="1" x14ac:dyDescent="0.2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2.75" customHeight="1" x14ac:dyDescent="0.25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2.75" customHeight="1" x14ac:dyDescent="0.25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2.75" customHeight="1" x14ac:dyDescent="0.25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2.75" customHeight="1" x14ac:dyDescent="0.25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2.75" customHeight="1" x14ac:dyDescent="0.25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2.75" customHeight="1" x14ac:dyDescent="0.25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2.75" customHeight="1" x14ac:dyDescent="0.25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2.75" customHeight="1" x14ac:dyDescent="0.25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2.75" customHeight="1" x14ac:dyDescent="0.25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2.75" customHeight="1" x14ac:dyDescent="0.2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2.75" customHeight="1" x14ac:dyDescent="0.25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2.75" customHeight="1" x14ac:dyDescent="0.25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2.75" customHeight="1" x14ac:dyDescent="0.25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2.75" customHeight="1" x14ac:dyDescent="0.25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2.75" customHeight="1" x14ac:dyDescent="0.25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2.75" customHeight="1" x14ac:dyDescent="0.25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2.75" customHeight="1" x14ac:dyDescent="0.25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2.75" customHeight="1" x14ac:dyDescent="0.25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2.75" customHeight="1" x14ac:dyDescent="0.25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</sheetData>
  <mergeCells count="13">
    <mergeCell ref="B47:C47"/>
    <mergeCell ref="E47:F47"/>
    <mergeCell ref="G47:H47"/>
    <mergeCell ref="B49:C49"/>
    <mergeCell ref="E49:F49"/>
    <mergeCell ref="G49:H49"/>
    <mergeCell ref="A39:D39"/>
    <mergeCell ref="A40:B40"/>
    <mergeCell ref="A1:B4"/>
    <mergeCell ref="C1:H4"/>
    <mergeCell ref="B6:J6"/>
    <mergeCell ref="J26:M26"/>
    <mergeCell ref="J27:K27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75"/>
  <sheetViews>
    <sheetView workbookViewId="0">
      <selection activeCell="M14" sqref="M14"/>
    </sheetView>
  </sheetViews>
  <sheetFormatPr baseColWidth="10" defaultColWidth="12.5546875" defaultRowHeight="15" customHeight="1" x14ac:dyDescent="0.25"/>
  <cols>
    <col min="1" max="1" width="3.6640625" customWidth="1"/>
    <col min="2" max="2" width="10.5546875" customWidth="1"/>
    <col min="3" max="3" width="14.88671875" customWidth="1"/>
    <col min="4" max="10" width="10.5546875" customWidth="1"/>
    <col min="11" max="11" width="5.33203125" customWidth="1"/>
    <col min="12" max="26" width="10.5546875" customWidth="1"/>
  </cols>
  <sheetData>
    <row r="1" spans="1:11" ht="12.75" customHeight="1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2.75" customHeight="1" x14ac:dyDescent="0.25">
      <c r="A2" s="47"/>
      <c r="B2" s="633" t="s">
        <v>124</v>
      </c>
      <c r="C2" s="634"/>
      <c r="D2" s="634"/>
      <c r="E2" s="634"/>
      <c r="F2" s="634"/>
      <c r="G2" s="574"/>
      <c r="H2" s="47"/>
      <c r="I2" s="47"/>
      <c r="J2" s="47"/>
      <c r="K2" s="47"/>
    </row>
    <row r="3" spans="1:11" ht="12.7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1" ht="12.75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</row>
    <row r="5" spans="1:11" ht="12.75" customHeight="1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</row>
    <row r="6" spans="1:11" ht="12.75" customHeight="1" x14ac:dyDescent="0.25">
      <c r="A6" s="47"/>
      <c r="B6" s="47"/>
      <c r="C6" s="47"/>
      <c r="D6" s="47"/>
      <c r="E6" s="47"/>
      <c r="F6" s="47"/>
      <c r="G6" s="47"/>
      <c r="H6" s="47"/>
      <c r="I6" s="635"/>
      <c r="J6" s="574"/>
      <c r="K6" s="47"/>
    </row>
    <row r="7" spans="1:11" ht="12.75" customHeight="1" x14ac:dyDescent="0.25">
      <c r="A7" s="47"/>
      <c r="B7" s="91" t="s">
        <v>37</v>
      </c>
      <c r="C7" s="350">
        <v>-1.4899999999999999E-6</v>
      </c>
      <c r="D7" s="47"/>
      <c r="E7" s="47"/>
      <c r="F7" s="47"/>
      <c r="G7" s="47"/>
      <c r="H7" s="47"/>
      <c r="I7" s="92"/>
      <c r="J7" s="92"/>
      <c r="K7" s="47"/>
    </row>
    <row r="8" spans="1:11" ht="12.75" customHeight="1" x14ac:dyDescent="0.25">
      <c r="A8" s="47"/>
      <c r="B8" s="93" t="s">
        <v>125</v>
      </c>
      <c r="C8" s="351">
        <v>1.1399999999999999</v>
      </c>
      <c r="D8" s="352">
        <v>2.4800000000000002E-10</v>
      </c>
      <c r="E8" s="47"/>
      <c r="F8" s="47"/>
      <c r="G8" s="47"/>
      <c r="H8" s="47"/>
      <c r="I8" s="47"/>
      <c r="J8" s="47"/>
      <c r="K8" s="47"/>
    </row>
    <row r="9" spans="1:11" ht="12.75" customHeight="1" x14ac:dyDescent="0.25">
      <c r="A9" s="47"/>
      <c r="B9" s="93" t="s">
        <v>126</v>
      </c>
      <c r="C9" s="353" t="s">
        <v>223</v>
      </c>
      <c r="D9" s="94"/>
      <c r="E9" s="47"/>
      <c r="F9" s="92" t="s">
        <v>23</v>
      </c>
      <c r="G9" s="47"/>
      <c r="H9" s="47"/>
      <c r="I9" s="47"/>
      <c r="J9" s="47"/>
      <c r="K9" s="47"/>
    </row>
    <row r="10" spans="1:11" ht="12.75" customHeight="1" x14ac:dyDescent="0.25">
      <c r="A10" s="47"/>
      <c r="B10" s="93" t="s">
        <v>127</v>
      </c>
      <c r="C10" s="94">
        <v>1</v>
      </c>
      <c r="D10" s="94" t="s">
        <v>23</v>
      </c>
      <c r="E10" s="47"/>
      <c r="F10" s="47"/>
      <c r="G10" s="47"/>
      <c r="H10" s="47"/>
      <c r="I10" s="47"/>
      <c r="J10" s="47"/>
      <c r="K10" s="47"/>
    </row>
    <row r="11" spans="1:11" ht="12.75" customHeight="1" x14ac:dyDescent="0.25">
      <c r="A11" s="47"/>
      <c r="B11" s="93" t="s">
        <v>128</v>
      </c>
      <c r="C11" s="94" t="s">
        <v>39</v>
      </c>
      <c r="D11" s="47"/>
      <c r="E11" s="47"/>
      <c r="F11" s="47"/>
      <c r="G11" s="47"/>
      <c r="H11" s="47"/>
      <c r="I11" s="47"/>
      <c r="J11" s="47"/>
      <c r="K11" s="47"/>
    </row>
    <row r="12" spans="1:11" ht="12.75" customHeight="1" x14ac:dyDescent="0.25">
      <c r="A12" s="47"/>
      <c r="B12" s="354" t="s">
        <v>40</v>
      </c>
      <c r="C12" s="355"/>
      <c r="D12" s="501">
        <v>46160</v>
      </c>
      <c r="E12" s="47"/>
      <c r="F12" s="47"/>
      <c r="G12" s="47"/>
      <c r="H12" s="47"/>
      <c r="I12" s="47"/>
      <c r="J12" s="47"/>
      <c r="K12" s="47"/>
    </row>
    <row r="13" spans="1:11" ht="12.75" customHeight="1" x14ac:dyDescent="0.25">
      <c r="A13" s="47"/>
      <c r="B13" s="95" t="s">
        <v>67</v>
      </c>
      <c r="C13" s="298" t="s">
        <v>129</v>
      </c>
      <c r="D13" s="299">
        <v>500</v>
      </c>
      <c r="E13" s="299">
        <v>1000</v>
      </c>
      <c r="F13" s="299">
        <v>5000</v>
      </c>
      <c r="G13" s="299">
        <v>10000</v>
      </c>
      <c r="H13" s="299">
        <v>15000</v>
      </c>
      <c r="I13" s="96">
        <v>20000</v>
      </c>
      <c r="J13" s="96"/>
      <c r="K13" s="47"/>
    </row>
    <row r="14" spans="1:11" ht="12.75" customHeight="1" x14ac:dyDescent="0.25">
      <c r="A14" s="47"/>
      <c r="B14" s="381"/>
      <c r="C14" s="349"/>
      <c r="D14" s="329"/>
      <c r="E14" s="329"/>
      <c r="F14" s="329"/>
      <c r="G14" s="329"/>
      <c r="H14" s="329"/>
      <c r="I14" s="329"/>
      <c r="J14" s="97"/>
      <c r="K14" s="47"/>
    </row>
    <row r="15" spans="1:11" ht="12.75" customHeight="1" x14ac:dyDescent="0.25">
      <c r="A15" s="47"/>
      <c r="B15" s="111"/>
      <c r="C15" s="349"/>
      <c r="D15" s="329"/>
      <c r="E15" s="329"/>
      <c r="F15" s="329"/>
      <c r="G15" s="329"/>
      <c r="H15" s="329"/>
      <c r="I15" s="97"/>
      <c r="J15" s="97"/>
      <c r="K15" s="47"/>
    </row>
    <row r="16" spans="1:11" ht="12.75" customHeight="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</row>
    <row r="17" spans="1:11" ht="12.75" customHeight="1" x14ac:dyDescent="0.25">
      <c r="A17" s="47"/>
      <c r="B17" s="98"/>
      <c r="C17" s="99" t="s">
        <v>130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/>
      <c r="K17" s="47"/>
    </row>
    <row r="18" spans="1:11" ht="12.75" customHeight="1" x14ac:dyDescent="0.25">
      <c r="A18" s="47"/>
      <c r="B18" s="92"/>
      <c r="C18" s="93"/>
      <c r="D18" s="101"/>
      <c r="E18" s="101"/>
      <c r="F18" s="101"/>
      <c r="G18" s="101"/>
      <c r="H18" s="101"/>
      <c r="I18" s="101"/>
      <c r="J18" s="101"/>
      <c r="K18" s="47"/>
    </row>
    <row r="19" spans="1:11" ht="12.75" customHeight="1" x14ac:dyDescent="0.25">
      <c r="A19" s="47"/>
      <c r="B19" s="102" t="s">
        <v>131</v>
      </c>
      <c r="C19" s="102"/>
      <c r="D19" s="102"/>
      <c r="E19" s="102"/>
      <c r="F19" s="47"/>
      <c r="G19" s="47"/>
      <c r="H19" s="47"/>
      <c r="I19" s="47"/>
      <c r="J19" s="47"/>
      <c r="K19" s="47"/>
    </row>
    <row r="20" spans="1:11" ht="12.75" customHeight="1" x14ac:dyDescent="0.25">
      <c r="A20" s="47"/>
      <c r="B20" s="47"/>
      <c r="C20" s="47"/>
      <c r="D20" s="96">
        <f>+D13</f>
        <v>500</v>
      </c>
      <c r="E20" s="96">
        <f>+E13</f>
        <v>1000</v>
      </c>
      <c r="F20" s="96">
        <f>+F13</f>
        <v>5000</v>
      </c>
      <c r="G20" s="96">
        <f>+G13</f>
        <v>10000</v>
      </c>
      <c r="H20" s="96">
        <f>+H13</f>
        <v>15000</v>
      </c>
      <c r="I20" s="96">
        <v>20000</v>
      </c>
      <c r="J20" s="96"/>
      <c r="K20" s="47"/>
    </row>
    <row r="21" spans="1:11" ht="12.75" customHeight="1" x14ac:dyDescent="0.25">
      <c r="A21" s="47"/>
      <c r="B21" s="47"/>
      <c r="C21" s="47"/>
      <c r="D21" s="100">
        <f t="shared" ref="D21:I21" si="0">D17</f>
        <v>0</v>
      </c>
      <c r="E21" s="100">
        <f t="shared" si="0"/>
        <v>0</v>
      </c>
      <c r="F21" s="100">
        <f t="shared" si="0"/>
        <v>0</v>
      </c>
      <c r="G21" s="100">
        <f t="shared" si="0"/>
        <v>0</v>
      </c>
      <c r="H21" s="100">
        <f t="shared" si="0"/>
        <v>0</v>
      </c>
      <c r="I21" s="100">
        <f t="shared" si="0"/>
        <v>0</v>
      </c>
      <c r="J21" s="100"/>
      <c r="K21" s="47"/>
    </row>
    <row r="22" spans="1:11" ht="12.75" customHeight="1" x14ac:dyDescent="0.25">
      <c r="A22" s="47"/>
      <c r="B22" s="56"/>
      <c r="C22" s="56"/>
      <c r="D22" s="47"/>
      <c r="E22" s="47"/>
      <c r="F22" s="47"/>
      <c r="G22" s="47"/>
      <c r="H22" s="47"/>
      <c r="I22" s="47"/>
      <c r="J22" s="47"/>
      <c r="K22" s="47"/>
    </row>
    <row r="23" spans="1:11" ht="12.75" customHeight="1" x14ac:dyDescent="0.25">
      <c r="A23" s="47"/>
      <c r="B23" s="103" t="s">
        <v>132</v>
      </c>
      <c r="C23" s="56"/>
      <c r="D23" s="47"/>
      <c r="E23" s="47"/>
      <c r="F23" s="47"/>
      <c r="G23" s="47"/>
      <c r="H23" s="47"/>
      <c r="I23" s="47"/>
      <c r="J23" s="47"/>
      <c r="K23" s="47"/>
    </row>
    <row r="24" spans="1:11" ht="27" customHeight="1" x14ac:dyDescent="0.25">
      <c r="A24" s="47"/>
      <c r="B24" s="636" t="s">
        <v>22</v>
      </c>
      <c r="C24" s="622"/>
      <c r="D24" s="104" t="str">
        <f>+DATOS!$M$30</f>
        <v/>
      </c>
      <c r="E24" s="105">
        <f>IF(D24&lt;=$D$20,$D$21,IF(AND(D24&gt;$D$20,D24&lt;=$E$20),$E$21,IF(AND(D24&gt;$E$20,D24&lt;=$F$20),$F$21,IF(AND(D24&gt;$F$20,D24&lt;=$G$20),$G$21,IF(AND(D24&gt;$G$20,D24&lt;=$H$20),$H$21,$H$21)))))</f>
        <v>0</v>
      </c>
      <c r="F24" s="47"/>
      <c r="G24" s="47"/>
      <c r="H24" s="47"/>
      <c r="I24" s="47"/>
      <c r="J24" s="47"/>
      <c r="K24" s="47"/>
    </row>
    <row r="25" spans="1:11" ht="30.75" customHeight="1" x14ac:dyDescent="0.25">
      <c r="B25" s="620" t="s">
        <v>77</v>
      </c>
      <c r="C25" s="622"/>
      <c r="D25" s="106" t="str">
        <f>+DATOS!$M$33</f>
        <v/>
      </c>
      <c r="E25" s="105">
        <f>IF(D25&lt;=$D$20,$D$21,IF(AND(D25&gt;$D$20,D25&lt;=$E$20),$E$21,IF(AND(D25&gt;$E$20,D25&lt;=$F$20),$F$21,IF(AND(D25&gt;$F$20,D25&lt;=$G$20),$G$21,IF(AND(D25&gt;$G$20,D25&lt;=$H$20),$H$21,$H$21)))))</f>
        <v>0</v>
      </c>
      <c r="F25" s="47"/>
      <c r="G25" s="47"/>
      <c r="H25" s="47"/>
      <c r="I25" s="47"/>
      <c r="J25" s="47"/>
      <c r="K25" s="47"/>
    </row>
    <row r="26" spans="1:11" ht="12.75" customHeight="1" x14ac:dyDescent="0.25">
      <c r="F26" s="47"/>
      <c r="G26" s="47"/>
      <c r="H26" s="47"/>
      <c r="I26" s="47"/>
      <c r="J26" s="47"/>
      <c r="K26" s="47"/>
    </row>
    <row r="27" spans="1:11" ht="12.75" customHeight="1" x14ac:dyDescent="0.25">
      <c r="F27" s="47"/>
      <c r="G27" s="47"/>
      <c r="H27" s="47"/>
      <c r="I27" s="47"/>
      <c r="J27" s="47"/>
      <c r="K27" s="47"/>
    </row>
    <row r="28" spans="1:11" ht="12.75" customHeight="1" x14ac:dyDescent="0.25"/>
    <row r="29" spans="1:11" ht="12.75" customHeight="1" x14ac:dyDescent="0.25"/>
    <row r="30" spans="1:11" ht="12.75" customHeight="1" x14ac:dyDescent="0.25"/>
    <row r="31" spans="1:11" ht="12.75" customHeight="1" x14ac:dyDescent="0.25"/>
    <row r="32" spans="1:1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</sheetData>
  <sheetProtection algorithmName="SHA-512" hashValue="meuaozn4P+rHhY2z/E0bmsMhCiWhlC/pzewG7vq20g3oOF+YmUKqsn0vmFLgqbgQDjOjUqINkfstxL11nv4RuQ==" saltValue="tSPVPowFqIqwTyMQLtYT0w==" spinCount="100000" sheet="1" objects="1" scenarios="1"/>
  <mergeCells count="4">
    <mergeCell ref="B2:G2"/>
    <mergeCell ref="I6:J6"/>
    <mergeCell ref="B24:C24"/>
    <mergeCell ref="B25:C25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75"/>
  <sheetViews>
    <sheetView workbookViewId="0">
      <selection activeCell="F16" sqref="F16"/>
    </sheetView>
  </sheetViews>
  <sheetFormatPr baseColWidth="10" defaultColWidth="12.5546875" defaultRowHeight="15" customHeight="1" x14ac:dyDescent="0.25"/>
  <cols>
    <col min="1" max="1" width="24" style="503" customWidth="1"/>
    <col min="2" max="26" width="10.5546875" style="503" customWidth="1"/>
    <col min="27" max="16384" width="12.5546875" style="503"/>
  </cols>
  <sheetData>
    <row r="1" spans="1:5" ht="12.75" customHeight="1" x14ac:dyDescent="0.25">
      <c r="A1" s="47"/>
      <c r="B1" s="47"/>
      <c r="C1" s="240"/>
      <c r="D1" s="240"/>
      <c r="E1" s="47"/>
    </row>
    <row r="2" spans="1:5" ht="12.75" customHeight="1" x14ac:dyDescent="0.3">
      <c r="A2" s="107"/>
      <c r="B2" s="47"/>
      <c r="C2" s="240"/>
      <c r="D2" s="240"/>
      <c r="E2" s="47"/>
    </row>
    <row r="3" spans="1:5" ht="12.75" customHeight="1" x14ac:dyDescent="0.25">
      <c r="A3" s="108" t="s">
        <v>226</v>
      </c>
      <c r="B3" s="47"/>
      <c r="C3" s="240"/>
      <c r="D3" s="240"/>
      <c r="E3" s="47"/>
    </row>
    <row r="4" spans="1:5" ht="12.75" customHeight="1" x14ac:dyDescent="0.25">
      <c r="A4" s="108" t="s">
        <v>133</v>
      </c>
      <c r="B4" s="109">
        <v>45790</v>
      </c>
      <c r="C4" s="335"/>
      <c r="D4" s="303"/>
      <c r="E4" s="47"/>
    </row>
    <row r="5" spans="1:5" ht="12.75" customHeight="1" x14ac:dyDescent="0.25">
      <c r="A5" s="108"/>
      <c r="B5" s="110"/>
      <c r="C5" s="304"/>
      <c r="D5" s="304"/>
      <c r="E5" s="47"/>
    </row>
    <row r="6" spans="1:5" ht="12.75" customHeight="1" x14ac:dyDescent="0.3">
      <c r="A6" s="107" t="s">
        <v>134</v>
      </c>
      <c r="B6" s="47"/>
      <c r="C6" s="240"/>
      <c r="D6" s="240"/>
      <c r="E6" s="47"/>
    </row>
    <row r="7" spans="1:5" ht="12.75" customHeight="1" x14ac:dyDescent="0.25">
      <c r="A7" s="502" t="s">
        <v>224</v>
      </c>
      <c r="B7" s="637">
        <v>9.6689694720198741E-3</v>
      </c>
      <c r="C7" s="637"/>
      <c r="D7" s="637"/>
    </row>
    <row r="8" spans="1:5" ht="12.75" customHeight="1" x14ac:dyDescent="0.25">
      <c r="A8" s="502" t="s">
        <v>225</v>
      </c>
      <c r="B8" s="638">
        <v>1.369288624544357E-4</v>
      </c>
      <c r="C8" s="638"/>
      <c r="D8" s="638"/>
    </row>
    <row r="9" spans="1:5" ht="12.75" customHeight="1" x14ac:dyDescent="0.25"/>
    <row r="10" spans="1:5" ht="12.75" customHeight="1" x14ac:dyDescent="0.25"/>
    <row r="11" spans="1:5" ht="12.75" customHeight="1" x14ac:dyDescent="0.25"/>
    <row r="12" spans="1:5" ht="12.75" customHeight="1" x14ac:dyDescent="0.25"/>
    <row r="13" spans="1:5" ht="12.75" customHeight="1" x14ac:dyDescent="0.25"/>
    <row r="14" spans="1:5" ht="12.75" customHeight="1" x14ac:dyDescent="0.25"/>
    <row r="15" spans="1:5" ht="12.75" customHeight="1" x14ac:dyDescent="0.25"/>
    <row r="16" spans="1:5" ht="12.75" customHeight="1" x14ac:dyDescent="0.25"/>
    <row r="17" s="503" customFormat="1" ht="12.75" customHeight="1" x14ac:dyDescent="0.25"/>
    <row r="18" s="503" customFormat="1" ht="12.75" customHeight="1" x14ac:dyDescent="0.25"/>
    <row r="19" s="503" customFormat="1" ht="12.75" customHeight="1" x14ac:dyDescent="0.25"/>
    <row r="20" s="503" customFormat="1" ht="12.75" customHeight="1" x14ac:dyDescent="0.25"/>
    <row r="21" s="503" customFormat="1" ht="12.75" customHeight="1" x14ac:dyDescent="0.25"/>
    <row r="22" s="503" customFormat="1" ht="12.75" customHeight="1" x14ac:dyDescent="0.25"/>
    <row r="23" s="503" customFormat="1" ht="12.75" customHeight="1" x14ac:dyDescent="0.25"/>
    <row r="24" s="503" customFormat="1" ht="12.75" customHeight="1" x14ac:dyDescent="0.25"/>
    <row r="25" s="503" customFormat="1" ht="12.75" customHeight="1" x14ac:dyDescent="0.25"/>
    <row r="26" s="503" customFormat="1" ht="12.75" customHeight="1" x14ac:dyDescent="0.25"/>
    <row r="27" s="503" customFormat="1" ht="12.75" customHeight="1" x14ac:dyDescent="0.25"/>
    <row r="28" s="503" customFormat="1" ht="12.75" customHeight="1" x14ac:dyDescent="0.25"/>
    <row r="29" s="503" customFormat="1" ht="12.75" customHeight="1" x14ac:dyDescent="0.25"/>
    <row r="30" s="503" customFormat="1" ht="12.75" customHeight="1" x14ac:dyDescent="0.25"/>
    <row r="31" s="503" customFormat="1" ht="12.75" customHeight="1" x14ac:dyDescent="0.25"/>
    <row r="32" s="503" customFormat="1" ht="12.75" customHeight="1" x14ac:dyDescent="0.25"/>
    <row r="33" s="503" customFormat="1" ht="12.75" customHeight="1" x14ac:dyDescent="0.25"/>
    <row r="34" s="503" customFormat="1" ht="12.75" customHeight="1" x14ac:dyDescent="0.25"/>
    <row r="35" s="503" customFormat="1" ht="12.75" customHeight="1" x14ac:dyDescent="0.25"/>
    <row r="36" s="503" customFormat="1" ht="12.75" customHeight="1" x14ac:dyDescent="0.25"/>
    <row r="37" s="503" customFormat="1" ht="12.75" customHeight="1" x14ac:dyDescent="0.25"/>
    <row r="38" s="503" customFormat="1" ht="12.75" customHeight="1" x14ac:dyDescent="0.25"/>
    <row r="39" s="503" customFormat="1" ht="12.75" customHeight="1" x14ac:dyDescent="0.25"/>
    <row r="40" s="503" customFormat="1" ht="12.75" customHeight="1" x14ac:dyDescent="0.25"/>
    <row r="41" s="503" customFormat="1" ht="12.75" customHeight="1" x14ac:dyDescent="0.25"/>
    <row r="42" s="503" customFormat="1" ht="12.75" customHeight="1" x14ac:dyDescent="0.25"/>
    <row r="43" s="503" customFormat="1" ht="12.75" customHeight="1" x14ac:dyDescent="0.25"/>
    <row r="44" s="503" customFormat="1" ht="12.75" customHeight="1" x14ac:dyDescent="0.25"/>
    <row r="45" s="503" customFormat="1" ht="12.75" customHeight="1" x14ac:dyDescent="0.25"/>
    <row r="46" s="503" customFormat="1" ht="12.75" customHeight="1" x14ac:dyDescent="0.25"/>
    <row r="47" s="503" customFormat="1" ht="12.75" customHeight="1" x14ac:dyDescent="0.25"/>
    <row r="48" s="503" customFormat="1" ht="12.75" customHeight="1" x14ac:dyDescent="0.25"/>
    <row r="49" s="503" customFormat="1" ht="12.75" customHeight="1" x14ac:dyDescent="0.25"/>
    <row r="50" s="503" customFormat="1" ht="12.75" customHeight="1" x14ac:dyDescent="0.25"/>
    <row r="51" s="503" customFormat="1" ht="12.75" customHeight="1" x14ac:dyDescent="0.25"/>
    <row r="52" s="503" customFormat="1" ht="12.75" customHeight="1" x14ac:dyDescent="0.25"/>
    <row r="53" s="503" customFormat="1" ht="12.75" customHeight="1" x14ac:dyDescent="0.25"/>
    <row r="54" s="503" customFormat="1" ht="12.75" customHeight="1" x14ac:dyDescent="0.25"/>
    <row r="55" s="503" customFormat="1" ht="12.75" customHeight="1" x14ac:dyDescent="0.25"/>
    <row r="56" s="503" customFormat="1" ht="12.75" customHeight="1" x14ac:dyDescent="0.25"/>
    <row r="57" s="503" customFormat="1" ht="12.75" customHeight="1" x14ac:dyDescent="0.25"/>
    <row r="58" s="503" customFormat="1" ht="12.75" customHeight="1" x14ac:dyDescent="0.25"/>
    <row r="59" s="503" customFormat="1" ht="12.75" customHeight="1" x14ac:dyDescent="0.25"/>
    <row r="60" s="503" customFormat="1" ht="12.75" customHeight="1" x14ac:dyDescent="0.25"/>
    <row r="61" s="503" customFormat="1" ht="12.75" customHeight="1" x14ac:dyDescent="0.25"/>
    <row r="62" s="503" customFormat="1" ht="12.75" customHeight="1" x14ac:dyDescent="0.25"/>
    <row r="63" s="503" customFormat="1" ht="12.75" customHeight="1" x14ac:dyDescent="0.25"/>
    <row r="64" s="503" customFormat="1" ht="12.75" customHeight="1" x14ac:dyDescent="0.25"/>
    <row r="65" s="503" customFormat="1" ht="12.75" customHeight="1" x14ac:dyDescent="0.25"/>
    <row r="66" s="503" customFormat="1" ht="12.75" customHeight="1" x14ac:dyDescent="0.25"/>
    <row r="67" s="503" customFormat="1" ht="12.75" customHeight="1" x14ac:dyDescent="0.25"/>
    <row r="68" s="503" customFormat="1" ht="12.75" customHeight="1" x14ac:dyDescent="0.25"/>
    <row r="69" s="503" customFormat="1" ht="12.75" customHeight="1" x14ac:dyDescent="0.25"/>
    <row r="70" s="503" customFormat="1" ht="12.75" customHeight="1" x14ac:dyDescent="0.25"/>
    <row r="71" s="503" customFormat="1" ht="12.75" customHeight="1" x14ac:dyDescent="0.25"/>
    <row r="72" s="503" customFormat="1" ht="12.75" customHeight="1" x14ac:dyDescent="0.25"/>
    <row r="73" s="503" customFormat="1" ht="12.75" customHeight="1" x14ac:dyDescent="0.25"/>
    <row r="74" s="503" customFormat="1" ht="12.75" customHeight="1" x14ac:dyDescent="0.25"/>
    <row r="75" s="503" customFormat="1" ht="12.75" customHeight="1" x14ac:dyDescent="0.25"/>
    <row r="76" s="503" customFormat="1" ht="12.75" customHeight="1" x14ac:dyDescent="0.25"/>
    <row r="77" s="503" customFormat="1" ht="12.75" customHeight="1" x14ac:dyDescent="0.25"/>
    <row r="78" s="503" customFormat="1" ht="12.75" customHeight="1" x14ac:dyDescent="0.25"/>
    <row r="79" s="503" customFormat="1" ht="12.75" customHeight="1" x14ac:dyDescent="0.25"/>
    <row r="80" s="503" customFormat="1" ht="12.75" customHeight="1" x14ac:dyDescent="0.25"/>
    <row r="81" s="503" customFormat="1" ht="12.75" customHeight="1" x14ac:dyDescent="0.25"/>
    <row r="82" s="503" customFormat="1" ht="12.75" customHeight="1" x14ac:dyDescent="0.25"/>
    <row r="83" s="503" customFormat="1" ht="12.75" customHeight="1" x14ac:dyDescent="0.25"/>
    <row r="84" s="503" customFormat="1" ht="12.75" customHeight="1" x14ac:dyDescent="0.25"/>
    <row r="85" s="503" customFormat="1" ht="12.75" customHeight="1" x14ac:dyDescent="0.25"/>
    <row r="86" s="503" customFormat="1" ht="12.75" customHeight="1" x14ac:dyDescent="0.25"/>
    <row r="87" s="503" customFormat="1" ht="12.75" customHeight="1" x14ac:dyDescent="0.25"/>
    <row r="88" s="503" customFormat="1" ht="12.75" customHeight="1" x14ac:dyDescent="0.25"/>
    <row r="89" s="503" customFormat="1" ht="12.75" customHeight="1" x14ac:dyDescent="0.25"/>
    <row r="90" s="503" customFormat="1" ht="12.75" customHeight="1" x14ac:dyDescent="0.25"/>
    <row r="91" s="503" customFormat="1" ht="12.75" customHeight="1" x14ac:dyDescent="0.25"/>
    <row r="92" s="503" customFormat="1" ht="12.75" customHeight="1" x14ac:dyDescent="0.25"/>
    <row r="93" s="503" customFormat="1" ht="12.75" customHeight="1" x14ac:dyDescent="0.25"/>
    <row r="94" s="503" customFormat="1" ht="12.75" customHeight="1" x14ac:dyDescent="0.25"/>
    <row r="95" s="503" customFormat="1" ht="12.75" customHeight="1" x14ac:dyDescent="0.25"/>
    <row r="96" s="503" customFormat="1" ht="12.75" customHeight="1" x14ac:dyDescent="0.25"/>
    <row r="97" s="503" customFormat="1" ht="12.75" customHeight="1" x14ac:dyDescent="0.25"/>
    <row r="98" s="503" customFormat="1" ht="12.75" customHeight="1" x14ac:dyDescent="0.25"/>
    <row r="99" s="503" customFormat="1" ht="12.75" customHeight="1" x14ac:dyDescent="0.25"/>
    <row r="100" s="503" customFormat="1" ht="12.75" customHeight="1" x14ac:dyDescent="0.25"/>
    <row r="101" s="503" customFormat="1" ht="12.75" customHeight="1" x14ac:dyDescent="0.25"/>
    <row r="102" s="503" customFormat="1" ht="12.75" customHeight="1" x14ac:dyDescent="0.25"/>
    <row r="103" s="503" customFormat="1" ht="12.75" customHeight="1" x14ac:dyDescent="0.25"/>
    <row r="104" s="503" customFormat="1" ht="12.75" customHeight="1" x14ac:dyDescent="0.25"/>
    <row r="105" s="503" customFormat="1" ht="12.75" customHeight="1" x14ac:dyDescent="0.25"/>
    <row r="106" s="503" customFormat="1" ht="12.75" customHeight="1" x14ac:dyDescent="0.25"/>
    <row r="107" s="503" customFormat="1" ht="12.75" customHeight="1" x14ac:dyDescent="0.25"/>
    <row r="108" s="503" customFormat="1" ht="12.75" customHeight="1" x14ac:dyDescent="0.25"/>
    <row r="109" s="503" customFormat="1" ht="12.75" customHeight="1" x14ac:dyDescent="0.25"/>
    <row r="110" s="503" customFormat="1" ht="12.75" customHeight="1" x14ac:dyDescent="0.25"/>
    <row r="111" s="503" customFormat="1" ht="12.75" customHeight="1" x14ac:dyDescent="0.25"/>
    <row r="112" s="503" customFormat="1" ht="12.75" customHeight="1" x14ac:dyDescent="0.25"/>
    <row r="113" s="503" customFormat="1" ht="12.75" customHeight="1" x14ac:dyDescent="0.25"/>
    <row r="114" s="503" customFormat="1" ht="12.75" customHeight="1" x14ac:dyDescent="0.25"/>
    <row r="115" s="503" customFormat="1" ht="12.75" customHeight="1" x14ac:dyDescent="0.25"/>
    <row r="116" s="503" customFormat="1" ht="12.75" customHeight="1" x14ac:dyDescent="0.25"/>
    <row r="117" s="503" customFormat="1" ht="12.75" customHeight="1" x14ac:dyDescent="0.25"/>
    <row r="118" s="503" customFormat="1" ht="12.75" customHeight="1" x14ac:dyDescent="0.25"/>
    <row r="119" s="503" customFormat="1" ht="12.75" customHeight="1" x14ac:dyDescent="0.25"/>
    <row r="120" s="503" customFormat="1" ht="12.75" customHeight="1" x14ac:dyDescent="0.25"/>
    <row r="121" s="503" customFormat="1" ht="12.75" customHeight="1" x14ac:dyDescent="0.25"/>
    <row r="122" s="503" customFormat="1" ht="12.75" customHeight="1" x14ac:dyDescent="0.25"/>
    <row r="123" s="503" customFormat="1" ht="12.75" customHeight="1" x14ac:dyDescent="0.25"/>
    <row r="124" s="503" customFormat="1" ht="12.75" customHeight="1" x14ac:dyDescent="0.25"/>
    <row r="125" s="503" customFormat="1" ht="12.75" customHeight="1" x14ac:dyDescent="0.25"/>
    <row r="126" s="503" customFormat="1" ht="12.75" customHeight="1" x14ac:dyDescent="0.25"/>
    <row r="127" s="503" customFormat="1" ht="12.75" customHeight="1" x14ac:dyDescent="0.25"/>
    <row r="128" s="503" customFormat="1" ht="12.75" customHeight="1" x14ac:dyDescent="0.25"/>
    <row r="129" s="503" customFormat="1" ht="12.75" customHeight="1" x14ac:dyDescent="0.25"/>
    <row r="130" s="503" customFormat="1" ht="12.75" customHeight="1" x14ac:dyDescent="0.25"/>
    <row r="131" s="503" customFormat="1" ht="12.75" customHeight="1" x14ac:dyDescent="0.25"/>
    <row r="132" s="503" customFormat="1" ht="12.75" customHeight="1" x14ac:dyDescent="0.25"/>
    <row r="133" s="503" customFormat="1" ht="12.75" customHeight="1" x14ac:dyDescent="0.25"/>
    <row r="134" s="503" customFormat="1" ht="12.75" customHeight="1" x14ac:dyDescent="0.25"/>
    <row r="135" s="503" customFormat="1" ht="12.75" customHeight="1" x14ac:dyDescent="0.25"/>
    <row r="136" s="503" customFormat="1" ht="12.75" customHeight="1" x14ac:dyDescent="0.25"/>
    <row r="137" s="503" customFormat="1" ht="12.75" customHeight="1" x14ac:dyDescent="0.25"/>
    <row r="138" s="503" customFormat="1" ht="12.75" customHeight="1" x14ac:dyDescent="0.25"/>
    <row r="139" s="503" customFormat="1" ht="12.75" customHeight="1" x14ac:dyDescent="0.25"/>
    <row r="140" s="503" customFormat="1" ht="12.75" customHeight="1" x14ac:dyDescent="0.25"/>
    <row r="141" s="503" customFormat="1" ht="12.75" customHeight="1" x14ac:dyDescent="0.25"/>
    <row r="142" s="503" customFormat="1" ht="12.75" customHeight="1" x14ac:dyDescent="0.25"/>
    <row r="143" s="503" customFormat="1" ht="12.75" customHeight="1" x14ac:dyDescent="0.25"/>
    <row r="144" s="503" customFormat="1" ht="12.75" customHeight="1" x14ac:dyDescent="0.25"/>
    <row r="145" s="503" customFormat="1" ht="12.75" customHeight="1" x14ac:dyDescent="0.25"/>
    <row r="146" s="503" customFormat="1" ht="12.75" customHeight="1" x14ac:dyDescent="0.25"/>
    <row r="147" s="503" customFormat="1" ht="12.75" customHeight="1" x14ac:dyDescent="0.25"/>
    <row r="148" s="503" customFormat="1" ht="12.75" customHeight="1" x14ac:dyDescent="0.25"/>
    <row r="149" s="503" customFormat="1" ht="12.75" customHeight="1" x14ac:dyDescent="0.25"/>
    <row r="150" s="503" customFormat="1" ht="12.75" customHeight="1" x14ac:dyDescent="0.25"/>
    <row r="151" s="503" customFormat="1" ht="12.75" customHeight="1" x14ac:dyDescent="0.25"/>
    <row r="152" s="503" customFormat="1" ht="12.75" customHeight="1" x14ac:dyDescent="0.25"/>
    <row r="153" s="503" customFormat="1" ht="12.75" customHeight="1" x14ac:dyDescent="0.25"/>
    <row r="154" s="503" customFormat="1" ht="12.75" customHeight="1" x14ac:dyDescent="0.25"/>
    <row r="155" s="503" customFormat="1" ht="12.75" customHeight="1" x14ac:dyDescent="0.25"/>
    <row r="156" s="503" customFormat="1" ht="12.75" customHeight="1" x14ac:dyDescent="0.25"/>
    <row r="157" s="503" customFormat="1" ht="12.75" customHeight="1" x14ac:dyDescent="0.25"/>
    <row r="158" s="503" customFormat="1" ht="12.75" customHeight="1" x14ac:dyDescent="0.25"/>
    <row r="159" s="503" customFormat="1" ht="12.75" customHeight="1" x14ac:dyDescent="0.25"/>
    <row r="160" s="503" customFormat="1" ht="12.75" customHeight="1" x14ac:dyDescent="0.25"/>
    <row r="161" s="503" customFormat="1" ht="12.75" customHeight="1" x14ac:dyDescent="0.25"/>
    <row r="162" s="503" customFormat="1" ht="12.75" customHeight="1" x14ac:dyDescent="0.25"/>
    <row r="163" s="503" customFormat="1" ht="12.75" customHeight="1" x14ac:dyDescent="0.25"/>
    <row r="164" s="503" customFormat="1" ht="12.75" customHeight="1" x14ac:dyDescent="0.25"/>
    <row r="165" s="503" customFormat="1" ht="12.75" customHeight="1" x14ac:dyDescent="0.25"/>
    <row r="166" s="503" customFormat="1" ht="12.75" customHeight="1" x14ac:dyDescent="0.25"/>
    <row r="167" s="503" customFormat="1" ht="12.75" customHeight="1" x14ac:dyDescent="0.25"/>
    <row r="168" s="503" customFormat="1" ht="12.75" customHeight="1" x14ac:dyDescent="0.25"/>
    <row r="169" s="503" customFormat="1" ht="12.75" customHeight="1" x14ac:dyDescent="0.25"/>
    <row r="170" s="503" customFormat="1" ht="12.75" customHeight="1" x14ac:dyDescent="0.25"/>
    <row r="171" s="503" customFormat="1" ht="12.75" customHeight="1" x14ac:dyDescent="0.25"/>
    <row r="172" s="503" customFormat="1" ht="12.75" customHeight="1" x14ac:dyDescent="0.25"/>
    <row r="173" s="503" customFormat="1" ht="12.75" customHeight="1" x14ac:dyDescent="0.25"/>
    <row r="174" s="503" customFormat="1" ht="12.75" customHeight="1" x14ac:dyDescent="0.25"/>
    <row r="175" s="503" customFormat="1" ht="12.75" customHeight="1" x14ac:dyDescent="0.25"/>
    <row r="176" s="503" customFormat="1" ht="12.75" customHeight="1" x14ac:dyDescent="0.25"/>
    <row r="177" s="503" customFormat="1" ht="12.75" customHeight="1" x14ac:dyDescent="0.25"/>
    <row r="178" s="503" customFormat="1" ht="12.75" customHeight="1" x14ac:dyDescent="0.25"/>
    <row r="179" s="503" customFormat="1" ht="12.75" customHeight="1" x14ac:dyDescent="0.25"/>
    <row r="180" s="503" customFormat="1" ht="12.75" customHeight="1" x14ac:dyDescent="0.25"/>
    <row r="181" s="503" customFormat="1" ht="12.75" customHeight="1" x14ac:dyDescent="0.25"/>
    <row r="182" s="503" customFormat="1" ht="12.75" customHeight="1" x14ac:dyDescent="0.25"/>
    <row r="183" s="503" customFormat="1" ht="12.75" customHeight="1" x14ac:dyDescent="0.25"/>
    <row r="184" s="503" customFormat="1" ht="12.75" customHeight="1" x14ac:dyDescent="0.25"/>
    <row r="185" s="503" customFormat="1" ht="12.75" customHeight="1" x14ac:dyDescent="0.25"/>
    <row r="186" s="503" customFormat="1" ht="12.75" customHeight="1" x14ac:dyDescent="0.25"/>
    <row r="187" s="503" customFormat="1" ht="12.75" customHeight="1" x14ac:dyDescent="0.25"/>
    <row r="188" s="503" customFormat="1" ht="12.75" customHeight="1" x14ac:dyDescent="0.25"/>
    <row r="189" s="503" customFormat="1" ht="12.75" customHeight="1" x14ac:dyDescent="0.25"/>
    <row r="190" s="503" customFormat="1" ht="12.75" customHeight="1" x14ac:dyDescent="0.25"/>
    <row r="191" s="503" customFormat="1" ht="12.75" customHeight="1" x14ac:dyDescent="0.25"/>
    <row r="192" s="503" customFormat="1" ht="12.75" customHeight="1" x14ac:dyDescent="0.25"/>
    <row r="193" s="503" customFormat="1" ht="12.75" customHeight="1" x14ac:dyDescent="0.25"/>
    <row r="194" s="503" customFormat="1" ht="12.75" customHeight="1" x14ac:dyDescent="0.25"/>
    <row r="195" s="503" customFormat="1" ht="12.75" customHeight="1" x14ac:dyDescent="0.25"/>
    <row r="196" s="503" customFormat="1" ht="12.75" customHeight="1" x14ac:dyDescent="0.25"/>
    <row r="197" s="503" customFormat="1" ht="12.75" customHeight="1" x14ac:dyDescent="0.25"/>
    <row r="198" s="503" customFormat="1" ht="12.75" customHeight="1" x14ac:dyDescent="0.25"/>
    <row r="199" s="503" customFormat="1" ht="12.75" customHeight="1" x14ac:dyDescent="0.25"/>
    <row r="200" s="503" customFormat="1" ht="12.75" customHeight="1" x14ac:dyDescent="0.25"/>
    <row r="201" s="503" customFormat="1" ht="12.75" customHeight="1" x14ac:dyDescent="0.25"/>
    <row r="202" s="503" customFormat="1" ht="12.75" customHeight="1" x14ac:dyDescent="0.25"/>
    <row r="203" s="503" customFormat="1" ht="12.75" customHeight="1" x14ac:dyDescent="0.25"/>
    <row r="204" s="503" customFormat="1" ht="12.75" customHeight="1" x14ac:dyDescent="0.25"/>
    <row r="205" s="503" customFormat="1" ht="12.75" customHeight="1" x14ac:dyDescent="0.25"/>
    <row r="206" s="503" customFormat="1" ht="12.75" customHeight="1" x14ac:dyDescent="0.25"/>
    <row r="207" s="503" customFormat="1" ht="12.75" customHeight="1" x14ac:dyDescent="0.25"/>
    <row r="208" s="503" customFormat="1" ht="12.75" customHeight="1" x14ac:dyDescent="0.25"/>
    <row r="209" s="503" customFormat="1" ht="12.75" customHeight="1" x14ac:dyDescent="0.25"/>
    <row r="210" s="503" customFormat="1" ht="12.75" customHeight="1" x14ac:dyDescent="0.25"/>
    <row r="211" s="503" customFormat="1" ht="12.75" customHeight="1" x14ac:dyDescent="0.25"/>
    <row r="212" s="503" customFormat="1" ht="12.75" customHeight="1" x14ac:dyDescent="0.25"/>
    <row r="213" s="503" customFormat="1" ht="12.75" customHeight="1" x14ac:dyDescent="0.25"/>
    <row r="214" s="503" customFormat="1" ht="12.75" customHeight="1" x14ac:dyDescent="0.25"/>
    <row r="215" s="503" customFormat="1" ht="12.75" customHeight="1" x14ac:dyDescent="0.25"/>
    <row r="216" s="503" customFormat="1" ht="12.75" customHeight="1" x14ac:dyDescent="0.25"/>
    <row r="217" s="503" customFormat="1" ht="12.75" customHeight="1" x14ac:dyDescent="0.25"/>
    <row r="218" s="503" customFormat="1" ht="12.75" customHeight="1" x14ac:dyDescent="0.25"/>
    <row r="219" s="503" customFormat="1" ht="12.75" customHeight="1" x14ac:dyDescent="0.25"/>
    <row r="220" s="503" customFormat="1" ht="12.75" customHeight="1" x14ac:dyDescent="0.25"/>
    <row r="221" s="503" customFormat="1" ht="12.75" customHeight="1" x14ac:dyDescent="0.25"/>
    <row r="222" s="503" customFormat="1" ht="12.75" customHeight="1" x14ac:dyDescent="0.25"/>
    <row r="223" s="503" customFormat="1" ht="12.75" customHeight="1" x14ac:dyDescent="0.25"/>
    <row r="224" s="503" customFormat="1" ht="12.75" customHeight="1" x14ac:dyDescent="0.25"/>
    <row r="225" s="503" customFormat="1" ht="12.75" customHeight="1" x14ac:dyDescent="0.25"/>
    <row r="226" s="503" customFormat="1" ht="12.75" customHeight="1" x14ac:dyDescent="0.25"/>
    <row r="227" s="503" customFormat="1" ht="12.75" customHeight="1" x14ac:dyDescent="0.25"/>
    <row r="228" s="503" customFormat="1" ht="12.75" customHeight="1" x14ac:dyDescent="0.25"/>
    <row r="229" s="503" customFormat="1" ht="12.75" customHeight="1" x14ac:dyDescent="0.25"/>
    <row r="230" s="503" customFormat="1" ht="12.75" customHeight="1" x14ac:dyDescent="0.25"/>
    <row r="231" s="503" customFormat="1" ht="12.75" customHeight="1" x14ac:dyDescent="0.25"/>
    <row r="232" s="503" customFormat="1" ht="12.75" customHeight="1" x14ac:dyDescent="0.25"/>
    <row r="233" s="503" customFormat="1" ht="12.75" customHeight="1" x14ac:dyDescent="0.25"/>
    <row r="234" s="503" customFormat="1" ht="12.75" customHeight="1" x14ac:dyDescent="0.25"/>
    <row r="235" s="503" customFormat="1" ht="12.75" customHeight="1" x14ac:dyDescent="0.25"/>
    <row r="236" s="503" customFormat="1" ht="12.75" customHeight="1" x14ac:dyDescent="0.25"/>
    <row r="237" s="503" customFormat="1" ht="12.75" customHeight="1" x14ac:dyDescent="0.25"/>
    <row r="238" s="503" customFormat="1" ht="12.75" customHeight="1" x14ac:dyDescent="0.25"/>
    <row r="239" s="503" customFormat="1" ht="12.75" customHeight="1" x14ac:dyDescent="0.25"/>
    <row r="240" s="503" customFormat="1" ht="12.75" customHeight="1" x14ac:dyDescent="0.25"/>
    <row r="241" s="503" customFormat="1" ht="12.75" customHeight="1" x14ac:dyDescent="0.25"/>
    <row r="242" s="503" customFormat="1" ht="12.75" customHeight="1" x14ac:dyDescent="0.25"/>
    <row r="243" s="503" customFormat="1" ht="12.75" customHeight="1" x14ac:dyDescent="0.25"/>
    <row r="244" s="503" customFormat="1" ht="12.75" customHeight="1" x14ac:dyDescent="0.25"/>
    <row r="245" s="503" customFormat="1" ht="12.75" customHeight="1" x14ac:dyDescent="0.25"/>
    <row r="246" s="503" customFormat="1" ht="12.75" customHeight="1" x14ac:dyDescent="0.25"/>
    <row r="247" s="503" customFormat="1" ht="12.75" customHeight="1" x14ac:dyDescent="0.25"/>
    <row r="248" s="503" customFormat="1" ht="12.75" customHeight="1" x14ac:dyDescent="0.25"/>
    <row r="249" s="503" customFormat="1" ht="12.75" customHeight="1" x14ac:dyDescent="0.25"/>
    <row r="250" s="503" customFormat="1" ht="12.75" customHeight="1" x14ac:dyDescent="0.25"/>
    <row r="251" s="503" customFormat="1" ht="12.75" customHeight="1" x14ac:dyDescent="0.25"/>
    <row r="252" s="503" customFormat="1" ht="12.75" customHeight="1" x14ac:dyDescent="0.25"/>
    <row r="253" s="503" customFormat="1" ht="12.75" customHeight="1" x14ac:dyDescent="0.25"/>
    <row r="254" s="503" customFormat="1" ht="12.75" customHeight="1" x14ac:dyDescent="0.25"/>
    <row r="255" s="503" customFormat="1" ht="12.75" customHeight="1" x14ac:dyDescent="0.25"/>
    <row r="256" s="503" customFormat="1" ht="12.75" customHeight="1" x14ac:dyDescent="0.25"/>
    <row r="257" s="503" customFormat="1" ht="12.75" customHeight="1" x14ac:dyDescent="0.25"/>
    <row r="258" s="503" customFormat="1" ht="12.75" customHeight="1" x14ac:dyDescent="0.25"/>
    <row r="259" s="503" customFormat="1" ht="12.75" customHeight="1" x14ac:dyDescent="0.25"/>
    <row r="260" s="503" customFormat="1" ht="12.75" customHeight="1" x14ac:dyDescent="0.25"/>
    <row r="261" s="503" customFormat="1" ht="12.75" customHeight="1" x14ac:dyDescent="0.25"/>
    <row r="262" s="503" customFormat="1" ht="12.75" customHeight="1" x14ac:dyDescent="0.25"/>
    <row r="263" s="503" customFormat="1" ht="12.75" customHeight="1" x14ac:dyDescent="0.25"/>
    <row r="264" s="503" customFormat="1" ht="12.75" customHeight="1" x14ac:dyDescent="0.25"/>
    <row r="265" s="503" customFormat="1" ht="12.75" customHeight="1" x14ac:dyDescent="0.25"/>
    <row r="266" s="503" customFormat="1" ht="12.75" customHeight="1" x14ac:dyDescent="0.25"/>
    <row r="267" s="503" customFormat="1" ht="12.75" customHeight="1" x14ac:dyDescent="0.25"/>
    <row r="268" s="503" customFormat="1" ht="12.75" customHeight="1" x14ac:dyDescent="0.25"/>
    <row r="269" s="503" customFormat="1" ht="12.75" customHeight="1" x14ac:dyDescent="0.25"/>
    <row r="270" s="503" customFormat="1" ht="12.75" customHeight="1" x14ac:dyDescent="0.25"/>
    <row r="271" s="503" customFormat="1" ht="12.75" customHeight="1" x14ac:dyDescent="0.25"/>
    <row r="272" s="503" customFormat="1" ht="12.75" customHeight="1" x14ac:dyDescent="0.25"/>
    <row r="273" s="503" customFormat="1" ht="12.75" customHeight="1" x14ac:dyDescent="0.25"/>
    <row r="274" s="503" customFormat="1" ht="12.75" customHeight="1" x14ac:dyDescent="0.25"/>
    <row r="275" s="503" customFormat="1" ht="12.75" customHeight="1" x14ac:dyDescent="0.25"/>
    <row r="276" s="503" customFormat="1" ht="12.75" customHeight="1" x14ac:dyDescent="0.25"/>
    <row r="277" s="503" customFormat="1" ht="12.75" customHeight="1" x14ac:dyDescent="0.25"/>
    <row r="278" s="503" customFormat="1" ht="12.75" customHeight="1" x14ac:dyDescent="0.25"/>
    <row r="279" s="503" customFormat="1" ht="12.75" customHeight="1" x14ac:dyDescent="0.25"/>
    <row r="280" s="503" customFormat="1" ht="12.75" customHeight="1" x14ac:dyDescent="0.25"/>
    <row r="281" s="503" customFormat="1" ht="12.75" customHeight="1" x14ac:dyDescent="0.25"/>
    <row r="282" s="503" customFormat="1" ht="12.75" customHeight="1" x14ac:dyDescent="0.25"/>
    <row r="283" s="503" customFormat="1" ht="12.75" customHeight="1" x14ac:dyDescent="0.25"/>
    <row r="284" s="503" customFormat="1" ht="12.75" customHeight="1" x14ac:dyDescent="0.25"/>
    <row r="285" s="503" customFormat="1" ht="12.75" customHeight="1" x14ac:dyDescent="0.25"/>
    <row r="286" s="503" customFormat="1" ht="12.75" customHeight="1" x14ac:dyDescent="0.25"/>
    <row r="287" s="503" customFormat="1" ht="12.75" customHeight="1" x14ac:dyDescent="0.25"/>
    <row r="288" s="503" customFormat="1" ht="12.75" customHeight="1" x14ac:dyDescent="0.25"/>
    <row r="289" s="503" customFormat="1" ht="12.75" customHeight="1" x14ac:dyDescent="0.25"/>
    <row r="290" s="503" customFormat="1" ht="12.75" customHeight="1" x14ac:dyDescent="0.25"/>
    <row r="291" s="503" customFormat="1" ht="12.75" customHeight="1" x14ac:dyDescent="0.25"/>
    <row r="292" s="503" customFormat="1" ht="12.75" customHeight="1" x14ac:dyDescent="0.25"/>
    <row r="293" s="503" customFormat="1" ht="12.75" customHeight="1" x14ac:dyDescent="0.25"/>
    <row r="294" s="503" customFormat="1" ht="12.75" customHeight="1" x14ac:dyDescent="0.25"/>
    <row r="295" s="503" customFormat="1" ht="12.75" customHeight="1" x14ac:dyDescent="0.25"/>
    <row r="296" s="503" customFormat="1" ht="12.75" customHeight="1" x14ac:dyDescent="0.25"/>
    <row r="297" s="503" customFormat="1" ht="12.75" customHeight="1" x14ac:dyDescent="0.25"/>
    <row r="298" s="503" customFormat="1" ht="12.75" customHeight="1" x14ac:dyDescent="0.25"/>
    <row r="299" s="503" customFormat="1" ht="12.75" customHeight="1" x14ac:dyDescent="0.25"/>
    <row r="300" s="503" customFormat="1" ht="12.75" customHeight="1" x14ac:dyDescent="0.25"/>
    <row r="301" s="503" customFormat="1" ht="12.75" customHeight="1" x14ac:dyDescent="0.25"/>
    <row r="302" s="503" customFormat="1" ht="12.75" customHeight="1" x14ac:dyDescent="0.25"/>
    <row r="303" s="503" customFormat="1" ht="12.75" customHeight="1" x14ac:dyDescent="0.25"/>
    <row r="304" s="503" customFormat="1" ht="12.75" customHeight="1" x14ac:dyDescent="0.25"/>
    <row r="305" s="503" customFormat="1" ht="12.75" customHeight="1" x14ac:dyDescent="0.25"/>
    <row r="306" s="503" customFormat="1" ht="12.75" customHeight="1" x14ac:dyDescent="0.25"/>
    <row r="307" s="503" customFormat="1" ht="12.75" customHeight="1" x14ac:dyDescent="0.25"/>
    <row r="308" s="503" customFormat="1" ht="12.75" customHeight="1" x14ac:dyDescent="0.25"/>
    <row r="309" s="503" customFormat="1" ht="12.75" customHeight="1" x14ac:dyDescent="0.25"/>
    <row r="310" s="503" customFormat="1" ht="12.75" customHeight="1" x14ac:dyDescent="0.25"/>
    <row r="311" s="503" customFormat="1" ht="12.75" customHeight="1" x14ac:dyDescent="0.25"/>
    <row r="312" s="503" customFormat="1" ht="12.75" customHeight="1" x14ac:dyDescent="0.25"/>
    <row r="313" s="503" customFormat="1" ht="12.75" customHeight="1" x14ac:dyDescent="0.25"/>
    <row r="314" s="503" customFormat="1" ht="12.75" customHeight="1" x14ac:dyDescent="0.25"/>
    <row r="315" s="503" customFormat="1" ht="12.75" customHeight="1" x14ac:dyDescent="0.25"/>
    <row r="316" s="503" customFormat="1" ht="12.75" customHeight="1" x14ac:dyDescent="0.25"/>
    <row r="317" s="503" customFormat="1" ht="12.75" customHeight="1" x14ac:dyDescent="0.25"/>
    <row r="318" s="503" customFormat="1" ht="12.75" customHeight="1" x14ac:dyDescent="0.25"/>
    <row r="319" s="503" customFormat="1" ht="12.75" customHeight="1" x14ac:dyDescent="0.25"/>
    <row r="320" s="503" customFormat="1" ht="12.75" customHeight="1" x14ac:dyDescent="0.25"/>
    <row r="321" s="503" customFormat="1" ht="12.75" customHeight="1" x14ac:dyDescent="0.25"/>
    <row r="322" s="503" customFormat="1" ht="12.75" customHeight="1" x14ac:dyDescent="0.25"/>
    <row r="323" s="503" customFormat="1" ht="12.75" customHeight="1" x14ac:dyDescent="0.25"/>
    <row r="324" s="503" customFormat="1" ht="12.75" customHeight="1" x14ac:dyDescent="0.25"/>
    <row r="325" s="503" customFormat="1" ht="12.75" customHeight="1" x14ac:dyDescent="0.25"/>
    <row r="326" s="503" customFormat="1" ht="12.75" customHeight="1" x14ac:dyDescent="0.25"/>
    <row r="327" s="503" customFormat="1" ht="12.75" customHeight="1" x14ac:dyDescent="0.25"/>
    <row r="328" s="503" customFormat="1" ht="12.75" customHeight="1" x14ac:dyDescent="0.25"/>
    <row r="329" s="503" customFormat="1" ht="12.75" customHeight="1" x14ac:dyDescent="0.25"/>
    <row r="330" s="503" customFormat="1" ht="12.75" customHeight="1" x14ac:dyDescent="0.25"/>
    <row r="331" s="503" customFormat="1" ht="12.75" customHeight="1" x14ac:dyDescent="0.25"/>
    <row r="332" s="503" customFormat="1" ht="12.75" customHeight="1" x14ac:dyDescent="0.25"/>
    <row r="333" s="503" customFormat="1" ht="12.75" customHeight="1" x14ac:dyDescent="0.25"/>
    <row r="334" s="503" customFormat="1" ht="12.75" customHeight="1" x14ac:dyDescent="0.25"/>
    <row r="335" s="503" customFormat="1" ht="12.75" customHeight="1" x14ac:dyDescent="0.25"/>
    <row r="336" s="503" customFormat="1" ht="12.75" customHeight="1" x14ac:dyDescent="0.25"/>
    <row r="337" s="503" customFormat="1" ht="12.75" customHeight="1" x14ac:dyDescent="0.25"/>
    <row r="338" s="503" customFormat="1" ht="12.75" customHeight="1" x14ac:dyDescent="0.25"/>
    <row r="339" s="503" customFormat="1" ht="12.75" customHeight="1" x14ac:dyDescent="0.25"/>
    <row r="340" s="503" customFormat="1" ht="12.75" customHeight="1" x14ac:dyDescent="0.25"/>
    <row r="341" s="503" customFormat="1" ht="12.75" customHeight="1" x14ac:dyDescent="0.25"/>
    <row r="342" s="503" customFormat="1" ht="12.75" customHeight="1" x14ac:dyDescent="0.25"/>
    <row r="343" s="503" customFormat="1" ht="12.75" customHeight="1" x14ac:dyDescent="0.25"/>
    <row r="344" s="503" customFormat="1" ht="12.75" customHeight="1" x14ac:dyDescent="0.25"/>
    <row r="345" s="503" customFormat="1" ht="12.75" customHeight="1" x14ac:dyDescent="0.25"/>
    <row r="346" s="503" customFormat="1" ht="12.75" customHeight="1" x14ac:dyDescent="0.25"/>
    <row r="347" s="503" customFormat="1" ht="12.75" customHeight="1" x14ac:dyDescent="0.25"/>
    <row r="348" s="503" customFormat="1" ht="12.75" customHeight="1" x14ac:dyDescent="0.25"/>
    <row r="349" s="503" customFormat="1" ht="12.75" customHeight="1" x14ac:dyDescent="0.25"/>
    <row r="350" s="503" customFormat="1" ht="12.75" customHeight="1" x14ac:dyDescent="0.25"/>
    <row r="351" s="503" customFormat="1" ht="12.75" customHeight="1" x14ac:dyDescent="0.25"/>
    <row r="352" s="503" customFormat="1" ht="12.75" customHeight="1" x14ac:dyDescent="0.25"/>
    <row r="353" s="503" customFormat="1" ht="12.75" customHeight="1" x14ac:dyDescent="0.25"/>
    <row r="354" s="503" customFormat="1" ht="12.75" customHeight="1" x14ac:dyDescent="0.25"/>
    <row r="355" s="503" customFormat="1" ht="12.75" customHeight="1" x14ac:dyDescent="0.25"/>
    <row r="356" s="503" customFormat="1" ht="12.75" customHeight="1" x14ac:dyDescent="0.25"/>
    <row r="357" s="503" customFormat="1" ht="12.75" customHeight="1" x14ac:dyDescent="0.25"/>
    <row r="358" s="503" customFormat="1" ht="12.75" customHeight="1" x14ac:dyDescent="0.25"/>
    <row r="359" s="503" customFormat="1" ht="12.75" customHeight="1" x14ac:dyDescent="0.25"/>
    <row r="360" s="503" customFormat="1" ht="12.75" customHeight="1" x14ac:dyDescent="0.25"/>
    <row r="361" s="503" customFormat="1" ht="12.75" customHeight="1" x14ac:dyDescent="0.25"/>
    <row r="362" s="503" customFormat="1" ht="12.75" customHeight="1" x14ac:dyDescent="0.25"/>
    <row r="363" s="503" customFormat="1" ht="12.75" customHeight="1" x14ac:dyDescent="0.25"/>
    <row r="364" s="503" customFormat="1" ht="12.75" customHeight="1" x14ac:dyDescent="0.25"/>
    <row r="365" s="503" customFormat="1" ht="12.75" customHeight="1" x14ac:dyDescent="0.25"/>
    <row r="366" s="503" customFormat="1" ht="12.75" customHeight="1" x14ac:dyDescent="0.25"/>
    <row r="367" s="503" customFormat="1" ht="12.75" customHeight="1" x14ac:dyDescent="0.25"/>
    <row r="368" s="503" customFormat="1" ht="12.75" customHeight="1" x14ac:dyDescent="0.25"/>
    <row r="369" s="503" customFormat="1" ht="12.75" customHeight="1" x14ac:dyDescent="0.25"/>
    <row r="370" s="503" customFormat="1" ht="12.75" customHeight="1" x14ac:dyDescent="0.25"/>
    <row r="371" s="503" customFormat="1" ht="12.75" customHeight="1" x14ac:dyDescent="0.25"/>
    <row r="372" s="503" customFormat="1" ht="12.75" customHeight="1" x14ac:dyDescent="0.25"/>
    <row r="373" s="503" customFormat="1" ht="12.75" customHeight="1" x14ac:dyDescent="0.25"/>
    <row r="374" s="503" customFormat="1" ht="12.75" customHeight="1" x14ac:dyDescent="0.25"/>
    <row r="375" s="503" customFormat="1" ht="12.75" customHeight="1" x14ac:dyDescent="0.25"/>
    <row r="376" s="503" customFormat="1" ht="12.75" customHeight="1" x14ac:dyDescent="0.25"/>
    <row r="377" s="503" customFormat="1" ht="12.75" customHeight="1" x14ac:dyDescent="0.25"/>
    <row r="378" s="503" customFormat="1" ht="12.75" customHeight="1" x14ac:dyDescent="0.25"/>
    <row r="379" s="503" customFormat="1" ht="12.75" customHeight="1" x14ac:dyDescent="0.25"/>
    <row r="380" s="503" customFormat="1" ht="12.75" customHeight="1" x14ac:dyDescent="0.25"/>
    <row r="381" s="503" customFormat="1" ht="12.75" customHeight="1" x14ac:dyDescent="0.25"/>
    <row r="382" s="503" customFormat="1" ht="12.75" customHeight="1" x14ac:dyDescent="0.25"/>
    <row r="383" s="503" customFormat="1" ht="12.75" customHeight="1" x14ac:dyDescent="0.25"/>
    <row r="384" s="503" customFormat="1" ht="12.75" customHeight="1" x14ac:dyDescent="0.25"/>
    <row r="385" s="503" customFormat="1" ht="12.75" customHeight="1" x14ac:dyDescent="0.25"/>
    <row r="386" s="503" customFormat="1" ht="12.75" customHeight="1" x14ac:dyDescent="0.25"/>
    <row r="387" s="503" customFormat="1" ht="12.75" customHeight="1" x14ac:dyDescent="0.25"/>
    <row r="388" s="503" customFormat="1" ht="12.75" customHeight="1" x14ac:dyDescent="0.25"/>
    <row r="389" s="503" customFormat="1" ht="12.75" customHeight="1" x14ac:dyDescent="0.25"/>
    <row r="390" s="503" customFormat="1" ht="12.75" customHeight="1" x14ac:dyDescent="0.25"/>
    <row r="391" s="503" customFormat="1" ht="12.75" customHeight="1" x14ac:dyDescent="0.25"/>
    <row r="392" s="503" customFormat="1" ht="12.75" customHeight="1" x14ac:dyDescent="0.25"/>
    <row r="393" s="503" customFormat="1" ht="12.75" customHeight="1" x14ac:dyDescent="0.25"/>
    <row r="394" s="503" customFormat="1" ht="12.75" customHeight="1" x14ac:dyDescent="0.25"/>
    <row r="395" s="503" customFormat="1" ht="12.75" customHeight="1" x14ac:dyDescent="0.25"/>
    <row r="396" s="503" customFormat="1" ht="12.75" customHeight="1" x14ac:dyDescent="0.25"/>
    <row r="397" s="503" customFormat="1" ht="12.75" customHeight="1" x14ac:dyDescent="0.25"/>
    <row r="398" s="503" customFormat="1" ht="12.75" customHeight="1" x14ac:dyDescent="0.25"/>
    <row r="399" s="503" customFormat="1" ht="12.75" customHeight="1" x14ac:dyDescent="0.25"/>
    <row r="400" s="503" customFormat="1" ht="12.75" customHeight="1" x14ac:dyDescent="0.25"/>
    <row r="401" s="503" customFormat="1" ht="12.75" customHeight="1" x14ac:dyDescent="0.25"/>
    <row r="402" s="503" customFormat="1" ht="12.75" customHeight="1" x14ac:dyDescent="0.25"/>
    <row r="403" s="503" customFormat="1" ht="12.75" customHeight="1" x14ac:dyDescent="0.25"/>
    <row r="404" s="503" customFormat="1" ht="12.75" customHeight="1" x14ac:dyDescent="0.25"/>
    <row r="405" s="503" customFormat="1" ht="12.75" customHeight="1" x14ac:dyDescent="0.25"/>
    <row r="406" s="503" customFormat="1" ht="12.75" customHeight="1" x14ac:dyDescent="0.25"/>
    <row r="407" s="503" customFormat="1" ht="12.75" customHeight="1" x14ac:dyDescent="0.25"/>
    <row r="408" s="503" customFormat="1" ht="12.75" customHeight="1" x14ac:dyDescent="0.25"/>
    <row r="409" s="503" customFormat="1" ht="12.75" customHeight="1" x14ac:dyDescent="0.25"/>
    <row r="410" s="503" customFormat="1" ht="12.75" customHeight="1" x14ac:dyDescent="0.25"/>
    <row r="411" s="503" customFormat="1" ht="12.75" customHeight="1" x14ac:dyDescent="0.25"/>
    <row r="412" s="503" customFormat="1" ht="12.75" customHeight="1" x14ac:dyDescent="0.25"/>
    <row r="413" s="503" customFormat="1" ht="12.75" customHeight="1" x14ac:dyDescent="0.25"/>
    <row r="414" s="503" customFormat="1" ht="12.75" customHeight="1" x14ac:dyDescent="0.25"/>
    <row r="415" s="503" customFormat="1" ht="12.75" customHeight="1" x14ac:dyDescent="0.25"/>
    <row r="416" s="503" customFormat="1" ht="12.75" customHeight="1" x14ac:dyDescent="0.25"/>
    <row r="417" s="503" customFormat="1" ht="12.75" customHeight="1" x14ac:dyDescent="0.25"/>
    <row r="418" s="503" customFormat="1" ht="12.75" customHeight="1" x14ac:dyDescent="0.25"/>
    <row r="419" s="503" customFormat="1" ht="12.75" customHeight="1" x14ac:dyDescent="0.25"/>
    <row r="420" s="503" customFormat="1" ht="12.75" customHeight="1" x14ac:dyDescent="0.25"/>
    <row r="421" s="503" customFormat="1" ht="12.75" customHeight="1" x14ac:dyDescent="0.25"/>
    <row r="422" s="503" customFormat="1" ht="12.75" customHeight="1" x14ac:dyDescent="0.25"/>
    <row r="423" s="503" customFormat="1" ht="12.75" customHeight="1" x14ac:dyDescent="0.25"/>
    <row r="424" s="503" customFormat="1" ht="12.75" customHeight="1" x14ac:dyDescent="0.25"/>
    <row r="425" s="503" customFormat="1" ht="12.75" customHeight="1" x14ac:dyDescent="0.25"/>
    <row r="426" s="503" customFormat="1" ht="12.75" customHeight="1" x14ac:dyDescent="0.25"/>
    <row r="427" s="503" customFormat="1" ht="12.75" customHeight="1" x14ac:dyDescent="0.25"/>
    <row r="428" s="503" customFormat="1" ht="12.75" customHeight="1" x14ac:dyDescent="0.25"/>
    <row r="429" s="503" customFormat="1" ht="12.75" customHeight="1" x14ac:dyDescent="0.25"/>
    <row r="430" s="503" customFormat="1" ht="12.75" customHeight="1" x14ac:dyDescent="0.25"/>
    <row r="431" s="503" customFormat="1" ht="12.75" customHeight="1" x14ac:dyDescent="0.25"/>
    <row r="432" s="503" customFormat="1" ht="12.75" customHeight="1" x14ac:dyDescent="0.25"/>
    <row r="433" s="503" customFormat="1" ht="12.75" customHeight="1" x14ac:dyDescent="0.25"/>
    <row r="434" s="503" customFormat="1" ht="12.75" customHeight="1" x14ac:dyDescent="0.25"/>
    <row r="435" s="503" customFormat="1" ht="12.75" customHeight="1" x14ac:dyDescent="0.25"/>
    <row r="436" s="503" customFormat="1" ht="12.75" customHeight="1" x14ac:dyDescent="0.25"/>
    <row r="437" s="503" customFormat="1" ht="12.75" customHeight="1" x14ac:dyDescent="0.25"/>
    <row r="438" s="503" customFormat="1" ht="12.75" customHeight="1" x14ac:dyDescent="0.25"/>
    <row r="439" s="503" customFormat="1" ht="12.75" customHeight="1" x14ac:dyDescent="0.25"/>
    <row r="440" s="503" customFormat="1" ht="12.75" customHeight="1" x14ac:dyDescent="0.25"/>
    <row r="441" s="503" customFormat="1" ht="12.75" customHeight="1" x14ac:dyDescent="0.25"/>
    <row r="442" s="503" customFormat="1" ht="12.75" customHeight="1" x14ac:dyDescent="0.25"/>
    <row r="443" s="503" customFormat="1" ht="12.75" customHeight="1" x14ac:dyDescent="0.25"/>
    <row r="444" s="503" customFormat="1" ht="12.75" customHeight="1" x14ac:dyDescent="0.25"/>
    <row r="445" s="503" customFormat="1" ht="12.75" customHeight="1" x14ac:dyDescent="0.25"/>
    <row r="446" s="503" customFormat="1" ht="12.75" customHeight="1" x14ac:dyDescent="0.25"/>
    <row r="447" s="503" customFormat="1" ht="12.75" customHeight="1" x14ac:dyDescent="0.25"/>
    <row r="448" s="503" customFormat="1" ht="12.75" customHeight="1" x14ac:dyDescent="0.25"/>
    <row r="449" s="503" customFormat="1" ht="12.75" customHeight="1" x14ac:dyDescent="0.25"/>
    <row r="450" s="503" customFormat="1" ht="12.75" customHeight="1" x14ac:dyDescent="0.25"/>
    <row r="451" s="503" customFormat="1" ht="12.75" customHeight="1" x14ac:dyDescent="0.25"/>
    <row r="452" s="503" customFormat="1" ht="12.75" customHeight="1" x14ac:dyDescent="0.25"/>
    <row r="453" s="503" customFormat="1" ht="12.75" customHeight="1" x14ac:dyDescent="0.25"/>
    <row r="454" s="503" customFormat="1" ht="12.75" customHeight="1" x14ac:dyDescent="0.25"/>
    <row r="455" s="503" customFormat="1" ht="12.75" customHeight="1" x14ac:dyDescent="0.25"/>
    <row r="456" s="503" customFormat="1" ht="12.75" customHeight="1" x14ac:dyDescent="0.25"/>
    <row r="457" s="503" customFormat="1" ht="12.75" customHeight="1" x14ac:dyDescent="0.25"/>
    <row r="458" s="503" customFormat="1" ht="12.75" customHeight="1" x14ac:dyDescent="0.25"/>
    <row r="459" s="503" customFormat="1" ht="12.75" customHeight="1" x14ac:dyDescent="0.25"/>
    <row r="460" s="503" customFormat="1" ht="12.75" customHeight="1" x14ac:dyDescent="0.25"/>
    <row r="461" s="503" customFormat="1" ht="12.75" customHeight="1" x14ac:dyDescent="0.25"/>
    <row r="462" s="503" customFormat="1" ht="12.75" customHeight="1" x14ac:dyDescent="0.25"/>
    <row r="463" s="503" customFormat="1" ht="12.75" customHeight="1" x14ac:dyDescent="0.25"/>
    <row r="464" s="503" customFormat="1" ht="12.75" customHeight="1" x14ac:dyDescent="0.25"/>
    <row r="465" s="503" customFormat="1" ht="12.75" customHeight="1" x14ac:dyDescent="0.25"/>
    <row r="466" s="503" customFormat="1" ht="12.75" customHeight="1" x14ac:dyDescent="0.25"/>
    <row r="467" s="503" customFormat="1" ht="12.75" customHeight="1" x14ac:dyDescent="0.25"/>
    <row r="468" s="503" customFormat="1" ht="12.75" customHeight="1" x14ac:dyDescent="0.25"/>
    <row r="469" s="503" customFormat="1" ht="12.75" customHeight="1" x14ac:dyDescent="0.25"/>
    <row r="470" s="503" customFormat="1" ht="12.75" customHeight="1" x14ac:dyDescent="0.25"/>
    <row r="471" s="503" customFormat="1" ht="12.75" customHeight="1" x14ac:dyDescent="0.25"/>
    <row r="472" s="503" customFormat="1" ht="12.75" customHeight="1" x14ac:dyDescent="0.25"/>
    <row r="473" s="503" customFormat="1" ht="12.75" customHeight="1" x14ac:dyDescent="0.25"/>
    <row r="474" s="503" customFormat="1" ht="12.75" customHeight="1" x14ac:dyDescent="0.25"/>
    <row r="475" s="503" customFormat="1" ht="12.75" customHeight="1" x14ac:dyDescent="0.25"/>
    <row r="476" s="503" customFormat="1" ht="12.75" customHeight="1" x14ac:dyDescent="0.25"/>
    <row r="477" s="503" customFormat="1" ht="12.75" customHeight="1" x14ac:dyDescent="0.25"/>
    <row r="478" s="503" customFormat="1" ht="12.75" customHeight="1" x14ac:dyDescent="0.25"/>
    <row r="479" s="503" customFormat="1" ht="12.75" customHeight="1" x14ac:dyDescent="0.25"/>
    <row r="480" s="503" customFormat="1" ht="12.75" customHeight="1" x14ac:dyDescent="0.25"/>
    <row r="481" s="503" customFormat="1" ht="12.75" customHeight="1" x14ac:dyDescent="0.25"/>
    <row r="482" s="503" customFormat="1" ht="12.75" customHeight="1" x14ac:dyDescent="0.25"/>
    <row r="483" s="503" customFormat="1" ht="12.75" customHeight="1" x14ac:dyDescent="0.25"/>
    <row r="484" s="503" customFormat="1" ht="12.75" customHeight="1" x14ac:dyDescent="0.25"/>
    <row r="485" s="503" customFormat="1" ht="12.75" customHeight="1" x14ac:dyDescent="0.25"/>
    <row r="486" s="503" customFormat="1" ht="12.75" customHeight="1" x14ac:dyDescent="0.25"/>
    <row r="487" s="503" customFormat="1" ht="12.75" customHeight="1" x14ac:dyDescent="0.25"/>
    <row r="488" s="503" customFormat="1" ht="12.75" customHeight="1" x14ac:dyDescent="0.25"/>
    <row r="489" s="503" customFormat="1" ht="12.75" customHeight="1" x14ac:dyDescent="0.25"/>
    <row r="490" s="503" customFormat="1" ht="12.75" customHeight="1" x14ac:dyDescent="0.25"/>
    <row r="491" s="503" customFormat="1" ht="12.75" customHeight="1" x14ac:dyDescent="0.25"/>
    <row r="492" s="503" customFormat="1" ht="12.75" customHeight="1" x14ac:dyDescent="0.25"/>
    <row r="493" s="503" customFormat="1" ht="12.75" customHeight="1" x14ac:dyDescent="0.25"/>
    <row r="494" s="503" customFormat="1" ht="12.75" customHeight="1" x14ac:dyDescent="0.25"/>
    <row r="495" s="503" customFormat="1" ht="12.75" customHeight="1" x14ac:dyDescent="0.25"/>
    <row r="496" s="503" customFormat="1" ht="12.75" customHeight="1" x14ac:dyDescent="0.25"/>
    <row r="497" s="503" customFormat="1" ht="12.75" customHeight="1" x14ac:dyDescent="0.25"/>
    <row r="498" s="503" customFormat="1" ht="12.75" customHeight="1" x14ac:dyDescent="0.25"/>
    <row r="499" s="503" customFormat="1" ht="12.75" customHeight="1" x14ac:dyDescent="0.25"/>
    <row r="500" s="503" customFormat="1" ht="12.75" customHeight="1" x14ac:dyDescent="0.25"/>
    <row r="501" s="503" customFormat="1" ht="12.75" customHeight="1" x14ac:dyDescent="0.25"/>
    <row r="502" s="503" customFormat="1" ht="12.75" customHeight="1" x14ac:dyDescent="0.25"/>
    <row r="503" s="503" customFormat="1" ht="12.75" customHeight="1" x14ac:dyDescent="0.25"/>
    <row r="504" s="503" customFormat="1" ht="12.75" customHeight="1" x14ac:dyDescent="0.25"/>
    <row r="505" s="503" customFormat="1" ht="12.75" customHeight="1" x14ac:dyDescent="0.25"/>
    <row r="506" s="503" customFormat="1" ht="12.75" customHeight="1" x14ac:dyDescent="0.25"/>
    <row r="507" s="503" customFormat="1" ht="12.75" customHeight="1" x14ac:dyDescent="0.25"/>
    <row r="508" s="503" customFormat="1" ht="12.75" customHeight="1" x14ac:dyDescent="0.25"/>
    <row r="509" s="503" customFormat="1" ht="12.75" customHeight="1" x14ac:dyDescent="0.25"/>
    <row r="510" s="503" customFormat="1" ht="12.75" customHeight="1" x14ac:dyDescent="0.25"/>
    <row r="511" s="503" customFormat="1" ht="12.75" customHeight="1" x14ac:dyDescent="0.25"/>
    <row r="512" s="503" customFormat="1" ht="12.75" customHeight="1" x14ac:dyDescent="0.25"/>
    <row r="513" s="503" customFormat="1" ht="12.75" customHeight="1" x14ac:dyDescent="0.25"/>
    <row r="514" s="503" customFormat="1" ht="12.75" customHeight="1" x14ac:dyDescent="0.25"/>
    <row r="515" s="503" customFormat="1" ht="12.75" customHeight="1" x14ac:dyDescent="0.25"/>
    <row r="516" s="503" customFormat="1" ht="12.75" customHeight="1" x14ac:dyDescent="0.25"/>
    <row r="517" s="503" customFormat="1" ht="12.75" customHeight="1" x14ac:dyDescent="0.25"/>
    <row r="518" s="503" customFormat="1" ht="12.75" customHeight="1" x14ac:dyDescent="0.25"/>
    <row r="519" s="503" customFormat="1" ht="12.75" customHeight="1" x14ac:dyDescent="0.25"/>
    <row r="520" s="503" customFormat="1" ht="12.75" customHeight="1" x14ac:dyDescent="0.25"/>
    <row r="521" s="503" customFormat="1" ht="12.75" customHeight="1" x14ac:dyDescent="0.25"/>
    <row r="522" s="503" customFormat="1" ht="12.75" customHeight="1" x14ac:dyDescent="0.25"/>
    <row r="523" s="503" customFormat="1" ht="12.75" customHeight="1" x14ac:dyDescent="0.25"/>
    <row r="524" s="503" customFormat="1" ht="12.75" customHeight="1" x14ac:dyDescent="0.25"/>
    <row r="525" s="503" customFormat="1" ht="12.75" customHeight="1" x14ac:dyDescent="0.25"/>
    <row r="526" s="503" customFormat="1" ht="12.75" customHeight="1" x14ac:dyDescent="0.25"/>
    <row r="527" s="503" customFormat="1" ht="12.75" customHeight="1" x14ac:dyDescent="0.25"/>
    <row r="528" s="503" customFormat="1" ht="12.75" customHeight="1" x14ac:dyDescent="0.25"/>
    <row r="529" s="503" customFormat="1" ht="12.75" customHeight="1" x14ac:dyDescent="0.25"/>
    <row r="530" s="503" customFormat="1" ht="12.75" customHeight="1" x14ac:dyDescent="0.25"/>
    <row r="531" s="503" customFormat="1" ht="12.75" customHeight="1" x14ac:dyDescent="0.25"/>
    <row r="532" s="503" customFormat="1" ht="12.75" customHeight="1" x14ac:dyDescent="0.25"/>
    <row r="533" s="503" customFormat="1" ht="12.75" customHeight="1" x14ac:dyDescent="0.25"/>
    <row r="534" s="503" customFormat="1" ht="12.75" customHeight="1" x14ac:dyDescent="0.25"/>
    <row r="535" s="503" customFormat="1" ht="12.75" customHeight="1" x14ac:dyDescent="0.25"/>
    <row r="536" s="503" customFormat="1" ht="12.75" customHeight="1" x14ac:dyDescent="0.25"/>
    <row r="537" s="503" customFormat="1" ht="12.75" customHeight="1" x14ac:dyDescent="0.25"/>
    <row r="538" s="503" customFormat="1" ht="12.75" customHeight="1" x14ac:dyDescent="0.25"/>
    <row r="539" s="503" customFormat="1" ht="12.75" customHeight="1" x14ac:dyDescent="0.25"/>
    <row r="540" s="503" customFormat="1" ht="12.75" customHeight="1" x14ac:dyDescent="0.25"/>
    <row r="541" s="503" customFormat="1" ht="12.75" customHeight="1" x14ac:dyDescent="0.25"/>
    <row r="542" s="503" customFormat="1" ht="12.75" customHeight="1" x14ac:dyDescent="0.25"/>
    <row r="543" s="503" customFormat="1" ht="12.75" customHeight="1" x14ac:dyDescent="0.25"/>
    <row r="544" s="503" customFormat="1" ht="12.75" customHeight="1" x14ac:dyDescent="0.25"/>
    <row r="545" s="503" customFormat="1" ht="12.75" customHeight="1" x14ac:dyDescent="0.25"/>
    <row r="546" s="503" customFormat="1" ht="12.75" customHeight="1" x14ac:dyDescent="0.25"/>
    <row r="547" s="503" customFormat="1" ht="12.75" customHeight="1" x14ac:dyDescent="0.25"/>
    <row r="548" s="503" customFormat="1" ht="12.75" customHeight="1" x14ac:dyDescent="0.25"/>
    <row r="549" s="503" customFormat="1" ht="12.75" customHeight="1" x14ac:dyDescent="0.25"/>
    <row r="550" s="503" customFormat="1" ht="12.75" customHeight="1" x14ac:dyDescent="0.25"/>
    <row r="551" s="503" customFormat="1" ht="12.75" customHeight="1" x14ac:dyDescent="0.25"/>
    <row r="552" s="503" customFormat="1" ht="12.75" customHeight="1" x14ac:dyDescent="0.25"/>
    <row r="553" s="503" customFormat="1" ht="12.75" customHeight="1" x14ac:dyDescent="0.25"/>
    <row r="554" s="503" customFormat="1" ht="12.75" customHeight="1" x14ac:dyDescent="0.25"/>
    <row r="555" s="503" customFormat="1" ht="12.75" customHeight="1" x14ac:dyDescent="0.25"/>
    <row r="556" s="503" customFormat="1" ht="12.75" customHeight="1" x14ac:dyDescent="0.25"/>
    <row r="557" s="503" customFormat="1" ht="12.75" customHeight="1" x14ac:dyDescent="0.25"/>
    <row r="558" s="503" customFormat="1" ht="12.75" customHeight="1" x14ac:dyDescent="0.25"/>
    <row r="559" s="503" customFormat="1" ht="12.75" customHeight="1" x14ac:dyDescent="0.25"/>
    <row r="560" s="503" customFormat="1" ht="12.75" customHeight="1" x14ac:dyDescent="0.25"/>
    <row r="561" s="503" customFormat="1" ht="12.75" customHeight="1" x14ac:dyDescent="0.25"/>
    <row r="562" s="503" customFormat="1" ht="12.75" customHeight="1" x14ac:dyDescent="0.25"/>
    <row r="563" s="503" customFormat="1" ht="12.75" customHeight="1" x14ac:dyDescent="0.25"/>
    <row r="564" s="503" customFormat="1" ht="12.75" customHeight="1" x14ac:dyDescent="0.25"/>
    <row r="565" s="503" customFormat="1" ht="12.75" customHeight="1" x14ac:dyDescent="0.25"/>
    <row r="566" s="503" customFormat="1" ht="12.75" customHeight="1" x14ac:dyDescent="0.25"/>
    <row r="567" s="503" customFormat="1" ht="12.75" customHeight="1" x14ac:dyDescent="0.25"/>
    <row r="568" s="503" customFormat="1" ht="12.75" customHeight="1" x14ac:dyDescent="0.25"/>
    <row r="569" s="503" customFormat="1" ht="12.75" customHeight="1" x14ac:dyDescent="0.25"/>
    <row r="570" s="503" customFormat="1" ht="12.75" customHeight="1" x14ac:dyDescent="0.25"/>
    <row r="571" s="503" customFormat="1" ht="12.75" customHeight="1" x14ac:dyDescent="0.25"/>
    <row r="572" s="503" customFormat="1" ht="12.75" customHeight="1" x14ac:dyDescent="0.25"/>
    <row r="573" s="503" customFormat="1" ht="12.75" customHeight="1" x14ac:dyDescent="0.25"/>
    <row r="574" s="503" customFormat="1" ht="12.75" customHeight="1" x14ac:dyDescent="0.25"/>
    <row r="575" s="503" customFormat="1" ht="12.75" customHeight="1" x14ac:dyDescent="0.25"/>
    <row r="576" s="503" customFormat="1" ht="12.75" customHeight="1" x14ac:dyDescent="0.25"/>
    <row r="577" s="503" customFormat="1" ht="12.75" customHeight="1" x14ac:dyDescent="0.25"/>
    <row r="578" s="503" customFormat="1" ht="12.75" customHeight="1" x14ac:dyDescent="0.25"/>
    <row r="579" s="503" customFormat="1" ht="12.75" customHeight="1" x14ac:dyDescent="0.25"/>
    <row r="580" s="503" customFormat="1" ht="12.75" customHeight="1" x14ac:dyDescent="0.25"/>
    <row r="581" s="503" customFormat="1" ht="12.75" customHeight="1" x14ac:dyDescent="0.25"/>
    <row r="582" s="503" customFormat="1" ht="12.75" customHeight="1" x14ac:dyDescent="0.25"/>
    <row r="583" s="503" customFormat="1" ht="12.75" customHeight="1" x14ac:dyDescent="0.25"/>
    <row r="584" s="503" customFormat="1" ht="12.75" customHeight="1" x14ac:dyDescent="0.25"/>
    <row r="585" s="503" customFormat="1" ht="12.75" customHeight="1" x14ac:dyDescent="0.25"/>
    <row r="586" s="503" customFormat="1" ht="12.75" customHeight="1" x14ac:dyDescent="0.25"/>
    <row r="587" s="503" customFormat="1" ht="12.75" customHeight="1" x14ac:dyDescent="0.25"/>
    <row r="588" s="503" customFormat="1" ht="12.75" customHeight="1" x14ac:dyDescent="0.25"/>
    <row r="589" s="503" customFormat="1" ht="12.75" customHeight="1" x14ac:dyDescent="0.25"/>
    <row r="590" s="503" customFormat="1" ht="12.75" customHeight="1" x14ac:dyDescent="0.25"/>
    <row r="591" s="503" customFormat="1" ht="12.75" customHeight="1" x14ac:dyDescent="0.25"/>
    <row r="592" s="503" customFormat="1" ht="12.75" customHeight="1" x14ac:dyDescent="0.25"/>
    <row r="593" s="503" customFormat="1" ht="12.75" customHeight="1" x14ac:dyDescent="0.25"/>
    <row r="594" s="503" customFormat="1" ht="12.75" customHeight="1" x14ac:dyDescent="0.25"/>
    <row r="595" s="503" customFormat="1" ht="12.75" customHeight="1" x14ac:dyDescent="0.25"/>
    <row r="596" s="503" customFormat="1" ht="12.75" customHeight="1" x14ac:dyDescent="0.25"/>
    <row r="597" s="503" customFormat="1" ht="12.75" customHeight="1" x14ac:dyDescent="0.25"/>
    <row r="598" s="503" customFormat="1" ht="12.75" customHeight="1" x14ac:dyDescent="0.25"/>
    <row r="599" s="503" customFormat="1" ht="12.75" customHeight="1" x14ac:dyDescent="0.25"/>
    <row r="600" s="503" customFormat="1" ht="12.75" customHeight="1" x14ac:dyDescent="0.25"/>
    <row r="601" s="503" customFormat="1" ht="12.75" customHeight="1" x14ac:dyDescent="0.25"/>
    <row r="602" s="503" customFormat="1" ht="12.75" customHeight="1" x14ac:dyDescent="0.25"/>
    <row r="603" s="503" customFormat="1" ht="12.75" customHeight="1" x14ac:dyDescent="0.25"/>
    <row r="604" s="503" customFormat="1" ht="12.75" customHeight="1" x14ac:dyDescent="0.25"/>
    <row r="605" s="503" customFormat="1" ht="12.75" customHeight="1" x14ac:dyDescent="0.25"/>
    <row r="606" s="503" customFormat="1" ht="12.75" customHeight="1" x14ac:dyDescent="0.25"/>
    <row r="607" s="503" customFormat="1" ht="12.75" customHeight="1" x14ac:dyDescent="0.25"/>
    <row r="608" s="503" customFormat="1" ht="12.75" customHeight="1" x14ac:dyDescent="0.25"/>
    <row r="609" s="503" customFormat="1" ht="12.75" customHeight="1" x14ac:dyDescent="0.25"/>
    <row r="610" s="503" customFormat="1" ht="12.75" customHeight="1" x14ac:dyDescent="0.25"/>
    <row r="611" s="503" customFormat="1" ht="12.75" customHeight="1" x14ac:dyDescent="0.25"/>
    <row r="612" s="503" customFormat="1" ht="12.75" customHeight="1" x14ac:dyDescent="0.25"/>
    <row r="613" s="503" customFormat="1" ht="12.75" customHeight="1" x14ac:dyDescent="0.25"/>
    <row r="614" s="503" customFormat="1" ht="12.75" customHeight="1" x14ac:dyDescent="0.25"/>
    <row r="615" s="503" customFormat="1" ht="12.75" customHeight="1" x14ac:dyDescent="0.25"/>
    <row r="616" s="503" customFormat="1" ht="12.75" customHeight="1" x14ac:dyDescent="0.25"/>
    <row r="617" s="503" customFormat="1" ht="12.75" customHeight="1" x14ac:dyDescent="0.25"/>
    <row r="618" s="503" customFormat="1" ht="12.75" customHeight="1" x14ac:dyDescent="0.25"/>
    <row r="619" s="503" customFormat="1" ht="12.75" customHeight="1" x14ac:dyDescent="0.25"/>
    <row r="620" s="503" customFormat="1" ht="12.75" customHeight="1" x14ac:dyDescent="0.25"/>
    <row r="621" s="503" customFormat="1" ht="12.75" customHeight="1" x14ac:dyDescent="0.25"/>
    <row r="622" s="503" customFormat="1" ht="12.75" customHeight="1" x14ac:dyDescent="0.25"/>
    <row r="623" s="503" customFormat="1" ht="12.75" customHeight="1" x14ac:dyDescent="0.25"/>
    <row r="624" s="503" customFormat="1" ht="12.75" customHeight="1" x14ac:dyDescent="0.25"/>
    <row r="625" s="503" customFormat="1" ht="12.75" customHeight="1" x14ac:dyDescent="0.25"/>
    <row r="626" s="503" customFormat="1" ht="12.75" customHeight="1" x14ac:dyDescent="0.25"/>
    <row r="627" s="503" customFormat="1" ht="12.75" customHeight="1" x14ac:dyDescent="0.25"/>
    <row r="628" s="503" customFormat="1" ht="12.75" customHeight="1" x14ac:dyDescent="0.25"/>
    <row r="629" s="503" customFormat="1" ht="12.75" customHeight="1" x14ac:dyDescent="0.25"/>
    <row r="630" s="503" customFormat="1" ht="12.75" customHeight="1" x14ac:dyDescent="0.25"/>
    <row r="631" s="503" customFormat="1" ht="12.75" customHeight="1" x14ac:dyDescent="0.25"/>
    <row r="632" s="503" customFormat="1" ht="12.75" customHeight="1" x14ac:dyDescent="0.25"/>
    <row r="633" s="503" customFormat="1" ht="12.75" customHeight="1" x14ac:dyDescent="0.25"/>
    <row r="634" s="503" customFormat="1" ht="12.75" customHeight="1" x14ac:dyDescent="0.25"/>
    <row r="635" s="503" customFormat="1" ht="12.75" customHeight="1" x14ac:dyDescent="0.25"/>
    <row r="636" s="503" customFormat="1" ht="12.75" customHeight="1" x14ac:dyDescent="0.25"/>
    <row r="637" s="503" customFormat="1" ht="12.75" customHeight="1" x14ac:dyDescent="0.25"/>
    <row r="638" s="503" customFormat="1" ht="12.75" customHeight="1" x14ac:dyDescent="0.25"/>
    <row r="639" s="503" customFormat="1" ht="12.75" customHeight="1" x14ac:dyDescent="0.25"/>
    <row r="640" s="503" customFormat="1" ht="12.75" customHeight="1" x14ac:dyDescent="0.25"/>
    <row r="641" s="503" customFormat="1" ht="12.75" customHeight="1" x14ac:dyDescent="0.25"/>
    <row r="642" s="503" customFormat="1" ht="12.75" customHeight="1" x14ac:dyDescent="0.25"/>
    <row r="643" s="503" customFormat="1" ht="12.75" customHeight="1" x14ac:dyDescent="0.25"/>
    <row r="644" s="503" customFormat="1" ht="12.75" customHeight="1" x14ac:dyDescent="0.25"/>
    <row r="645" s="503" customFormat="1" ht="12.75" customHeight="1" x14ac:dyDescent="0.25"/>
    <row r="646" s="503" customFormat="1" ht="12.75" customHeight="1" x14ac:dyDescent="0.25"/>
    <row r="647" s="503" customFormat="1" ht="12.75" customHeight="1" x14ac:dyDescent="0.25"/>
    <row r="648" s="503" customFormat="1" ht="12.75" customHeight="1" x14ac:dyDescent="0.25"/>
    <row r="649" s="503" customFormat="1" ht="12.75" customHeight="1" x14ac:dyDescent="0.25"/>
    <row r="650" s="503" customFormat="1" ht="12.75" customHeight="1" x14ac:dyDescent="0.25"/>
    <row r="651" s="503" customFormat="1" ht="12.75" customHeight="1" x14ac:dyDescent="0.25"/>
    <row r="652" s="503" customFormat="1" ht="12.75" customHeight="1" x14ac:dyDescent="0.25"/>
    <row r="653" s="503" customFormat="1" ht="12.75" customHeight="1" x14ac:dyDescent="0.25"/>
    <row r="654" s="503" customFormat="1" ht="12.75" customHeight="1" x14ac:dyDescent="0.25"/>
    <row r="655" s="503" customFormat="1" ht="12.75" customHeight="1" x14ac:dyDescent="0.25"/>
    <row r="656" s="503" customFormat="1" ht="12.75" customHeight="1" x14ac:dyDescent="0.25"/>
    <row r="657" s="503" customFormat="1" ht="12.75" customHeight="1" x14ac:dyDescent="0.25"/>
    <row r="658" s="503" customFormat="1" ht="12.75" customHeight="1" x14ac:dyDescent="0.25"/>
    <row r="659" s="503" customFormat="1" ht="12.75" customHeight="1" x14ac:dyDescent="0.25"/>
    <row r="660" s="503" customFormat="1" ht="12.75" customHeight="1" x14ac:dyDescent="0.25"/>
    <row r="661" s="503" customFormat="1" ht="12.75" customHeight="1" x14ac:dyDescent="0.25"/>
    <row r="662" s="503" customFormat="1" ht="12.75" customHeight="1" x14ac:dyDescent="0.25"/>
    <row r="663" s="503" customFormat="1" ht="12.75" customHeight="1" x14ac:dyDescent="0.25"/>
    <row r="664" s="503" customFormat="1" ht="12.75" customHeight="1" x14ac:dyDescent="0.25"/>
    <row r="665" s="503" customFormat="1" ht="12.75" customHeight="1" x14ac:dyDescent="0.25"/>
    <row r="666" s="503" customFormat="1" ht="12.75" customHeight="1" x14ac:dyDescent="0.25"/>
    <row r="667" s="503" customFormat="1" ht="12.75" customHeight="1" x14ac:dyDescent="0.25"/>
    <row r="668" s="503" customFormat="1" ht="12.75" customHeight="1" x14ac:dyDescent="0.25"/>
    <row r="669" s="503" customFormat="1" ht="12.75" customHeight="1" x14ac:dyDescent="0.25"/>
    <row r="670" s="503" customFormat="1" ht="12.75" customHeight="1" x14ac:dyDescent="0.25"/>
    <row r="671" s="503" customFormat="1" ht="12.75" customHeight="1" x14ac:dyDescent="0.25"/>
    <row r="672" s="503" customFormat="1" ht="12.75" customHeight="1" x14ac:dyDescent="0.25"/>
    <row r="673" s="503" customFormat="1" ht="12.75" customHeight="1" x14ac:dyDescent="0.25"/>
    <row r="674" s="503" customFormat="1" ht="12.75" customHeight="1" x14ac:dyDescent="0.25"/>
    <row r="675" s="503" customFormat="1" ht="12.75" customHeight="1" x14ac:dyDescent="0.25"/>
    <row r="676" s="503" customFormat="1" ht="12.75" customHeight="1" x14ac:dyDescent="0.25"/>
    <row r="677" s="503" customFormat="1" ht="12.75" customHeight="1" x14ac:dyDescent="0.25"/>
    <row r="678" s="503" customFormat="1" ht="12.75" customHeight="1" x14ac:dyDescent="0.25"/>
    <row r="679" s="503" customFormat="1" ht="12.75" customHeight="1" x14ac:dyDescent="0.25"/>
    <row r="680" s="503" customFormat="1" ht="12.75" customHeight="1" x14ac:dyDescent="0.25"/>
    <row r="681" s="503" customFormat="1" ht="12.75" customHeight="1" x14ac:dyDescent="0.25"/>
    <row r="682" s="503" customFormat="1" ht="12.75" customHeight="1" x14ac:dyDescent="0.25"/>
    <row r="683" s="503" customFormat="1" ht="12.75" customHeight="1" x14ac:dyDescent="0.25"/>
    <row r="684" s="503" customFormat="1" ht="12.75" customHeight="1" x14ac:dyDescent="0.25"/>
    <row r="685" s="503" customFormat="1" ht="12.75" customHeight="1" x14ac:dyDescent="0.25"/>
    <row r="686" s="503" customFormat="1" ht="12.75" customHeight="1" x14ac:dyDescent="0.25"/>
    <row r="687" s="503" customFormat="1" ht="12.75" customHeight="1" x14ac:dyDescent="0.25"/>
    <row r="688" s="503" customFormat="1" ht="12.75" customHeight="1" x14ac:dyDescent="0.25"/>
    <row r="689" s="503" customFormat="1" ht="12.75" customHeight="1" x14ac:dyDescent="0.25"/>
    <row r="690" s="503" customFormat="1" ht="12.75" customHeight="1" x14ac:dyDescent="0.25"/>
    <row r="691" s="503" customFormat="1" ht="12.75" customHeight="1" x14ac:dyDescent="0.25"/>
    <row r="692" s="503" customFormat="1" ht="12.75" customHeight="1" x14ac:dyDescent="0.25"/>
    <row r="693" s="503" customFormat="1" ht="12.75" customHeight="1" x14ac:dyDescent="0.25"/>
    <row r="694" s="503" customFormat="1" ht="12.75" customHeight="1" x14ac:dyDescent="0.25"/>
    <row r="695" s="503" customFormat="1" ht="12.75" customHeight="1" x14ac:dyDescent="0.25"/>
    <row r="696" s="503" customFormat="1" ht="12.75" customHeight="1" x14ac:dyDescent="0.25"/>
    <row r="697" s="503" customFormat="1" ht="12.75" customHeight="1" x14ac:dyDescent="0.25"/>
    <row r="698" s="503" customFormat="1" ht="12.75" customHeight="1" x14ac:dyDescent="0.25"/>
    <row r="699" s="503" customFormat="1" ht="12.75" customHeight="1" x14ac:dyDescent="0.25"/>
    <row r="700" s="503" customFormat="1" ht="12.75" customHeight="1" x14ac:dyDescent="0.25"/>
    <row r="701" s="503" customFormat="1" ht="12.75" customHeight="1" x14ac:dyDescent="0.25"/>
    <row r="702" s="503" customFormat="1" ht="12.75" customHeight="1" x14ac:dyDescent="0.25"/>
    <row r="703" s="503" customFormat="1" ht="12.75" customHeight="1" x14ac:dyDescent="0.25"/>
    <row r="704" s="503" customFormat="1" ht="12.75" customHeight="1" x14ac:dyDescent="0.25"/>
    <row r="705" s="503" customFormat="1" ht="12.75" customHeight="1" x14ac:dyDescent="0.25"/>
    <row r="706" s="503" customFormat="1" ht="12.75" customHeight="1" x14ac:dyDescent="0.25"/>
    <row r="707" s="503" customFormat="1" ht="12.75" customHeight="1" x14ac:dyDescent="0.25"/>
    <row r="708" s="503" customFormat="1" ht="12.75" customHeight="1" x14ac:dyDescent="0.25"/>
    <row r="709" s="503" customFormat="1" ht="12.75" customHeight="1" x14ac:dyDescent="0.25"/>
    <row r="710" s="503" customFormat="1" ht="12.75" customHeight="1" x14ac:dyDescent="0.25"/>
    <row r="711" s="503" customFormat="1" ht="12.75" customHeight="1" x14ac:dyDescent="0.25"/>
    <row r="712" s="503" customFormat="1" ht="12.75" customHeight="1" x14ac:dyDescent="0.25"/>
    <row r="713" s="503" customFormat="1" ht="12.75" customHeight="1" x14ac:dyDescent="0.25"/>
    <row r="714" s="503" customFormat="1" ht="12.75" customHeight="1" x14ac:dyDescent="0.25"/>
    <row r="715" s="503" customFormat="1" ht="12.75" customHeight="1" x14ac:dyDescent="0.25"/>
    <row r="716" s="503" customFormat="1" ht="12.75" customHeight="1" x14ac:dyDescent="0.25"/>
    <row r="717" s="503" customFormat="1" ht="12.75" customHeight="1" x14ac:dyDescent="0.25"/>
    <row r="718" s="503" customFormat="1" ht="12.75" customHeight="1" x14ac:dyDescent="0.25"/>
    <row r="719" s="503" customFormat="1" ht="12.75" customHeight="1" x14ac:dyDescent="0.25"/>
    <row r="720" s="503" customFormat="1" ht="12.75" customHeight="1" x14ac:dyDescent="0.25"/>
    <row r="721" s="503" customFormat="1" ht="12.75" customHeight="1" x14ac:dyDescent="0.25"/>
    <row r="722" s="503" customFormat="1" ht="12.75" customHeight="1" x14ac:dyDescent="0.25"/>
    <row r="723" s="503" customFormat="1" ht="12.75" customHeight="1" x14ac:dyDescent="0.25"/>
    <row r="724" s="503" customFormat="1" ht="12.75" customHeight="1" x14ac:dyDescent="0.25"/>
    <row r="725" s="503" customFormat="1" ht="12.75" customHeight="1" x14ac:dyDescent="0.25"/>
    <row r="726" s="503" customFormat="1" ht="12.75" customHeight="1" x14ac:dyDescent="0.25"/>
    <row r="727" s="503" customFormat="1" ht="12.75" customHeight="1" x14ac:dyDescent="0.25"/>
    <row r="728" s="503" customFormat="1" ht="12.75" customHeight="1" x14ac:dyDescent="0.25"/>
    <row r="729" s="503" customFormat="1" ht="12.75" customHeight="1" x14ac:dyDescent="0.25"/>
    <row r="730" s="503" customFormat="1" ht="12.75" customHeight="1" x14ac:dyDescent="0.25"/>
    <row r="731" s="503" customFormat="1" ht="12.75" customHeight="1" x14ac:dyDescent="0.25"/>
    <row r="732" s="503" customFormat="1" ht="12.75" customHeight="1" x14ac:dyDescent="0.25"/>
    <row r="733" s="503" customFormat="1" ht="12.75" customHeight="1" x14ac:dyDescent="0.25"/>
    <row r="734" s="503" customFormat="1" ht="12.75" customHeight="1" x14ac:dyDescent="0.25"/>
    <row r="735" s="503" customFormat="1" ht="12.75" customHeight="1" x14ac:dyDescent="0.25"/>
    <row r="736" s="503" customFormat="1" ht="12.75" customHeight="1" x14ac:dyDescent="0.25"/>
    <row r="737" s="503" customFormat="1" ht="12.75" customHeight="1" x14ac:dyDescent="0.25"/>
    <row r="738" s="503" customFormat="1" ht="12.75" customHeight="1" x14ac:dyDescent="0.25"/>
    <row r="739" s="503" customFormat="1" ht="12.75" customHeight="1" x14ac:dyDescent="0.25"/>
    <row r="740" s="503" customFormat="1" ht="12.75" customHeight="1" x14ac:dyDescent="0.25"/>
    <row r="741" s="503" customFormat="1" ht="12.75" customHeight="1" x14ac:dyDescent="0.25"/>
    <row r="742" s="503" customFormat="1" ht="12.75" customHeight="1" x14ac:dyDescent="0.25"/>
    <row r="743" s="503" customFormat="1" ht="12.75" customHeight="1" x14ac:dyDescent="0.25"/>
    <row r="744" s="503" customFormat="1" ht="12.75" customHeight="1" x14ac:dyDescent="0.25"/>
    <row r="745" s="503" customFormat="1" ht="12.75" customHeight="1" x14ac:dyDescent="0.25"/>
    <row r="746" s="503" customFormat="1" ht="12.75" customHeight="1" x14ac:dyDescent="0.25"/>
    <row r="747" s="503" customFormat="1" ht="12.75" customHeight="1" x14ac:dyDescent="0.25"/>
    <row r="748" s="503" customFormat="1" ht="12.75" customHeight="1" x14ac:dyDescent="0.25"/>
    <row r="749" s="503" customFormat="1" ht="12.75" customHeight="1" x14ac:dyDescent="0.25"/>
    <row r="750" s="503" customFormat="1" ht="12.75" customHeight="1" x14ac:dyDescent="0.25"/>
    <row r="751" s="503" customFormat="1" ht="12.75" customHeight="1" x14ac:dyDescent="0.25"/>
    <row r="752" s="503" customFormat="1" ht="12.75" customHeight="1" x14ac:dyDescent="0.25"/>
    <row r="753" s="503" customFormat="1" ht="12.75" customHeight="1" x14ac:dyDescent="0.25"/>
    <row r="754" s="503" customFormat="1" ht="12.75" customHeight="1" x14ac:dyDescent="0.25"/>
    <row r="755" s="503" customFormat="1" ht="12.75" customHeight="1" x14ac:dyDescent="0.25"/>
    <row r="756" s="503" customFormat="1" ht="12.75" customHeight="1" x14ac:dyDescent="0.25"/>
    <row r="757" s="503" customFormat="1" ht="12.75" customHeight="1" x14ac:dyDescent="0.25"/>
    <row r="758" s="503" customFormat="1" ht="12.75" customHeight="1" x14ac:dyDescent="0.25"/>
    <row r="759" s="503" customFormat="1" ht="12.75" customHeight="1" x14ac:dyDescent="0.25"/>
    <row r="760" s="503" customFormat="1" ht="12.75" customHeight="1" x14ac:dyDescent="0.25"/>
    <row r="761" s="503" customFormat="1" ht="12.75" customHeight="1" x14ac:dyDescent="0.25"/>
    <row r="762" s="503" customFormat="1" ht="12.75" customHeight="1" x14ac:dyDescent="0.25"/>
    <row r="763" s="503" customFormat="1" ht="12.75" customHeight="1" x14ac:dyDescent="0.25"/>
    <row r="764" s="503" customFormat="1" ht="12.75" customHeight="1" x14ac:dyDescent="0.25"/>
    <row r="765" s="503" customFormat="1" ht="12.75" customHeight="1" x14ac:dyDescent="0.25"/>
    <row r="766" s="503" customFormat="1" ht="12.75" customHeight="1" x14ac:dyDescent="0.25"/>
    <row r="767" s="503" customFormat="1" ht="12.75" customHeight="1" x14ac:dyDescent="0.25"/>
    <row r="768" s="503" customFormat="1" ht="12.75" customHeight="1" x14ac:dyDescent="0.25"/>
    <row r="769" s="503" customFormat="1" ht="12.75" customHeight="1" x14ac:dyDescent="0.25"/>
    <row r="770" s="503" customFormat="1" ht="12.75" customHeight="1" x14ac:dyDescent="0.25"/>
    <row r="771" s="503" customFormat="1" ht="12.75" customHeight="1" x14ac:dyDescent="0.25"/>
    <row r="772" s="503" customFormat="1" ht="12.75" customHeight="1" x14ac:dyDescent="0.25"/>
    <row r="773" s="503" customFormat="1" ht="12.75" customHeight="1" x14ac:dyDescent="0.25"/>
    <row r="774" s="503" customFormat="1" ht="12.75" customHeight="1" x14ac:dyDescent="0.25"/>
    <row r="775" s="503" customFormat="1" ht="12.75" customHeight="1" x14ac:dyDescent="0.25"/>
    <row r="776" s="503" customFormat="1" ht="12.75" customHeight="1" x14ac:dyDescent="0.25"/>
    <row r="777" s="503" customFormat="1" ht="12.75" customHeight="1" x14ac:dyDescent="0.25"/>
    <row r="778" s="503" customFormat="1" ht="12.75" customHeight="1" x14ac:dyDescent="0.25"/>
    <row r="779" s="503" customFormat="1" ht="12.75" customHeight="1" x14ac:dyDescent="0.25"/>
    <row r="780" s="503" customFormat="1" ht="12.75" customHeight="1" x14ac:dyDescent="0.25"/>
    <row r="781" s="503" customFormat="1" ht="12.75" customHeight="1" x14ac:dyDescent="0.25"/>
    <row r="782" s="503" customFormat="1" ht="12.75" customHeight="1" x14ac:dyDescent="0.25"/>
    <row r="783" s="503" customFormat="1" ht="12.75" customHeight="1" x14ac:dyDescent="0.25"/>
    <row r="784" s="503" customFormat="1" ht="12.75" customHeight="1" x14ac:dyDescent="0.25"/>
    <row r="785" s="503" customFormat="1" ht="12.75" customHeight="1" x14ac:dyDescent="0.25"/>
    <row r="786" s="503" customFormat="1" ht="12.75" customHeight="1" x14ac:dyDescent="0.25"/>
    <row r="787" s="503" customFormat="1" ht="12.75" customHeight="1" x14ac:dyDescent="0.25"/>
    <row r="788" s="503" customFormat="1" ht="12.75" customHeight="1" x14ac:dyDescent="0.25"/>
    <row r="789" s="503" customFormat="1" ht="12.75" customHeight="1" x14ac:dyDescent="0.25"/>
    <row r="790" s="503" customFormat="1" ht="12.75" customHeight="1" x14ac:dyDescent="0.25"/>
    <row r="791" s="503" customFormat="1" ht="12.75" customHeight="1" x14ac:dyDescent="0.25"/>
    <row r="792" s="503" customFormat="1" ht="12.75" customHeight="1" x14ac:dyDescent="0.25"/>
    <row r="793" s="503" customFormat="1" ht="12.75" customHeight="1" x14ac:dyDescent="0.25"/>
    <row r="794" s="503" customFormat="1" ht="12.75" customHeight="1" x14ac:dyDescent="0.25"/>
    <row r="795" s="503" customFormat="1" ht="12.75" customHeight="1" x14ac:dyDescent="0.25"/>
    <row r="796" s="503" customFormat="1" ht="12.75" customHeight="1" x14ac:dyDescent="0.25"/>
    <row r="797" s="503" customFormat="1" ht="12.75" customHeight="1" x14ac:dyDescent="0.25"/>
    <row r="798" s="503" customFormat="1" ht="12.75" customHeight="1" x14ac:dyDescent="0.25"/>
    <row r="799" s="503" customFormat="1" ht="12.75" customHeight="1" x14ac:dyDescent="0.25"/>
    <row r="800" s="503" customFormat="1" ht="12.75" customHeight="1" x14ac:dyDescent="0.25"/>
    <row r="801" s="503" customFormat="1" ht="12.75" customHeight="1" x14ac:dyDescent="0.25"/>
    <row r="802" s="503" customFormat="1" ht="12.75" customHeight="1" x14ac:dyDescent="0.25"/>
    <row r="803" s="503" customFormat="1" ht="12.75" customHeight="1" x14ac:dyDescent="0.25"/>
    <row r="804" s="503" customFormat="1" ht="12.75" customHeight="1" x14ac:dyDescent="0.25"/>
    <row r="805" s="503" customFormat="1" ht="12.75" customHeight="1" x14ac:dyDescent="0.25"/>
    <row r="806" s="503" customFormat="1" ht="12.75" customHeight="1" x14ac:dyDescent="0.25"/>
    <row r="807" s="503" customFormat="1" ht="12.75" customHeight="1" x14ac:dyDescent="0.25"/>
    <row r="808" s="503" customFormat="1" ht="12.75" customHeight="1" x14ac:dyDescent="0.25"/>
    <row r="809" s="503" customFormat="1" ht="12.75" customHeight="1" x14ac:dyDescent="0.25"/>
    <row r="810" s="503" customFormat="1" ht="12.75" customHeight="1" x14ac:dyDescent="0.25"/>
    <row r="811" s="503" customFormat="1" ht="12.75" customHeight="1" x14ac:dyDescent="0.25"/>
    <row r="812" s="503" customFormat="1" ht="12.75" customHeight="1" x14ac:dyDescent="0.25"/>
    <row r="813" s="503" customFormat="1" ht="12.75" customHeight="1" x14ac:dyDescent="0.25"/>
    <row r="814" s="503" customFormat="1" ht="12.75" customHeight="1" x14ac:dyDescent="0.25"/>
    <row r="815" s="503" customFormat="1" ht="12.75" customHeight="1" x14ac:dyDescent="0.25"/>
    <row r="816" s="503" customFormat="1" ht="12.75" customHeight="1" x14ac:dyDescent="0.25"/>
    <row r="817" s="503" customFormat="1" ht="12.75" customHeight="1" x14ac:dyDescent="0.25"/>
    <row r="818" s="503" customFormat="1" ht="12.75" customHeight="1" x14ac:dyDescent="0.25"/>
    <row r="819" s="503" customFormat="1" ht="12.75" customHeight="1" x14ac:dyDescent="0.25"/>
    <row r="820" s="503" customFormat="1" ht="12.75" customHeight="1" x14ac:dyDescent="0.25"/>
    <row r="821" s="503" customFormat="1" ht="12.75" customHeight="1" x14ac:dyDescent="0.25"/>
    <row r="822" s="503" customFormat="1" ht="12.75" customHeight="1" x14ac:dyDescent="0.25"/>
    <row r="823" s="503" customFormat="1" ht="12.75" customHeight="1" x14ac:dyDescent="0.25"/>
    <row r="824" s="503" customFormat="1" ht="12.75" customHeight="1" x14ac:dyDescent="0.25"/>
    <row r="825" s="503" customFormat="1" ht="12.75" customHeight="1" x14ac:dyDescent="0.25"/>
    <row r="826" s="503" customFormat="1" ht="12.75" customHeight="1" x14ac:dyDescent="0.25"/>
    <row r="827" s="503" customFormat="1" ht="12.75" customHeight="1" x14ac:dyDescent="0.25"/>
    <row r="828" s="503" customFormat="1" ht="12.75" customHeight="1" x14ac:dyDescent="0.25"/>
    <row r="829" s="503" customFormat="1" ht="12.75" customHeight="1" x14ac:dyDescent="0.25"/>
    <row r="830" s="503" customFormat="1" ht="12.75" customHeight="1" x14ac:dyDescent="0.25"/>
    <row r="831" s="503" customFormat="1" ht="12.75" customHeight="1" x14ac:dyDescent="0.25"/>
    <row r="832" s="503" customFormat="1" ht="12.75" customHeight="1" x14ac:dyDescent="0.25"/>
    <row r="833" s="503" customFormat="1" ht="12.75" customHeight="1" x14ac:dyDescent="0.25"/>
    <row r="834" s="503" customFormat="1" ht="12.75" customHeight="1" x14ac:dyDescent="0.25"/>
    <row r="835" s="503" customFormat="1" ht="12.75" customHeight="1" x14ac:dyDescent="0.25"/>
    <row r="836" s="503" customFormat="1" ht="12.75" customHeight="1" x14ac:dyDescent="0.25"/>
    <row r="837" s="503" customFormat="1" ht="12.75" customHeight="1" x14ac:dyDescent="0.25"/>
    <row r="838" s="503" customFormat="1" ht="12.75" customHeight="1" x14ac:dyDescent="0.25"/>
    <row r="839" s="503" customFormat="1" ht="12.75" customHeight="1" x14ac:dyDescent="0.25"/>
    <row r="840" s="503" customFormat="1" ht="12.75" customHeight="1" x14ac:dyDescent="0.25"/>
    <row r="841" s="503" customFormat="1" ht="12.75" customHeight="1" x14ac:dyDescent="0.25"/>
    <row r="842" s="503" customFormat="1" ht="12.75" customHeight="1" x14ac:dyDescent="0.25"/>
    <row r="843" s="503" customFormat="1" ht="12.75" customHeight="1" x14ac:dyDescent="0.25"/>
    <row r="844" s="503" customFormat="1" ht="12.75" customHeight="1" x14ac:dyDescent="0.25"/>
    <row r="845" s="503" customFormat="1" ht="12.75" customHeight="1" x14ac:dyDescent="0.25"/>
    <row r="846" s="503" customFormat="1" ht="12.75" customHeight="1" x14ac:dyDescent="0.25"/>
    <row r="847" s="503" customFormat="1" ht="12.75" customHeight="1" x14ac:dyDescent="0.25"/>
    <row r="848" s="503" customFormat="1" ht="12.75" customHeight="1" x14ac:dyDescent="0.25"/>
    <row r="849" s="503" customFormat="1" ht="12.75" customHeight="1" x14ac:dyDescent="0.25"/>
    <row r="850" s="503" customFormat="1" ht="12.75" customHeight="1" x14ac:dyDescent="0.25"/>
    <row r="851" s="503" customFormat="1" ht="12.75" customHeight="1" x14ac:dyDescent="0.25"/>
    <row r="852" s="503" customFormat="1" ht="12.75" customHeight="1" x14ac:dyDescent="0.25"/>
    <row r="853" s="503" customFormat="1" ht="12.75" customHeight="1" x14ac:dyDescent="0.25"/>
    <row r="854" s="503" customFormat="1" ht="12.75" customHeight="1" x14ac:dyDescent="0.25"/>
    <row r="855" s="503" customFormat="1" ht="12.75" customHeight="1" x14ac:dyDescent="0.25"/>
    <row r="856" s="503" customFormat="1" ht="12.75" customHeight="1" x14ac:dyDescent="0.25"/>
    <row r="857" s="503" customFormat="1" ht="12.75" customHeight="1" x14ac:dyDescent="0.25"/>
    <row r="858" s="503" customFormat="1" ht="12.75" customHeight="1" x14ac:dyDescent="0.25"/>
    <row r="859" s="503" customFormat="1" ht="12.75" customHeight="1" x14ac:dyDescent="0.25"/>
    <row r="860" s="503" customFormat="1" ht="12.75" customHeight="1" x14ac:dyDescent="0.25"/>
    <row r="861" s="503" customFormat="1" ht="12.75" customHeight="1" x14ac:dyDescent="0.25"/>
    <row r="862" s="503" customFormat="1" ht="12.75" customHeight="1" x14ac:dyDescent="0.25"/>
    <row r="863" s="503" customFormat="1" ht="12.75" customHeight="1" x14ac:dyDescent="0.25"/>
    <row r="864" s="503" customFormat="1" ht="12.75" customHeight="1" x14ac:dyDescent="0.25"/>
    <row r="865" s="503" customFormat="1" ht="12.75" customHeight="1" x14ac:dyDescent="0.25"/>
    <row r="866" s="503" customFormat="1" ht="12.75" customHeight="1" x14ac:dyDescent="0.25"/>
    <row r="867" s="503" customFormat="1" ht="12.75" customHeight="1" x14ac:dyDescent="0.25"/>
    <row r="868" s="503" customFormat="1" ht="12.75" customHeight="1" x14ac:dyDescent="0.25"/>
    <row r="869" s="503" customFormat="1" ht="12.75" customHeight="1" x14ac:dyDescent="0.25"/>
    <row r="870" s="503" customFormat="1" ht="12.75" customHeight="1" x14ac:dyDescent="0.25"/>
    <row r="871" s="503" customFormat="1" ht="12.75" customHeight="1" x14ac:dyDescent="0.25"/>
    <row r="872" s="503" customFormat="1" ht="12.75" customHeight="1" x14ac:dyDescent="0.25"/>
    <row r="873" s="503" customFormat="1" ht="12.75" customHeight="1" x14ac:dyDescent="0.25"/>
    <row r="874" s="503" customFormat="1" ht="12.75" customHeight="1" x14ac:dyDescent="0.25"/>
    <row r="875" s="503" customFormat="1" ht="12.75" customHeight="1" x14ac:dyDescent="0.25"/>
    <row r="876" s="503" customFormat="1" ht="12.75" customHeight="1" x14ac:dyDescent="0.25"/>
    <row r="877" s="503" customFormat="1" ht="12.75" customHeight="1" x14ac:dyDescent="0.25"/>
    <row r="878" s="503" customFormat="1" ht="12.75" customHeight="1" x14ac:dyDescent="0.25"/>
    <row r="879" s="503" customFormat="1" ht="12.75" customHeight="1" x14ac:dyDescent="0.25"/>
    <row r="880" s="503" customFormat="1" ht="12.75" customHeight="1" x14ac:dyDescent="0.25"/>
    <row r="881" s="503" customFormat="1" ht="12.75" customHeight="1" x14ac:dyDescent="0.25"/>
    <row r="882" s="503" customFormat="1" ht="12.75" customHeight="1" x14ac:dyDescent="0.25"/>
    <row r="883" s="503" customFormat="1" ht="12.75" customHeight="1" x14ac:dyDescent="0.25"/>
    <row r="884" s="503" customFormat="1" ht="12.75" customHeight="1" x14ac:dyDescent="0.25"/>
    <row r="885" s="503" customFormat="1" ht="12.75" customHeight="1" x14ac:dyDescent="0.25"/>
    <row r="886" s="503" customFormat="1" ht="12.75" customHeight="1" x14ac:dyDescent="0.25"/>
    <row r="887" s="503" customFormat="1" ht="12.75" customHeight="1" x14ac:dyDescent="0.25"/>
    <row r="888" s="503" customFormat="1" ht="12.75" customHeight="1" x14ac:dyDescent="0.25"/>
    <row r="889" s="503" customFormat="1" ht="12.75" customHeight="1" x14ac:dyDescent="0.25"/>
    <row r="890" s="503" customFormat="1" ht="12.75" customHeight="1" x14ac:dyDescent="0.25"/>
    <row r="891" s="503" customFormat="1" ht="12.75" customHeight="1" x14ac:dyDescent="0.25"/>
    <row r="892" s="503" customFormat="1" ht="12.75" customHeight="1" x14ac:dyDescent="0.25"/>
    <row r="893" s="503" customFormat="1" ht="12.75" customHeight="1" x14ac:dyDescent="0.25"/>
    <row r="894" s="503" customFormat="1" ht="12.75" customHeight="1" x14ac:dyDescent="0.25"/>
    <row r="895" s="503" customFormat="1" ht="12.75" customHeight="1" x14ac:dyDescent="0.25"/>
    <row r="896" s="503" customFormat="1" ht="12.75" customHeight="1" x14ac:dyDescent="0.25"/>
    <row r="897" s="503" customFormat="1" ht="12.75" customHeight="1" x14ac:dyDescent="0.25"/>
    <row r="898" s="503" customFormat="1" ht="12.75" customHeight="1" x14ac:dyDescent="0.25"/>
    <row r="899" s="503" customFormat="1" ht="12.75" customHeight="1" x14ac:dyDescent="0.25"/>
    <row r="900" s="503" customFormat="1" ht="12.75" customHeight="1" x14ac:dyDescent="0.25"/>
    <row r="901" s="503" customFormat="1" ht="12.75" customHeight="1" x14ac:dyDescent="0.25"/>
    <row r="902" s="503" customFormat="1" ht="12.75" customHeight="1" x14ac:dyDescent="0.25"/>
    <row r="903" s="503" customFormat="1" ht="12.75" customHeight="1" x14ac:dyDescent="0.25"/>
    <row r="904" s="503" customFormat="1" ht="12.75" customHeight="1" x14ac:dyDescent="0.25"/>
    <row r="905" s="503" customFormat="1" ht="12.75" customHeight="1" x14ac:dyDescent="0.25"/>
    <row r="906" s="503" customFormat="1" ht="12.75" customHeight="1" x14ac:dyDescent="0.25"/>
    <row r="907" s="503" customFormat="1" ht="12.75" customHeight="1" x14ac:dyDescent="0.25"/>
    <row r="908" s="503" customFormat="1" ht="12.75" customHeight="1" x14ac:dyDescent="0.25"/>
    <row r="909" s="503" customFormat="1" ht="12.75" customHeight="1" x14ac:dyDescent="0.25"/>
    <row r="910" s="503" customFormat="1" ht="12.75" customHeight="1" x14ac:dyDescent="0.25"/>
    <row r="911" s="503" customFormat="1" ht="12.75" customHeight="1" x14ac:dyDescent="0.25"/>
    <row r="912" s="503" customFormat="1" ht="12.75" customHeight="1" x14ac:dyDescent="0.25"/>
    <row r="913" s="503" customFormat="1" ht="12.75" customHeight="1" x14ac:dyDescent="0.25"/>
    <row r="914" s="503" customFormat="1" ht="12.75" customHeight="1" x14ac:dyDescent="0.25"/>
    <row r="915" s="503" customFormat="1" ht="12.75" customHeight="1" x14ac:dyDescent="0.25"/>
    <row r="916" s="503" customFormat="1" ht="12.75" customHeight="1" x14ac:dyDescent="0.25"/>
    <row r="917" s="503" customFormat="1" ht="12.75" customHeight="1" x14ac:dyDescent="0.25"/>
    <row r="918" s="503" customFormat="1" ht="12.75" customHeight="1" x14ac:dyDescent="0.25"/>
    <row r="919" s="503" customFormat="1" ht="12.75" customHeight="1" x14ac:dyDescent="0.25"/>
    <row r="920" s="503" customFormat="1" ht="12.75" customHeight="1" x14ac:dyDescent="0.25"/>
    <row r="921" s="503" customFormat="1" ht="12.75" customHeight="1" x14ac:dyDescent="0.25"/>
    <row r="922" s="503" customFormat="1" ht="12.75" customHeight="1" x14ac:dyDescent="0.25"/>
    <row r="923" s="503" customFormat="1" ht="12.75" customHeight="1" x14ac:dyDescent="0.25"/>
    <row r="924" s="503" customFormat="1" ht="12.75" customHeight="1" x14ac:dyDescent="0.25"/>
    <row r="925" s="503" customFormat="1" ht="12.75" customHeight="1" x14ac:dyDescent="0.25"/>
    <row r="926" s="503" customFormat="1" ht="12.75" customHeight="1" x14ac:dyDescent="0.25"/>
    <row r="927" s="503" customFormat="1" ht="12.75" customHeight="1" x14ac:dyDescent="0.25"/>
    <row r="928" s="503" customFormat="1" ht="12.75" customHeight="1" x14ac:dyDescent="0.25"/>
    <row r="929" s="503" customFormat="1" ht="12.75" customHeight="1" x14ac:dyDescent="0.25"/>
    <row r="930" s="503" customFormat="1" ht="12.75" customHeight="1" x14ac:dyDescent="0.25"/>
    <row r="931" s="503" customFormat="1" ht="12.75" customHeight="1" x14ac:dyDescent="0.25"/>
    <row r="932" s="503" customFormat="1" ht="12.75" customHeight="1" x14ac:dyDescent="0.25"/>
    <row r="933" s="503" customFormat="1" ht="12.75" customHeight="1" x14ac:dyDescent="0.25"/>
    <row r="934" s="503" customFormat="1" ht="12.75" customHeight="1" x14ac:dyDescent="0.25"/>
    <row r="935" s="503" customFormat="1" ht="12.75" customHeight="1" x14ac:dyDescent="0.25"/>
    <row r="936" s="503" customFormat="1" ht="12.75" customHeight="1" x14ac:dyDescent="0.25"/>
    <row r="937" s="503" customFormat="1" ht="12.75" customHeight="1" x14ac:dyDescent="0.25"/>
    <row r="938" s="503" customFormat="1" ht="12.75" customHeight="1" x14ac:dyDescent="0.25"/>
    <row r="939" s="503" customFormat="1" ht="12.75" customHeight="1" x14ac:dyDescent="0.25"/>
    <row r="940" s="503" customFormat="1" ht="12.75" customHeight="1" x14ac:dyDescent="0.25"/>
    <row r="941" s="503" customFormat="1" ht="12.75" customHeight="1" x14ac:dyDescent="0.25"/>
    <row r="942" s="503" customFormat="1" ht="12.75" customHeight="1" x14ac:dyDescent="0.25"/>
    <row r="943" s="503" customFormat="1" ht="12.75" customHeight="1" x14ac:dyDescent="0.25"/>
    <row r="944" s="503" customFormat="1" ht="12.75" customHeight="1" x14ac:dyDescent="0.25"/>
    <row r="945" s="503" customFormat="1" ht="12.75" customHeight="1" x14ac:dyDescent="0.25"/>
    <row r="946" s="503" customFormat="1" ht="12.75" customHeight="1" x14ac:dyDescent="0.25"/>
    <row r="947" s="503" customFormat="1" ht="12.75" customHeight="1" x14ac:dyDescent="0.25"/>
    <row r="948" s="503" customFormat="1" ht="12.75" customHeight="1" x14ac:dyDescent="0.25"/>
    <row r="949" s="503" customFormat="1" ht="12.75" customHeight="1" x14ac:dyDescent="0.25"/>
    <row r="950" s="503" customFormat="1" ht="12.75" customHeight="1" x14ac:dyDescent="0.25"/>
    <row r="951" s="503" customFormat="1" ht="12.75" customHeight="1" x14ac:dyDescent="0.25"/>
    <row r="952" s="503" customFormat="1" ht="12.75" customHeight="1" x14ac:dyDescent="0.25"/>
    <row r="953" s="503" customFormat="1" ht="12.75" customHeight="1" x14ac:dyDescent="0.25"/>
    <row r="954" s="503" customFormat="1" ht="12.75" customHeight="1" x14ac:dyDescent="0.25"/>
    <row r="955" s="503" customFormat="1" ht="12.75" customHeight="1" x14ac:dyDescent="0.25"/>
    <row r="956" s="503" customFormat="1" ht="12.75" customHeight="1" x14ac:dyDescent="0.25"/>
    <row r="957" s="503" customFormat="1" ht="12.75" customHeight="1" x14ac:dyDescent="0.25"/>
    <row r="958" s="503" customFormat="1" ht="12.75" customHeight="1" x14ac:dyDescent="0.25"/>
    <row r="959" s="503" customFormat="1" ht="12.75" customHeight="1" x14ac:dyDescent="0.25"/>
    <row r="960" s="503" customFormat="1" ht="12.75" customHeight="1" x14ac:dyDescent="0.25"/>
    <row r="961" s="503" customFormat="1" ht="12.75" customHeight="1" x14ac:dyDescent="0.25"/>
    <row r="962" s="503" customFormat="1" ht="12.75" customHeight="1" x14ac:dyDescent="0.25"/>
    <row r="963" s="503" customFormat="1" ht="12.75" customHeight="1" x14ac:dyDescent="0.25"/>
    <row r="964" s="503" customFormat="1" ht="12.75" customHeight="1" x14ac:dyDescent="0.25"/>
    <row r="965" s="503" customFormat="1" ht="12.75" customHeight="1" x14ac:dyDescent="0.25"/>
    <row r="966" s="503" customFormat="1" ht="12.75" customHeight="1" x14ac:dyDescent="0.25"/>
    <row r="967" s="503" customFormat="1" ht="12.75" customHeight="1" x14ac:dyDescent="0.25"/>
    <row r="968" s="503" customFormat="1" ht="12.75" customHeight="1" x14ac:dyDescent="0.25"/>
    <row r="969" s="503" customFormat="1" ht="12.75" customHeight="1" x14ac:dyDescent="0.25"/>
    <row r="970" s="503" customFormat="1" ht="12.75" customHeight="1" x14ac:dyDescent="0.25"/>
    <row r="971" s="503" customFormat="1" ht="12.75" customHeight="1" x14ac:dyDescent="0.25"/>
    <row r="972" s="503" customFormat="1" ht="12.75" customHeight="1" x14ac:dyDescent="0.25"/>
    <row r="973" s="503" customFormat="1" ht="12.75" customHeight="1" x14ac:dyDescent="0.25"/>
    <row r="974" s="503" customFormat="1" ht="12.75" customHeight="1" x14ac:dyDescent="0.25"/>
    <row r="975" s="503" customFormat="1" ht="12.75" customHeight="1" x14ac:dyDescent="0.25"/>
  </sheetData>
  <sheetProtection algorithmName="SHA-512" hashValue="vM27we/H54MTsUthnAfN/JNXaT057DPYwyH0fnQ/zyIUZo+uCPfgEzNsF3bUpNE22KQy5CIAazyrZ0cl03iP1A==" saltValue="Q3BunpFj243MkQLtJjnbXA==" spinCount="100000" sheet="1" objects="1" scenarios="1"/>
  <mergeCells count="2">
    <mergeCell ref="B7:D7"/>
    <mergeCell ref="B8:D8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/>
  </sheetViews>
  <sheetFormatPr baseColWidth="10" defaultColWidth="12.5546875" defaultRowHeight="15" customHeight="1" x14ac:dyDescent="0.25"/>
  <cols>
    <col min="1" max="2" width="10.44140625" customWidth="1"/>
    <col min="3" max="3" width="18.44140625" customWidth="1"/>
    <col min="4" max="4" width="20" customWidth="1"/>
    <col min="5" max="5" width="10.5546875" customWidth="1"/>
    <col min="6" max="6" width="12.44140625" customWidth="1"/>
    <col min="7" max="10" width="10.5546875" customWidth="1"/>
    <col min="11" max="11" width="17.5546875" customWidth="1"/>
    <col min="12" max="12" width="12.44140625" customWidth="1"/>
    <col min="13" max="13" width="15.44140625" customWidth="1"/>
    <col min="14" max="26" width="10.5546875" customWidth="1"/>
  </cols>
  <sheetData>
    <row r="1" spans="1:13" ht="12.75" customHeight="1" x14ac:dyDescent="0.25"/>
    <row r="2" spans="1:13" ht="18.75" customHeight="1" x14ac:dyDescent="0.25">
      <c r="A2" s="639" t="s">
        <v>135</v>
      </c>
      <c r="B2" s="622"/>
      <c r="C2" s="112" t="s">
        <v>136</v>
      </c>
      <c r="D2" s="113" t="s">
        <v>137</v>
      </c>
      <c r="E2" s="113" t="s">
        <v>138</v>
      </c>
      <c r="F2" s="113" t="s">
        <v>139</v>
      </c>
      <c r="G2" s="113" t="s">
        <v>140</v>
      </c>
      <c r="H2" s="113" t="s">
        <v>141</v>
      </c>
      <c r="I2" s="113" t="s">
        <v>142</v>
      </c>
      <c r="J2" s="113" t="s">
        <v>143</v>
      </c>
      <c r="K2" s="113" t="s">
        <v>144</v>
      </c>
      <c r="L2" s="113" t="s">
        <v>145</v>
      </c>
      <c r="M2" s="113" t="s">
        <v>146</v>
      </c>
    </row>
    <row r="3" spans="1:13" ht="18.75" customHeight="1" x14ac:dyDescent="0.25">
      <c r="A3" s="114">
        <v>4400</v>
      </c>
      <c r="B3" s="115">
        <f>+A3+1</f>
        <v>4401</v>
      </c>
      <c r="C3" s="116" t="str">
        <f t="shared" ref="C3:C8" si="0">A3&amp;"-"&amp;B3</f>
        <v>4400-4401</v>
      </c>
      <c r="D3" s="114" t="s">
        <v>147</v>
      </c>
      <c r="E3" s="114">
        <v>350</v>
      </c>
      <c r="F3" s="117">
        <v>42347</v>
      </c>
      <c r="G3" s="115">
        <v>7</v>
      </c>
      <c r="H3" s="118">
        <v>15.05</v>
      </c>
      <c r="I3" s="114">
        <v>49900</v>
      </c>
      <c r="J3" s="119">
        <f t="shared" ref="J3:J8" si="1">H3*H3*PI()/4</f>
        <v>177.89464750493056</v>
      </c>
      <c r="K3" s="120">
        <f t="shared" ref="K3:K8" si="2">I3/J3</f>
        <v>280.50309944607505</v>
      </c>
      <c r="L3" s="121">
        <f t="shared" ref="L3:L8" si="3">+K3/E3</f>
        <v>0.80143742698878584</v>
      </c>
      <c r="M3" s="122" t="s">
        <v>148</v>
      </c>
    </row>
    <row r="4" spans="1:13" ht="18.75" customHeight="1" x14ac:dyDescent="0.25">
      <c r="A4" s="115"/>
      <c r="B4" s="115"/>
      <c r="C4" s="123" t="str">
        <f t="shared" si="0"/>
        <v>-</v>
      </c>
      <c r="D4" s="115"/>
      <c r="E4" s="114">
        <v>350</v>
      </c>
      <c r="F4" s="115"/>
      <c r="G4" s="115">
        <v>7</v>
      </c>
      <c r="H4" s="118">
        <v>15.06</v>
      </c>
      <c r="I4" s="114">
        <v>50310</v>
      </c>
      <c r="J4" s="119">
        <f t="shared" si="1"/>
        <v>178.1311308919295</v>
      </c>
      <c r="K4" s="120">
        <f t="shared" si="2"/>
        <v>282.43238421094742</v>
      </c>
      <c r="L4" s="121">
        <f t="shared" si="3"/>
        <v>0.80694966917413546</v>
      </c>
      <c r="M4" s="122" t="s">
        <v>149</v>
      </c>
    </row>
    <row r="5" spans="1:13" ht="18.75" customHeight="1" x14ac:dyDescent="0.25">
      <c r="A5" s="115">
        <f>+B3+1</f>
        <v>4402</v>
      </c>
      <c r="B5" s="115">
        <f>+A5+1</f>
        <v>4403</v>
      </c>
      <c r="C5" s="123" t="str">
        <f t="shared" si="0"/>
        <v>4402-4403</v>
      </c>
      <c r="D5" s="115"/>
      <c r="E5" s="114">
        <v>350</v>
      </c>
      <c r="F5" s="115"/>
      <c r="G5" s="115">
        <v>14</v>
      </c>
      <c r="H5" s="118">
        <v>15.04</v>
      </c>
      <c r="I5" s="114">
        <v>56450</v>
      </c>
      <c r="J5" s="119">
        <f t="shared" si="1"/>
        <v>177.65832119756422</v>
      </c>
      <c r="K5" s="120">
        <f t="shared" si="2"/>
        <v>317.74475644867209</v>
      </c>
      <c r="L5" s="121">
        <f t="shared" si="3"/>
        <v>0.9078421612819203</v>
      </c>
      <c r="M5" s="122" t="s">
        <v>149</v>
      </c>
    </row>
    <row r="6" spans="1:13" ht="18.75" customHeight="1" x14ac:dyDescent="0.25">
      <c r="A6" s="115"/>
      <c r="B6" s="115"/>
      <c r="C6" s="123" t="str">
        <f t="shared" si="0"/>
        <v>-</v>
      </c>
      <c r="D6" s="115"/>
      <c r="E6" s="114">
        <v>350</v>
      </c>
      <c r="F6" s="115"/>
      <c r="G6" s="115">
        <v>14</v>
      </c>
      <c r="H6" s="118">
        <v>15</v>
      </c>
      <c r="I6" s="114">
        <v>59630</v>
      </c>
      <c r="J6" s="119">
        <f t="shared" si="1"/>
        <v>176.71458676442586</v>
      </c>
      <c r="K6" s="120">
        <f t="shared" si="2"/>
        <v>337.43677356692336</v>
      </c>
      <c r="L6" s="121">
        <f t="shared" si="3"/>
        <v>0.96410506733406676</v>
      </c>
      <c r="M6" s="122" t="s">
        <v>149</v>
      </c>
    </row>
    <row r="7" spans="1:13" ht="18.75" customHeight="1" x14ac:dyDescent="0.25">
      <c r="A7" s="115">
        <f>+B5+1</f>
        <v>4404</v>
      </c>
      <c r="B7" s="115">
        <f>+A7+1</f>
        <v>4405</v>
      </c>
      <c r="C7" s="123" t="str">
        <f t="shared" si="0"/>
        <v>4404-4405</v>
      </c>
      <c r="D7" s="115"/>
      <c r="E7" s="114">
        <v>350</v>
      </c>
      <c r="F7" s="115"/>
      <c r="G7" s="115">
        <v>28</v>
      </c>
      <c r="H7" s="118">
        <v>15.11</v>
      </c>
      <c r="I7" s="114">
        <v>65310</v>
      </c>
      <c r="J7" s="119">
        <f t="shared" si="1"/>
        <v>179.31590402141455</v>
      </c>
      <c r="K7" s="120">
        <f t="shared" si="2"/>
        <v>364.21755424549764</v>
      </c>
      <c r="L7" s="121">
        <f t="shared" si="3"/>
        <v>1.0406215835585646</v>
      </c>
      <c r="M7" s="122" t="s">
        <v>149</v>
      </c>
    </row>
    <row r="8" spans="1:13" ht="18.75" customHeight="1" x14ac:dyDescent="0.25">
      <c r="A8" s="115"/>
      <c r="B8" s="115"/>
      <c r="C8" s="123" t="str">
        <f t="shared" si="0"/>
        <v>-</v>
      </c>
      <c r="D8" s="115"/>
      <c r="E8" s="114">
        <v>350</v>
      </c>
      <c r="F8" s="115"/>
      <c r="G8" s="115">
        <v>28</v>
      </c>
      <c r="H8" s="118">
        <v>15.05</v>
      </c>
      <c r="I8" s="114">
        <v>64730</v>
      </c>
      <c r="J8" s="119">
        <f t="shared" si="1"/>
        <v>177.89464750493056</v>
      </c>
      <c r="K8" s="120">
        <f t="shared" si="2"/>
        <v>363.86704663616104</v>
      </c>
      <c r="L8" s="121">
        <f t="shared" si="3"/>
        <v>1.0396201332461743</v>
      </c>
      <c r="M8" s="122" t="s">
        <v>148</v>
      </c>
    </row>
    <row r="10" spans="1:13" ht="12.75" customHeight="1" x14ac:dyDescent="0.25"/>
    <row r="11" spans="1:13" ht="12.75" customHeight="1" x14ac:dyDescent="0.25"/>
    <row r="12" spans="1:13" ht="12.75" customHeight="1" x14ac:dyDescent="0.25"/>
    <row r="13" spans="1:13" ht="12.75" customHeight="1" x14ac:dyDescent="0.25"/>
    <row r="14" spans="1:13" ht="12.75" customHeight="1" x14ac:dyDescent="0.25"/>
    <row r="15" spans="1:13" ht="12.75" customHeight="1" x14ac:dyDescent="0.25"/>
    <row r="16" spans="1:1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B2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</vt:lpstr>
      <vt:lpstr>incertidumbre</vt:lpstr>
      <vt:lpstr>balanza</vt:lpstr>
      <vt:lpstr>precision</vt:lpstr>
      <vt:lpstr>Hoja1</vt:lpstr>
      <vt:lpstr>FORMATO!Área_de_impresión</vt:lpstr>
      <vt:lpstr>INFORME!Área_de_impresión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Pacahuala A.</dc:creator>
  <cp:lastModifiedBy>Equipo</cp:lastModifiedBy>
  <cp:lastPrinted>2026-06-13T17:38:55Z</cp:lastPrinted>
  <dcterms:created xsi:type="dcterms:W3CDTF">1999-11-07T15:11:55Z</dcterms:created>
  <dcterms:modified xsi:type="dcterms:W3CDTF">2026-06-13T17:39:20Z</dcterms:modified>
</cp:coreProperties>
</file>