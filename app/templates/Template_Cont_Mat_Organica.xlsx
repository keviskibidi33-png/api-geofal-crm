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8_{0C8B265B-9B92-4F27-8CAF-B683627EAACA}" xr6:coauthVersionLast="47" xr6:coauthVersionMax="47" xr10:uidLastSave="{00000000-0000-0000-0000-000000000000}"/>
  <bookViews>
    <workbookView xWindow="-108" yWindow="-108" windowWidth="23256" windowHeight="12456" tabRatio="723" firstSheet="1" activeTab="1" xr2:uid="{00000000-000D-0000-FFFF-FFFF00000000}"/>
  </bookViews>
  <sheets>
    <sheet name="SST" sheetId="91" state="hidden" r:id="rId1"/>
    <sheet name="PRT. LIVIANAS" sheetId="92" r:id="rId2"/>
    <sheet name="Hoja1" sheetId="49" state="hidden" r:id="rId3"/>
  </sheets>
  <definedNames>
    <definedName name="_xlnm.Print_Area" localSheetId="1">'PRT. LIVIANAS'!$A$1:$H$48</definedName>
    <definedName name="_xlnm.Print_Area" localSheetId="0">SST!$A$1:$H$53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91" l="1"/>
  <c r="F38" i="91" s="1"/>
  <c r="E37" i="91"/>
  <c r="E38" i="91" s="1"/>
  <c r="F36" i="91"/>
  <c r="E36" i="91"/>
  <c r="F28" i="91"/>
  <c r="F29" i="91" s="1"/>
  <c r="E28" i="91"/>
  <c r="E29" i="91" s="1"/>
  <c r="F27" i="91"/>
  <c r="E27" i="91"/>
  <c r="G38" i="91" l="1"/>
  <c r="G29" i="9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/>
  <c r="B7" i="49" l="1"/>
  <c r="C7" i="49" s="1"/>
</calcChain>
</file>

<file path=xl/sharedStrings.xml><?xml version="1.0" encoding="utf-8"?>
<sst xmlns="http://schemas.openxmlformats.org/spreadsheetml/2006/main" count="88" uniqueCount="64">
  <si>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</si>
  <si>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</si>
  <si>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</si>
  <si>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</si>
  <si>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</si>
  <si>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</si>
  <si>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</si>
  <si>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</si>
  <si>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</si>
  <si>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</si>
  <si>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</si>
  <si>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</si>
  <si>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</si>
  <si>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</si>
  <si>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</si>
  <si>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</si>
  <si>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>Página 1 de 1</t>
  </si>
  <si>
    <t>SALES SOLUBLES EN AGREGADOS</t>
  </si>
  <si>
    <t>NORMA  MTC E-219</t>
  </si>
  <si>
    <t>ANALISIS DEL AGREGADO GRUESO</t>
  </si>
  <si>
    <t>MUESTRA</t>
  </si>
  <si>
    <t>Peso de Frasco                            (gr)</t>
  </si>
  <si>
    <t>(1)</t>
  </si>
  <si>
    <t>Peso de Frasco + agua + sal        (gr)</t>
  </si>
  <si>
    <t>(2)</t>
  </si>
  <si>
    <t>Peso de Frasco Seco + sal          (gr)</t>
  </si>
  <si>
    <t>(3)</t>
  </si>
  <si>
    <t>Peso de Sal                                (gr)</t>
  </si>
  <si>
    <t>(4) = (3)-(1)</t>
  </si>
  <si>
    <t>Peso de Agua                             (gr)</t>
  </si>
  <si>
    <t>(5)=(2)-(3)</t>
  </si>
  <si>
    <t>Prmedio</t>
  </si>
  <si>
    <t>Porcentaje de Sal                        (%)</t>
  </si>
  <si>
    <t>100 x (4) / (5)</t>
  </si>
  <si>
    <t>ANALISIS DEL AGREGADO FINO</t>
  </si>
  <si>
    <t>FORMATO N° F-LEM-P-AG-11.01</t>
  </si>
  <si>
    <t>WEB: www.geofal.com.pe   E-MAIL: laboratorio@geofal.com.pe / geofal.sac@gmail.com                                                                                                                         Av. Marañon 763, Los Olivos-Lima / Teléfono 01 522-1851</t>
  </si>
  <si>
    <t>Versión : 02 (02-01-2021)</t>
  </si>
  <si>
    <t>a</t>
  </si>
  <si>
    <t>b</t>
  </si>
  <si>
    <t>c</t>
  </si>
  <si>
    <t>ANALISIS DEL AGREGADO</t>
  </si>
  <si>
    <t>FORMATO N° F-LEM-P-AG-15.01</t>
  </si>
  <si>
    <t>ENSAYO DE MATERIA ORGANICA</t>
  </si>
  <si>
    <t>NORMA  AASHTO T267</t>
  </si>
  <si>
    <t>N° de Crisol</t>
  </si>
  <si>
    <t xml:space="preserve">Peso del especimen después de calcinado      </t>
  </si>
  <si>
    <t xml:space="preserve">Peso de crisol </t>
  </si>
  <si>
    <t xml:space="preserve">Contenido de Materia Orgánica                      </t>
  </si>
  <si>
    <t>d</t>
  </si>
  <si>
    <t>e</t>
  </si>
  <si>
    <t>Equipo utilizado</t>
  </si>
  <si>
    <t>Código</t>
  </si>
  <si>
    <t>Balanza 0.0001 g</t>
  </si>
  <si>
    <t>g</t>
  </si>
  <si>
    <t>%</t>
  </si>
  <si>
    <t>Versión: 01 (02-01-2021)</t>
  </si>
  <si>
    <t xml:space="preserve">Peso del especimen seco + Peso de crisol </t>
  </si>
  <si>
    <t xml:space="preserve">Nota: </t>
  </si>
  <si>
    <t>Horno</t>
  </si>
  <si>
    <t>No OT</t>
  </si>
  <si>
    <t>FECHA DE ENSAYO</t>
  </si>
  <si>
    <t>REALIZADO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</si>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</sst>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00"/>
    <numFmt numFmtId="166" formatCode="0\ &quot;/ CO-06&quot;"/>
    <numFmt numFmtId="167" formatCode="&quot;FORMATO F-LEM-P-SU-11.01&quot;"/>
    <numFmt numFmtId="168" formatCode="#,##0.0"/>
    <numFmt numFmtId="169" formatCode="#,##0.000"/>
    <numFmt numFmtId="170" formatCode="0.000%"/>
  </numFmts>
  <fonts count="2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sz val="8"/>
      <color theme="1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8"/>
      <color theme="0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9" fontId="23" fillId="0" borderId="0" applyFont="0" applyFill="0" applyBorder="0" applyAlignment="0" applyProtection="0"/>
  </cellStyleXfs>
  <cellXfs count="158">
    <xf numFmtId="0" fontId="0" fillId="0" borderId="0" xfId="0"/>
    <xf numFmtId="0" fontId="5" fillId="0" borderId="0" xfId="0" applyFont="1" applyProtection="1">
      <protection hidden="1"/>
    </xf>
    <xf numFmtId="0" fontId="0" fillId="0" borderId="1" xfId="0" applyBorder="1"/>
    <xf numFmtId="2" fontId="7" fillId="3" borderId="1" xfId="0" applyNumberFormat="1" applyFont="1" applyFill="1" applyBorder="1" applyAlignment="1">
      <alignment vertical="center" wrapText="1"/>
    </xf>
    <xf numFmtId="10" fontId="8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9" fillId="0" borderId="1" xfId="0" applyFont="1" applyBorder="1" applyAlignment="1">
      <alignment horizontal="center"/>
    </xf>
    <xf numFmtId="0" fontId="14" fillId="0" borderId="1" xfId="0" applyFont="1" applyBorder="1"/>
    <xf numFmtId="16" fontId="14" fillId="0" borderId="1" xfId="0" applyNumberFormat="1" applyFont="1" applyBorder="1"/>
    <xf numFmtId="2" fontId="14" fillId="0" borderId="1" xfId="0" applyNumberFormat="1" applyFont="1" applyBorder="1"/>
    <xf numFmtId="2" fontId="15" fillId="3" borderId="1" xfId="0" applyNumberFormat="1" applyFont="1" applyFill="1" applyBorder="1" applyAlignment="1">
      <alignment vertical="center" wrapText="1"/>
    </xf>
    <xf numFmtId="166" fontId="9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6" fillId="0" borderId="0" xfId="0" applyFont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4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5" fillId="0" borderId="5" xfId="0" applyFont="1" applyBorder="1" applyProtection="1">
      <protection hidden="1"/>
    </xf>
    <xf numFmtId="0" fontId="2" fillId="3" borderId="6" xfId="0" applyFont="1" applyFill="1" applyBorder="1" applyAlignment="1">
      <alignment vertical="center"/>
    </xf>
    <xf numFmtId="0" fontId="5" fillId="0" borderId="7" xfId="0" applyFont="1" applyBorder="1" applyProtection="1">
      <protection hidden="1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5" fillId="0" borderId="10" xfId="0" applyFont="1" applyBorder="1" applyProtection="1">
      <protection hidden="1"/>
    </xf>
    <xf numFmtId="0" fontId="6" fillId="0" borderId="0" xfId="0" applyFont="1" applyAlignment="1" applyProtection="1">
      <alignment horizontal="center" vertical="center"/>
      <protection hidden="1"/>
    </xf>
    <xf numFmtId="10" fontId="7" fillId="3" borderId="0" xfId="0" applyNumberFormat="1" applyFont="1" applyFill="1" applyAlignment="1">
      <alignment horizontal="center" vertical="center" wrapText="1"/>
    </xf>
    <xf numFmtId="0" fontId="16" fillId="2" borderId="0" xfId="3" applyFont="1" applyFill="1" applyAlignment="1">
      <alignment vertical="center"/>
    </xf>
    <xf numFmtId="0" fontId="16" fillId="2" borderId="0" xfId="3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17" fontId="9" fillId="2" borderId="0" xfId="0" applyNumberFormat="1" applyFont="1" applyFill="1" applyAlignment="1">
      <alignment vertical="center"/>
    </xf>
    <xf numFmtId="0" fontId="17" fillId="0" borderId="0" xfId="0" applyFont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horizontal="left" vertical="center" indent="2"/>
      <protection hidden="1"/>
    </xf>
    <xf numFmtId="0" fontId="9" fillId="2" borderId="1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wrapText="1"/>
    </xf>
    <xf numFmtId="0" fontId="16" fillId="2" borderId="11" xfId="3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19" fillId="2" borderId="0" xfId="3" applyFont="1" applyFill="1" applyAlignment="1">
      <alignment vertical="center" wrapText="1"/>
    </xf>
    <xf numFmtId="0" fontId="9" fillId="3" borderId="0" xfId="0" applyFont="1" applyFill="1" applyAlignment="1" applyProtection="1">
      <alignment horizontal="left" indent="1"/>
      <protection hidden="1"/>
    </xf>
    <xf numFmtId="17" fontId="9" fillId="2" borderId="11" xfId="0" applyNumberFormat="1" applyFont="1" applyFill="1" applyBorder="1" applyAlignment="1">
      <alignment vertical="center"/>
    </xf>
    <xf numFmtId="14" fontId="9" fillId="0" borderId="0" xfId="0" applyNumberFormat="1" applyFont="1" applyAlignment="1" applyProtection="1">
      <alignment horizontal="left" vertical="center"/>
      <protection hidden="1"/>
    </xf>
    <xf numFmtId="0" fontId="9" fillId="3" borderId="0" xfId="0" applyFont="1" applyFill="1" applyAlignment="1" applyProtection="1">
      <alignment vertical="center"/>
      <protection hidden="1"/>
    </xf>
    <xf numFmtId="0" fontId="22" fillId="2" borderId="0" xfId="3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22" fillId="0" borderId="0" xfId="0" applyFont="1" applyProtection="1">
      <protection hidden="1"/>
    </xf>
    <xf numFmtId="0" fontId="18" fillId="2" borderId="12" xfId="0" applyFont="1" applyFill="1" applyBorder="1" applyAlignment="1">
      <alignment vertical="center"/>
    </xf>
    <xf numFmtId="0" fontId="18" fillId="2" borderId="11" xfId="0" applyFont="1" applyFill="1" applyBorder="1" applyAlignment="1">
      <alignment vertical="center"/>
    </xf>
    <xf numFmtId="0" fontId="18" fillId="2" borderId="13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18" fillId="2" borderId="14" xfId="0" applyFont="1" applyFill="1" applyBorder="1" applyAlignment="1">
      <alignment vertical="center"/>
    </xf>
    <xf numFmtId="0" fontId="18" fillId="2" borderId="15" xfId="0" applyFont="1" applyFill="1" applyBorder="1" applyAlignment="1">
      <alignment vertical="center"/>
    </xf>
    <xf numFmtId="0" fontId="18" fillId="2" borderId="10" xfId="0" applyFont="1" applyFill="1" applyBorder="1" applyAlignment="1">
      <alignment vertical="center"/>
    </xf>
    <xf numFmtId="0" fontId="9" fillId="3" borderId="0" xfId="4" applyFont="1" applyFill="1" applyAlignment="1">
      <alignment vertical="center" wrapText="1"/>
    </xf>
    <xf numFmtId="3" fontId="9" fillId="3" borderId="0" xfId="0" applyNumberFormat="1" applyFont="1" applyFill="1" applyAlignment="1">
      <alignment vertical="center" wrapText="1"/>
    </xf>
    <xf numFmtId="0" fontId="9" fillId="3" borderId="20" xfId="4" applyFont="1" applyFill="1" applyBorder="1" applyAlignment="1">
      <alignment vertical="center"/>
    </xf>
    <xf numFmtId="0" fontId="9" fillId="3" borderId="21" xfId="4" applyFont="1" applyFill="1" applyBorder="1" applyAlignment="1">
      <alignment horizontal="center" vertical="center"/>
    </xf>
    <xf numFmtId="0" fontId="9" fillId="3" borderId="22" xfId="4" applyFont="1" applyFill="1" applyBorder="1" applyAlignment="1">
      <alignment horizontal="center" vertical="center"/>
    </xf>
    <xf numFmtId="0" fontId="9" fillId="3" borderId="24" xfId="4" applyFont="1" applyFill="1" applyBorder="1" applyAlignment="1">
      <alignment vertical="center"/>
    </xf>
    <xf numFmtId="0" fontId="9" fillId="3" borderId="25" xfId="4" applyFont="1" applyFill="1" applyBorder="1" applyAlignment="1">
      <alignment horizontal="center" vertical="center"/>
    </xf>
    <xf numFmtId="0" fontId="9" fillId="3" borderId="26" xfId="4" applyFont="1" applyFill="1" applyBorder="1" applyAlignment="1">
      <alignment horizontal="center" vertical="center"/>
    </xf>
    <xf numFmtId="1" fontId="9" fillId="3" borderId="0" xfId="4" applyNumberFormat="1" applyFont="1" applyFill="1" applyAlignment="1">
      <alignment vertical="center" wrapText="1"/>
    </xf>
    <xf numFmtId="168" fontId="21" fillId="3" borderId="0" xfId="0" applyNumberFormat="1" applyFont="1" applyFill="1" applyAlignment="1">
      <alignment vertical="center" wrapText="1"/>
    </xf>
    <xf numFmtId="0" fontId="9" fillId="3" borderId="0" xfId="4" applyFont="1" applyFill="1" applyAlignment="1">
      <alignment horizontal="center" vertical="center" wrapText="1"/>
    </xf>
    <xf numFmtId="0" fontId="16" fillId="0" borderId="0" xfId="0" applyFont="1" applyAlignment="1" applyProtection="1">
      <alignment vertical="center"/>
      <protection hidden="1"/>
    </xf>
    <xf numFmtId="4" fontId="9" fillId="3" borderId="0" xfId="4" applyNumberFormat="1" applyFont="1" applyFill="1" applyAlignment="1">
      <alignment horizontal="center" vertical="center" wrapText="1"/>
    </xf>
    <xf numFmtId="0" fontId="9" fillId="3" borderId="28" xfId="4" applyFont="1" applyFill="1" applyBorder="1" applyAlignment="1">
      <alignment vertical="center"/>
    </xf>
    <xf numFmtId="0" fontId="9" fillId="3" borderId="29" xfId="4" applyFont="1" applyFill="1" applyBorder="1" applyAlignment="1">
      <alignment horizontal="center" vertical="center"/>
    </xf>
    <xf numFmtId="0" fontId="9" fillId="3" borderId="30" xfId="4" applyFont="1" applyFill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9" fillId="3" borderId="17" xfId="4" applyFont="1" applyFill="1" applyBorder="1" applyAlignment="1">
      <alignment horizontal="center" vertical="center" wrapText="1"/>
    </xf>
    <xf numFmtId="0" fontId="9" fillId="3" borderId="18" xfId="4" applyFont="1" applyFill="1" applyBorder="1" applyAlignment="1">
      <alignment horizontal="center" vertical="center" wrapText="1"/>
    </xf>
    <xf numFmtId="0" fontId="9" fillId="3" borderId="19" xfId="4" applyFont="1" applyFill="1" applyBorder="1" applyAlignment="1">
      <alignment horizontal="center" vertical="center" wrapText="1"/>
    </xf>
    <xf numFmtId="169" fontId="16" fillId="3" borderId="0" xfId="4" applyNumberFormat="1" applyFont="1" applyFill="1" applyAlignment="1">
      <alignment wrapText="1"/>
    </xf>
    <xf numFmtId="170" fontId="24" fillId="0" borderId="0" xfId="5" applyNumberFormat="1" applyFont="1" applyBorder="1" applyAlignment="1" applyProtection="1">
      <alignment wrapText="1"/>
    </xf>
    <xf numFmtId="0" fontId="5" fillId="0" borderId="14" xfId="0" applyFont="1" applyBorder="1" applyProtection="1">
      <protection hidden="1"/>
    </xf>
    <xf numFmtId="169" fontId="16" fillId="3" borderId="1" xfId="4" applyNumberFormat="1" applyFont="1" applyFill="1" applyBorder="1" applyAlignment="1">
      <alignment horizontal="center" wrapText="1"/>
    </xf>
    <xf numFmtId="169" fontId="16" fillId="3" borderId="17" xfId="4" applyNumberFormat="1" applyFont="1" applyFill="1" applyBorder="1" applyAlignment="1">
      <alignment horizontal="center" wrapText="1"/>
    </xf>
    <xf numFmtId="3" fontId="9" fillId="3" borderId="14" xfId="0" applyNumberFormat="1" applyFont="1" applyFill="1" applyBorder="1" applyAlignment="1">
      <alignment vertical="center" wrapText="1"/>
    </xf>
    <xf numFmtId="168" fontId="21" fillId="3" borderId="14" xfId="0" applyNumberFormat="1" applyFont="1" applyFill="1" applyBorder="1" applyAlignment="1">
      <alignment vertical="center" wrapText="1"/>
    </xf>
    <xf numFmtId="0" fontId="16" fillId="0" borderId="14" xfId="0" applyFont="1" applyBorder="1" applyAlignment="1" applyProtection="1">
      <alignment vertical="center"/>
      <protection hidden="1"/>
    </xf>
    <xf numFmtId="169" fontId="16" fillId="3" borderId="32" xfId="4" applyNumberFormat="1" applyFont="1" applyFill="1" applyBorder="1" applyAlignment="1">
      <alignment wrapText="1"/>
    </xf>
    <xf numFmtId="170" fontId="24" fillId="0" borderId="32" xfId="5" applyNumberFormat="1" applyFont="1" applyBorder="1" applyAlignment="1" applyProtection="1">
      <alignment wrapText="1"/>
    </xf>
    <xf numFmtId="0" fontId="9" fillId="0" borderId="15" xfId="0" applyFont="1" applyBorder="1" applyAlignment="1" applyProtection="1">
      <alignment horizontal="left" vertical="center" indent="2"/>
      <protection hidden="1"/>
    </xf>
    <xf numFmtId="0" fontId="2" fillId="0" borderId="10" xfId="0" applyFont="1" applyBorder="1" applyAlignment="1" applyProtection="1">
      <alignment vertical="center"/>
      <protection hidden="1"/>
    </xf>
    <xf numFmtId="165" fontId="21" fillId="3" borderId="10" xfId="0" quotePrefix="1" applyNumberFormat="1" applyFont="1" applyFill="1" applyBorder="1" applyAlignment="1">
      <alignment horizontal="center" vertical="center" wrapText="1"/>
    </xf>
    <xf numFmtId="164" fontId="10" fillId="2" borderId="10" xfId="0" applyNumberFormat="1" applyFont="1" applyFill="1" applyBorder="1" applyAlignment="1">
      <alignment horizontal="center" vertical="center"/>
    </xf>
    <xf numFmtId="0" fontId="6" fillId="0" borderId="16" xfId="0" applyFont="1" applyBorder="1" applyAlignment="1" applyProtection="1">
      <alignment vertical="center"/>
      <protection hidden="1"/>
    </xf>
    <xf numFmtId="2" fontId="25" fillId="0" borderId="27" xfId="0" applyNumberFormat="1" applyFont="1" applyBorder="1" applyAlignment="1">
      <alignment horizontal="center"/>
    </xf>
    <xf numFmtId="170" fontId="25" fillId="0" borderId="31" xfId="5" applyNumberFormat="1" applyFont="1" applyBorder="1" applyAlignment="1" applyProtection="1">
      <alignment horizontal="center"/>
    </xf>
    <xf numFmtId="170" fontId="25" fillId="0" borderId="17" xfId="5" applyNumberFormat="1" applyFont="1" applyBorder="1" applyAlignment="1" applyProtection="1">
      <alignment horizontal="center" wrapText="1"/>
    </xf>
    <xf numFmtId="170" fontId="25" fillId="0" borderId="1" xfId="5" applyNumberFormat="1" applyFont="1" applyBorder="1" applyAlignment="1" applyProtection="1">
      <alignment horizontal="center" wrapText="1"/>
    </xf>
    <xf numFmtId="170" fontId="25" fillId="0" borderId="31" xfId="5" applyNumberFormat="1" applyFont="1" applyFill="1" applyBorder="1" applyAlignment="1" applyProtection="1">
      <alignment horizontal="center"/>
    </xf>
    <xf numFmtId="2" fontId="25" fillId="4" borderId="23" xfId="0" applyNumberFormat="1" applyFont="1" applyFill="1" applyBorder="1" applyAlignment="1" applyProtection="1">
      <alignment horizontal="center"/>
      <protection locked="0"/>
    </xf>
    <xf numFmtId="2" fontId="25" fillId="4" borderId="27" xfId="0" applyNumberFormat="1" applyFont="1" applyFill="1" applyBorder="1" applyAlignment="1" applyProtection="1">
      <alignment horizontal="center"/>
      <protection locked="0"/>
    </xf>
    <xf numFmtId="0" fontId="9" fillId="3" borderId="1" xfId="4" applyFont="1" applyFill="1" applyBorder="1" applyAlignment="1">
      <alignment horizontal="center" vertical="center"/>
    </xf>
    <xf numFmtId="0" fontId="9" fillId="0" borderId="0" xfId="0" applyFont="1" applyAlignment="1" applyProtection="1">
      <alignment vertical="center"/>
      <protection hidden="1"/>
    </xf>
    <xf numFmtId="0" fontId="9" fillId="3" borderId="0" xfId="4" applyFont="1" applyFill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14" xfId="0" applyFont="1" applyBorder="1" applyAlignment="1">
      <alignment vertical="center"/>
    </xf>
    <xf numFmtId="0" fontId="18" fillId="0" borderId="33" xfId="0" applyFont="1" applyBorder="1" applyAlignment="1">
      <alignment vertical="center"/>
    </xf>
    <xf numFmtId="2" fontId="9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vertical="center"/>
    </xf>
    <xf numFmtId="0" fontId="9" fillId="3" borderId="19" xfId="0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9" fillId="3" borderId="0" xfId="0" applyFont="1" applyFill="1" applyAlignment="1" applyProtection="1">
      <alignment horizontal="left" vertical="center"/>
      <protection hidden="1"/>
    </xf>
    <xf numFmtId="0" fontId="9" fillId="3" borderId="0" xfId="0" applyFont="1" applyFill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18" xfId="0" applyFont="1" applyBorder="1" applyAlignment="1">
      <alignment vertical="center"/>
    </xf>
    <xf numFmtId="0" fontId="9" fillId="0" borderId="19" xfId="0" applyFont="1" applyBorder="1" applyAlignment="1">
      <alignment horizontal="right" vertical="center"/>
    </xf>
    <xf numFmtId="0" fontId="26" fillId="0" borderId="19" xfId="0" applyFont="1" applyBorder="1" applyAlignment="1" applyProtection="1">
      <alignment vertical="center"/>
      <protection hidden="1"/>
    </xf>
    <xf numFmtId="0" fontId="13" fillId="2" borderId="0" xfId="4" applyFont="1" applyFill="1" applyAlignment="1">
      <alignment vertical="center"/>
    </xf>
    <xf numFmtId="0" fontId="17" fillId="0" borderId="10" xfId="0" applyFont="1" applyBorder="1" applyAlignment="1" applyProtection="1">
      <alignment vertical="center"/>
      <protection hidden="1"/>
    </xf>
    <xf numFmtId="0" fontId="13" fillId="2" borderId="10" xfId="4" applyFont="1" applyFill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9" fillId="3" borderId="1" xfId="0" applyFont="1" applyFill="1" applyBorder="1" applyAlignment="1" applyProtection="1">
      <alignment vertical="center"/>
      <protection locked="0"/>
    </xf>
    <xf numFmtId="0" fontId="9" fillId="3" borderId="19" xfId="0" applyFont="1" applyFill="1" applyBorder="1" applyAlignment="1" applyProtection="1">
      <alignment vertical="center"/>
      <protection hidden="1"/>
    </xf>
    <xf numFmtId="0" fontId="26" fillId="0" borderId="17" xfId="0" applyFont="1" applyBorder="1" applyAlignment="1" applyProtection="1">
      <alignment horizontal="left" vertical="center" indent="1"/>
      <protection hidden="1"/>
    </xf>
    <xf numFmtId="0" fontId="13" fillId="3" borderId="17" xfId="0" applyFont="1" applyFill="1" applyBorder="1" applyAlignment="1" applyProtection="1">
      <alignment horizontal="left" vertical="center" indent="1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16" fillId="0" borderId="0" xfId="0" applyFont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9" fillId="3" borderId="17" xfId="4" applyFont="1" applyFill="1" applyBorder="1" applyAlignment="1">
      <alignment horizontal="center" vertical="center" wrapText="1"/>
    </xf>
    <xf numFmtId="0" fontId="9" fillId="3" borderId="18" xfId="4" applyFont="1" applyFill="1" applyBorder="1" applyAlignment="1">
      <alignment horizontal="center" vertical="center" wrapText="1"/>
    </xf>
    <xf numFmtId="0" fontId="9" fillId="3" borderId="19" xfId="4" applyFont="1" applyFill="1" applyBorder="1" applyAlignment="1">
      <alignment horizontal="center" vertical="center" wrapText="1"/>
    </xf>
    <xf numFmtId="0" fontId="13" fillId="0" borderId="0" xfId="1" applyFont="1" applyBorder="1" applyAlignment="1" applyProtection="1">
      <alignment horizontal="center" vertical="center" wrapText="1"/>
    </xf>
    <xf numFmtId="0" fontId="2" fillId="0" borderId="15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6" xfId="0" applyFont="1" applyBorder="1" applyAlignment="1" applyProtection="1">
      <alignment horizontal="center" vertical="center" wrapText="1"/>
      <protection hidden="1"/>
    </xf>
    <xf numFmtId="0" fontId="20" fillId="2" borderId="0" xfId="0" applyFont="1" applyFill="1" applyAlignment="1">
      <alignment horizontal="center" vertical="center"/>
    </xf>
    <xf numFmtId="167" fontId="20" fillId="0" borderId="0" xfId="0" applyNumberFormat="1" applyFont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16" fillId="2" borderId="0" xfId="3" applyFont="1" applyFill="1" applyAlignment="1">
      <alignment horizontal="center" vertical="center"/>
    </xf>
    <xf numFmtId="0" fontId="22" fillId="2" borderId="0" xfId="3" applyFont="1" applyFill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9" fillId="3" borderId="0" xfId="0" applyFont="1" applyFill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/>
    </xf>
    <xf numFmtId="0" fontId="16" fillId="5" borderId="1" xfId="0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 applyAlignment="1" applyProtection="1">
      <alignment vertical="center"/>
      <protection locked="0"/>
    </xf>
    <xf numFmtId="0" fontId="16" fillId="5" borderId="1" xfId="0" applyFont="1" applyFill="1" applyBorder="1" applyAlignment="1" applyProtection="1">
      <alignment horizontal="center" vertical="center"/>
      <protection locked="0"/>
    </xf>
  </cellXfs>
  <cellStyles count="6">
    <cellStyle name="Hipervínculo" xfId="1" builtinId="8"/>
    <cellStyle name="Normal" xfId="0" builtinId="0"/>
    <cellStyle name="Normal 2" xfId="4" xr:uid="{00000000-0005-0000-0000-000002000000}"/>
    <cellStyle name="Normal 4" xfId="2" xr:uid="{00000000-0005-0000-0000-000003000000}"/>
    <cellStyle name="Normal_ENSAYOS" xfId="3" xr:uid="{00000000-0005-0000-0000-000004000000}"/>
    <cellStyle name="Porcentaje" xfId="5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51</xdr:row>
      <xdr:rowOff>121920</xdr:rowOff>
    </xdr:from>
    <xdr:to>
      <xdr:col>8</xdr:col>
      <xdr:colOff>0</xdr:colOff>
      <xdr:row>51</xdr:row>
      <xdr:rowOff>121920</xdr:rowOff>
    </xdr:to>
    <xdr:cxnSp macro="">
      <xdr:nvCxnSpPr>
        <xdr:cNvPr id="317807" name="2 Conector recto">
          <a:extLst>
            <a:ext uri="{FF2B5EF4-FFF2-40B4-BE49-F238E27FC236}">
              <a16:creationId xmlns:a16="http://schemas.microsoft.com/office/drawing/2014/main" id="{00000000-0008-0000-0000-00006FD90400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0485120"/>
          <a:ext cx="672846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198120</xdr:colOff>
      <xdr:row>9</xdr:row>
      <xdr:rowOff>68580</xdr:rowOff>
    </xdr:from>
    <xdr:to>
      <xdr:col>3</xdr:col>
      <xdr:colOff>22680</xdr:colOff>
      <xdr:row>10</xdr:row>
      <xdr:rowOff>144780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005840" y="1653540"/>
          <a:ext cx="1440000" cy="2743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MUESTRA</a:t>
          </a:r>
        </a:p>
      </xdr:txBody>
    </xdr:sp>
    <xdr:clientData/>
  </xdr:twoCellAnchor>
  <xdr:twoCellAnchor>
    <xdr:from>
      <xdr:col>3</xdr:col>
      <xdr:colOff>60960</xdr:colOff>
      <xdr:row>9</xdr:row>
      <xdr:rowOff>68580</xdr:rowOff>
    </xdr:from>
    <xdr:to>
      <xdr:col>4</xdr:col>
      <xdr:colOff>693240</xdr:colOff>
      <xdr:row>10</xdr:row>
      <xdr:rowOff>144780</xdr:rowOff>
    </xdr:to>
    <xdr:sp macro="" textlink="">
      <xdr:nvSpPr>
        <xdr:cNvPr id="5" name="6 CuadroTex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484120" y="1653540"/>
          <a:ext cx="1440000" cy="2743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N°</a:t>
          </a:r>
          <a:r>
            <a:rPr lang="es-PE" sz="900" baseline="0">
              <a:latin typeface="Arial" panose="020B0604020202020204" pitchFamily="34" charset="0"/>
              <a:cs typeface="Arial" panose="020B0604020202020204" pitchFamily="34" charset="0"/>
            </a:rPr>
            <a:t> OT</a:t>
          </a:r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739140</xdr:colOff>
      <xdr:row>9</xdr:row>
      <xdr:rowOff>68580</xdr:rowOff>
    </xdr:from>
    <xdr:to>
      <xdr:col>6</xdr:col>
      <xdr:colOff>563700</xdr:colOff>
      <xdr:row>10</xdr:row>
      <xdr:rowOff>144780</xdr:rowOff>
    </xdr:to>
    <xdr:sp macro="" textlink="">
      <xdr:nvSpPr>
        <xdr:cNvPr id="6" name="8 CuadroTex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970020" y="1653540"/>
          <a:ext cx="1440000" cy="2743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</a:t>
          </a:r>
        </a:p>
      </xdr:txBody>
    </xdr:sp>
    <xdr:clientData/>
  </xdr:twoCellAnchor>
  <xdr:twoCellAnchor>
    <xdr:from>
      <xdr:col>1</xdr:col>
      <xdr:colOff>198120</xdr:colOff>
      <xdr:row>10</xdr:row>
      <xdr:rowOff>175260</xdr:rowOff>
    </xdr:from>
    <xdr:to>
      <xdr:col>3</xdr:col>
      <xdr:colOff>22680</xdr:colOff>
      <xdr:row>12</xdr:row>
      <xdr:rowOff>97500</xdr:rowOff>
    </xdr:to>
    <xdr:sp macro="" textlink="">
      <xdr:nvSpPr>
        <xdr:cNvPr id="7" name="4 Rectángul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005840" y="1958340"/>
          <a:ext cx="1440000" cy="31848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60960</xdr:colOff>
      <xdr:row>10</xdr:row>
      <xdr:rowOff>182880</xdr:rowOff>
    </xdr:from>
    <xdr:to>
      <xdr:col>4</xdr:col>
      <xdr:colOff>693240</xdr:colOff>
      <xdr:row>12</xdr:row>
      <xdr:rowOff>105120</xdr:rowOff>
    </xdr:to>
    <xdr:sp macro="" textlink="">
      <xdr:nvSpPr>
        <xdr:cNvPr id="8" name="4 Rectángul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484120" y="1965960"/>
          <a:ext cx="1440000" cy="31848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739140</xdr:colOff>
      <xdr:row>10</xdr:row>
      <xdr:rowOff>182880</xdr:rowOff>
    </xdr:from>
    <xdr:to>
      <xdr:col>6</xdr:col>
      <xdr:colOff>563700</xdr:colOff>
      <xdr:row>12</xdr:row>
      <xdr:rowOff>105120</xdr:rowOff>
    </xdr:to>
    <xdr:sp macro="" textlink="">
      <xdr:nvSpPr>
        <xdr:cNvPr id="9" name="4 Rectángul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970020" y="1965960"/>
          <a:ext cx="1440000" cy="31848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0</xdr:colOff>
      <xdr:row>6</xdr:row>
      <xdr:rowOff>190500</xdr:rowOff>
    </xdr:from>
    <xdr:to>
      <xdr:col>16</xdr:col>
      <xdr:colOff>428940</xdr:colOff>
      <xdr:row>8</xdr:row>
      <xdr:rowOff>10260</xdr:rowOff>
    </xdr:to>
    <xdr:sp macro="" textlink="">
      <xdr:nvSpPr>
        <xdr:cNvPr id="10" name="8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9624060" y="1181100"/>
          <a:ext cx="255492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CONDICIONES DE SECADO</a:t>
          </a:r>
        </a:p>
      </xdr:txBody>
    </xdr:sp>
    <xdr:clientData/>
  </xdr:twoCellAnchor>
  <xdr:twoCellAnchor>
    <xdr:from>
      <xdr:col>13</xdr:col>
      <xdr:colOff>0</xdr:colOff>
      <xdr:row>8</xdr:row>
      <xdr:rowOff>7620</xdr:rowOff>
    </xdr:from>
    <xdr:to>
      <xdr:col>15</xdr:col>
      <xdr:colOff>318540</xdr:colOff>
      <xdr:row>9</xdr:row>
      <xdr:rowOff>25500</xdr:rowOff>
    </xdr:to>
    <xdr:sp macro="" textlink="">
      <xdr:nvSpPr>
        <xdr:cNvPr id="11" name="8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9624060" y="1394460"/>
          <a:ext cx="17358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AL AIRE</a:t>
          </a:r>
        </a:p>
      </xdr:txBody>
    </xdr:sp>
    <xdr:clientData/>
  </xdr:twoCellAnchor>
  <xdr:twoCellAnchor>
    <xdr:from>
      <xdr:col>13</xdr:col>
      <xdr:colOff>0</xdr:colOff>
      <xdr:row>9</xdr:row>
      <xdr:rowOff>22860</xdr:rowOff>
    </xdr:from>
    <xdr:to>
      <xdr:col>15</xdr:col>
      <xdr:colOff>318540</xdr:colOff>
      <xdr:row>10</xdr:row>
      <xdr:rowOff>40740</xdr:rowOff>
    </xdr:to>
    <xdr:sp macro="" textlink="">
      <xdr:nvSpPr>
        <xdr:cNvPr id="12" name="8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9624060" y="1607820"/>
          <a:ext cx="17358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EN HORNO 60°C</a:t>
          </a:r>
        </a:p>
      </xdr:txBody>
    </xdr:sp>
    <xdr:clientData/>
  </xdr:twoCellAnchor>
  <xdr:twoCellAnchor>
    <xdr:from>
      <xdr:col>15</xdr:col>
      <xdr:colOff>320040</xdr:colOff>
      <xdr:row>8</xdr:row>
      <xdr:rowOff>7620</xdr:rowOff>
    </xdr:from>
    <xdr:to>
      <xdr:col>16</xdr:col>
      <xdr:colOff>430440</xdr:colOff>
      <xdr:row>9</xdr:row>
      <xdr:rowOff>25500</xdr:rowOff>
    </xdr:to>
    <xdr:sp macro="" textlink="">
      <xdr:nvSpPr>
        <xdr:cNvPr id="13" name="8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1361420" y="1394460"/>
          <a:ext cx="8190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320040</xdr:colOff>
      <xdr:row>9</xdr:row>
      <xdr:rowOff>22860</xdr:rowOff>
    </xdr:from>
    <xdr:to>
      <xdr:col>16</xdr:col>
      <xdr:colOff>430440</xdr:colOff>
      <xdr:row>10</xdr:row>
      <xdr:rowOff>40740</xdr:rowOff>
    </xdr:to>
    <xdr:sp macro="" textlink="">
      <xdr:nvSpPr>
        <xdr:cNvPr id="14" name="8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1361420" y="1607820"/>
          <a:ext cx="8190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13</xdr:col>
      <xdr:colOff>624840</xdr:colOff>
      <xdr:row>7</xdr:row>
      <xdr:rowOff>7620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0698480" y="1196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1</xdr:col>
      <xdr:colOff>152401</xdr:colOff>
      <xdr:row>43</xdr:row>
      <xdr:rowOff>45720</xdr:rowOff>
    </xdr:from>
    <xdr:to>
      <xdr:col>2</xdr:col>
      <xdr:colOff>784681</xdr:colOff>
      <xdr:row>46</xdr:row>
      <xdr:rowOff>53340</xdr:rowOff>
    </xdr:to>
    <xdr:sp macro="" textlink="">
      <xdr:nvSpPr>
        <xdr:cNvPr id="18" name="12 Rectángul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960121" y="9311640"/>
          <a:ext cx="1440000" cy="6019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1</xdr:col>
      <xdr:colOff>152400</xdr:colOff>
      <xdr:row>46</xdr:row>
      <xdr:rowOff>91440</xdr:rowOff>
    </xdr:from>
    <xdr:to>
      <xdr:col>2</xdr:col>
      <xdr:colOff>784680</xdr:colOff>
      <xdr:row>47</xdr:row>
      <xdr:rowOff>175260</xdr:rowOff>
    </xdr:to>
    <xdr:sp macro="" textlink="">
      <xdr:nvSpPr>
        <xdr:cNvPr id="19" name="13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960120" y="9951720"/>
          <a:ext cx="144000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Realizado</a:t>
          </a:r>
        </a:p>
      </xdr:txBody>
    </xdr:sp>
    <xdr:clientData/>
  </xdr:twoCellAnchor>
  <xdr:twoCellAnchor>
    <xdr:from>
      <xdr:col>3</xdr:col>
      <xdr:colOff>156210</xdr:colOff>
      <xdr:row>43</xdr:row>
      <xdr:rowOff>55245</xdr:rowOff>
    </xdr:from>
    <xdr:to>
      <xdr:col>4</xdr:col>
      <xdr:colOff>788490</xdr:colOff>
      <xdr:row>46</xdr:row>
      <xdr:rowOff>62865</xdr:rowOff>
    </xdr:to>
    <xdr:sp macro="" textlink="">
      <xdr:nvSpPr>
        <xdr:cNvPr id="20" name="14 Rectángul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579370" y="9321165"/>
          <a:ext cx="1440000" cy="6019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3</xdr:col>
      <xdr:colOff>154306</xdr:colOff>
      <xdr:row>46</xdr:row>
      <xdr:rowOff>91440</xdr:rowOff>
    </xdr:from>
    <xdr:to>
      <xdr:col>4</xdr:col>
      <xdr:colOff>786586</xdr:colOff>
      <xdr:row>47</xdr:row>
      <xdr:rowOff>175260</xdr:rowOff>
    </xdr:to>
    <xdr:sp macro="" textlink="">
      <xdr:nvSpPr>
        <xdr:cNvPr id="21" name="15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577466" y="9951720"/>
          <a:ext cx="144000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Revisado</a:t>
          </a:r>
        </a:p>
      </xdr:txBody>
    </xdr:sp>
    <xdr:clientData/>
  </xdr:twoCellAnchor>
  <xdr:twoCellAnchor>
    <xdr:from>
      <xdr:col>5</xdr:col>
      <xdr:colOff>150496</xdr:colOff>
      <xdr:row>43</xdr:row>
      <xdr:rowOff>45720</xdr:rowOff>
    </xdr:from>
    <xdr:to>
      <xdr:col>6</xdr:col>
      <xdr:colOff>782776</xdr:colOff>
      <xdr:row>46</xdr:row>
      <xdr:rowOff>53340</xdr:rowOff>
    </xdr:to>
    <xdr:sp macro="" textlink="">
      <xdr:nvSpPr>
        <xdr:cNvPr id="22" name="16 Rectángul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4189096" y="9311640"/>
          <a:ext cx="1440000" cy="6019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5</xdr:col>
      <xdr:colOff>152400</xdr:colOff>
      <xdr:row>46</xdr:row>
      <xdr:rowOff>91440</xdr:rowOff>
    </xdr:from>
    <xdr:to>
      <xdr:col>6</xdr:col>
      <xdr:colOff>784680</xdr:colOff>
      <xdr:row>47</xdr:row>
      <xdr:rowOff>175260</xdr:rowOff>
    </xdr:to>
    <xdr:sp macro="" textlink="">
      <xdr:nvSpPr>
        <xdr:cNvPr id="23" name="17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191000" y="9951720"/>
          <a:ext cx="144000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Aprobado</a:t>
          </a:r>
        </a:p>
      </xdr:txBody>
    </xdr:sp>
    <xdr:clientData/>
  </xdr:twoCellAnchor>
  <xdr:twoCellAnchor>
    <xdr:from>
      <xdr:col>2</xdr:col>
      <xdr:colOff>144780</xdr:colOff>
      <xdr:row>15</xdr:row>
      <xdr:rowOff>106680</xdr:rowOff>
    </xdr:from>
    <xdr:to>
      <xdr:col>5</xdr:col>
      <xdr:colOff>154620</xdr:colOff>
      <xdr:row>16</xdr:row>
      <xdr:rowOff>185520</xdr:rowOff>
    </xdr:to>
    <xdr:sp macro="" textlink="">
      <xdr:nvSpPr>
        <xdr:cNvPr id="24" name="8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1836420" y="3139440"/>
          <a:ext cx="254730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CONDICIONES DE SECADO</a:t>
          </a:r>
        </a:p>
      </xdr:txBody>
    </xdr:sp>
    <xdr:clientData/>
  </xdr:twoCellAnchor>
  <xdr:twoCellAnchor>
    <xdr:from>
      <xdr:col>2</xdr:col>
      <xdr:colOff>144780</xdr:colOff>
      <xdr:row>16</xdr:row>
      <xdr:rowOff>182880</xdr:rowOff>
    </xdr:from>
    <xdr:to>
      <xdr:col>4</xdr:col>
      <xdr:colOff>189000</xdr:colOff>
      <xdr:row>18</xdr:row>
      <xdr:rowOff>2640</xdr:rowOff>
    </xdr:to>
    <xdr:sp macro="" textlink="">
      <xdr:nvSpPr>
        <xdr:cNvPr id="25" name="8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836420" y="3352800"/>
          <a:ext cx="17358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AL AIRE</a:t>
          </a:r>
        </a:p>
      </xdr:txBody>
    </xdr:sp>
    <xdr:clientData/>
  </xdr:twoCellAnchor>
  <xdr:twoCellAnchor>
    <xdr:from>
      <xdr:col>2</xdr:col>
      <xdr:colOff>144780</xdr:colOff>
      <xdr:row>18</xdr:row>
      <xdr:rowOff>0</xdr:rowOff>
    </xdr:from>
    <xdr:to>
      <xdr:col>4</xdr:col>
      <xdr:colOff>189000</xdr:colOff>
      <xdr:row>19</xdr:row>
      <xdr:rowOff>17880</xdr:rowOff>
    </xdr:to>
    <xdr:sp macro="" textlink="">
      <xdr:nvSpPr>
        <xdr:cNvPr id="26" name="8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836420" y="3566160"/>
          <a:ext cx="17358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EN HORNO 60°C</a:t>
          </a:r>
        </a:p>
      </xdr:txBody>
    </xdr:sp>
    <xdr:clientData/>
  </xdr:twoCellAnchor>
  <xdr:twoCellAnchor>
    <xdr:from>
      <xdr:col>4</xdr:col>
      <xdr:colOff>190500</xdr:colOff>
      <xdr:row>16</xdr:row>
      <xdr:rowOff>182880</xdr:rowOff>
    </xdr:from>
    <xdr:to>
      <xdr:col>5</xdr:col>
      <xdr:colOff>156120</xdr:colOff>
      <xdr:row>18</xdr:row>
      <xdr:rowOff>2640</xdr:rowOff>
    </xdr:to>
    <xdr:sp macro="" textlink="">
      <xdr:nvSpPr>
        <xdr:cNvPr id="27" name="8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3573780" y="3352800"/>
          <a:ext cx="81144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190500</xdr:colOff>
      <xdr:row>18</xdr:row>
      <xdr:rowOff>0</xdr:rowOff>
    </xdr:from>
    <xdr:to>
      <xdr:col>5</xdr:col>
      <xdr:colOff>156120</xdr:colOff>
      <xdr:row>19</xdr:row>
      <xdr:rowOff>17880</xdr:rowOff>
    </xdr:to>
    <xdr:sp macro="" textlink="">
      <xdr:nvSpPr>
        <xdr:cNvPr id="28" name="8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3573780" y="3566160"/>
          <a:ext cx="81144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15240</xdr:colOff>
      <xdr:row>0</xdr:row>
      <xdr:rowOff>62865</xdr:rowOff>
    </xdr:from>
    <xdr:to>
      <xdr:col>5</xdr:col>
      <xdr:colOff>556260</xdr:colOff>
      <xdr:row>4</xdr:row>
      <xdr:rowOff>134669</xdr:rowOff>
    </xdr:to>
    <xdr:pic>
      <xdr:nvPicPr>
        <xdr:cNvPr id="29" name="1 Imagen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029" b="29668"/>
        <a:stretch>
          <a:fillRect/>
        </a:stretch>
      </xdr:blipFill>
      <xdr:spPr bwMode="auto">
        <a:xfrm>
          <a:off x="1706880" y="62865"/>
          <a:ext cx="3078480" cy="864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46</xdr:row>
      <xdr:rowOff>121920</xdr:rowOff>
    </xdr:from>
    <xdr:to>
      <xdr:col>8</xdr:col>
      <xdr:colOff>0</xdr:colOff>
      <xdr:row>46</xdr:row>
      <xdr:rowOff>121920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1018520"/>
          <a:ext cx="672084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13</xdr:col>
      <xdr:colOff>624840</xdr:colOff>
      <xdr:row>7</xdr:row>
      <xdr:rowOff>7620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10553700" y="1394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 editAs="oneCell">
    <xdr:from>
      <xdr:col>3</xdr:col>
      <xdr:colOff>624840</xdr:colOff>
      <xdr:row>0</xdr:row>
      <xdr:rowOff>75338</xdr:rowOff>
    </xdr:from>
    <xdr:to>
      <xdr:col>4</xdr:col>
      <xdr:colOff>441960</xdr:colOff>
      <xdr:row>4</xdr:row>
      <xdr:rowOff>125890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B842F52-94FE-47B0-9DC3-4C962A3AE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75338"/>
          <a:ext cx="1432560" cy="843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68580</xdr:colOff>
      <xdr:row>38</xdr:row>
      <xdr:rowOff>118110</xdr:rowOff>
    </xdr:from>
    <xdr:to>
      <xdr:col>3</xdr:col>
      <xdr:colOff>1280160</xdr:colOff>
      <xdr:row>42</xdr:row>
      <xdr:rowOff>133350</xdr:rowOff>
    </xdr:to>
    <xdr:sp macro="" textlink="">
      <xdr:nvSpPr>
        <xdr:cNvPr id="31" name="14 Rectángulo">
          <a:extLst>
            <a:ext uri="{FF2B5EF4-FFF2-40B4-BE49-F238E27FC236}">
              <a16:creationId xmlns:a16="http://schemas.microsoft.com/office/drawing/2014/main" id="{B44C0A31-34C7-4A8F-89FC-B77225BB6FBE}"/>
            </a:ext>
          </a:extLst>
        </xdr:cNvPr>
        <xdr:cNvSpPr/>
      </xdr:nvSpPr>
      <xdr:spPr>
        <a:xfrm>
          <a:off x="68580" y="8576310"/>
          <a:ext cx="3002280" cy="80772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Revisado</a:t>
          </a:r>
          <a:r>
            <a:rPr lang="es-PE" sz="1050" baseline="0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endParaRPr lang="es-PE" sz="105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50" baseline="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  <a:endParaRPr lang="es-PE" sz="105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1605916</xdr:colOff>
      <xdr:row>38</xdr:row>
      <xdr:rowOff>118111</xdr:rowOff>
    </xdr:from>
    <xdr:to>
      <xdr:col>7</xdr:col>
      <xdr:colOff>636270</xdr:colOff>
      <xdr:row>42</xdr:row>
      <xdr:rowOff>123826</xdr:rowOff>
    </xdr:to>
    <xdr:sp macro="" textlink="">
      <xdr:nvSpPr>
        <xdr:cNvPr id="32" name="16 Rectángulo">
          <a:extLst>
            <a:ext uri="{FF2B5EF4-FFF2-40B4-BE49-F238E27FC236}">
              <a16:creationId xmlns:a16="http://schemas.microsoft.com/office/drawing/2014/main" id="{2F779A13-AA70-46EF-BBF6-214162A5BC14}"/>
            </a:ext>
          </a:extLst>
        </xdr:cNvPr>
        <xdr:cNvSpPr/>
      </xdr:nvSpPr>
      <xdr:spPr>
        <a:xfrm>
          <a:off x="3396616" y="8576311"/>
          <a:ext cx="3183254" cy="79819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Aprobado:</a:t>
          </a:r>
        </a:p>
        <a:p>
          <a:endParaRPr lang="es-PE" sz="105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2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K55"/>
  <sheetViews>
    <sheetView showGridLines="0" topLeftCell="A22" zoomScaleNormal="100" zoomScaleSheetLayoutView="100" workbookViewId="0">
      <selection activeCell="F26" sqref="F26"/>
    </sheetView>
  </sheetViews>
  <sheetFormatPr baseColWidth="10" defaultColWidth="10.33203125" defaultRowHeight="13.8" x14ac:dyDescent="0.25"/>
  <cols>
    <col min="1" max="8" width="12.33203125" style="1" customWidth="1"/>
    <col min="9" max="9" width="6.44140625" style="1" customWidth="1"/>
    <col min="10" max="10" width="8" style="1" customWidth="1"/>
    <col min="11" max="12" width="10.6640625" style="1" customWidth="1"/>
    <col min="13" max="16384" width="10.33203125" style="1"/>
  </cols>
  <sheetData>
    <row r="1" spans="1:10" ht="15.75" customHeight="1" thickTop="1" x14ac:dyDescent="0.25">
      <c r="A1" s="20"/>
      <c r="B1" s="21"/>
      <c r="C1" s="22"/>
      <c r="D1" s="22"/>
      <c r="E1" s="22"/>
      <c r="F1" s="22"/>
      <c r="G1" s="22"/>
      <c r="H1" s="23"/>
    </row>
    <row r="2" spans="1:10" ht="15.75" customHeight="1" x14ac:dyDescent="0.25">
      <c r="A2" s="24"/>
      <c r="B2" s="17"/>
      <c r="C2" s="18"/>
      <c r="D2" s="18"/>
      <c r="E2" s="18"/>
      <c r="F2" s="18"/>
      <c r="G2" s="18"/>
      <c r="H2" s="25"/>
    </row>
    <row r="3" spans="1:10" ht="15.75" customHeight="1" x14ac:dyDescent="0.25">
      <c r="A3" s="24"/>
      <c r="B3" s="17"/>
      <c r="C3" s="18"/>
      <c r="D3" s="18"/>
      <c r="E3" s="18"/>
      <c r="F3" s="18"/>
      <c r="G3" s="18"/>
      <c r="H3" s="25"/>
    </row>
    <row r="4" spans="1:10" ht="15.75" customHeight="1" x14ac:dyDescent="0.25">
      <c r="A4" s="24"/>
      <c r="B4" s="17"/>
      <c r="C4" s="18"/>
      <c r="D4" s="18"/>
      <c r="E4" s="18"/>
      <c r="F4" s="18"/>
      <c r="G4" s="18"/>
      <c r="H4" s="25"/>
    </row>
    <row r="5" spans="1:10" ht="15.75" customHeight="1" thickBot="1" x14ac:dyDescent="0.3">
      <c r="A5" s="26"/>
      <c r="B5" s="19"/>
      <c r="C5" s="19"/>
      <c r="D5" s="19"/>
      <c r="E5" s="19"/>
      <c r="F5" s="19"/>
      <c r="G5" s="19"/>
      <c r="H5" s="27"/>
    </row>
    <row r="6" spans="1:10" ht="15.75" customHeight="1" thickTop="1" x14ac:dyDescent="0.25">
      <c r="A6" s="16"/>
      <c r="B6" s="16"/>
      <c r="C6" s="16"/>
      <c r="D6" s="16"/>
      <c r="E6" s="16"/>
      <c r="F6" s="16"/>
      <c r="G6" s="16"/>
      <c r="H6" s="16"/>
    </row>
    <row r="7" spans="1:10" ht="15.9" customHeight="1" x14ac:dyDescent="0.25">
      <c r="A7" s="16"/>
      <c r="B7" s="16"/>
      <c r="C7" s="16"/>
      <c r="D7" s="16"/>
      <c r="E7" s="16"/>
      <c r="F7" s="16"/>
      <c r="G7" s="16"/>
      <c r="H7" s="16"/>
    </row>
    <row r="8" spans="1:10" ht="15.9" customHeight="1" x14ac:dyDescent="0.25">
      <c r="A8" s="140" t="s">
        <v>15</v>
      </c>
      <c r="B8" s="140"/>
      <c r="C8" s="140"/>
      <c r="D8" s="140"/>
      <c r="E8" s="140"/>
      <c r="F8" s="140"/>
      <c r="G8" s="140"/>
      <c r="H8" s="140"/>
    </row>
    <row r="9" spans="1:10" ht="15.9" customHeight="1" x14ac:dyDescent="0.25">
      <c r="A9" s="141" t="s">
        <v>35</v>
      </c>
      <c r="B9" s="141"/>
      <c r="C9" s="141"/>
      <c r="D9" s="141"/>
      <c r="E9" s="141"/>
      <c r="F9" s="141"/>
      <c r="G9" s="141"/>
      <c r="H9" s="141"/>
    </row>
    <row r="10" spans="1:10" ht="15.9" customHeight="1" x14ac:dyDescent="0.25">
      <c r="A10" s="28"/>
      <c r="B10" s="28"/>
      <c r="C10" s="28"/>
      <c r="D10" s="28"/>
      <c r="E10" s="28"/>
      <c r="F10" s="28"/>
      <c r="G10" s="28"/>
      <c r="H10" s="28"/>
    </row>
    <row r="11" spans="1:10" ht="15.9" customHeight="1" x14ac:dyDescent="0.25">
      <c r="B11" s="32"/>
      <c r="C11" s="32"/>
      <c r="D11" s="32"/>
      <c r="E11" s="32"/>
      <c r="F11" s="32"/>
      <c r="G11" s="32"/>
      <c r="H11" s="44"/>
      <c r="I11" s="15"/>
      <c r="J11" s="15"/>
    </row>
    <row r="12" spans="1:10" ht="15.9" customHeight="1" x14ac:dyDescent="0.25">
      <c r="A12" s="32"/>
      <c r="B12" s="32"/>
      <c r="C12" s="32"/>
      <c r="D12" s="32"/>
      <c r="E12" s="32"/>
      <c r="F12" s="32"/>
      <c r="G12" s="32"/>
      <c r="H12" s="34"/>
      <c r="I12" s="15"/>
      <c r="J12" s="15"/>
    </row>
    <row r="13" spans="1:10" ht="15.9" customHeight="1" x14ac:dyDescent="0.25">
      <c r="A13" s="32"/>
      <c r="B13" s="42"/>
      <c r="C13" s="42"/>
      <c r="D13" s="42"/>
      <c r="E13" s="42"/>
      <c r="F13" s="42"/>
      <c r="G13" s="42"/>
      <c r="H13" s="35"/>
      <c r="I13" s="15"/>
      <c r="J13" s="15"/>
    </row>
    <row r="14" spans="1:10" ht="18" customHeight="1" x14ac:dyDescent="0.25">
      <c r="A14" s="142" t="s">
        <v>17</v>
      </c>
      <c r="B14" s="143"/>
      <c r="C14" s="143"/>
      <c r="D14" s="143"/>
      <c r="E14" s="143"/>
      <c r="F14" s="143"/>
      <c r="G14" s="143"/>
      <c r="H14" s="144"/>
      <c r="I14" s="15"/>
      <c r="J14" s="15"/>
    </row>
    <row r="15" spans="1:10" ht="18" customHeight="1" x14ac:dyDescent="0.25">
      <c r="A15" s="137" t="s">
        <v>18</v>
      </c>
      <c r="B15" s="138"/>
      <c r="C15" s="138"/>
      <c r="D15" s="138"/>
      <c r="E15" s="138"/>
      <c r="F15" s="138"/>
      <c r="G15" s="138"/>
      <c r="H15" s="139"/>
      <c r="I15" s="15"/>
      <c r="J15" s="15"/>
    </row>
    <row r="16" spans="1:10" ht="11.25" customHeight="1" x14ac:dyDescent="0.25">
      <c r="A16" s="43"/>
      <c r="B16" s="40"/>
      <c r="C16" s="40"/>
      <c r="D16" s="40"/>
      <c r="E16" s="40"/>
      <c r="F16" s="40"/>
      <c r="G16" s="40"/>
      <c r="H16" s="47"/>
      <c r="I16" s="15"/>
      <c r="J16" s="15"/>
    </row>
    <row r="17" spans="1:11" ht="15.9" customHeight="1" x14ac:dyDescent="0.25">
      <c r="B17" s="146"/>
      <c r="C17" s="146"/>
      <c r="D17" s="146"/>
      <c r="F17" s="146"/>
      <c r="G17" s="146"/>
      <c r="H17" s="45"/>
      <c r="J17" s="15"/>
    </row>
    <row r="18" spans="1:11" ht="15.9" customHeight="1" x14ac:dyDescent="0.25">
      <c r="B18" s="50"/>
      <c r="C18" s="52"/>
      <c r="D18" s="51"/>
      <c r="F18" s="50"/>
      <c r="H18" s="36"/>
      <c r="J18" s="15"/>
    </row>
    <row r="19" spans="1:11" ht="15.9" customHeight="1" x14ac:dyDescent="0.25">
      <c r="B19" s="50"/>
      <c r="C19" s="52"/>
      <c r="D19" s="51"/>
      <c r="F19" s="50"/>
      <c r="H19" s="48"/>
      <c r="J19" s="15"/>
      <c r="K19" s="41"/>
    </row>
    <row r="20" spans="1:11" ht="12" customHeight="1" x14ac:dyDescent="0.25">
      <c r="A20" s="29"/>
      <c r="B20" s="29"/>
      <c r="C20" s="29"/>
      <c r="D20" s="29"/>
      <c r="E20" s="29"/>
      <c r="F20" s="29"/>
      <c r="G20" s="29"/>
      <c r="H20" s="29"/>
      <c r="J20" s="15"/>
    </row>
    <row r="21" spans="1:11" ht="18.75" customHeight="1" x14ac:dyDescent="0.25">
      <c r="A21" s="53"/>
      <c r="B21" s="54"/>
      <c r="C21" s="54"/>
      <c r="D21" s="54"/>
      <c r="E21" s="54"/>
      <c r="F21" s="54"/>
      <c r="G21" s="54"/>
      <c r="H21" s="55"/>
      <c r="I21" s="15"/>
      <c r="J21" s="30"/>
    </row>
    <row r="22" spans="1:11" ht="18.75" customHeight="1" x14ac:dyDescent="0.25">
      <c r="A22" s="147" t="s">
        <v>19</v>
      </c>
      <c r="B22" s="148"/>
      <c r="C22" s="148"/>
      <c r="D22" s="148"/>
      <c r="E22" s="148"/>
      <c r="F22" s="149"/>
      <c r="G22" s="76"/>
      <c r="H22" s="82"/>
      <c r="I22" s="76"/>
      <c r="J22" s="31"/>
    </row>
    <row r="23" spans="1:11" ht="18.75" customHeight="1" x14ac:dyDescent="0.25">
      <c r="A23" s="77" t="s">
        <v>20</v>
      </c>
      <c r="B23" s="78"/>
      <c r="C23" s="78"/>
      <c r="D23" s="79"/>
      <c r="E23" s="7">
        <v>1</v>
      </c>
      <c r="F23" s="7">
        <v>2</v>
      </c>
      <c r="G23" s="60"/>
      <c r="H23" s="82"/>
      <c r="I23" s="61"/>
      <c r="J23" s="31"/>
    </row>
    <row r="24" spans="1:11" ht="18.75" customHeight="1" x14ac:dyDescent="0.25">
      <c r="A24" s="62" t="s">
        <v>21</v>
      </c>
      <c r="B24" s="63"/>
      <c r="C24" s="63"/>
      <c r="D24" s="64" t="s">
        <v>22</v>
      </c>
      <c r="E24" s="100"/>
      <c r="F24" s="100"/>
      <c r="G24" s="60"/>
      <c r="H24" s="82"/>
      <c r="I24" s="61"/>
      <c r="J24" s="31"/>
    </row>
    <row r="25" spans="1:11" ht="18.75" customHeight="1" x14ac:dyDescent="0.25">
      <c r="A25" s="65" t="s">
        <v>23</v>
      </c>
      <c r="B25" s="66"/>
      <c r="C25" s="66"/>
      <c r="D25" s="67" t="s">
        <v>24</v>
      </c>
      <c r="E25" s="101"/>
      <c r="F25" s="101"/>
      <c r="G25" s="68"/>
      <c r="H25" s="82"/>
      <c r="I25" s="69"/>
      <c r="J25" s="15"/>
    </row>
    <row r="26" spans="1:11" ht="18.75" customHeight="1" x14ac:dyDescent="0.25">
      <c r="A26" s="65" t="s">
        <v>25</v>
      </c>
      <c r="B26" s="66"/>
      <c r="C26" s="66"/>
      <c r="D26" s="67" t="s">
        <v>26</v>
      </c>
      <c r="E26" s="101"/>
      <c r="F26" s="101"/>
      <c r="G26" s="70"/>
      <c r="H26" s="82"/>
      <c r="I26" s="71"/>
      <c r="J26" s="15"/>
    </row>
    <row r="27" spans="1:11" ht="18.75" customHeight="1" x14ac:dyDescent="0.25">
      <c r="A27" s="65" t="s">
        <v>27</v>
      </c>
      <c r="B27" s="66"/>
      <c r="C27" s="66"/>
      <c r="D27" s="67" t="s">
        <v>28</v>
      </c>
      <c r="E27" s="95">
        <f>E26-E24</f>
        <v>0</v>
      </c>
      <c r="F27" s="95">
        <f>F26-F24</f>
        <v>0</v>
      </c>
      <c r="G27" s="72"/>
      <c r="H27" s="82"/>
      <c r="I27" s="71"/>
      <c r="J27" s="15"/>
    </row>
    <row r="28" spans="1:11" ht="18.75" customHeight="1" x14ac:dyDescent="0.25">
      <c r="A28" s="65" t="s">
        <v>29</v>
      </c>
      <c r="B28" s="66"/>
      <c r="C28" s="66"/>
      <c r="D28" s="67" t="s">
        <v>30</v>
      </c>
      <c r="E28" s="95">
        <f>+E25-E26</f>
        <v>0</v>
      </c>
      <c r="F28" s="95">
        <f>+F25-F26</f>
        <v>0</v>
      </c>
      <c r="G28" s="83" t="s">
        <v>31</v>
      </c>
      <c r="H28" s="82"/>
      <c r="I28" s="80"/>
      <c r="J28" s="15"/>
    </row>
    <row r="29" spans="1:11" ht="18.75" customHeight="1" x14ac:dyDescent="0.25">
      <c r="A29" s="73" t="s">
        <v>32</v>
      </c>
      <c r="B29" s="74"/>
      <c r="C29" s="74"/>
      <c r="D29" s="75" t="s">
        <v>33</v>
      </c>
      <c r="E29" s="99">
        <f>IF(E28=0,0,ROUND(E27/E28,6))</f>
        <v>0</v>
      </c>
      <c r="F29" s="99">
        <f>IF(F28=0,0,ROUND(F27/F28,6))</f>
        <v>0</v>
      </c>
      <c r="G29" s="98">
        <f>AVERAGE(E29:F29)</f>
        <v>0</v>
      </c>
      <c r="H29" s="82"/>
      <c r="I29" s="81"/>
      <c r="J29" s="15"/>
    </row>
    <row r="30" spans="1:11" ht="18.75" customHeight="1" x14ac:dyDescent="0.25">
      <c r="A30" s="58"/>
      <c r="B30" s="59"/>
      <c r="C30" s="59"/>
      <c r="D30" s="59"/>
      <c r="E30" s="59"/>
      <c r="F30" s="59"/>
      <c r="G30" s="56"/>
      <c r="H30" s="57"/>
      <c r="I30" s="15"/>
      <c r="J30" s="15"/>
    </row>
    <row r="31" spans="1:11" ht="18.75" customHeight="1" x14ac:dyDescent="0.25">
      <c r="A31" s="147" t="s">
        <v>34</v>
      </c>
      <c r="B31" s="148"/>
      <c r="C31" s="148"/>
      <c r="D31" s="148"/>
      <c r="E31" s="148"/>
      <c r="F31" s="149"/>
      <c r="G31" s="131"/>
      <c r="H31" s="132"/>
      <c r="I31" s="15"/>
      <c r="J31" s="15"/>
    </row>
    <row r="32" spans="1:11" ht="18.75" customHeight="1" x14ac:dyDescent="0.25">
      <c r="A32" s="133" t="s">
        <v>20</v>
      </c>
      <c r="B32" s="134"/>
      <c r="C32" s="134"/>
      <c r="D32" s="135"/>
      <c r="E32" s="7">
        <v>1</v>
      </c>
      <c r="F32" s="7">
        <v>2</v>
      </c>
      <c r="G32" s="60"/>
      <c r="H32" s="85"/>
      <c r="I32" s="15"/>
      <c r="J32" s="15"/>
    </row>
    <row r="33" spans="1:10" ht="18.75" customHeight="1" x14ac:dyDescent="0.25">
      <c r="A33" s="62" t="s">
        <v>21</v>
      </c>
      <c r="B33" s="63"/>
      <c r="C33" s="63"/>
      <c r="D33" s="64" t="s">
        <v>22</v>
      </c>
      <c r="E33" s="100"/>
      <c r="F33" s="100"/>
      <c r="G33" s="60"/>
      <c r="H33" s="85"/>
      <c r="I33" s="15"/>
      <c r="J33" s="15"/>
    </row>
    <row r="34" spans="1:10" ht="18.75" customHeight="1" x14ac:dyDescent="0.25">
      <c r="A34" s="65" t="s">
        <v>23</v>
      </c>
      <c r="B34" s="66"/>
      <c r="C34" s="66"/>
      <c r="D34" s="67" t="s">
        <v>24</v>
      </c>
      <c r="E34" s="101"/>
      <c r="F34" s="101"/>
      <c r="G34" s="68"/>
      <c r="H34" s="86"/>
      <c r="I34" s="15"/>
      <c r="J34" s="15"/>
    </row>
    <row r="35" spans="1:10" ht="18.75" customHeight="1" x14ac:dyDescent="0.25">
      <c r="A35" s="65" t="s">
        <v>25</v>
      </c>
      <c r="B35" s="66"/>
      <c r="C35" s="66"/>
      <c r="D35" s="67" t="s">
        <v>26</v>
      </c>
      <c r="E35" s="101"/>
      <c r="F35" s="101"/>
      <c r="G35" s="70"/>
      <c r="H35" s="87"/>
      <c r="I35" s="15"/>
      <c r="J35" s="15"/>
    </row>
    <row r="36" spans="1:10" ht="18.75" customHeight="1" x14ac:dyDescent="0.25">
      <c r="A36" s="65" t="s">
        <v>27</v>
      </c>
      <c r="B36" s="66"/>
      <c r="C36" s="66"/>
      <c r="D36" s="67" t="s">
        <v>28</v>
      </c>
      <c r="E36" s="95">
        <f>E35-E33</f>
        <v>0</v>
      </c>
      <c r="F36" s="95">
        <f>F35-F33</f>
        <v>0</v>
      </c>
      <c r="G36" s="72"/>
      <c r="H36" s="87"/>
      <c r="I36" s="15"/>
      <c r="J36" s="15"/>
    </row>
    <row r="37" spans="1:10" ht="18.75" customHeight="1" x14ac:dyDescent="0.25">
      <c r="A37" s="65" t="s">
        <v>29</v>
      </c>
      <c r="B37" s="66"/>
      <c r="C37" s="66"/>
      <c r="D37" s="67" t="s">
        <v>30</v>
      </c>
      <c r="E37" s="95">
        <f>+E34-E35</f>
        <v>0</v>
      </c>
      <c r="F37" s="95">
        <f>+F34-F35</f>
        <v>0</v>
      </c>
      <c r="G37" s="84" t="s">
        <v>31</v>
      </c>
      <c r="H37" s="88"/>
      <c r="I37" s="15"/>
      <c r="J37" s="15"/>
    </row>
    <row r="38" spans="1:10" ht="18.75" customHeight="1" x14ac:dyDescent="0.25">
      <c r="A38" s="73" t="s">
        <v>32</v>
      </c>
      <c r="B38" s="74"/>
      <c r="C38" s="74"/>
      <c r="D38" s="75" t="s">
        <v>33</v>
      </c>
      <c r="E38" s="96">
        <f>IF(E37=0,0,ROUND(E36/E37,6))</f>
        <v>0</v>
      </c>
      <c r="F38" s="96">
        <f>IF(F37=0,0,ROUND(F36/F37,6))</f>
        <v>0</v>
      </c>
      <c r="G38" s="97">
        <f>AVERAGE(E38:F38)</f>
        <v>0</v>
      </c>
      <c r="H38" s="89"/>
      <c r="I38" s="15"/>
      <c r="J38" s="15"/>
    </row>
    <row r="39" spans="1:10" ht="18.75" customHeight="1" x14ac:dyDescent="0.25">
      <c r="A39" s="90"/>
      <c r="B39" s="91"/>
      <c r="C39" s="91"/>
      <c r="D39" s="91"/>
      <c r="E39" s="91"/>
      <c r="F39" s="92"/>
      <c r="G39" s="93"/>
      <c r="H39" s="94"/>
      <c r="I39" s="15"/>
      <c r="J39" s="15"/>
    </row>
    <row r="40" spans="1:10" ht="18.75" customHeight="1" x14ac:dyDescent="0.25">
      <c r="A40" s="39"/>
      <c r="B40" s="38"/>
      <c r="C40" s="38"/>
      <c r="D40" s="38"/>
      <c r="E40" s="38"/>
      <c r="F40" s="38"/>
      <c r="G40" s="14"/>
      <c r="H40" s="14"/>
      <c r="I40" s="15"/>
      <c r="J40" s="15"/>
    </row>
    <row r="41" spans="1:10" ht="18.75" customHeight="1" x14ac:dyDescent="0.25">
      <c r="A41" s="39"/>
      <c r="B41" s="38"/>
      <c r="C41" s="38"/>
      <c r="D41" s="38"/>
      <c r="E41" s="38"/>
      <c r="F41" s="38"/>
      <c r="G41" s="14"/>
      <c r="H41" s="14"/>
      <c r="I41" s="15"/>
      <c r="J41" s="15"/>
    </row>
    <row r="42" spans="1:10" ht="18.75" customHeight="1" x14ac:dyDescent="0.25">
      <c r="A42" s="39"/>
      <c r="B42" s="38"/>
      <c r="C42" s="38"/>
      <c r="D42" s="38"/>
      <c r="E42" s="38"/>
      <c r="F42" s="38"/>
      <c r="G42" s="14"/>
      <c r="H42" s="14"/>
      <c r="I42" s="15"/>
      <c r="J42" s="15"/>
    </row>
    <row r="43" spans="1:10" ht="15.9" customHeight="1" x14ac:dyDescent="0.25">
      <c r="A43" s="37"/>
      <c r="B43" s="38"/>
      <c r="C43" s="38"/>
      <c r="D43" s="38"/>
      <c r="E43" s="38"/>
      <c r="F43" s="38"/>
      <c r="G43" s="14"/>
      <c r="H43" s="14"/>
      <c r="I43" s="15"/>
      <c r="J43" s="15"/>
    </row>
    <row r="44" spans="1:10" ht="15.9" customHeight="1" x14ac:dyDescent="0.25">
      <c r="A44" s="37"/>
      <c r="B44" s="38"/>
      <c r="C44" s="38"/>
      <c r="D44" s="38"/>
      <c r="E44" s="38"/>
      <c r="F44" s="38"/>
      <c r="G44" s="14"/>
      <c r="H44" s="14"/>
      <c r="I44" s="15"/>
      <c r="J44" s="15"/>
    </row>
    <row r="45" spans="1:10" ht="15.9" customHeight="1" x14ac:dyDescent="0.25">
      <c r="A45" s="37"/>
      <c r="B45" s="38"/>
      <c r="C45" s="38"/>
      <c r="D45" s="38"/>
      <c r="E45" s="38"/>
      <c r="F45" s="38"/>
      <c r="G45" s="14"/>
      <c r="H45" s="14"/>
      <c r="I45" s="15"/>
      <c r="J45" s="15"/>
    </row>
    <row r="46" spans="1:10" ht="15.9" customHeight="1" x14ac:dyDescent="0.25">
      <c r="A46" s="37"/>
      <c r="B46" s="38"/>
      <c r="C46" s="38"/>
      <c r="D46" s="38"/>
      <c r="E46" s="38"/>
      <c r="F46" s="38"/>
      <c r="G46" s="14"/>
      <c r="H46" s="14"/>
      <c r="I46" s="15"/>
      <c r="J46" s="15"/>
    </row>
    <row r="47" spans="1:10" ht="15.9" customHeight="1" x14ac:dyDescent="0.25">
      <c r="A47" s="46"/>
      <c r="H47" s="14"/>
      <c r="I47" s="15"/>
      <c r="J47" s="15"/>
    </row>
    <row r="48" spans="1:10" ht="15.9" customHeight="1" x14ac:dyDescent="0.25">
      <c r="A48" s="39"/>
      <c r="B48" s="38"/>
      <c r="C48" s="38"/>
      <c r="D48" s="38"/>
      <c r="E48" s="38"/>
      <c r="F48" s="38"/>
      <c r="G48" s="14"/>
      <c r="H48" s="14"/>
      <c r="I48" s="15"/>
      <c r="J48" s="15"/>
    </row>
    <row r="49" spans="1:10" ht="15.9" customHeight="1" x14ac:dyDescent="0.25">
      <c r="B49" s="145"/>
      <c r="C49" s="145"/>
      <c r="D49" s="145"/>
      <c r="E49" s="145"/>
      <c r="F49" s="145"/>
      <c r="G49" s="33"/>
      <c r="H49" s="14"/>
      <c r="I49" s="15"/>
      <c r="J49" s="15"/>
    </row>
    <row r="50" spans="1:10" ht="15.9" customHeight="1" x14ac:dyDescent="0.25">
      <c r="A50" s="49" t="s">
        <v>16</v>
      </c>
      <c r="B50" s="38"/>
      <c r="C50" s="38"/>
      <c r="D50" s="38"/>
      <c r="E50" s="38"/>
      <c r="F50" s="38"/>
      <c r="G50" s="14"/>
      <c r="H50" s="14"/>
      <c r="I50" s="15"/>
      <c r="J50" s="15"/>
    </row>
    <row r="51" spans="1:10" ht="15.9" customHeight="1" x14ac:dyDescent="0.25">
      <c r="A51" s="49" t="s">
        <v>37</v>
      </c>
      <c r="B51" s="14"/>
      <c r="C51" s="14"/>
      <c r="D51" s="14"/>
      <c r="E51" s="14"/>
      <c r="F51" s="14"/>
      <c r="G51" s="14"/>
      <c r="H51" s="14"/>
      <c r="I51" s="15"/>
      <c r="J51" s="15"/>
    </row>
    <row r="52" spans="1:10" ht="15.9" customHeight="1" x14ac:dyDescent="0.25"/>
    <row r="53" spans="1:10" ht="30.75" customHeight="1" x14ac:dyDescent="0.25">
      <c r="A53" s="136" t="s">
        <v>36</v>
      </c>
      <c r="B53" s="136"/>
      <c r="C53" s="136"/>
      <c r="D53" s="136"/>
      <c r="E53" s="136"/>
      <c r="F53" s="136"/>
      <c r="G53" s="136"/>
      <c r="H53" s="136"/>
    </row>
    <row r="54" spans="1:10" ht="15.9" customHeight="1" x14ac:dyDescent="0.25"/>
    <row r="55" spans="1:10" ht="15.9" customHeight="1" x14ac:dyDescent="0.25"/>
  </sheetData>
  <protectedRanges>
    <protectedRange sqref="B13 B16" name="Rango3_3_1_1_1_1_1_1_1_1"/>
    <protectedRange sqref="B11:B12 B49" name="Rango3_3_1_1_1_1_1_2_1"/>
  </protectedRanges>
  <mergeCells count="13">
    <mergeCell ref="G31:H31"/>
    <mergeCell ref="A32:D32"/>
    <mergeCell ref="A53:H53"/>
    <mergeCell ref="A15:H15"/>
    <mergeCell ref="A8:H8"/>
    <mergeCell ref="A9:H9"/>
    <mergeCell ref="A14:H14"/>
    <mergeCell ref="B49:C49"/>
    <mergeCell ref="B17:D17"/>
    <mergeCell ref="F17:G17"/>
    <mergeCell ref="D49:F49"/>
    <mergeCell ref="A22:F22"/>
    <mergeCell ref="A31:F31"/>
  </mergeCells>
  <printOptions horizontalCentered="1" verticalCentered="1"/>
  <pageMargins left="0.78740157480314965" right="0.78740157480314965" top="0.78740157480314965" bottom="0.39370078740157483" header="0" footer="0"/>
  <pageSetup paperSize="274" scale="8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0"/>
  <sheetViews>
    <sheetView showGridLines="0" tabSelected="1" zoomScaleNormal="100" zoomScaleSheetLayoutView="100" workbookViewId="0">
      <selection activeCell="H13" sqref="H13"/>
    </sheetView>
  </sheetViews>
  <sheetFormatPr baseColWidth="10" defaultColWidth="10.33203125" defaultRowHeight="13.8" x14ac:dyDescent="0.25"/>
  <cols>
    <col min="1" max="1" width="8.88671875" style="1" customWidth="1"/>
    <col min="2" max="2" width="4.88671875" style="1" customWidth="1"/>
    <col min="3" max="3" width="12.33203125" style="1" customWidth="1"/>
    <col min="4" max="4" width="23.5546875" style="1" customWidth="1"/>
    <col min="5" max="5" width="18.6640625" style="1" customWidth="1"/>
    <col min="6" max="7" width="12.33203125" style="1" customWidth="1"/>
    <col min="8" max="8" width="10.5546875" style="1" customWidth="1"/>
    <col min="9" max="9" width="6.44140625" style="1" customWidth="1"/>
    <col min="10" max="10" width="8" style="1" customWidth="1"/>
    <col min="11" max="12" width="10.6640625" style="1" customWidth="1"/>
    <col min="13" max="16384" width="10.33203125" style="1"/>
  </cols>
  <sheetData>
    <row r="1" spans="1:10" ht="15.75" customHeight="1" thickTop="1" x14ac:dyDescent="0.25">
      <c r="A1" s="20"/>
      <c r="B1" s="21"/>
      <c r="C1" s="21"/>
      <c r="D1" s="22"/>
      <c r="E1" s="22"/>
      <c r="F1" s="22"/>
      <c r="G1" s="22"/>
      <c r="H1" s="23"/>
    </row>
    <row r="2" spans="1:10" ht="15.75" customHeight="1" x14ac:dyDescent="0.25">
      <c r="A2" s="24"/>
      <c r="B2" s="17"/>
      <c r="C2" s="17"/>
      <c r="D2" s="18"/>
      <c r="E2" s="18"/>
      <c r="F2" s="18"/>
      <c r="G2" s="18"/>
      <c r="H2" s="25"/>
    </row>
    <row r="3" spans="1:10" ht="15.75" customHeight="1" x14ac:dyDescent="0.25">
      <c r="A3" s="24"/>
      <c r="B3" s="17"/>
      <c r="C3" s="17"/>
      <c r="D3" s="18"/>
      <c r="E3" s="18"/>
      <c r="F3" s="18"/>
      <c r="G3" s="18"/>
      <c r="H3" s="25"/>
    </row>
    <row r="4" spans="1:10" ht="15.75" customHeight="1" x14ac:dyDescent="0.25">
      <c r="A4" s="24"/>
      <c r="B4" s="17"/>
      <c r="C4" s="17"/>
      <c r="D4" s="18"/>
      <c r="E4" s="18"/>
      <c r="F4" s="18"/>
      <c r="G4" s="18"/>
      <c r="H4" s="25"/>
    </row>
    <row r="5" spans="1:10" ht="15.75" customHeight="1" thickBot="1" x14ac:dyDescent="0.3">
      <c r="A5" s="26"/>
      <c r="B5" s="19"/>
      <c r="C5" s="19"/>
      <c r="D5" s="19"/>
      <c r="E5" s="19"/>
      <c r="F5" s="19"/>
      <c r="G5" s="19"/>
      <c r="H5" s="27"/>
    </row>
    <row r="6" spans="1:10" ht="15.75" customHeight="1" thickTop="1" x14ac:dyDescent="0.25">
      <c r="A6" s="16"/>
      <c r="B6" s="16"/>
      <c r="C6" s="16"/>
      <c r="D6" s="16"/>
      <c r="E6" s="16"/>
      <c r="F6" s="16"/>
      <c r="G6" s="16"/>
      <c r="H6" s="16"/>
    </row>
    <row r="7" spans="1:10" ht="15.9" customHeight="1" x14ac:dyDescent="0.25">
      <c r="A7" s="16"/>
      <c r="B7" s="16"/>
      <c r="C7" s="16"/>
      <c r="D7" s="16"/>
      <c r="E7" s="16"/>
      <c r="F7" s="16"/>
      <c r="G7" s="16"/>
      <c r="H7" s="16"/>
    </row>
    <row r="8" spans="1:10" ht="15.9" customHeight="1" x14ac:dyDescent="0.25">
      <c r="A8" s="140" t="s">
        <v>15</v>
      </c>
      <c r="B8" s="140"/>
      <c r="C8" s="140"/>
      <c r="D8" s="140"/>
      <c r="E8" s="140"/>
      <c r="F8" s="140"/>
      <c r="G8" s="140"/>
      <c r="H8" s="140"/>
      <c r="J8"/>
    </row>
    <row r="9" spans="1:10" ht="15.9" customHeight="1" x14ac:dyDescent="0.25">
      <c r="A9" s="141" t="s">
        <v>42</v>
      </c>
      <c r="B9" s="141"/>
      <c r="C9" s="141"/>
      <c r="D9" s="141"/>
      <c r="E9" s="141"/>
      <c r="F9" s="141"/>
      <c r="G9" s="141"/>
      <c r="H9" s="141"/>
    </row>
    <row r="10" spans="1:10" ht="15.9" customHeight="1" x14ac:dyDescent="0.25">
      <c r="A10" s="28"/>
      <c r="B10" s="28"/>
      <c r="C10" s="28"/>
      <c r="D10" s="28"/>
      <c r="E10" s="28"/>
      <c r="F10" s="28"/>
      <c r="G10" s="28"/>
      <c r="H10" s="28"/>
    </row>
    <row r="11" spans="1:10" ht="15.9" customHeight="1" x14ac:dyDescent="0.25">
      <c r="C11" s="32"/>
      <c r="D11" s="32"/>
      <c r="E11" s="32"/>
      <c r="F11" s="32"/>
      <c r="G11" s="32"/>
      <c r="H11" s="44"/>
      <c r="I11" s="15"/>
      <c r="J11" s="15"/>
    </row>
    <row r="12" spans="1:10" ht="15.9" customHeight="1" x14ac:dyDescent="0.25">
      <c r="A12" s="32"/>
      <c r="B12" s="155" t="s">
        <v>20</v>
      </c>
      <c r="C12" s="155"/>
      <c r="D12" s="157" t="s">
        <v>60</v>
      </c>
      <c r="E12" s="157" t="s">
        <v>61</v>
      </c>
      <c r="F12" s="155" t="s">
        <v>62</v>
      </c>
      <c r="G12" s="155"/>
      <c r="J12" s="15"/>
    </row>
    <row r="13" spans="1:10" ht="15.9" customHeight="1" x14ac:dyDescent="0.25">
      <c r="A13" s="32"/>
      <c r="B13" s="155"/>
      <c r="C13" s="155"/>
      <c r="D13" s="156"/>
      <c r="E13" s="156"/>
      <c r="F13" s="155"/>
      <c r="G13" s="155"/>
      <c r="H13" t="s">
        <v>63</v>
      </c>
      <c r="I13"/>
      <c r="J13" s="15"/>
    </row>
    <row r="14" spans="1:10" ht="15.9" customHeight="1" x14ac:dyDescent="0.25">
      <c r="A14" s="32"/>
      <c r="B14" s="32"/>
      <c r="C14" s="42"/>
      <c r="D14" s="42"/>
      <c r="E14" s="42"/>
      <c r="F14" s="42"/>
      <c r="G14" s="42"/>
      <c r="H14" s="35"/>
      <c r="I14" s="15"/>
      <c r="J14" s="15"/>
    </row>
    <row r="15" spans="1:10" ht="18" customHeight="1" x14ac:dyDescent="0.25">
      <c r="A15" s="142" t="s">
        <v>43</v>
      </c>
      <c r="B15" s="143"/>
      <c r="C15" s="143"/>
      <c r="D15" s="143"/>
      <c r="E15" s="143"/>
      <c r="F15" s="143"/>
      <c r="G15" s="143"/>
      <c r="H15" s="144"/>
      <c r="I15" s="15"/>
      <c r="J15" s="15"/>
    </row>
    <row r="16" spans="1:10" ht="18" customHeight="1" x14ac:dyDescent="0.25">
      <c r="A16" s="137" t="s">
        <v>44</v>
      </c>
      <c r="B16" s="138"/>
      <c r="C16" s="138"/>
      <c r="D16" s="138"/>
      <c r="E16" s="138"/>
      <c r="F16" s="138"/>
      <c r="G16" s="138"/>
      <c r="H16" s="139"/>
      <c r="I16" s="15"/>
      <c r="J16" s="15"/>
    </row>
    <row r="17" spans="1:15" ht="18.75" customHeight="1" x14ac:dyDescent="0.25">
      <c r="A17" s="105"/>
      <c r="B17" s="106"/>
      <c r="C17" s="106"/>
      <c r="D17" s="106"/>
      <c r="E17" s="106"/>
      <c r="F17" s="106"/>
      <c r="G17" s="106"/>
      <c r="H17" s="107"/>
      <c r="I17" s="15"/>
      <c r="J17" s="30"/>
    </row>
    <row r="18" spans="1:15" ht="18.75" customHeight="1" x14ac:dyDescent="0.25">
      <c r="A18" s="110"/>
      <c r="B18" s="147" t="s">
        <v>41</v>
      </c>
      <c r="C18" s="148"/>
      <c r="D18" s="148"/>
      <c r="E18" s="148"/>
      <c r="F18" s="148"/>
      <c r="G18" s="149"/>
      <c r="H18" s="109"/>
      <c r="I18" s="76"/>
      <c r="J18" s="31"/>
    </row>
    <row r="19" spans="1:15" ht="18.75" customHeight="1" x14ac:dyDescent="0.25">
      <c r="A19" s="110"/>
      <c r="B19" s="112" t="s">
        <v>38</v>
      </c>
      <c r="C19" s="150" t="s">
        <v>45</v>
      </c>
      <c r="D19" s="151"/>
      <c r="E19" s="152"/>
      <c r="F19" s="102"/>
      <c r="G19" s="111"/>
      <c r="H19" s="109"/>
      <c r="I19" s="61"/>
      <c r="J19" s="31"/>
    </row>
    <row r="20" spans="1:15" ht="18.75" customHeight="1" x14ac:dyDescent="0.25">
      <c r="A20" s="110"/>
      <c r="B20" s="112" t="s">
        <v>39</v>
      </c>
      <c r="C20" s="113" t="s">
        <v>57</v>
      </c>
      <c r="D20" s="119"/>
      <c r="E20" s="120" t="s">
        <v>54</v>
      </c>
      <c r="F20" s="102"/>
      <c r="G20" s="111"/>
      <c r="H20" s="109"/>
      <c r="I20" s="61"/>
      <c r="J20" s="31"/>
      <c r="L20" s="104"/>
      <c r="M20" s="104"/>
      <c r="N20" s="104"/>
      <c r="O20" s="104"/>
    </row>
    <row r="21" spans="1:15" ht="18.75" customHeight="1" x14ac:dyDescent="0.25">
      <c r="A21" s="110"/>
      <c r="B21" s="112" t="s">
        <v>40</v>
      </c>
      <c r="C21" s="113" t="s">
        <v>46</v>
      </c>
      <c r="D21" s="119"/>
      <c r="E21" s="120" t="s">
        <v>54</v>
      </c>
      <c r="F21" s="102"/>
      <c r="G21" s="111"/>
      <c r="H21" s="109"/>
      <c r="I21" s="61"/>
      <c r="J21" s="31"/>
    </row>
    <row r="22" spans="1:15" ht="18.75" customHeight="1" x14ac:dyDescent="0.25">
      <c r="A22" s="110"/>
      <c r="B22" s="112" t="s">
        <v>49</v>
      </c>
      <c r="C22" s="113" t="s">
        <v>47</v>
      </c>
      <c r="D22" s="119"/>
      <c r="E22" s="120" t="s">
        <v>54</v>
      </c>
      <c r="F22" s="102"/>
      <c r="G22" s="111"/>
      <c r="H22" s="109"/>
      <c r="I22" s="61"/>
      <c r="J22" s="31"/>
    </row>
    <row r="23" spans="1:15" ht="18.75" customHeight="1" x14ac:dyDescent="0.25">
      <c r="A23" s="110"/>
      <c r="B23" s="112" t="s">
        <v>50</v>
      </c>
      <c r="C23" s="113" t="s">
        <v>48</v>
      </c>
      <c r="D23" s="119"/>
      <c r="E23" s="120" t="s">
        <v>55</v>
      </c>
      <c r="F23" s="102"/>
      <c r="G23" s="111"/>
      <c r="H23" s="109"/>
      <c r="I23" s="61"/>
      <c r="J23" s="31"/>
    </row>
    <row r="24" spans="1:15" ht="18.75" customHeight="1" x14ac:dyDescent="0.25">
      <c r="A24" s="110"/>
      <c r="B24" s="108"/>
      <c r="C24" s="108"/>
      <c r="D24" s="108"/>
      <c r="E24" s="108"/>
      <c r="F24" s="108"/>
      <c r="G24" s="108"/>
      <c r="H24" s="109"/>
      <c r="I24" s="61"/>
      <c r="J24" s="31"/>
    </row>
    <row r="25" spans="1:15" ht="18.75" customHeight="1" x14ac:dyDescent="0.25">
      <c r="A25" s="106"/>
      <c r="B25" s="106"/>
      <c r="C25" s="106"/>
      <c r="D25" s="106"/>
      <c r="E25" s="106"/>
      <c r="F25" s="106"/>
      <c r="G25" s="106"/>
      <c r="H25" s="106"/>
      <c r="I25" s="69"/>
      <c r="J25" s="15"/>
    </row>
    <row r="26" spans="1:15" ht="18.75" customHeight="1" x14ac:dyDescent="0.25">
      <c r="B26" s="38" t="s">
        <v>58</v>
      </c>
      <c r="C26" s="123"/>
      <c r="D26" s="123"/>
      <c r="E26" s="124"/>
      <c r="F26" s="125"/>
      <c r="G26" s="125"/>
      <c r="H26" s="125"/>
      <c r="I26" s="71"/>
      <c r="J26" s="15"/>
    </row>
    <row r="27" spans="1:15" ht="18.75" customHeight="1" x14ac:dyDescent="0.25">
      <c r="B27" s="115"/>
      <c r="C27" s="122"/>
      <c r="D27" s="122"/>
      <c r="E27" s="122"/>
      <c r="F27" s="108"/>
      <c r="G27" s="108"/>
      <c r="H27" s="108"/>
      <c r="I27" s="15"/>
      <c r="J27" s="15"/>
    </row>
    <row r="28" spans="1:15" ht="18.75" customHeight="1" x14ac:dyDescent="0.25">
      <c r="B28" s="38"/>
      <c r="C28" s="38"/>
      <c r="D28" s="38"/>
      <c r="E28" s="38"/>
      <c r="I28" s="15"/>
      <c r="J28" s="15"/>
    </row>
    <row r="29" spans="1:15" ht="18.75" customHeight="1" x14ac:dyDescent="0.25">
      <c r="B29" s="128" t="s">
        <v>51</v>
      </c>
      <c r="C29" s="121"/>
      <c r="D29" s="130" t="s">
        <v>52</v>
      </c>
      <c r="I29" s="15"/>
      <c r="J29" s="15"/>
    </row>
    <row r="30" spans="1:15" ht="18.75" customHeight="1" x14ac:dyDescent="0.25">
      <c r="B30" s="129" t="s">
        <v>53</v>
      </c>
      <c r="C30" s="114"/>
      <c r="D30" s="126"/>
      <c r="I30" s="15"/>
      <c r="J30" s="15"/>
    </row>
    <row r="31" spans="1:15" ht="18.75" customHeight="1" x14ac:dyDescent="0.25">
      <c r="A31" s="108"/>
      <c r="B31" s="129" t="s">
        <v>59</v>
      </c>
      <c r="C31" s="127"/>
      <c r="D31" s="126"/>
      <c r="E31" s="118"/>
      <c r="F31" s="118"/>
      <c r="G31" s="108"/>
      <c r="H31" s="108"/>
      <c r="I31" s="15"/>
      <c r="J31" s="15"/>
    </row>
    <row r="32" spans="1:15" ht="18.75" customHeight="1" x14ac:dyDescent="0.25">
      <c r="A32" s="108"/>
      <c r="E32" s="118"/>
      <c r="F32" s="118"/>
      <c r="G32" s="108"/>
      <c r="H32" s="108"/>
      <c r="I32" s="15"/>
      <c r="J32" s="15"/>
    </row>
    <row r="33" spans="1:10" ht="18.75" customHeight="1" x14ac:dyDescent="0.25">
      <c r="I33" s="15"/>
      <c r="J33" s="15"/>
    </row>
    <row r="34" spans="1:10" ht="24" customHeight="1" x14ac:dyDescent="0.25">
      <c r="I34" s="15"/>
      <c r="J34" s="15"/>
    </row>
    <row r="35" spans="1:10" ht="18.75" customHeight="1" x14ac:dyDescent="0.25">
      <c r="I35" s="15"/>
      <c r="J35" s="15"/>
    </row>
    <row r="36" spans="1:10" ht="18.75" customHeight="1" x14ac:dyDescent="0.25">
      <c r="A36" s="115"/>
      <c r="B36" s="38"/>
      <c r="C36" s="38"/>
      <c r="D36" s="38"/>
      <c r="E36" s="116"/>
      <c r="F36" s="117"/>
      <c r="G36" s="153"/>
      <c r="H36" s="153"/>
      <c r="I36" s="15"/>
      <c r="J36" s="15"/>
    </row>
    <row r="37" spans="1:10" ht="18.75" customHeight="1" x14ac:dyDescent="0.25">
      <c r="A37" s="115"/>
      <c r="B37" s="38"/>
      <c r="C37" s="38"/>
      <c r="D37" s="38"/>
      <c r="E37" s="116"/>
      <c r="F37" s="117"/>
      <c r="G37" s="153"/>
      <c r="H37" s="153"/>
      <c r="I37" s="15"/>
      <c r="J37" s="15"/>
    </row>
    <row r="38" spans="1:10" ht="15.9" customHeight="1" x14ac:dyDescent="0.25">
      <c r="A38" s="37"/>
      <c r="B38" s="37"/>
      <c r="C38" s="38"/>
      <c r="D38" s="38"/>
      <c r="E38" s="38"/>
      <c r="F38" s="38"/>
      <c r="G38" s="14"/>
      <c r="H38" s="14"/>
      <c r="I38" s="15"/>
      <c r="J38" s="15"/>
    </row>
    <row r="39" spans="1:10" ht="15.9" customHeight="1" x14ac:dyDescent="0.25">
      <c r="A39" s="37"/>
      <c r="B39" s="37"/>
      <c r="C39" s="38"/>
      <c r="D39" s="38"/>
      <c r="E39" s="38"/>
      <c r="F39" s="38"/>
      <c r="G39" s="14"/>
      <c r="H39" s="14"/>
      <c r="I39" s="15"/>
      <c r="J39" s="15"/>
    </row>
    <row r="40" spans="1:10" ht="15.9" customHeight="1" x14ac:dyDescent="0.25">
      <c r="A40" s="37"/>
      <c r="B40" s="37"/>
      <c r="C40" s="38"/>
      <c r="D40" s="38"/>
      <c r="E40" s="38"/>
      <c r="F40" s="38"/>
      <c r="G40" s="14"/>
      <c r="H40" s="14"/>
      <c r="I40" s="15"/>
      <c r="J40" s="15"/>
    </row>
    <row r="41" spans="1:10" ht="15.9" customHeight="1" x14ac:dyDescent="0.25">
      <c r="A41" s="37"/>
      <c r="B41" s="37"/>
      <c r="C41" s="38"/>
      <c r="D41" s="38"/>
      <c r="E41" s="38"/>
      <c r="F41" s="38"/>
      <c r="G41" s="14"/>
      <c r="H41" s="14"/>
      <c r="I41" s="15"/>
      <c r="J41" s="15"/>
    </row>
    <row r="42" spans="1:10" ht="15.9" customHeight="1" x14ac:dyDescent="0.25">
      <c r="A42" s="46"/>
      <c r="B42" s="46"/>
      <c r="H42" s="14"/>
      <c r="I42" s="15"/>
      <c r="J42" s="15"/>
    </row>
    <row r="43" spans="1:10" ht="15.9" customHeight="1" x14ac:dyDescent="0.25">
      <c r="A43" s="39"/>
      <c r="B43" s="39"/>
      <c r="C43" s="38"/>
      <c r="D43" s="38"/>
      <c r="E43" s="38"/>
      <c r="F43" s="38"/>
      <c r="G43" s="14"/>
      <c r="H43" s="14"/>
      <c r="I43" s="15"/>
      <c r="J43" s="15"/>
    </row>
    <row r="44" spans="1:10" ht="15.9" customHeight="1" x14ac:dyDescent="0.25">
      <c r="C44" s="145"/>
      <c r="D44" s="145"/>
      <c r="E44" s="145"/>
      <c r="F44" s="145"/>
      <c r="G44" s="33"/>
      <c r="H44" s="14"/>
      <c r="I44" s="15"/>
      <c r="J44" s="15"/>
    </row>
    <row r="45" spans="1:10" ht="15.9" customHeight="1" x14ac:dyDescent="0.25">
      <c r="A45" s="49" t="s">
        <v>16</v>
      </c>
      <c r="B45" s="49"/>
      <c r="C45" s="38"/>
      <c r="D45" s="38"/>
      <c r="E45" s="38"/>
      <c r="F45" s="38"/>
      <c r="G45" s="14"/>
      <c r="H45" s="14"/>
      <c r="I45" s="15"/>
      <c r="J45" s="15"/>
    </row>
    <row r="46" spans="1:10" ht="15.9" customHeight="1" x14ac:dyDescent="0.25">
      <c r="A46" s="103" t="s">
        <v>56</v>
      </c>
      <c r="B46" s="49"/>
      <c r="C46" s="14"/>
      <c r="D46" s="14"/>
      <c r="E46" s="14"/>
      <c r="F46" s="14"/>
      <c r="G46" s="14"/>
      <c r="H46" s="14"/>
      <c r="I46" s="15"/>
      <c r="J46" s="15"/>
    </row>
    <row r="47" spans="1:10" ht="15.9" customHeight="1" x14ac:dyDescent="0.25"/>
    <row r="48" spans="1:10" ht="30.75" customHeight="1" x14ac:dyDescent="0.25">
      <c r="A48" s="136" t="s">
        <v>36</v>
      </c>
      <c r="B48" s="136"/>
      <c r="C48" s="136"/>
      <c r="D48" s="136"/>
      <c r="E48" s="136"/>
      <c r="F48" s="136"/>
      <c r="G48" s="136"/>
      <c r="H48" s="136"/>
    </row>
    <row r="49" ht="15.9" customHeight="1" x14ac:dyDescent="0.25"/>
    <row r="50" ht="15.9" customHeight="1" x14ac:dyDescent="0.25"/>
  </sheetData>
  <protectedRanges>
    <protectedRange sqref="C13:C14" name="Rango3_3_1_1_1_1_1_1_1_1"/>
    <protectedRange sqref="C11:C12 C44" name="Rango3_3_1_1_1_1_1_2_1"/>
  </protectedRanges>
  <mergeCells count="15">
    <mergeCell ref="A48:H48"/>
    <mergeCell ref="C44:D44"/>
    <mergeCell ref="E44:F44"/>
    <mergeCell ref="C19:E19"/>
    <mergeCell ref="G36:H36"/>
    <mergeCell ref="G37:H37"/>
    <mergeCell ref="B18:G18"/>
    <mergeCell ref="A8:H8"/>
    <mergeCell ref="A9:H9"/>
    <mergeCell ref="A15:H15"/>
    <mergeCell ref="A16:H16"/>
    <mergeCell ref="B12:C12"/>
    <mergeCell ref="F12:G12"/>
    <mergeCell ref="B13:C13"/>
    <mergeCell ref="F13:G13"/>
  </mergeCells>
  <printOptions horizontalCentered="1" verticalCentered="1"/>
  <pageMargins left="0.78740157480314965" right="0.78740157480314965" top="0.78740157480314965" bottom="0.39370078740157483" header="0" footer="0"/>
  <pageSetup paperSize="274" scale="8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54" t="s">
        <v>9</v>
      </c>
      <c r="B2" s="154"/>
      <c r="C2" s="6" t="s">
        <v>10</v>
      </c>
      <c r="D2" s="5" t="s">
        <v>2</v>
      </c>
      <c r="E2" s="5" t="s">
        <v>0</v>
      </c>
      <c r="F2" s="5" t="s">
        <v>1</v>
      </c>
      <c r="G2" s="5" t="s">
        <v>3</v>
      </c>
      <c r="H2" s="5" t="s">
        <v>4</v>
      </c>
      <c r="I2" s="5" t="s">
        <v>6</v>
      </c>
      <c r="J2" s="5" t="s">
        <v>5</v>
      </c>
      <c r="K2" s="5" t="s">
        <v>7</v>
      </c>
      <c r="L2" s="5" t="s">
        <v>8</v>
      </c>
      <c r="M2" s="5" t="s">
        <v>11</v>
      </c>
    </row>
    <row r="3" spans="1:13" ht="18.75" customHeight="1" x14ac:dyDescent="0.25">
      <c r="A3" s="8">
        <v>4400</v>
      </c>
      <c r="B3" s="2">
        <f>+A3+1</f>
        <v>4401</v>
      </c>
      <c r="C3" s="12" t="str">
        <f t="shared" ref="C3:C8" si="0">A3&amp;"-"&amp;B3</f>
        <v>4400-4401</v>
      </c>
      <c r="D3" s="8" t="s">
        <v>14</v>
      </c>
      <c r="E3" s="8">
        <v>350</v>
      </c>
      <c r="F3" s="9">
        <v>42347</v>
      </c>
      <c r="G3" s="2">
        <v>7</v>
      </c>
      <c r="H3" s="10">
        <v>15.05</v>
      </c>
      <c r="I3" s="8">
        <v>49900</v>
      </c>
      <c r="J3" s="3">
        <f t="shared" ref="J3:J8" si="1">H3*H3*PI()/4</f>
        <v>177.89464750493056</v>
      </c>
      <c r="K3" s="11">
        <f t="shared" ref="K3:K8" si="2">I3/J3</f>
        <v>280.50309944607505</v>
      </c>
      <c r="L3" s="4">
        <f t="shared" ref="L3:L8" si="3">+K3/E3</f>
        <v>0.80143742698878584</v>
      </c>
      <c r="M3" s="13" t="s">
        <v>12</v>
      </c>
    </row>
    <row r="4" spans="1:13" ht="18.75" customHeight="1" x14ac:dyDescent="0.25">
      <c r="A4" s="2"/>
      <c r="B4" s="2"/>
      <c r="C4" s="7" t="str">
        <f t="shared" si="0"/>
        <v>-</v>
      </c>
      <c r="D4" s="2"/>
      <c r="E4" s="8">
        <v>350</v>
      </c>
      <c r="F4" s="2"/>
      <c r="G4" s="2">
        <v>7</v>
      </c>
      <c r="H4" s="10">
        <v>15.06</v>
      </c>
      <c r="I4" s="8">
        <v>50310</v>
      </c>
      <c r="J4" s="3">
        <f t="shared" si="1"/>
        <v>178.1311308919295</v>
      </c>
      <c r="K4" s="11">
        <f t="shared" si="2"/>
        <v>282.43238421094742</v>
      </c>
      <c r="L4" s="4">
        <f t="shared" si="3"/>
        <v>0.80694966917413546</v>
      </c>
      <c r="M4" s="13" t="s">
        <v>13</v>
      </c>
    </row>
    <row r="5" spans="1:13" ht="18.75" customHeight="1" x14ac:dyDescent="0.25">
      <c r="A5" s="2">
        <f>+B3+1</f>
        <v>4402</v>
      </c>
      <c r="B5" s="2">
        <f>+A5+1</f>
        <v>4403</v>
      </c>
      <c r="C5" s="7" t="str">
        <f t="shared" si="0"/>
        <v>4402-4403</v>
      </c>
      <c r="D5" s="2"/>
      <c r="E5" s="8">
        <v>350</v>
      </c>
      <c r="F5" s="2"/>
      <c r="G5" s="2">
        <v>14</v>
      </c>
      <c r="H5" s="10">
        <v>15.04</v>
      </c>
      <c r="I5" s="8">
        <v>56450</v>
      </c>
      <c r="J5" s="3">
        <f t="shared" si="1"/>
        <v>177.65832119756422</v>
      </c>
      <c r="K5" s="11">
        <f t="shared" si="2"/>
        <v>317.74475644867209</v>
      </c>
      <c r="L5" s="4">
        <f t="shared" si="3"/>
        <v>0.9078421612819203</v>
      </c>
      <c r="M5" s="13" t="s">
        <v>13</v>
      </c>
    </row>
    <row r="6" spans="1:13" ht="18.75" customHeight="1" x14ac:dyDescent="0.25">
      <c r="A6" s="2"/>
      <c r="B6" s="2"/>
      <c r="C6" s="7" t="str">
        <f t="shared" si="0"/>
        <v>-</v>
      </c>
      <c r="D6" s="2"/>
      <c r="E6" s="8">
        <v>350</v>
      </c>
      <c r="F6" s="2"/>
      <c r="G6" s="2">
        <v>14</v>
      </c>
      <c r="H6" s="10">
        <v>15</v>
      </c>
      <c r="I6" s="8">
        <v>59630</v>
      </c>
      <c r="J6" s="3">
        <f t="shared" si="1"/>
        <v>176.71458676442586</v>
      </c>
      <c r="K6" s="11">
        <f t="shared" si="2"/>
        <v>337.43677356692336</v>
      </c>
      <c r="L6" s="4">
        <f t="shared" si="3"/>
        <v>0.96410506733406676</v>
      </c>
      <c r="M6" s="13" t="s">
        <v>13</v>
      </c>
    </row>
    <row r="7" spans="1:13" ht="18.75" customHeight="1" x14ac:dyDescent="0.25">
      <c r="A7" s="2">
        <f>+B5+1</f>
        <v>4404</v>
      </c>
      <c r="B7" s="2">
        <f>+A7+1</f>
        <v>4405</v>
      </c>
      <c r="C7" s="7" t="str">
        <f t="shared" si="0"/>
        <v>4404-4405</v>
      </c>
      <c r="D7" s="2"/>
      <c r="E7" s="8">
        <v>350</v>
      </c>
      <c r="F7" s="2"/>
      <c r="G7" s="2">
        <v>28</v>
      </c>
      <c r="H7" s="10">
        <v>15.11</v>
      </c>
      <c r="I7" s="8">
        <v>65310</v>
      </c>
      <c r="J7" s="3">
        <f t="shared" si="1"/>
        <v>179.31590402141455</v>
      </c>
      <c r="K7" s="11">
        <f t="shared" si="2"/>
        <v>364.21755424549764</v>
      </c>
      <c r="L7" s="4">
        <f t="shared" si="3"/>
        <v>1.0406215835585646</v>
      </c>
      <c r="M7" s="13" t="s">
        <v>13</v>
      </c>
    </row>
    <row r="8" spans="1:13" ht="18.75" customHeight="1" x14ac:dyDescent="0.25">
      <c r="A8" s="2"/>
      <c r="B8" s="2"/>
      <c r="C8" s="7" t="str">
        <f t="shared" si="0"/>
        <v>-</v>
      </c>
      <c r="D8" s="2"/>
      <c r="E8" s="8">
        <v>350</v>
      </c>
      <c r="F8" s="2"/>
      <c r="G8" s="2">
        <v>28</v>
      </c>
      <c r="H8" s="10">
        <v>15.05</v>
      </c>
      <c r="I8" s="8">
        <v>64730</v>
      </c>
      <c r="J8" s="3">
        <f t="shared" si="1"/>
        <v>177.89464750493056</v>
      </c>
      <c r="K8" s="11">
        <f t="shared" si="2"/>
        <v>363.86704663616104</v>
      </c>
      <c r="L8" s="4">
        <f t="shared" si="3"/>
        <v>1.0396201332461743</v>
      </c>
      <c r="M8" s="13" t="s">
        <v>12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SST</vt:lpstr>
      <vt:lpstr>PRT. LIVIANAS</vt:lpstr>
      <vt:lpstr>Hoja1</vt:lpstr>
      <vt:lpstr>'PRT. LIVIANAS'!Área_de_impresión</vt:lpstr>
      <vt:lpstr>SST!Área_de_impresión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2026-03-21T15:08:17Z</cp:lastPrinted>
  <dcterms:created xsi:type="dcterms:W3CDTF">1999-11-07T15:11:55Z</dcterms:created>
  <dcterms:modified xsi:type="dcterms:W3CDTF">2026-03-21T16:27:54Z</dcterms:modified>
</cp:coreProperties>
</file>