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ADDA9BF1-84D1-4235-A93E-343F40AB0DAC}" xr6:coauthVersionLast="47" xr6:coauthVersionMax="47" xr10:uidLastSave="{00000000-0000-0000-0000-000000000000}"/>
  <bookViews>
    <workbookView xWindow="-108" yWindow="-108" windowWidth="23256" windowHeight="12456" tabRatio="723" firstSheet="1" activeTab="1" xr2:uid="{00000000-000D-0000-FFFF-FFFF00000000}"/>
  </bookViews>
  <sheets>
    <sheet name="SULFATOS" sheetId="91" state="hidden" r:id="rId1"/>
    <sheet name="SULFATOS (2)" sheetId="92" r:id="rId2"/>
    <sheet name="Hoja1" sheetId="49" state="hidden" r:id="rId3"/>
  </sheets>
  <definedNames>
    <definedName name="_xlnm.Print_Area" localSheetId="0">SULFATOS!$A$1:$I$52</definedName>
    <definedName name="_xlnm.Print_Area" localSheetId="1">'SULFATOS (2)'!$A$1:$I$52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<sst xmlns="http://schemas.openxmlformats.org/spreadsheetml/2006/main" count="105" uniqueCount="63">
  <si>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</si>
  <si>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</si>
  <si>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</si>
  <si>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</si>
  <si>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</si>
  <si>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</si>
  <si>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</si>
  <si>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</si>
  <si>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</si>
  <si>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</si>
  <si>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</si>
  <si>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</si>
  <si>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</si>
  <si>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</si>
  <si>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</si>
  <si>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</si>
  <si>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</si>
  <si>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Alicuota Tomada</t>
  </si>
  <si>
    <t>(ml)</t>
  </si>
  <si>
    <t>Volumen de agua destilada</t>
  </si>
  <si>
    <t>Peso de suelo seco</t>
  </si>
  <si>
    <t>(g)</t>
  </si>
  <si>
    <t>(ppm)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</si>
  <si>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</si>
  <si>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</si>
  <si>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</si>
  <si>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</si>
  <si>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</si>
  <si>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</si>
  <si>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</si>
  <si>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</si>
  <si>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</si>
  <si>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Titulacion del suelo (b/(a/c))</t>
  </si>
  <si>
    <t>FORMATO N° F-LEM-P-SU-15.01</t>
  </si>
  <si>
    <t>METODO DE ENSAYONORMALIZADO PARA LA DETERMINACION CUANTITATIVA DE SULFATOS SOLUBLES EN SUELOS Y AGUA SUBTERRANEA</t>
  </si>
  <si>
    <t>NORMA  NTP 339.178</t>
  </si>
  <si>
    <t>Solucion de Cloruro de Bario</t>
  </si>
  <si>
    <t>Peso del Crisol</t>
  </si>
  <si>
    <t>Peso del Crisol + Residuos de Sulfatos</t>
  </si>
  <si>
    <t>(BaCI₂ )</t>
  </si>
  <si>
    <t>Promedio</t>
  </si>
  <si>
    <t>Residuo de Sulfatos (g-f)</t>
  </si>
  <si>
    <t>Contenido de Sulfatos ((h*411500)/d)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</si>
  <si>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</si>
  <si>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Observaciones:</t>
  </si>
  <si>
    <t>Equipos:</t>
  </si>
  <si>
    <t>Versión : 03 (17-05-2021)</t>
  </si>
  <si>
    <t>Capsula</t>
  </si>
  <si>
    <t>N°</t>
  </si>
  <si>
    <t>Equipo utilizado</t>
  </si>
  <si>
    <t>Código</t>
  </si>
  <si>
    <t xml:space="preserve">Horno </t>
  </si>
  <si>
    <t>Balanza 0.01</t>
  </si>
  <si>
    <t>Mufla</t>
  </si>
  <si>
    <t xml:space="preserve">Balanza </t>
  </si>
  <si>
    <t>Prohibido reproducir sin  autorización</t>
  </si>
  <si>
    <t>Versión : 04 (30-03-2023)</t>
  </si>
  <si>
    <t xml:space="preserve">Observaciones: </t>
  </si>
  <si>
    <t>…............................................................................................................................................................................</t>
  </si>
  <si>
    <t>MUESTRA</t>
  </si>
  <si>
    <t>N° OT</t>
  </si>
  <si>
    <t>FECHA DE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</si>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</sst>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"/>
    <numFmt numFmtId="165" formatCode="000"/>
    <numFmt numFmtId="166" formatCode="0\ &quot;/ CO-06&quot;"/>
    <numFmt numFmtId="167" formatCode="&quot;FORMATO F-LEM-P-SU-11.01&quot;"/>
    <numFmt numFmtId="168" formatCode="0&quot;mg / mL&quot;"/>
    <numFmt numFmtId="169" formatCode="0&quot;mg Cl¯/mL&quot;"/>
    <numFmt numFmtId="170" formatCode="#,##0.0000"/>
    <numFmt numFmtId="171" formatCode="#,##0.000"/>
    <numFmt numFmtId="172" formatCode="#,##0.0"/>
  </numFmts>
  <fonts count="2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sz val="7.5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</cellStyleXfs>
  <cellXfs count="154">
    <xf numFmtId="0" fontId="0" fillId="0" borderId="0" xfId="0"/>
    <xf numFmtId="0" fontId="5" fillId="0" borderId="0" xfId="0" applyFont="1" applyProtection="1">
      <protection hidden="1"/>
    </xf>
    <xf numFmtId="0" fontId="0" fillId="0" borderId="1" xfId="0" applyBorder="1"/>
    <xf numFmtId="2" fontId="7" fillId="3" borderId="1" xfId="0" applyNumberFormat="1" applyFont="1" applyFill="1" applyBorder="1" applyAlignment="1">
      <alignment vertical="center" wrapText="1"/>
    </xf>
    <xf numFmtId="10" fontId="8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0" fontId="14" fillId="0" borderId="1" xfId="0" applyFont="1" applyBorder="1"/>
    <xf numFmtId="16" fontId="14" fillId="0" borderId="1" xfId="0" applyNumberFormat="1" applyFont="1" applyBorder="1"/>
    <xf numFmtId="2" fontId="14" fillId="0" borderId="1" xfId="0" applyNumberFormat="1" applyFont="1" applyBorder="1"/>
    <xf numFmtId="2" fontId="15" fillId="3" borderId="1" xfId="0" applyNumberFormat="1" applyFont="1" applyFill="1" applyBorder="1" applyAlignment="1">
      <alignment vertical="center" wrapText="1"/>
    </xf>
    <xf numFmtId="166" fontId="9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6" fillId="0" borderId="0" xfId="0" applyFont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5" fillId="0" borderId="5" xfId="0" applyFont="1" applyBorder="1" applyProtection="1">
      <protection hidden="1"/>
    </xf>
    <xf numFmtId="0" fontId="2" fillId="3" borderId="6" xfId="0" applyFont="1" applyFill="1" applyBorder="1" applyAlignment="1">
      <alignment vertical="center"/>
    </xf>
    <xf numFmtId="0" fontId="5" fillId="0" borderId="7" xfId="0" applyFont="1" applyBorder="1" applyProtection="1">
      <protection hidden="1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5" fillId="0" borderId="10" xfId="0" applyFont="1" applyBorder="1" applyProtection="1">
      <protection hidden="1"/>
    </xf>
    <xf numFmtId="0" fontId="6" fillId="0" borderId="0" xfId="0" applyFont="1" applyAlignment="1" applyProtection="1">
      <alignment horizontal="center" vertical="center"/>
      <protection hidden="1"/>
    </xf>
    <xf numFmtId="10" fontId="7" fillId="3" borderId="0" xfId="0" applyNumberFormat="1" applyFont="1" applyFill="1" applyAlignment="1">
      <alignment horizontal="center" vertical="center" wrapText="1"/>
    </xf>
    <xf numFmtId="0" fontId="5" fillId="0" borderId="14" xfId="0" applyFont="1" applyBorder="1" applyProtection="1">
      <protection hidden="1"/>
    </xf>
    <xf numFmtId="3" fontId="8" fillId="3" borderId="15" xfId="0" applyNumberFormat="1" applyFont="1" applyFill="1" applyBorder="1" applyAlignment="1">
      <alignment horizontal="center" vertical="center" wrapText="1"/>
    </xf>
    <xf numFmtId="0" fontId="6" fillId="0" borderId="17" xfId="0" applyFont="1" applyBorder="1" applyAlignment="1" applyProtection="1">
      <alignment vertical="center"/>
      <protection hidden="1"/>
    </xf>
    <xf numFmtId="0" fontId="16" fillId="2" borderId="0" xfId="3" applyFont="1" applyFill="1" applyAlignment="1">
      <alignment vertical="center"/>
    </xf>
    <xf numFmtId="0" fontId="16" fillId="2" borderId="0" xfId="3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17" fontId="9" fillId="2" borderId="0" xfId="0" applyNumberFormat="1" applyFont="1" applyFill="1" applyAlignment="1">
      <alignment vertical="center"/>
    </xf>
    <xf numFmtId="0" fontId="17" fillId="0" borderId="0" xfId="0" applyFont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left" indent="1"/>
      <protection hidden="1"/>
    </xf>
    <xf numFmtId="0" fontId="9" fillId="0" borderId="0" xfId="0" applyFont="1" applyAlignment="1" applyProtection="1">
      <alignment horizontal="left" vertical="center" indent="2"/>
      <protection hidden="1"/>
    </xf>
    <xf numFmtId="0" fontId="16" fillId="2" borderId="11" xfId="3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left" vertical="center" wrapText="1"/>
    </xf>
    <xf numFmtId="0" fontId="6" fillId="0" borderId="14" xfId="0" applyFont="1" applyBorder="1" applyAlignment="1" applyProtection="1">
      <alignment vertical="center"/>
      <protection hidden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16" fillId="2" borderId="11" xfId="3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9" fillId="2" borderId="0" xfId="3" applyFont="1" applyFill="1" applyAlignment="1">
      <alignment vertical="center" wrapText="1"/>
    </xf>
    <xf numFmtId="0" fontId="9" fillId="3" borderId="0" xfId="0" applyFont="1" applyFill="1" applyAlignment="1" applyProtection="1">
      <alignment horizontal="left" indent="1"/>
      <protection hidden="1"/>
    </xf>
    <xf numFmtId="17" fontId="9" fillId="2" borderId="11" xfId="0" applyNumberFormat="1" applyFont="1" applyFill="1" applyBorder="1" applyAlignment="1">
      <alignment vertical="center"/>
    </xf>
    <xf numFmtId="14" fontId="9" fillId="0" borderId="0" xfId="0" applyNumberFormat="1" applyFont="1" applyAlignment="1" applyProtection="1">
      <alignment horizontal="left" vertical="center"/>
      <protection hidden="1"/>
    </xf>
    <xf numFmtId="0" fontId="9" fillId="3" borderId="0" xfId="0" applyFont="1" applyFill="1" applyAlignment="1" applyProtection="1">
      <alignment vertical="center"/>
      <protection hidden="1"/>
    </xf>
    <xf numFmtId="0" fontId="5" fillId="0" borderId="11" xfId="0" applyFont="1" applyBorder="1" applyProtection="1">
      <protection hidden="1"/>
    </xf>
    <xf numFmtId="165" fontId="13" fillId="3" borderId="19" xfId="0" quotePrefix="1" applyNumberFormat="1" applyFont="1" applyFill="1" applyBorder="1" applyAlignment="1">
      <alignment vertical="center"/>
    </xf>
    <xf numFmtId="0" fontId="1" fillId="2" borderId="19" xfId="4" applyFill="1" applyBorder="1" applyAlignment="1">
      <alignment vertical="center"/>
    </xf>
    <xf numFmtId="165" fontId="22" fillId="3" borderId="0" xfId="0" quotePrefix="1" applyNumberFormat="1" applyFont="1" applyFill="1" applyAlignment="1">
      <alignment vertical="center" wrapText="1"/>
    </xf>
    <xf numFmtId="0" fontId="13" fillId="0" borderId="0" xfId="0" applyFont="1" applyProtection="1">
      <protection hidden="1"/>
    </xf>
    <xf numFmtId="0" fontId="21" fillId="0" borderId="0" xfId="0" applyFont="1" applyAlignment="1" applyProtection="1">
      <alignment vertical="center"/>
      <protection hidden="1"/>
    </xf>
    <xf numFmtId="0" fontId="23" fillId="2" borderId="0" xfId="3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3" fillId="0" borderId="0" xfId="0" applyFont="1" applyProtection="1">
      <protection hidden="1"/>
    </xf>
    <xf numFmtId="0" fontId="21" fillId="3" borderId="18" xfId="0" applyFont="1" applyFill="1" applyBorder="1" applyAlignment="1">
      <alignment vertical="center"/>
    </xf>
    <xf numFmtId="0" fontId="13" fillId="3" borderId="18" xfId="0" applyFont="1" applyFill="1" applyBorder="1" applyAlignment="1">
      <alignment vertical="center"/>
    </xf>
    <xf numFmtId="0" fontId="13" fillId="3" borderId="20" xfId="0" applyFont="1" applyFill="1" applyBorder="1" applyAlignment="1">
      <alignment horizontal="center" vertical="center"/>
    </xf>
    <xf numFmtId="0" fontId="13" fillId="2" borderId="0" xfId="4" applyFont="1" applyFill="1" applyAlignment="1">
      <alignment vertical="center"/>
    </xf>
    <xf numFmtId="0" fontId="5" fillId="0" borderId="19" xfId="0" applyFont="1" applyBorder="1" applyProtection="1">
      <protection hidden="1"/>
    </xf>
    <xf numFmtId="0" fontId="23" fillId="2" borderId="19" xfId="3" applyFont="1" applyFill="1" applyBorder="1" applyAlignment="1">
      <alignment vertical="center"/>
    </xf>
    <xf numFmtId="0" fontId="13" fillId="2" borderId="19" xfId="4" applyFont="1" applyFill="1" applyBorder="1" applyAlignment="1">
      <alignment vertical="center"/>
    </xf>
    <xf numFmtId="0" fontId="13" fillId="3" borderId="18" xfId="0" applyFont="1" applyFill="1" applyBorder="1"/>
    <xf numFmtId="1" fontId="13" fillId="3" borderId="18" xfId="0" applyNumberFormat="1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/>
    </xf>
    <xf numFmtId="0" fontId="21" fillId="3" borderId="20" xfId="0" applyFont="1" applyFill="1" applyBorder="1" applyAlignment="1">
      <alignment horizontal="center"/>
    </xf>
    <xf numFmtId="170" fontId="13" fillId="0" borderId="1" xfId="0" applyNumberFormat="1" applyFont="1" applyBorder="1" applyAlignment="1">
      <alignment horizontal="center" vertical="center" wrapText="1"/>
    </xf>
    <xf numFmtId="170" fontId="13" fillId="3" borderId="1" xfId="0" applyNumberFormat="1" applyFont="1" applyFill="1" applyBorder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2" fontId="18" fillId="3" borderId="0" xfId="0" applyNumberFormat="1" applyFont="1" applyFill="1" applyAlignment="1">
      <alignment horizontal="center" vertical="center"/>
    </xf>
    <xf numFmtId="171" fontId="21" fillId="3" borderId="0" xfId="0" applyNumberFormat="1" applyFont="1" applyFill="1" applyAlignment="1">
      <alignment vertical="center"/>
    </xf>
    <xf numFmtId="2" fontId="21" fillId="3" borderId="0" xfId="0" applyNumberFormat="1" applyFont="1" applyFill="1" applyAlignment="1">
      <alignment vertical="center"/>
    </xf>
    <xf numFmtId="1" fontId="21" fillId="3" borderId="0" xfId="0" applyNumberFormat="1" applyFont="1" applyFill="1" applyAlignment="1">
      <alignment vertical="center"/>
    </xf>
    <xf numFmtId="0" fontId="13" fillId="3" borderId="15" xfId="0" applyFont="1" applyFill="1" applyBorder="1" applyAlignment="1">
      <alignment vertical="center"/>
    </xf>
    <xf numFmtId="0" fontId="13" fillId="3" borderId="15" xfId="0" applyFont="1" applyFill="1" applyBorder="1" applyAlignment="1">
      <alignment vertical="center" wrapText="1"/>
    </xf>
    <xf numFmtId="2" fontId="13" fillId="3" borderId="15" xfId="0" applyNumberFormat="1" applyFont="1" applyFill="1" applyBorder="1" applyAlignment="1">
      <alignment vertical="center" wrapText="1"/>
    </xf>
    <xf numFmtId="169" fontId="13" fillId="3" borderId="15" xfId="0" applyNumberFormat="1" applyFont="1" applyFill="1" applyBorder="1" applyAlignment="1">
      <alignment vertical="center" wrapText="1"/>
    </xf>
    <xf numFmtId="171" fontId="13" fillId="3" borderId="15" xfId="0" applyNumberFormat="1" applyFont="1" applyFill="1" applyBorder="1" applyAlignment="1">
      <alignment vertical="center" wrapText="1"/>
    </xf>
    <xf numFmtId="172" fontId="13" fillId="3" borderId="15" xfId="0" applyNumberFormat="1" applyFont="1" applyFill="1" applyBorder="1" applyAlignment="1">
      <alignment vertical="center" wrapText="1"/>
    </xf>
    <xf numFmtId="171" fontId="21" fillId="3" borderId="1" xfId="0" applyNumberFormat="1" applyFont="1" applyFill="1" applyBorder="1" applyAlignment="1">
      <alignment vertical="center"/>
    </xf>
    <xf numFmtId="1" fontId="21" fillId="3" borderId="1" xfId="0" applyNumberFormat="1" applyFont="1" applyFill="1" applyBorder="1" applyAlignment="1">
      <alignment horizontal="center" vertical="center"/>
    </xf>
    <xf numFmtId="0" fontId="5" fillId="0" borderId="15" xfId="0" applyFont="1" applyBorder="1" applyProtection="1">
      <protection hidden="1"/>
    </xf>
    <xf numFmtId="0" fontId="5" fillId="0" borderId="16" xfId="0" applyFont="1" applyBorder="1" applyProtection="1">
      <protection hidden="1"/>
    </xf>
    <xf numFmtId="0" fontId="2" fillId="0" borderId="12" xfId="0" applyFont="1" applyBorder="1" applyProtection="1">
      <protection hidden="1"/>
    </xf>
    <xf numFmtId="0" fontId="2" fillId="0" borderId="11" xfId="0" applyFont="1" applyBorder="1" applyProtection="1">
      <protection hidden="1"/>
    </xf>
    <xf numFmtId="0" fontId="2" fillId="2" borderId="11" xfId="0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0" fontId="2" fillId="0" borderId="13" xfId="0" applyFont="1" applyBorder="1" applyProtection="1">
      <protection hidden="1"/>
    </xf>
    <xf numFmtId="0" fontId="2" fillId="0" borderId="14" xfId="0" applyFont="1" applyBorder="1" applyProtection="1">
      <protection hidden="1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2" fillId="0" borderId="15" xfId="0" applyFont="1" applyBorder="1" applyProtection="1">
      <protection hidden="1"/>
    </xf>
    <xf numFmtId="0" fontId="2" fillId="0" borderId="16" xfId="0" applyFont="1" applyBorder="1" applyProtection="1">
      <protection hidden="1"/>
    </xf>
    <xf numFmtId="0" fontId="2" fillId="0" borderId="10" xfId="0" applyFont="1" applyBorder="1" applyProtection="1">
      <protection hidden="1"/>
    </xf>
    <xf numFmtId="0" fontId="2" fillId="2" borderId="10" xfId="0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0" fontId="2" fillId="0" borderId="17" xfId="0" applyFont="1" applyBorder="1" applyProtection="1">
      <protection hidden="1"/>
    </xf>
    <xf numFmtId="0" fontId="13" fillId="3" borderId="19" xfId="4" applyFont="1" applyFill="1" applyBorder="1" applyAlignment="1">
      <alignment vertical="center"/>
    </xf>
    <xf numFmtId="0" fontId="13" fillId="3" borderId="20" xfId="4" applyFont="1" applyFill="1" applyBorder="1" applyAlignment="1">
      <alignment horizontal="center" vertical="center"/>
    </xf>
    <xf numFmtId="0" fontId="5" fillId="0" borderId="1" xfId="0" applyFont="1" applyBorder="1" applyProtection="1">
      <protection hidden="1"/>
    </xf>
    <xf numFmtId="0" fontId="5" fillId="0" borderId="18" xfId="0" applyFont="1" applyBorder="1" applyProtection="1">
      <protection hidden="1"/>
    </xf>
    <xf numFmtId="171" fontId="21" fillId="3" borderId="21" xfId="0" applyNumberFormat="1" applyFont="1" applyFill="1" applyBorder="1" applyAlignment="1">
      <alignment vertical="center"/>
    </xf>
    <xf numFmtId="1" fontId="21" fillId="3" borderId="21" xfId="0" applyNumberFormat="1" applyFont="1" applyFill="1" applyBorder="1" applyAlignment="1">
      <alignment horizontal="center" vertical="center"/>
    </xf>
    <xf numFmtId="0" fontId="9" fillId="3" borderId="18" xfId="0" applyFont="1" applyFill="1" applyBorder="1" applyAlignment="1" applyProtection="1">
      <alignment horizontal="center" vertical="center"/>
      <protection locked="0"/>
    </xf>
    <xf numFmtId="0" fontId="9" fillId="3" borderId="20" xfId="0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7" fillId="0" borderId="0" xfId="0" applyFont="1" applyProtection="1">
      <protection hidden="1"/>
    </xf>
    <xf numFmtId="0" fontId="13" fillId="0" borderId="0" xfId="1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7" xfId="0" applyFont="1" applyBorder="1" applyAlignment="1" applyProtection="1">
      <alignment horizontal="center" vertical="center" wrapText="1"/>
      <protection hidden="1"/>
    </xf>
    <xf numFmtId="0" fontId="20" fillId="2" borderId="0" xfId="0" applyFont="1" applyFill="1" applyAlignment="1">
      <alignment horizontal="center" vertical="center"/>
    </xf>
    <xf numFmtId="167" fontId="20" fillId="0" borderId="0" xfId="0" applyNumberFormat="1" applyFont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16" fillId="2" borderId="0" xfId="3" applyFont="1" applyFill="1" applyAlignment="1">
      <alignment horizontal="center" vertical="center"/>
    </xf>
    <xf numFmtId="0" fontId="23" fillId="2" borderId="0" xfId="3" applyFont="1" applyFill="1" applyAlignment="1">
      <alignment horizontal="center" vertical="center"/>
    </xf>
    <xf numFmtId="168" fontId="13" fillId="3" borderId="1" xfId="0" applyNumberFormat="1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2" fontId="13" fillId="3" borderId="18" xfId="0" applyNumberFormat="1" applyFont="1" applyFill="1" applyBorder="1" applyAlignment="1">
      <alignment horizontal="center" vertical="center" wrapText="1"/>
    </xf>
    <xf numFmtId="2" fontId="13" fillId="3" borderId="20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 applyProtection="1">
      <alignment horizontal="center" vertical="center"/>
      <protection hidden="1"/>
    </xf>
    <xf numFmtId="0" fontId="16" fillId="0" borderId="18" xfId="0" applyFont="1" applyBorder="1" applyAlignment="1" applyProtection="1">
      <alignment horizontal="center" vertical="center"/>
      <protection hidden="1"/>
    </xf>
    <xf numFmtId="0" fontId="16" fillId="0" borderId="20" xfId="0" applyFont="1" applyBorder="1" applyAlignment="1" applyProtection="1">
      <alignment horizontal="center" vertical="center"/>
      <protection hidden="1"/>
    </xf>
    <xf numFmtId="0" fontId="13" fillId="3" borderId="18" xfId="0" applyFont="1" applyFill="1" applyBorder="1" applyAlignment="1" applyProtection="1">
      <alignment horizontal="center" vertical="center"/>
      <protection hidden="1"/>
    </xf>
    <xf numFmtId="0" fontId="13" fillId="3" borderId="20" xfId="0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1" fillId="2" borderId="1" xfId="3" applyFont="1" applyFill="1" applyBorder="1" applyAlignment="1">
      <alignment horizontal="center" vertical="center"/>
    </xf>
    <xf numFmtId="0" fontId="21" fillId="2" borderId="1" xfId="3" applyFont="1" applyFill="1" applyBorder="1" applyAlignment="1">
      <alignment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1" fillId="2" borderId="18" xfId="3" applyFont="1" applyFill="1" applyBorder="1" applyAlignment="1">
      <alignment horizontal="center" vertical="center"/>
    </xf>
    <xf numFmtId="0" fontId="21" fillId="2" borderId="20" xfId="3" applyFont="1" applyFill="1" applyBorder="1" applyAlignment="1">
      <alignment horizontal="center" vertical="center"/>
    </xf>
  </cellXfs>
  <cellStyles count="5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_ENSAYOS" xfId="3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50</xdr:row>
      <xdr:rowOff>121920</xdr:rowOff>
    </xdr:from>
    <xdr:to>
      <xdr:col>9</xdr:col>
      <xdr:colOff>0</xdr:colOff>
      <xdr:row>50</xdr:row>
      <xdr:rowOff>121920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0485120"/>
          <a:ext cx="672846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38100</xdr:colOff>
      <xdr:row>8</xdr:row>
      <xdr:rowOff>129540</xdr:rowOff>
    </xdr:from>
    <xdr:to>
      <xdr:col>3</xdr:col>
      <xdr:colOff>464640</xdr:colOff>
      <xdr:row>10</xdr:row>
      <xdr:rowOff>7620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158240" y="171450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MUESTRA</a:t>
          </a:r>
        </a:p>
      </xdr:txBody>
    </xdr:sp>
    <xdr:clientData/>
  </xdr:twoCellAnchor>
  <xdr:twoCellAnchor>
    <xdr:from>
      <xdr:col>3</xdr:col>
      <xdr:colOff>586740</xdr:colOff>
      <xdr:row>8</xdr:row>
      <xdr:rowOff>129540</xdr:rowOff>
    </xdr:from>
    <xdr:to>
      <xdr:col>5</xdr:col>
      <xdr:colOff>411300</xdr:colOff>
      <xdr:row>10</xdr:row>
      <xdr:rowOff>7620</xdr:rowOff>
    </xdr:to>
    <xdr:sp macro="" textlink="">
      <xdr:nvSpPr>
        <xdr:cNvPr id="5" name="6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720340" y="171450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N°</a:t>
          </a:r>
          <a:r>
            <a:rPr lang="es-PE" sz="900" baseline="0">
              <a:latin typeface="Arial" panose="020B0604020202020204" pitchFamily="34" charset="0"/>
              <a:cs typeface="Arial" panose="020B0604020202020204" pitchFamily="34" charset="0"/>
            </a:rPr>
            <a:t> OT</a:t>
          </a:r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541020</xdr:colOff>
      <xdr:row>8</xdr:row>
      <xdr:rowOff>129540</xdr:rowOff>
    </xdr:from>
    <xdr:to>
      <xdr:col>7</xdr:col>
      <xdr:colOff>502740</xdr:colOff>
      <xdr:row>10</xdr:row>
      <xdr:rowOff>7620</xdr:rowOff>
    </xdr:to>
    <xdr:sp macro="" textlink="">
      <xdr:nvSpPr>
        <xdr:cNvPr id="6" name="8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290060" y="171450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</a:t>
          </a:r>
        </a:p>
      </xdr:txBody>
    </xdr:sp>
    <xdr:clientData/>
  </xdr:twoCellAnchor>
  <xdr:twoCellAnchor>
    <xdr:from>
      <xdr:col>1</xdr:col>
      <xdr:colOff>38100</xdr:colOff>
      <xdr:row>10</xdr:row>
      <xdr:rowOff>38100</xdr:rowOff>
    </xdr:from>
    <xdr:to>
      <xdr:col>3</xdr:col>
      <xdr:colOff>464640</xdr:colOff>
      <xdr:row>11</xdr:row>
      <xdr:rowOff>158460</xdr:rowOff>
    </xdr:to>
    <xdr:sp macro="" textlink="">
      <xdr:nvSpPr>
        <xdr:cNvPr id="7" name="4 Rectángul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158240" y="201930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586740</xdr:colOff>
      <xdr:row>10</xdr:row>
      <xdr:rowOff>45720</xdr:rowOff>
    </xdr:from>
    <xdr:to>
      <xdr:col>5</xdr:col>
      <xdr:colOff>411300</xdr:colOff>
      <xdr:row>11</xdr:row>
      <xdr:rowOff>166080</xdr:rowOff>
    </xdr:to>
    <xdr:sp macro="" textlink="">
      <xdr:nvSpPr>
        <xdr:cNvPr id="8" name="4 Rectángul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720340" y="202692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533400</xdr:colOff>
      <xdr:row>10</xdr:row>
      <xdr:rowOff>45720</xdr:rowOff>
    </xdr:from>
    <xdr:to>
      <xdr:col>7</xdr:col>
      <xdr:colOff>495120</xdr:colOff>
      <xdr:row>11</xdr:row>
      <xdr:rowOff>166080</xdr:rowOff>
    </xdr:to>
    <xdr:sp macro="" textlink="">
      <xdr:nvSpPr>
        <xdr:cNvPr id="9" name="4 Rectángul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282440" y="202692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297180</xdr:colOff>
      <xdr:row>14</xdr:row>
      <xdr:rowOff>76200</xdr:rowOff>
    </xdr:from>
    <xdr:to>
      <xdr:col>6</xdr:col>
      <xdr:colOff>406080</xdr:colOff>
      <xdr:row>15</xdr:row>
      <xdr:rowOff>155040</xdr:rowOff>
    </xdr:to>
    <xdr:sp macro="" textlink="">
      <xdr:nvSpPr>
        <xdr:cNvPr id="10" name="8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339340" y="3063240"/>
          <a:ext cx="20520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</a:t>
          </a:r>
        </a:p>
      </xdr:txBody>
    </xdr:sp>
    <xdr:clientData/>
  </xdr:twoCellAnchor>
  <xdr:twoCellAnchor>
    <xdr:from>
      <xdr:col>3</xdr:col>
      <xdr:colOff>297180</xdr:colOff>
      <xdr:row>15</xdr:row>
      <xdr:rowOff>152400</xdr:rowOff>
    </xdr:from>
    <xdr:to>
      <xdr:col>5</xdr:col>
      <xdr:colOff>326160</xdr:colOff>
      <xdr:row>16</xdr:row>
      <xdr:rowOff>170280</xdr:rowOff>
    </xdr:to>
    <xdr:sp macro="" textlink="">
      <xdr:nvSpPr>
        <xdr:cNvPr id="11" name="8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339340" y="3276600"/>
          <a:ext cx="13320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3</xdr:col>
      <xdr:colOff>297180</xdr:colOff>
      <xdr:row>16</xdr:row>
      <xdr:rowOff>167640</xdr:rowOff>
    </xdr:from>
    <xdr:to>
      <xdr:col>5</xdr:col>
      <xdr:colOff>326160</xdr:colOff>
      <xdr:row>17</xdr:row>
      <xdr:rowOff>185520</xdr:rowOff>
    </xdr:to>
    <xdr:sp macro="" textlink="">
      <xdr:nvSpPr>
        <xdr:cNvPr id="12" name="8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339340" y="3489960"/>
          <a:ext cx="13320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5</xdr:col>
      <xdr:colOff>327660</xdr:colOff>
      <xdr:row>15</xdr:row>
      <xdr:rowOff>152400</xdr:rowOff>
    </xdr:from>
    <xdr:to>
      <xdr:col>6</xdr:col>
      <xdr:colOff>407580</xdr:colOff>
      <xdr:row>16</xdr:row>
      <xdr:rowOff>170280</xdr:rowOff>
    </xdr:to>
    <xdr:sp macro="" textlink="">
      <xdr:nvSpPr>
        <xdr:cNvPr id="13" name="8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672840" y="3276600"/>
          <a:ext cx="7200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327660</xdr:colOff>
      <xdr:row>16</xdr:row>
      <xdr:rowOff>167640</xdr:rowOff>
    </xdr:from>
    <xdr:to>
      <xdr:col>6</xdr:col>
      <xdr:colOff>407580</xdr:colOff>
      <xdr:row>17</xdr:row>
      <xdr:rowOff>185520</xdr:rowOff>
    </xdr:to>
    <xdr:sp macro="" textlink="">
      <xdr:nvSpPr>
        <xdr:cNvPr id="14" name="8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672840" y="3489960"/>
          <a:ext cx="7200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14</xdr:col>
      <xdr:colOff>624840</xdr:colOff>
      <xdr:row>6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698480" y="1196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0</xdr:col>
      <xdr:colOff>922021</xdr:colOff>
      <xdr:row>42</xdr:row>
      <xdr:rowOff>129540</xdr:rowOff>
    </xdr:from>
    <xdr:to>
      <xdr:col>3</xdr:col>
      <xdr:colOff>251281</xdr:colOff>
      <xdr:row>45</xdr:row>
      <xdr:rowOff>137160</xdr:rowOff>
    </xdr:to>
    <xdr:sp macro="" textlink="">
      <xdr:nvSpPr>
        <xdr:cNvPr id="18" name="12 Rectángul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922021" y="9395460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0</xdr:col>
      <xdr:colOff>922020</xdr:colOff>
      <xdr:row>45</xdr:row>
      <xdr:rowOff>175260</xdr:rowOff>
    </xdr:from>
    <xdr:to>
      <xdr:col>3</xdr:col>
      <xdr:colOff>251280</xdr:colOff>
      <xdr:row>47</xdr:row>
      <xdr:rowOff>60960</xdr:rowOff>
    </xdr:to>
    <xdr:sp macro="" textlink="">
      <xdr:nvSpPr>
        <xdr:cNvPr id="19" name="13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922020" y="1003554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Realizado</a:t>
          </a:r>
        </a:p>
      </xdr:txBody>
    </xdr:sp>
    <xdr:clientData/>
  </xdr:twoCellAnchor>
  <xdr:twoCellAnchor>
    <xdr:from>
      <xdr:col>3</xdr:col>
      <xdr:colOff>384810</xdr:colOff>
      <xdr:row>42</xdr:row>
      <xdr:rowOff>139065</xdr:rowOff>
    </xdr:from>
    <xdr:to>
      <xdr:col>5</xdr:col>
      <xdr:colOff>255090</xdr:colOff>
      <xdr:row>45</xdr:row>
      <xdr:rowOff>146685</xdr:rowOff>
    </xdr:to>
    <xdr:sp macro="" textlink="">
      <xdr:nvSpPr>
        <xdr:cNvPr id="20" name="14 Rectángul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495550" y="9404985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3</xdr:col>
      <xdr:colOff>382906</xdr:colOff>
      <xdr:row>45</xdr:row>
      <xdr:rowOff>175260</xdr:rowOff>
    </xdr:from>
    <xdr:to>
      <xdr:col>5</xdr:col>
      <xdr:colOff>253186</xdr:colOff>
      <xdr:row>47</xdr:row>
      <xdr:rowOff>60960</xdr:rowOff>
    </xdr:to>
    <xdr:sp macro="" textlink="">
      <xdr:nvSpPr>
        <xdr:cNvPr id="21" name="15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493646" y="1003554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Revisado</a:t>
          </a:r>
        </a:p>
      </xdr:txBody>
    </xdr:sp>
    <xdr:clientData/>
  </xdr:twoCellAnchor>
  <xdr:twoCellAnchor>
    <xdr:from>
      <xdr:col>5</xdr:col>
      <xdr:colOff>401956</xdr:colOff>
      <xdr:row>42</xdr:row>
      <xdr:rowOff>129540</xdr:rowOff>
    </xdr:from>
    <xdr:to>
      <xdr:col>7</xdr:col>
      <xdr:colOff>363676</xdr:colOff>
      <xdr:row>45</xdr:row>
      <xdr:rowOff>137160</xdr:rowOff>
    </xdr:to>
    <xdr:sp macro="" textlink="">
      <xdr:nvSpPr>
        <xdr:cNvPr id="22" name="16 Rectángul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945256" y="9395460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5</xdr:col>
      <xdr:colOff>403860</xdr:colOff>
      <xdr:row>45</xdr:row>
      <xdr:rowOff>175260</xdr:rowOff>
    </xdr:from>
    <xdr:to>
      <xdr:col>7</xdr:col>
      <xdr:colOff>365580</xdr:colOff>
      <xdr:row>47</xdr:row>
      <xdr:rowOff>60960</xdr:rowOff>
    </xdr:to>
    <xdr:sp macro="" textlink="">
      <xdr:nvSpPr>
        <xdr:cNvPr id="23" name="17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947160" y="1003554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Aprobado</a:t>
          </a:r>
        </a:p>
      </xdr:txBody>
    </xdr:sp>
    <xdr:clientData/>
  </xdr:twoCellAnchor>
  <xdr:twoCellAnchor editAs="oneCell">
    <xdr:from>
      <xdr:col>2</xdr:col>
      <xdr:colOff>186690</xdr:colOff>
      <xdr:row>0</xdr:row>
      <xdr:rowOff>66822</xdr:rowOff>
    </xdr:from>
    <xdr:to>
      <xdr:col>6</xdr:col>
      <xdr:colOff>632460</xdr:colOff>
      <xdr:row>4</xdr:row>
      <xdr:rowOff>148004</xdr:rowOff>
    </xdr:to>
    <xdr:pic>
      <xdr:nvPicPr>
        <xdr:cNvPr id="24" name="1 Imagen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29" b="29668"/>
        <a:stretch>
          <a:fillRect/>
        </a:stretch>
      </xdr:blipFill>
      <xdr:spPr bwMode="auto">
        <a:xfrm>
          <a:off x="1512570" y="66822"/>
          <a:ext cx="3371850" cy="873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50</xdr:row>
      <xdr:rowOff>121920</xdr:rowOff>
    </xdr:from>
    <xdr:to>
      <xdr:col>9</xdr:col>
      <xdr:colOff>0</xdr:colOff>
      <xdr:row>50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42ABC6B2-6FB5-4099-9E25-74FD198C0526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1066145"/>
          <a:ext cx="617410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297180</xdr:colOff>
      <xdr:row>14</xdr:row>
      <xdr:rowOff>76200</xdr:rowOff>
    </xdr:from>
    <xdr:to>
      <xdr:col>6</xdr:col>
      <xdr:colOff>406080</xdr:colOff>
      <xdr:row>15</xdr:row>
      <xdr:rowOff>155040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497F9955-3AA9-4C10-95C6-97DCECBB845E}"/>
            </a:ext>
          </a:extLst>
        </xdr:cNvPr>
        <xdr:cNvSpPr txBox="1"/>
      </xdr:nvSpPr>
      <xdr:spPr>
        <a:xfrm>
          <a:off x="2297430" y="3086100"/>
          <a:ext cx="2252025" cy="22171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</a:t>
          </a:r>
        </a:p>
      </xdr:txBody>
    </xdr:sp>
    <xdr:clientData/>
  </xdr:twoCellAnchor>
  <xdr:twoCellAnchor>
    <xdr:from>
      <xdr:col>3</xdr:col>
      <xdr:colOff>297180</xdr:colOff>
      <xdr:row>15</xdr:row>
      <xdr:rowOff>152400</xdr:rowOff>
    </xdr:from>
    <xdr:to>
      <xdr:col>5</xdr:col>
      <xdr:colOff>326160</xdr:colOff>
      <xdr:row>16</xdr:row>
      <xdr:rowOff>170280</xdr:rowOff>
    </xdr:to>
    <xdr:sp macro="" textlink="">
      <xdr:nvSpPr>
        <xdr:cNvPr id="10" name="8 CuadroTexto">
          <a:extLst>
            <a:ext uri="{FF2B5EF4-FFF2-40B4-BE49-F238E27FC236}">
              <a16:creationId xmlns:a16="http://schemas.microsoft.com/office/drawing/2014/main" id="{F743E2FC-6661-415A-980B-971610F336B0}"/>
            </a:ext>
          </a:extLst>
        </xdr:cNvPr>
        <xdr:cNvSpPr txBox="1"/>
      </xdr:nvSpPr>
      <xdr:spPr>
        <a:xfrm>
          <a:off x="2297430" y="3305175"/>
          <a:ext cx="1457730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3</xdr:col>
      <xdr:colOff>297180</xdr:colOff>
      <xdr:row>16</xdr:row>
      <xdr:rowOff>167640</xdr:rowOff>
    </xdr:from>
    <xdr:to>
      <xdr:col>5</xdr:col>
      <xdr:colOff>326160</xdr:colOff>
      <xdr:row>17</xdr:row>
      <xdr:rowOff>185520</xdr:rowOff>
    </xdr:to>
    <xdr:sp macro="" textlink="">
      <xdr:nvSpPr>
        <xdr:cNvPr id="11" name="8 CuadroTexto">
          <a:extLst>
            <a:ext uri="{FF2B5EF4-FFF2-40B4-BE49-F238E27FC236}">
              <a16:creationId xmlns:a16="http://schemas.microsoft.com/office/drawing/2014/main" id="{51BA933C-FC00-47CA-B0F6-B3A5D7927309}"/>
            </a:ext>
          </a:extLst>
        </xdr:cNvPr>
        <xdr:cNvSpPr txBox="1"/>
      </xdr:nvSpPr>
      <xdr:spPr>
        <a:xfrm>
          <a:off x="2297430" y="3520440"/>
          <a:ext cx="1457730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5</xdr:col>
      <xdr:colOff>327660</xdr:colOff>
      <xdr:row>15</xdr:row>
      <xdr:rowOff>152400</xdr:rowOff>
    </xdr:from>
    <xdr:to>
      <xdr:col>6</xdr:col>
      <xdr:colOff>407580</xdr:colOff>
      <xdr:row>16</xdr:row>
      <xdr:rowOff>170280</xdr:rowOff>
    </xdr:to>
    <xdr:sp macro="" textlink="">
      <xdr:nvSpPr>
        <xdr:cNvPr id="12" name="8 CuadroTexto">
          <a:extLst>
            <a:ext uri="{FF2B5EF4-FFF2-40B4-BE49-F238E27FC236}">
              <a16:creationId xmlns:a16="http://schemas.microsoft.com/office/drawing/2014/main" id="{46F42899-0545-4F4D-9FDD-E954ADEAFE4E}"/>
            </a:ext>
          </a:extLst>
        </xdr:cNvPr>
        <xdr:cNvSpPr txBox="1"/>
      </xdr:nvSpPr>
      <xdr:spPr>
        <a:xfrm>
          <a:off x="3756660" y="3305175"/>
          <a:ext cx="794295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327660</xdr:colOff>
      <xdr:row>16</xdr:row>
      <xdr:rowOff>167640</xdr:rowOff>
    </xdr:from>
    <xdr:to>
      <xdr:col>6</xdr:col>
      <xdr:colOff>407580</xdr:colOff>
      <xdr:row>17</xdr:row>
      <xdr:rowOff>185520</xdr:rowOff>
    </xdr:to>
    <xdr:sp macro="" textlink="">
      <xdr:nvSpPr>
        <xdr:cNvPr id="13" name="8 CuadroTexto">
          <a:extLst>
            <a:ext uri="{FF2B5EF4-FFF2-40B4-BE49-F238E27FC236}">
              <a16:creationId xmlns:a16="http://schemas.microsoft.com/office/drawing/2014/main" id="{4C57827E-A194-49FC-87D8-4F2CAC7CA32E}"/>
            </a:ext>
          </a:extLst>
        </xdr:cNvPr>
        <xdr:cNvSpPr txBox="1"/>
      </xdr:nvSpPr>
      <xdr:spPr>
        <a:xfrm>
          <a:off x="3756660" y="3520440"/>
          <a:ext cx="794295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14</xdr:col>
      <xdr:colOff>624840</xdr:colOff>
      <xdr:row>6</xdr:row>
      <xdr:rowOff>7620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40DB4462-40E2-472D-8BBB-AC30ED62681F}"/>
            </a:ext>
          </a:extLst>
        </xdr:cNvPr>
        <xdr:cNvSpPr txBox="1"/>
      </xdr:nvSpPr>
      <xdr:spPr>
        <a:xfrm>
          <a:off x="9921240" y="12077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1</xdr:col>
      <xdr:colOff>114300</xdr:colOff>
      <xdr:row>42</xdr:row>
      <xdr:rowOff>190500</xdr:rowOff>
    </xdr:from>
    <xdr:to>
      <xdr:col>4</xdr:col>
      <xdr:colOff>419792</xdr:colOff>
      <xdr:row>46</xdr:row>
      <xdr:rowOff>68896</xdr:rowOff>
    </xdr:to>
    <xdr:sp macro="" textlink="">
      <xdr:nvSpPr>
        <xdr:cNvPr id="22" name="12 Rectángulo">
          <a:extLst>
            <a:ext uri="{FF2B5EF4-FFF2-40B4-BE49-F238E27FC236}">
              <a16:creationId xmlns:a16="http://schemas.microsoft.com/office/drawing/2014/main" id="{7FFA9806-310D-421B-BF33-5985E1080B01}"/>
            </a:ext>
          </a:extLst>
        </xdr:cNvPr>
        <xdr:cNvSpPr/>
      </xdr:nvSpPr>
      <xdr:spPr>
        <a:xfrm>
          <a:off x="1200150" y="9534525"/>
          <a:ext cx="1934267" cy="678496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Revisado:</a:t>
          </a:r>
        </a:p>
        <a:p>
          <a:endParaRPr lang="es-PE" sz="1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>
    <xdr:from>
      <xdr:col>4</xdr:col>
      <xdr:colOff>495993</xdr:colOff>
      <xdr:row>42</xdr:row>
      <xdr:rowOff>198122</xdr:rowOff>
    </xdr:from>
    <xdr:to>
      <xdr:col>7</xdr:col>
      <xdr:colOff>417196</xdr:colOff>
      <xdr:row>46</xdr:row>
      <xdr:rowOff>59961</xdr:rowOff>
    </xdr:to>
    <xdr:sp macro="" textlink="">
      <xdr:nvSpPr>
        <xdr:cNvPr id="23" name="12 Rectángulo">
          <a:extLst>
            <a:ext uri="{FF2B5EF4-FFF2-40B4-BE49-F238E27FC236}">
              <a16:creationId xmlns:a16="http://schemas.microsoft.com/office/drawing/2014/main" id="{EBCC3ABA-08E2-417E-BB04-AEB04D7699F9}"/>
            </a:ext>
          </a:extLst>
        </xdr:cNvPr>
        <xdr:cNvSpPr/>
      </xdr:nvSpPr>
      <xdr:spPr>
        <a:xfrm>
          <a:off x="3210618" y="9542147"/>
          <a:ext cx="2064328" cy="66193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1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 editAs="oneCell">
    <xdr:from>
      <xdr:col>3</xdr:col>
      <xdr:colOff>571501</xdr:colOff>
      <xdr:row>0</xdr:row>
      <xdr:rowOff>19050</xdr:rowOff>
    </xdr:from>
    <xdr:to>
      <xdr:col>5</xdr:col>
      <xdr:colOff>622566</xdr:colOff>
      <xdr:row>4</xdr:row>
      <xdr:rowOff>114300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6B5DBAF-F27F-4F71-8AD6-5B717F64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1" y="19050"/>
          <a:ext cx="1479815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1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L54"/>
  <sheetViews>
    <sheetView showGridLines="0" topLeftCell="A22" zoomScaleNormal="100" zoomScaleSheetLayoutView="100" workbookViewId="0">
      <selection activeCell="I34" sqref="I34"/>
    </sheetView>
  </sheetViews>
  <sheetFormatPr baseColWidth="10" defaultColWidth="10.33203125" defaultRowHeight="13.8" x14ac:dyDescent="0.25"/>
  <cols>
    <col min="1" max="1" width="16.33203125" style="1" customWidth="1"/>
    <col min="2" max="2" width="3" style="1" customWidth="1"/>
    <col min="3" max="8" width="10.6640625" style="1" customWidth="1"/>
    <col min="9" max="9" width="9.6640625" style="1" customWidth="1"/>
    <col min="10" max="10" width="6.44140625" style="1" customWidth="1"/>
    <col min="11" max="11" width="8" style="1" customWidth="1"/>
    <col min="12" max="13" width="10.6640625" style="1" customWidth="1"/>
    <col min="14" max="16384" width="10.33203125" style="1"/>
  </cols>
  <sheetData>
    <row r="1" spans="1:11" ht="15.75" customHeight="1" thickTop="1" x14ac:dyDescent="0.25">
      <c r="A1" s="20"/>
      <c r="B1" s="21"/>
      <c r="C1" s="21"/>
      <c r="D1" s="22"/>
      <c r="E1" s="22"/>
      <c r="F1" s="22"/>
      <c r="G1" s="22"/>
      <c r="H1" s="22"/>
      <c r="I1" s="23"/>
    </row>
    <row r="2" spans="1:11" ht="15.75" customHeight="1" x14ac:dyDescent="0.25">
      <c r="A2" s="24"/>
      <c r="B2" s="17"/>
      <c r="C2" s="17"/>
      <c r="D2" s="18"/>
      <c r="E2" s="18"/>
      <c r="F2" s="18"/>
      <c r="G2" s="18"/>
      <c r="H2" s="18"/>
      <c r="I2" s="25"/>
    </row>
    <row r="3" spans="1:11" ht="15.75" customHeight="1" x14ac:dyDescent="0.25">
      <c r="A3" s="24"/>
      <c r="B3" s="17"/>
      <c r="C3" s="17"/>
      <c r="D3" s="18"/>
      <c r="E3" s="18"/>
      <c r="F3" s="18"/>
      <c r="G3" s="18"/>
      <c r="H3" s="18"/>
      <c r="I3" s="25"/>
    </row>
    <row r="4" spans="1:11" ht="15.75" customHeight="1" x14ac:dyDescent="0.25">
      <c r="A4" s="24"/>
      <c r="B4" s="17"/>
      <c r="C4" s="17"/>
      <c r="D4" s="18"/>
      <c r="E4" s="18"/>
      <c r="F4" s="18"/>
      <c r="G4" s="18"/>
      <c r="H4" s="18"/>
      <c r="I4" s="25"/>
    </row>
    <row r="5" spans="1:11" ht="15.75" customHeight="1" thickBot="1" x14ac:dyDescent="0.3">
      <c r="A5" s="26"/>
      <c r="B5" s="19"/>
      <c r="C5" s="19"/>
      <c r="D5" s="19"/>
      <c r="E5" s="19"/>
      <c r="F5" s="19"/>
      <c r="G5" s="19"/>
      <c r="H5" s="19"/>
      <c r="I5" s="27"/>
    </row>
    <row r="6" spans="1:11" ht="15.9" customHeight="1" thickTop="1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1" ht="15.9" customHeight="1" x14ac:dyDescent="0.25">
      <c r="A7" s="126" t="s">
        <v>15</v>
      </c>
      <c r="B7" s="126"/>
      <c r="C7" s="126"/>
      <c r="D7" s="126"/>
      <c r="E7" s="126"/>
      <c r="F7" s="126"/>
      <c r="G7" s="126"/>
      <c r="H7" s="126"/>
      <c r="I7" s="126"/>
    </row>
    <row r="8" spans="1:11" ht="15.9" customHeight="1" x14ac:dyDescent="0.25">
      <c r="A8" s="127" t="s">
        <v>33</v>
      </c>
      <c r="B8" s="127"/>
      <c r="C8" s="127"/>
      <c r="D8" s="127"/>
      <c r="E8" s="127"/>
      <c r="F8" s="127"/>
      <c r="G8" s="127"/>
      <c r="H8" s="127"/>
      <c r="I8" s="127"/>
    </row>
    <row r="9" spans="1:11" ht="15.9" customHeight="1" x14ac:dyDescent="0.25">
      <c r="A9" s="28"/>
      <c r="B9" s="28"/>
      <c r="C9" s="28"/>
      <c r="D9" s="28"/>
      <c r="E9" s="28"/>
      <c r="F9" s="28"/>
      <c r="G9" s="28"/>
      <c r="H9" s="28"/>
      <c r="I9" s="28"/>
    </row>
    <row r="10" spans="1:11" ht="15.9" customHeight="1" x14ac:dyDescent="0.25">
      <c r="B10" s="35"/>
      <c r="C10" s="35"/>
      <c r="D10" s="35"/>
      <c r="E10" s="35"/>
      <c r="F10" s="35"/>
      <c r="G10" s="35"/>
      <c r="H10" s="35"/>
      <c r="I10" s="53"/>
      <c r="J10" s="15"/>
      <c r="K10" s="15"/>
    </row>
    <row r="11" spans="1:11" ht="15.9" customHeight="1" x14ac:dyDescent="0.25">
      <c r="A11" s="35"/>
      <c r="B11" s="35"/>
      <c r="C11" s="35"/>
      <c r="D11" s="35"/>
      <c r="E11" s="35"/>
      <c r="F11" s="35"/>
      <c r="G11" s="35"/>
      <c r="H11" s="35"/>
      <c r="I11" s="37"/>
      <c r="J11" s="15"/>
      <c r="K11" s="15"/>
    </row>
    <row r="12" spans="1:11" ht="15.9" customHeight="1" x14ac:dyDescent="0.25">
      <c r="A12" s="35"/>
      <c r="B12" s="36"/>
      <c r="C12" s="51"/>
      <c r="D12" s="51"/>
      <c r="E12" s="51"/>
      <c r="F12" s="51"/>
      <c r="G12" s="51"/>
      <c r="H12" s="51"/>
      <c r="I12" s="38"/>
      <c r="J12" s="15"/>
      <c r="K12" s="15"/>
    </row>
    <row r="13" spans="1:11" ht="30" customHeight="1" x14ac:dyDescent="0.25">
      <c r="A13" s="128" t="s">
        <v>34</v>
      </c>
      <c r="B13" s="129"/>
      <c r="C13" s="129"/>
      <c r="D13" s="129"/>
      <c r="E13" s="129"/>
      <c r="F13" s="129"/>
      <c r="G13" s="129"/>
      <c r="H13" s="129"/>
      <c r="I13" s="130"/>
      <c r="J13" s="15"/>
      <c r="K13" s="15"/>
    </row>
    <row r="14" spans="1:11" ht="18" customHeight="1" x14ac:dyDescent="0.25">
      <c r="A14" s="123" t="s">
        <v>35</v>
      </c>
      <c r="B14" s="124"/>
      <c r="C14" s="124"/>
      <c r="D14" s="124"/>
      <c r="E14" s="124"/>
      <c r="F14" s="124"/>
      <c r="G14" s="124"/>
      <c r="H14" s="124"/>
      <c r="I14" s="125"/>
      <c r="J14" s="15"/>
      <c r="K14" s="15"/>
    </row>
    <row r="15" spans="1:11" ht="11.25" customHeight="1" x14ac:dyDescent="0.25">
      <c r="A15" s="52"/>
      <c r="B15" s="44"/>
      <c r="C15" s="45"/>
      <c r="D15" s="45"/>
      <c r="E15" s="45"/>
      <c r="F15" s="45"/>
      <c r="G15" s="45"/>
      <c r="H15" s="45"/>
      <c r="I15" s="56"/>
      <c r="J15" s="15"/>
      <c r="K15" s="15"/>
    </row>
    <row r="16" spans="1:11" ht="15.9" customHeight="1" x14ac:dyDescent="0.25">
      <c r="C16" s="132"/>
      <c r="D16" s="132"/>
      <c r="E16" s="132"/>
      <c r="G16" s="132"/>
      <c r="H16" s="132"/>
      <c r="I16" s="54"/>
      <c r="K16" s="15"/>
    </row>
    <row r="17" spans="1:12" ht="15.9" customHeight="1" x14ac:dyDescent="0.25">
      <c r="C17" s="65"/>
      <c r="D17" s="67"/>
      <c r="E17" s="66"/>
      <c r="G17" s="65"/>
      <c r="I17" s="39"/>
      <c r="K17" s="15"/>
    </row>
    <row r="18" spans="1:12" ht="15.9" customHeight="1" x14ac:dyDescent="0.25">
      <c r="C18" s="65"/>
      <c r="D18" s="67"/>
      <c r="E18" s="66"/>
      <c r="G18" s="65"/>
      <c r="I18" s="57"/>
      <c r="K18" s="15"/>
      <c r="L18" s="50"/>
    </row>
    <row r="19" spans="1:12" ht="12" customHeight="1" x14ac:dyDescent="0.25">
      <c r="A19" s="29"/>
      <c r="B19" s="29"/>
      <c r="C19" s="29"/>
      <c r="D19" s="29"/>
      <c r="E19" s="29"/>
      <c r="F19" s="29"/>
      <c r="G19" s="29"/>
      <c r="H19" s="29"/>
      <c r="I19" s="29"/>
      <c r="K19" s="15"/>
    </row>
    <row r="20" spans="1:12" ht="18.75" customHeight="1" x14ac:dyDescent="0.25">
      <c r="A20" s="47"/>
      <c r="B20" s="59"/>
      <c r="C20" s="59"/>
      <c r="D20" s="59"/>
      <c r="E20" s="59"/>
      <c r="F20" s="59"/>
      <c r="G20" s="59"/>
      <c r="H20" s="59"/>
      <c r="I20" s="48"/>
      <c r="J20" s="15"/>
      <c r="K20" s="30"/>
    </row>
    <row r="21" spans="1:12" ht="18.75" customHeight="1" x14ac:dyDescent="0.25">
      <c r="A21" s="32"/>
      <c r="H21" s="62"/>
      <c r="I21" s="33"/>
      <c r="J21" s="15"/>
      <c r="K21" s="31"/>
    </row>
    <row r="22" spans="1:12" ht="18.75" customHeight="1" x14ac:dyDescent="0.25">
      <c r="A22" s="32"/>
      <c r="B22" s="49" t="s">
        <v>23</v>
      </c>
      <c r="C22" s="75" t="s">
        <v>19</v>
      </c>
      <c r="D22" s="60"/>
      <c r="E22" s="60"/>
      <c r="F22" s="78" t="s">
        <v>18</v>
      </c>
      <c r="G22" s="134"/>
      <c r="H22" s="135"/>
      <c r="I22" s="87"/>
      <c r="J22" s="82"/>
      <c r="K22" s="31"/>
    </row>
    <row r="23" spans="1:12" ht="18.75" customHeight="1" x14ac:dyDescent="0.25">
      <c r="A23" s="32"/>
      <c r="B23" s="49" t="s">
        <v>24</v>
      </c>
      <c r="C23" s="69" t="s">
        <v>20</v>
      </c>
      <c r="D23" s="61"/>
      <c r="E23" s="61"/>
      <c r="F23" s="70" t="s">
        <v>21</v>
      </c>
      <c r="G23" s="134"/>
      <c r="H23" s="135"/>
      <c r="I23" s="87"/>
      <c r="J23" s="83"/>
      <c r="K23" s="31"/>
    </row>
    <row r="24" spans="1:12" ht="18.75" customHeight="1" x14ac:dyDescent="0.25">
      <c r="A24" s="32"/>
      <c r="B24" s="49" t="s">
        <v>25</v>
      </c>
      <c r="C24" s="69" t="s">
        <v>17</v>
      </c>
      <c r="D24" s="61"/>
      <c r="E24" s="61"/>
      <c r="F24" s="70" t="s">
        <v>18</v>
      </c>
      <c r="G24" s="136"/>
      <c r="H24" s="137"/>
      <c r="I24" s="88"/>
      <c r="J24" s="63"/>
      <c r="K24" s="15"/>
    </row>
    <row r="25" spans="1:12" ht="18.75" customHeight="1" x14ac:dyDescent="0.25">
      <c r="A25" s="32"/>
      <c r="B25" s="49" t="s">
        <v>26</v>
      </c>
      <c r="C25" s="69" t="s">
        <v>32</v>
      </c>
      <c r="D25" s="61"/>
      <c r="E25" s="61"/>
      <c r="F25" s="70" t="s">
        <v>21</v>
      </c>
      <c r="G25" s="138"/>
      <c r="H25" s="139"/>
      <c r="I25" s="89"/>
      <c r="J25" s="64"/>
      <c r="K25" s="15"/>
    </row>
    <row r="26" spans="1:12" ht="18.75" customHeight="1" x14ac:dyDescent="0.25">
      <c r="A26" s="32"/>
      <c r="B26" s="49" t="s">
        <v>27</v>
      </c>
      <c r="C26" s="69" t="s">
        <v>36</v>
      </c>
      <c r="D26" s="61"/>
      <c r="E26" s="61"/>
      <c r="F26" s="70" t="s">
        <v>39</v>
      </c>
      <c r="G26" s="133"/>
      <c r="H26" s="133"/>
      <c r="I26" s="90"/>
      <c r="J26" s="64"/>
      <c r="K26" s="15"/>
    </row>
    <row r="27" spans="1:12" ht="18.75" customHeight="1" x14ac:dyDescent="0.25">
      <c r="A27" s="32"/>
      <c r="B27" s="49" t="s">
        <v>28</v>
      </c>
      <c r="C27" s="69" t="s">
        <v>37</v>
      </c>
      <c r="D27" s="61"/>
      <c r="E27" s="61"/>
      <c r="F27" s="70" t="s">
        <v>21</v>
      </c>
      <c r="G27" s="80"/>
      <c r="H27" s="80"/>
      <c r="I27" s="91"/>
      <c r="J27" s="64"/>
      <c r="K27" s="15"/>
    </row>
    <row r="28" spans="1:12" ht="18.75" customHeight="1" x14ac:dyDescent="0.25">
      <c r="A28" s="32"/>
      <c r="B28" s="49" t="s">
        <v>29</v>
      </c>
      <c r="C28" s="69" t="s">
        <v>38</v>
      </c>
      <c r="D28" s="72"/>
      <c r="E28" s="72"/>
      <c r="F28" s="70" t="s">
        <v>21</v>
      </c>
      <c r="G28" s="80"/>
      <c r="H28" s="80"/>
      <c r="I28" s="92"/>
      <c r="J28" s="64"/>
      <c r="K28" s="15"/>
    </row>
    <row r="29" spans="1:12" ht="18.75" customHeight="1" x14ac:dyDescent="0.25">
      <c r="A29" s="32"/>
      <c r="B29" s="49" t="s">
        <v>30</v>
      </c>
      <c r="C29" s="69" t="s">
        <v>41</v>
      </c>
      <c r="D29" s="73"/>
      <c r="E29" s="73"/>
      <c r="F29" s="70" t="s">
        <v>21</v>
      </c>
      <c r="G29" s="81"/>
      <c r="H29" s="81"/>
      <c r="I29" s="93" t="s">
        <v>40</v>
      </c>
      <c r="J29" s="84"/>
      <c r="K29" s="15"/>
    </row>
    <row r="30" spans="1:12" ht="18.75" customHeight="1" x14ac:dyDescent="0.25">
      <c r="A30" s="32"/>
      <c r="B30" s="49" t="s">
        <v>31</v>
      </c>
      <c r="C30" s="68" t="s">
        <v>42</v>
      </c>
      <c r="D30" s="74"/>
      <c r="E30" s="74"/>
      <c r="F30" s="79" t="s">
        <v>22</v>
      </c>
      <c r="G30" s="76"/>
      <c r="H30" s="77"/>
      <c r="I30" s="94"/>
      <c r="J30" s="85"/>
      <c r="K30" s="15"/>
    </row>
    <row r="31" spans="1:12" ht="18.75" customHeight="1" x14ac:dyDescent="0.25">
      <c r="A31" s="46"/>
      <c r="I31" s="95"/>
      <c r="J31" s="86"/>
      <c r="K31" s="15"/>
    </row>
    <row r="32" spans="1:12" ht="18.75" customHeight="1" x14ac:dyDescent="0.25">
      <c r="A32" s="96"/>
      <c r="B32" s="29"/>
      <c r="C32" s="29"/>
      <c r="D32" s="29"/>
      <c r="E32" s="29"/>
      <c r="F32" s="29"/>
      <c r="G32" s="29"/>
      <c r="H32" s="29"/>
      <c r="I32" s="34"/>
      <c r="J32" s="15"/>
      <c r="K32" s="15"/>
    </row>
    <row r="33" spans="1:11" ht="18.75" customHeight="1" x14ac:dyDescent="0.25">
      <c r="B33" s="40"/>
      <c r="C33" s="71"/>
      <c r="D33" s="71"/>
      <c r="E33" s="71"/>
      <c r="F33" s="71"/>
      <c r="G33" s="71"/>
      <c r="H33" s="71"/>
      <c r="I33" s="14"/>
      <c r="J33" s="15"/>
      <c r="K33" s="15"/>
    </row>
    <row r="34" spans="1:11" ht="18.75" customHeight="1" x14ac:dyDescent="0.25">
      <c r="B34" s="42"/>
      <c r="C34" s="71"/>
      <c r="D34" s="71"/>
      <c r="E34" s="71"/>
      <c r="F34" s="71"/>
      <c r="G34" s="71"/>
      <c r="H34" s="71"/>
      <c r="I34" s="14"/>
      <c r="J34" s="15"/>
      <c r="K34" s="15"/>
    </row>
    <row r="35" spans="1:11" ht="18.75" customHeight="1" x14ac:dyDescent="0.25">
      <c r="A35" s="97" t="s">
        <v>44</v>
      </c>
      <c r="B35" s="98"/>
      <c r="C35" s="99"/>
      <c r="D35" s="99"/>
      <c r="E35" s="99"/>
      <c r="F35" s="100"/>
      <c r="G35" s="100"/>
      <c r="H35" s="100"/>
      <c r="I35" s="101"/>
      <c r="J35" s="15"/>
      <c r="K35" s="15"/>
    </row>
    <row r="36" spans="1:11" ht="18.75" customHeight="1" x14ac:dyDescent="0.25">
      <c r="A36" s="102"/>
      <c r="B36" s="40"/>
      <c r="C36" s="103"/>
      <c r="D36" s="103"/>
      <c r="E36" s="103"/>
      <c r="F36" s="104"/>
      <c r="G36" s="104"/>
      <c r="H36" s="104"/>
      <c r="I36" s="105"/>
      <c r="J36" s="15"/>
      <c r="K36" s="15"/>
    </row>
    <row r="37" spans="1:11" ht="18.75" customHeight="1" x14ac:dyDescent="0.25">
      <c r="A37" s="102" t="s">
        <v>45</v>
      </c>
      <c r="B37" s="40"/>
      <c r="C37" s="103"/>
      <c r="D37" s="103"/>
      <c r="E37" s="103"/>
      <c r="F37" s="104"/>
      <c r="G37" s="104"/>
      <c r="H37" s="104"/>
      <c r="I37" s="105"/>
      <c r="J37" s="15"/>
      <c r="K37" s="15"/>
    </row>
    <row r="38" spans="1:11" ht="18.75" customHeight="1" x14ac:dyDescent="0.25">
      <c r="A38" s="106"/>
      <c r="B38" s="107"/>
      <c r="C38" s="108"/>
      <c r="D38" s="108"/>
      <c r="E38" s="108"/>
      <c r="F38" s="109"/>
      <c r="G38" s="109"/>
      <c r="H38" s="109"/>
      <c r="I38" s="110"/>
      <c r="J38" s="15"/>
      <c r="K38" s="15"/>
    </row>
    <row r="39" spans="1:11" ht="18.75" customHeight="1" x14ac:dyDescent="0.25">
      <c r="A39" s="43"/>
      <c r="B39" s="41"/>
      <c r="C39" s="41"/>
      <c r="D39" s="41"/>
      <c r="E39" s="41"/>
      <c r="F39" s="41"/>
      <c r="G39" s="41"/>
      <c r="H39" s="14"/>
      <c r="I39" s="14"/>
      <c r="J39" s="15"/>
      <c r="K39" s="15"/>
    </row>
    <row r="40" spans="1:11" ht="18.75" customHeight="1" x14ac:dyDescent="0.25">
      <c r="A40" s="43"/>
      <c r="B40" s="41"/>
      <c r="C40" s="41"/>
      <c r="D40" s="41"/>
      <c r="E40" s="41"/>
      <c r="F40" s="41"/>
      <c r="G40" s="41"/>
      <c r="H40" s="14"/>
      <c r="I40" s="14"/>
      <c r="J40" s="15"/>
      <c r="K40" s="15"/>
    </row>
    <row r="41" spans="1:11" ht="18.75" customHeight="1" x14ac:dyDescent="0.25">
      <c r="A41" s="43"/>
      <c r="B41" s="41"/>
      <c r="C41" s="41"/>
      <c r="D41" s="41"/>
      <c r="E41" s="41"/>
      <c r="F41" s="41"/>
      <c r="G41" s="41"/>
      <c r="H41" s="14"/>
      <c r="I41" s="14"/>
      <c r="J41" s="15"/>
      <c r="K41" s="15"/>
    </row>
    <row r="42" spans="1:11" ht="15.9" customHeight="1" x14ac:dyDescent="0.25">
      <c r="A42" s="40"/>
      <c r="B42" s="41"/>
      <c r="C42" s="41"/>
      <c r="D42" s="41"/>
      <c r="E42" s="41"/>
      <c r="F42" s="41"/>
      <c r="G42" s="41"/>
      <c r="H42" s="14"/>
      <c r="I42" s="14"/>
      <c r="J42" s="15"/>
      <c r="K42" s="15"/>
    </row>
    <row r="43" spans="1:11" ht="15.9" customHeight="1" x14ac:dyDescent="0.25">
      <c r="A43" s="40"/>
      <c r="B43" s="41"/>
      <c r="C43" s="41"/>
      <c r="D43" s="41"/>
      <c r="E43" s="41"/>
      <c r="F43" s="41"/>
      <c r="G43" s="41"/>
      <c r="H43" s="14"/>
      <c r="I43" s="14"/>
      <c r="J43" s="15"/>
      <c r="K43" s="15"/>
    </row>
    <row r="44" spans="1:11" ht="15.9" customHeight="1" x14ac:dyDescent="0.25">
      <c r="A44" s="40"/>
      <c r="B44" s="41"/>
      <c r="C44" s="41"/>
      <c r="D44" s="41"/>
      <c r="E44" s="41"/>
      <c r="F44" s="41"/>
      <c r="G44" s="41"/>
      <c r="H44" s="14"/>
      <c r="I44" s="14"/>
      <c r="J44" s="15"/>
      <c r="K44" s="15"/>
    </row>
    <row r="45" spans="1:11" ht="15.9" customHeight="1" x14ac:dyDescent="0.25">
      <c r="A45" s="40"/>
      <c r="B45" s="41"/>
      <c r="C45" s="41"/>
      <c r="D45" s="41"/>
      <c r="E45" s="41"/>
      <c r="F45" s="41"/>
      <c r="G45" s="41"/>
      <c r="H45" s="14"/>
      <c r="I45" s="14"/>
      <c r="J45" s="15"/>
      <c r="K45" s="15"/>
    </row>
    <row r="46" spans="1:11" ht="15.9" customHeight="1" x14ac:dyDescent="0.25">
      <c r="A46" s="55"/>
      <c r="B46" s="41"/>
      <c r="I46" s="14"/>
      <c r="J46" s="15"/>
      <c r="K46" s="15"/>
    </row>
    <row r="47" spans="1:11" ht="15.9" customHeight="1" x14ac:dyDescent="0.25">
      <c r="A47" s="43"/>
      <c r="B47" s="41"/>
      <c r="C47" s="41"/>
      <c r="D47" s="41"/>
      <c r="E47" s="41"/>
      <c r="F47" s="41"/>
      <c r="G47" s="41"/>
      <c r="H47" s="14"/>
      <c r="I47" s="14"/>
      <c r="J47" s="15"/>
      <c r="K47" s="15"/>
    </row>
    <row r="48" spans="1:11" ht="15.9" customHeight="1" x14ac:dyDescent="0.25">
      <c r="B48" s="131"/>
      <c r="C48" s="131"/>
      <c r="D48" s="131"/>
      <c r="E48" s="131"/>
      <c r="F48" s="131"/>
      <c r="G48" s="131"/>
      <c r="H48" s="36"/>
      <c r="I48" s="14"/>
      <c r="J48" s="15"/>
      <c r="K48" s="15"/>
    </row>
    <row r="49" spans="1:11" ht="15.9" customHeight="1" x14ac:dyDescent="0.25">
      <c r="A49" s="58" t="s">
        <v>16</v>
      </c>
      <c r="B49" s="41"/>
      <c r="C49" s="41"/>
      <c r="D49" s="41"/>
      <c r="E49" s="41"/>
      <c r="F49" s="41"/>
      <c r="G49" s="41"/>
      <c r="H49" s="14"/>
      <c r="I49" s="14"/>
      <c r="J49" s="15"/>
      <c r="K49" s="15"/>
    </row>
    <row r="50" spans="1:11" ht="15.9" customHeight="1" x14ac:dyDescent="0.25">
      <c r="A50" s="58" t="s">
        <v>46</v>
      </c>
      <c r="B50" s="14"/>
      <c r="C50" s="14"/>
      <c r="D50" s="14"/>
      <c r="E50" s="14"/>
      <c r="F50" s="14"/>
      <c r="G50" s="14"/>
      <c r="H50" s="14"/>
      <c r="I50" s="14"/>
      <c r="J50" s="15"/>
      <c r="K50" s="15"/>
    </row>
    <row r="51" spans="1:11" ht="15.9" customHeight="1" x14ac:dyDescent="0.25"/>
    <row r="52" spans="1:11" ht="30.75" customHeight="1" x14ac:dyDescent="0.25">
      <c r="A52" s="122" t="s">
        <v>43</v>
      </c>
      <c r="B52" s="122"/>
      <c r="C52" s="122"/>
      <c r="D52" s="122"/>
      <c r="E52" s="122"/>
      <c r="F52" s="122"/>
      <c r="G52" s="122"/>
      <c r="H52" s="122"/>
      <c r="I52" s="122"/>
    </row>
    <row r="53" spans="1:11" ht="15.9" customHeight="1" x14ac:dyDescent="0.25"/>
    <row r="54" spans="1:11" ht="15.9" customHeight="1" x14ac:dyDescent="0.25"/>
  </sheetData>
  <protectedRanges>
    <protectedRange sqref="C12 C15" name="Rango3_3_1_1_1_1_1_1_1_1"/>
    <protectedRange sqref="C10:C11 C48" name="Rango3_3_1_1_1_1_1_2_1"/>
  </protectedRanges>
  <mergeCells count="14">
    <mergeCell ref="A52:I52"/>
    <mergeCell ref="A14:I14"/>
    <mergeCell ref="A7:I7"/>
    <mergeCell ref="A8:I8"/>
    <mergeCell ref="A13:I13"/>
    <mergeCell ref="B48:D48"/>
    <mergeCell ref="C16:E16"/>
    <mergeCell ref="G16:H16"/>
    <mergeCell ref="E48:G48"/>
    <mergeCell ref="G26:H26"/>
    <mergeCell ref="G22:H22"/>
    <mergeCell ref="G23:H23"/>
    <mergeCell ref="G24:H24"/>
    <mergeCell ref="G25:H25"/>
  </mergeCells>
  <printOptions horizontalCentered="1" verticalCentered="1"/>
  <pageMargins left="0.59055118110236227" right="0.59055118110236227" top="0.78740157480314965" bottom="0.39370078740157483" header="0" footer="0"/>
  <pageSetup paperSize="274" scale="8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C86E-B698-45D4-8830-FA376A3F7225}">
  <dimension ref="A1:N54"/>
  <sheetViews>
    <sheetView showGridLines="0" tabSelected="1" zoomScaleNormal="100" zoomScaleSheetLayoutView="100" workbookViewId="0">
      <selection activeCell="N11" sqref="N11"/>
    </sheetView>
  </sheetViews>
  <sheetFormatPr baseColWidth="10" defaultColWidth="10.33203125" defaultRowHeight="13.8" x14ac:dyDescent="0.25"/>
  <cols>
    <col min="1" max="1" width="16.33203125" style="1" customWidth="1"/>
    <col min="2" max="2" width="3" style="1" customWidth="1"/>
    <col min="3" max="8" width="10.6640625" style="1" customWidth="1"/>
    <col min="9" max="9" width="9.6640625" style="1" customWidth="1"/>
    <col min="10" max="10" width="6.44140625" style="1" customWidth="1"/>
    <col min="11" max="11" width="8" style="1" customWidth="1"/>
    <col min="12" max="13" width="10.6640625" style="1" customWidth="1"/>
    <col min="14" max="16384" width="10.33203125" style="1"/>
  </cols>
  <sheetData>
    <row r="1" spans="1:14" ht="15.75" customHeight="1" thickTop="1" x14ac:dyDescent="0.25">
      <c r="A1" s="20"/>
      <c r="B1" s="21"/>
      <c r="C1" s="21"/>
      <c r="D1" s="22"/>
      <c r="E1" s="22"/>
      <c r="F1" s="22"/>
      <c r="G1" s="22"/>
      <c r="H1" s="22"/>
      <c r="I1" s="23"/>
    </row>
    <row r="2" spans="1:14" ht="15.75" customHeight="1" x14ac:dyDescent="0.25">
      <c r="A2" s="24"/>
      <c r="B2" s="17"/>
      <c r="C2" s="17"/>
      <c r="D2" s="18"/>
      <c r="E2" s="18"/>
      <c r="F2" s="18"/>
      <c r="G2" s="18"/>
      <c r="H2" s="18"/>
      <c r="I2" s="25"/>
    </row>
    <row r="3" spans="1:14" ht="15.75" customHeight="1" x14ac:dyDescent="0.25">
      <c r="A3" s="24"/>
      <c r="B3" s="17"/>
      <c r="C3" s="17"/>
      <c r="D3" s="18"/>
      <c r="E3" s="18"/>
      <c r="F3" s="18"/>
      <c r="G3" s="18"/>
      <c r="H3" s="18"/>
      <c r="I3" s="25"/>
    </row>
    <row r="4" spans="1:14" ht="15.75" customHeight="1" x14ac:dyDescent="0.25">
      <c r="A4" s="24"/>
      <c r="B4" s="17"/>
      <c r="C4" s="17"/>
      <c r="D4" s="18"/>
      <c r="E4" s="18"/>
      <c r="F4" s="18"/>
      <c r="G4" s="18"/>
      <c r="H4" s="18"/>
      <c r="I4" s="25"/>
    </row>
    <row r="5" spans="1:14" ht="15.75" customHeight="1" thickBot="1" x14ac:dyDescent="0.3">
      <c r="A5" s="26"/>
      <c r="B5" s="19"/>
      <c r="C5" s="19"/>
      <c r="D5" s="19"/>
      <c r="E5" s="19"/>
      <c r="F5" s="19"/>
      <c r="G5" s="19"/>
      <c r="H5" s="19"/>
      <c r="I5" s="27"/>
    </row>
    <row r="6" spans="1:14" ht="15.9" customHeight="1" thickTop="1" x14ac:dyDescent="0.25">
      <c r="A6" s="16"/>
      <c r="B6" s="16"/>
      <c r="C6" s="16"/>
      <c r="D6" s="16"/>
      <c r="E6" s="16"/>
      <c r="F6" s="16"/>
      <c r="G6" s="16"/>
      <c r="H6" s="16"/>
      <c r="I6" s="16"/>
      <c r="N6"/>
    </row>
    <row r="7" spans="1:14" ht="15.9" customHeight="1" x14ac:dyDescent="0.25">
      <c r="A7" s="126" t="s">
        <v>15</v>
      </c>
      <c r="B7" s="126"/>
      <c r="C7" s="126"/>
      <c r="D7" s="126"/>
      <c r="E7" s="126"/>
      <c r="F7" s="126"/>
      <c r="G7" s="126"/>
      <c r="H7" s="126"/>
      <c r="I7" s="126"/>
    </row>
    <row r="8" spans="1:14" ht="15.9" customHeight="1" x14ac:dyDescent="0.25">
      <c r="A8" s="127" t="s">
        <v>33</v>
      </c>
      <c r="B8" s="127"/>
      <c r="C8" s="127"/>
      <c r="D8" s="127"/>
      <c r="E8" s="127"/>
      <c r="F8" s="127"/>
      <c r="G8" s="127"/>
      <c r="H8" s="127"/>
      <c r="I8" s="127"/>
    </row>
    <row r="9" spans="1:14" ht="15.9" customHeight="1" x14ac:dyDescent="0.25">
      <c r="A9" s="28"/>
      <c r="B9" s="28"/>
      <c r="C9" s="28"/>
      <c r="D9" s="28"/>
      <c r="E9" s="28"/>
      <c r="F9" s="28"/>
      <c r="G9" s="28"/>
      <c r="H9" s="28"/>
      <c r="I9" s="28"/>
    </row>
    <row r="10" spans="1:14" ht="15.9" customHeight="1" x14ac:dyDescent="0.25">
      <c r="B10" s="146" t="s">
        <v>59</v>
      </c>
      <c r="C10" s="146"/>
      <c r="D10" s="147" t="s">
        <v>60</v>
      </c>
      <c r="E10" s="150" t="s">
        <v>61</v>
      </c>
      <c r="F10" s="151"/>
      <c r="G10" s="150" t="s">
        <v>62</v>
      </c>
      <c r="H10" s="151"/>
      <c r="I10"/>
      <c r="J10"/>
      <c r="K10" s="15"/>
    </row>
    <row r="11" spans="1:14" ht="15.9" customHeight="1" x14ac:dyDescent="0.25">
      <c r="A11" s="35"/>
      <c r="B11" s="148"/>
      <c r="C11" s="148"/>
      <c r="D11" s="149"/>
      <c r="E11" s="152"/>
      <c r="F11" s="153"/>
      <c r="G11" s="152"/>
      <c r="H11" s="153"/>
      <c r="I11"/>
      <c r="J11"/>
      <c r="K11" s="15"/>
    </row>
    <row r="12" spans="1:14" ht="15.9" customHeight="1" x14ac:dyDescent="0.25">
      <c r="A12" s="35"/>
      <c r="B12" s="36"/>
      <c r="C12" s="51"/>
      <c r="D12" s="51"/>
      <c r="E12" s="51"/>
      <c r="F12" s="51"/>
      <c r="G12" s="51"/>
      <c r="H12" s="51"/>
      <c r="I12" s="38"/>
      <c r="J12" s="15"/>
      <c r="K12" s="15"/>
    </row>
    <row r="13" spans="1:14" ht="30" customHeight="1" x14ac:dyDescent="0.25">
      <c r="A13" s="128" t="s">
        <v>34</v>
      </c>
      <c r="B13" s="129"/>
      <c r="C13" s="129"/>
      <c r="D13" s="129"/>
      <c r="E13" s="129"/>
      <c r="F13" s="129"/>
      <c r="G13" s="129"/>
      <c r="H13" s="129"/>
      <c r="I13" s="130"/>
      <c r="J13" s="15"/>
      <c r="K13" s="15"/>
    </row>
    <row r="14" spans="1:14" ht="18" customHeight="1" x14ac:dyDescent="0.25">
      <c r="A14" s="123" t="s">
        <v>35</v>
      </c>
      <c r="B14" s="124"/>
      <c r="C14" s="124"/>
      <c r="D14" s="124"/>
      <c r="E14" s="124"/>
      <c r="F14" s="124"/>
      <c r="G14" s="124"/>
      <c r="H14" s="124"/>
      <c r="I14" s="125"/>
      <c r="J14" s="15"/>
      <c r="K14" s="15"/>
    </row>
    <row r="15" spans="1:14" ht="11.25" customHeight="1" x14ac:dyDescent="0.25">
      <c r="A15" s="52"/>
      <c r="B15" s="44"/>
      <c r="C15" s="45"/>
      <c r="D15" s="45"/>
      <c r="E15" s="45"/>
      <c r="F15" s="45"/>
      <c r="G15" s="45"/>
      <c r="H15" s="45"/>
      <c r="I15" s="56"/>
      <c r="J15" s="15"/>
      <c r="K15" s="15"/>
    </row>
    <row r="16" spans="1:14" ht="15.9" customHeight="1" x14ac:dyDescent="0.25">
      <c r="C16" s="132"/>
      <c r="D16" s="132"/>
      <c r="E16" s="132"/>
      <c r="G16" s="132"/>
      <c r="H16" s="132"/>
      <c r="I16" s="54"/>
      <c r="K16" s="15"/>
    </row>
    <row r="17" spans="1:12" ht="15.9" customHeight="1" x14ac:dyDescent="0.25">
      <c r="C17" s="65"/>
      <c r="D17" s="67"/>
      <c r="E17" s="66"/>
      <c r="G17" s="65"/>
      <c r="I17" s="39"/>
      <c r="K17" s="15"/>
    </row>
    <row r="18" spans="1:12" ht="15.9" customHeight="1" x14ac:dyDescent="0.25">
      <c r="C18" s="65"/>
      <c r="D18" s="67"/>
      <c r="E18" s="66"/>
      <c r="G18" s="65"/>
      <c r="I18" s="57"/>
      <c r="K18" s="15"/>
      <c r="L18" s="50"/>
    </row>
    <row r="19" spans="1:12" ht="12" customHeight="1" x14ac:dyDescent="0.25">
      <c r="A19" s="29"/>
      <c r="B19" s="29"/>
      <c r="C19" s="29"/>
      <c r="D19" s="29"/>
      <c r="E19" s="29"/>
      <c r="F19" s="29"/>
      <c r="G19" s="29"/>
      <c r="H19" s="29"/>
      <c r="I19" s="29"/>
      <c r="K19" s="15"/>
    </row>
    <row r="20" spans="1:12" ht="18.75" customHeight="1" x14ac:dyDescent="0.25">
      <c r="A20" s="47"/>
      <c r="B20" s="59"/>
      <c r="C20" s="59"/>
      <c r="D20" s="59"/>
      <c r="E20" s="59"/>
      <c r="F20" s="59"/>
      <c r="G20" s="59"/>
      <c r="H20" s="59"/>
      <c r="I20" s="48"/>
      <c r="J20" s="15"/>
      <c r="K20" s="30"/>
    </row>
    <row r="21" spans="1:12" ht="18.75" customHeight="1" x14ac:dyDescent="0.25">
      <c r="A21" s="32"/>
      <c r="B21" s="114"/>
      <c r="C21" s="111" t="s">
        <v>47</v>
      </c>
      <c r="D21" s="72"/>
      <c r="E21" s="72"/>
      <c r="F21" s="112" t="s">
        <v>48</v>
      </c>
      <c r="G21" s="113"/>
      <c r="H21" s="113"/>
      <c r="I21" s="33"/>
      <c r="J21" s="15"/>
      <c r="K21" s="31"/>
    </row>
    <row r="22" spans="1:12" ht="18.75" customHeight="1" x14ac:dyDescent="0.25">
      <c r="A22" s="32"/>
      <c r="B22" s="49" t="s">
        <v>23</v>
      </c>
      <c r="C22" s="75" t="s">
        <v>19</v>
      </c>
      <c r="D22" s="60"/>
      <c r="E22" s="60"/>
      <c r="F22" s="78" t="s">
        <v>18</v>
      </c>
      <c r="G22" s="134"/>
      <c r="H22" s="135"/>
      <c r="I22" s="87"/>
      <c r="J22" s="82"/>
      <c r="K22" s="31"/>
    </row>
    <row r="23" spans="1:12" ht="18.75" customHeight="1" x14ac:dyDescent="0.25">
      <c r="A23" s="32"/>
      <c r="B23" s="49" t="s">
        <v>24</v>
      </c>
      <c r="C23" s="69" t="s">
        <v>20</v>
      </c>
      <c r="D23" s="61"/>
      <c r="E23" s="61"/>
      <c r="F23" s="70" t="s">
        <v>21</v>
      </c>
      <c r="G23" s="134"/>
      <c r="H23" s="135"/>
      <c r="I23" s="87"/>
      <c r="J23" s="83"/>
      <c r="K23" s="31"/>
    </row>
    <row r="24" spans="1:12" ht="18.75" customHeight="1" x14ac:dyDescent="0.25">
      <c r="A24" s="32"/>
      <c r="B24" s="49" t="s">
        <v>25</v>
      </c>
      <c r="C24" s="69" t="s">
        <v>17</v>
      </c>
      <c r="D24" s="61"/>
      <c r="E24" s="61"/>
      <c r="F24" s="70" t="s">
        <v>18</v>
      </c>
      <c r="G24" s="136"/>
      <c r="H24" s="137"/>
      <c r="I24" s="88"/>
      <c r="J24" s="63"/>
      <c r="K24" s="15"/>
    </row>
    <row r="25" spans="1:12" ht="18.75" customHeight="1" x14ac:dyDescent="0.25">
      <c r="A25" s="32"/>
      <c r="B25" s="49" t="s">
        <v>26</v>
      </c>
      <c r="C25" s="69" t="s">
        <v>32</v>
      </c>
      <c r="D25" s="61"/>
      <c r="E25" s="61"/>
      <c r="F25" s="70" t="s">
        <v>21</v>
      </c>
      <c r="G25" s="138"/>
      <c r="H25" s="139"/>
      <c r="I25" s="89"/>
      <c r="J25" s="64"/>
      <c r="K25" s="15"/>
    </row>
    <row r="26" spans="1:12" ht="18.75" customHeight="1" x14ac:dyDescent="0.25">
      <c r="A26" s="32"/>
      <c r="B26" s="49" t="s">
        <v>27</v>
      </c>
      <c r="C26" s="69" t="s">
        <v>36</v>
      </c>
      <c r="D26" s="61"/>
      <c r="E26" s="61"/>
      <c r="F26" s="70" t="s">
        <v>39</v>
      </c>
      <c r="G26" s="133"/>
      <c r="H26" s="133"/>
      <c r="I26" s="90"/>
      <c r="J26" s="64"/>
      <c r="K26" s="15"/>
    </row>
    <row r="27" spans="1:12" ht="18.75" customHeight="1" x14ac:dyDescent="0.25">
      <c r="A27" s="32"/>
      <c r="B27" s="49" t="s">
        <v>28</v>
      </c>
      <c r="C27" s="69" t="s">
        <v>37</v>
      </c>
      <c r="D27" s="61"/>
      <c r="E27" s="61"/>
      <c r="F27" s="70" t="s">
        <v>21</v>
      </c>
      <c r="G27" s="80"/>
      <c r="H27" s="80"/>
      <c r="I27" s="91"/>
      <c r="J27" s="64"/>
      <c r="K27" s="15"/>
    </row>
    <row r="28" spans="1:12" ht="18.75" customHeight="1" x14ac:dyDescent="0.25">
      <c r="A28" s="32"/>
      <c r="B28" s="49" t="s">
        <v>29</v>
      </c>
      <c r="C28" s="69" t="s">
        <v>38</v>
      </c>
      <c r="D28" s="72"/>
      <c r="E28" s="72"/>
      <c r="F28" s="70" t="s">
        <v>21</v>
      </c>
      <c r="G28" s="80"/>
      <c r="H28" s="80"/>
      <c r="I28" s="92"/>
      <c r="J28" s="64"/>
      <c r="K28" s="15"/>
    </row>
    <row r="29" spans="1:12" ht="18.75" customHeight="1" x14ac:dyDescent="0.25">
      <c r="A29" s="32"/>
      <c r="B29" s="49" t="s">
        <v>30</v>
      </c>
      <c r="C29" s="69" t="s">
        <v>41</v>
      </c>
      <c r="D29" s="73"/>
      <c r="E29" s="73"/>
      <c r="F29" s="70" t="s">
        <v>21</v>
      </c>
      <c r="G29" s="81"/>
      <c r="H29" s="81"/>
      <c r="I29" s="115"/>
      <c r="J29" s="84"/>
      <c r="K29" s="15"/>
    </row>
    <row r="30" spans="1:12" ht="18.75" customHeight="1" x14ac:dyDescent="0.25">
      <c r="A30" s="32"/>
      <c r="B30" s="49" t="s">
        <v>31</v>
      </c>
      <c r="C30" s="68" t="s">
        <v>42</v>
      </c>
      <c r="D30" s="74"/>
      <c r="E30" s="74"/>
      <c r="F30" s="79" t="s">
        <v>22</v>
      </c>
      <c r="G30" s="76"/>
      <c r="H30" s="77"/>
      <c r="I30" s="116"/>
      <c r="J30" s="85"/>
      <c r="K30" s="15"/>
    </row>
    <row r="31" spans="1:12" ht="18.75" customHeight="1" x14ac:dyDescent="0.25">
      <c r="A31" s="46"/>
      <c r="I31" s="95"/>
      <c r="J31" s="86"/>
      <c r="K31" s="15"/>
    </row>
    <row r="32" spans="1:12" ht="18.75" customHeight="1" x14ac:dyDescent="0.25">
      <c r="A32" s="96"/>
      <c r="B32" s="29"/>
      <c r="C32" s="29"/>
      <c r="D32" s="29"/>
      <c r="E32" s="29"/>
      <c r="F32" s="29"/>
      <c r="G32" s="29"/>
      <c r="H32" s="29"/>
      <c r="I32" s="34"/>
      <c r="J32" s="15"/>
      <c r="K32" s="15"/>
    </row>
    <row r="33" spans="1:11" ht="18.75" customHeight="1" x14ac:dyDescent="0.25">
      <c r="B33" s="40"/>
      <c r="C33" s="71"/>
      <c r="D33" s="71"/>
      <c r="E33" s="71"/>
      <c r="F33" s="71"/>
      <c r="G33" s="71"/>
      <c r="H33" s="71"/>
      <c r="I33" s="14"/>
      <c r="J33" s="15"/>
      <c r="K33" s="15"/>
    </row>
    <row r="34" spans="1:11" ht="18.75" customHeight="1" x14ac:dyDescent="0.25">
      <c r="A34" s="120" t="s">
        <v>57</v>
      </c>
      <c r="B34" s="42"/>
      <c r="C34" s="71"/>
      <c r="D34" s="71"/>
      <c r="E34" s="71"/>
      <c r="F34" s="71"/>
      <c r="G34" s="71"/>
      <c r="H34" s="71"/>
      <c r="I34" s="14"/>
      <c r="J34" s="15"/>
      <c r="K34" s="15"/>
    </row>
    <row r="35" spans="1:11" ht="18.75" customHeight="1" x14ac:dyDescent="0.25">
      <c r="A35" s="121" t="s">
        <v>58</v>
      </c>
      <c r="B35" s="40"/>
      <c r="C35" s="103"/>
      <c r="D35" s="103"/>
      <c r="E35" s="103"/>
      <c r="F35" s="104"/>
      <c r="G35" s="104"/>
      <c r="H35" s="104"/>
      <c r="I35" s="40"/>
      <c r="J35" s="15"/>
      <c r="K35" s="15"/>
    </row>
    <row r="36" spans="1:11" ht="18.75" customHeight="1" x14ac:dyDescent="0.25">
      <c r="A36" s="40"/>
      <c r="B36" s="40"/>
      <c r="G36" s="104"/>
      <c r="H36" s="104"/>
      <c r="I36" s="40"/>
      <c r="J36" s="15"/>
      <c r="K36" s="15"/>
    </row>
    <row r="37" spans="1:11" ht="18.75" customHeight="1" x14ac:dyDescent="0.25">
      <c r="A37" s="40"/>
      <c r="B37" s="40"/>
      <c r="C37" s="140" t="s">
        <v>49</v>
      </c>
      <c r="D37" s="140"/>
      <c r="E37" s="141" t="s">
        <v>50</v>
      </c>
      <c r="F37" s="142"/>
      <c r="G37" s="104"/>
      <c r="H37" s="104"/>
      <c r="I37" s="40"/>
      <c r="J37" s="15"/>
      <c r="K37" s="15"/>
    </row>
    <row r="38" spans="1:11" ht="18.75" customHeight="1" x14ac:dyDescent="0.25">
      <c r="A38" s="40"/>
      <c r="B38" s="40"/>
      <c r="C38" s="143" t="s">
        <v>51</v>
      </c>
      <c r="D38" s="144"/>
      <c r="E38" s="117"/>
      <c r="F38" s="118"/>
      <c r="G38" s="104"/>
      <c r="H38" s="104"/>
      <c r="I38" s="40"/>
      <c r="J38" s="15"/>
      <c r="K38" s="15"/>
    </row>
    <row r="39" spans="1:11" ht="18.75" customHeight="1" x14ac:dyDescent="0.25">
      <c r="A39" s="43"/>
      <c r="B39" s="41"/>
      <c r="C39" s="143" t="s">
        <v>53</v>
      </c>
      <c r="D39" s="144"/>
      <c r="E39" s="117"/>
      <c r="F39" s="118"/>
      <c r="G39" s="41"/>
      <c r="H39" s="14"/>
      <c r="I39" s="14"/>
      <c r="J39" s="15"/>
      <c r="K39" s="15"/>
    </row>
    <row r="40" spans="1:11" ht="18.75" customHeight="1" x14ac:dyDescent="0.25">
      <c r="A40" s="43"/>
      <c r="B40" s="41"/>
      <c r="C40" s="143" t="s">
        <v>52</v>
      </c>
      <c r="D40" s="144"/>
      <c r="E40" s="117"/>
      <c r="F40" s="118"/>
      <c r="G40" s="41"/>
      <c r="H40" s="14"/>
      <c r="I40" s="14"/>
      <c r="J40" s="15"/>
      <c r="K40" s="15"/>
    </row>
    <row r="41" spans="1:11" ht="18.75" customHeight="1" x14ac:dyDescent="0.25">
      <c r="A41" s="43"/>
      <c r="B41" s="41"/>
      <c r="C41" s="143" t="s">
        <v>54</v>
      </c>
      <c r="D41" s="144"/>
      <c r="E41" s="117"/>
      <c r="F41" s="118"/>
      <c r="G41" s="41"/>
      <c r="H41" s="14"/>
      <c r="I41" s="14"/>
      <c r="J41" s="15"/>
      <c r="K41" s="15"/>
    </row>
    <row r="42" spans="1:11" ht="15.9" customHeight="1" x14ac:dyDescent="0.25">
      <c r="A42" s="40"/>
      <c r="B42" s="41"/>
      <c r="C42" s="41"/>
      <c r="D42" s="41"/>
      <c r="E42" s="41"/>
      <c r="F42" s="41"/>
      <c r="G42" s="41"/>
      <c r="H42" s="14"/>
      <c r="I42" s="14"/>
      <c r="J42" s="15"/>
      <c r="K42" s="15"/>
    </row>
    <row r="43" spans="1:11" ht="15.9" customHeight="1" x14ac:dyDescent="0.25">
      <c r="A43" s="40"/>
      <c r="B43" s="41"/>
      <c r="C43" s="41"/>
      <c r="D43" s="41"/>
      <c r="E43" s="41"/>
      <c r="F43" s="41"/>
      <c r="G43" s="41"/>
      <c r="H43" s="14"/>
      <c r="I43" s="14"/>
      <c r="J43" s="15"/>
      <c r="K43" s="15"/>
    </row>
    <row r="44" spans="1:11" ht="15.9" customHeight="1" x14ac:dyDescent="0.25">
      <c r="A44" s="40"/>
      <c r="B44" s="41"/>
      <c r="C44" s="41"/>
      <c r="D44" s="41"/>
      <c r="E44" s="41"/>
      <c r="F44" s="41"/>
      <c r="G44" s="41"/>
      <c r="H44" s="14"/>
      <c r="I44" s="14"/>
      <c r="J44" s="15"/>
      <c r="K44" s="15"/>
    </row>
    <row r="45" spans="1:11" ht="15.9" customHeight="1" x14ac:dyDescent="0.25">
      <c r="A45" s="40"/>
      <c r="B45" s="41"/>
      <c r="C45" s="41"/>
      <c r="D45" s="41"/>
      <c r="E45" s="41"/>
      <c r="F45" s="41"/>
      <c r="G45" s="41"/>
      <c r="H45" s="14"/>
      <c r="I45" s="14"/>
      <c r="J45" s="15"/>
      <c r="K45" s="15"/>
    </row>
    <row r="46" spans="1:11" ht="15.9" customHeight="1" x14ac:dyDescent="0.25">
      <c r="A46" s="55"/>
      <c r="B46" s="41"/>
      <c r="I46" s="14"/>
      <c r="J46" s="15"/>
      <c r="K46" s="15"/>
    </row>
    <row r="47" spans="1:11" ht="15.9" customHeight="1" x14ac:dyDescent="0.25">
      <c r="A47" s="43"/>
      <c r="B47" s="41"/>
      <c r="C47" s="41"/>
      <c r="D47" s="41"/>
      <c r="E47" s="41"/>
      <c r="F47" s="41"/>
      <c r="G47" s="41"/>
      <c r="H47" s="14"/>
      <c r="I47" s="14"/>
      <c r="J47" s="15"/>
      <c r="K47" s="15"/>
    </row>
    <row r="48" spans="1:11" ht="15.9" customHeight="1" x14ac:dyDescent="0.25">
      <c r="B48" s="131"/>
      <c r="C48" s="131"/>
      <c r="D48" s="131"/>
      <c r="E48" s="131"/>
      <c r="F48" s="131"/>
      <c r="G48" s="131"/>
      <c r="H48" s="36"/>
      <c r="I48" s="14"/>
      <c r="J48" s="15"/>
      <c r="K48" s="15"/>
    </row>
    <row r="49" spans="1:11" ht="15.9" customHeight="1" x14ac:dyDescent="0.25">
      <c r="A49" s="58" t="s">
        <v>16</v>
      </c>
      <c r="B49" s="41"/>
      <c r="C49" s="41"/>
      <c r="D49" s="41"/>
      <c r="E49" s="41"/>
      <c r="F49" s="41"/>
      <c r="G49" s="41"/>
      <c r="H49" s="14"/>
      <c r="I49" s="14"/>
      <c r="J49" s="15"/>
      <c r="K49" s="15"/>
    </row>
    <row r="50" spans="1:11" ht="15.9" customHeight="1" x14ac:dyDescent="0.25">
      <c r="A50" s="58" t="s">
        <v>56</v>
      </c>
      <c r="B50" s="14"/>
      <c r="C50" s="14"/>
      <c r="D50" s="119" t="s">
        <v>55</v>
      </c>
      <c r="E50" s="14"/>
      <c r="F50" s="14"/>
      <c r="G50" s="14"/>
      <c r="H50" s="14"/>
      <c r="I50" s="14"/>
      <c r="J50" s="15"/>
      <c r="K50" s="15"/>
    </row>
    <row r="51" spans="1:11" ht="15.9" customHeight="1" x14ac:dyDescent="0.25"/>
    <row r="52" spans="1:11" ht="30.75" customHeight="1" x14ac:dyDescent="0.25">
      <c r="A52" s="122" t="s">
        <v>43</v>
      </c>
      <c r="B52" s="122"/>
      <c r="C52" s="122"/>
      <c r="D52" s="122"/>
      <c r="E52" s="122"/>
      <c r="F52" s="122"/>
      <c r="G52" s="122"/>
      <c r="H52" s="122"/>
      <c r="I52" s="122"/>
    </row>
    <row r="53" spans="1:11" ht="15.9" customHeight="1" x14ac:dyDescent="0.25"/>
    <row r="54" spans="1:11" ht="15.9" customHeight="1" x14ac:dyDescent="0.25"/>
  </sheetData>
  <protectedRanges>
    <protectedRange sqref="C12 C15" name="Rango3_3_1_1_1_1_1_1_1_1"/>
    <protectedRange sqref="C48" name="Rango3_3_1_1_1_1_1_2_1"/>
  </protectedRanges>
  <mergeCells count="26">
    <mergeCell ref="A52:I52"/>
    <mergeCell ref="C37:D37"/>
    <mergeCell ref="E37:F37"/>
    <mergeCell ref="C38:D38"/>
    <mergeCell ref="C39:D39"/>
    <mergeCell ref="C40:D40"/>
    <mergeCell ref="B48:D48"/>
    <mergeCell ref="E48:G48"/>
    <mergeCell ref="C41:D41"/>
    <mergeCell ref="G22:H22"/>
    <mergeCell ref="G23:H23"/>
    <mergeCell ref="G24:H24"/>
    <mergeCell ref="G25:H25"/>
    <mergeCell ref="G26:H26"/>
    <mergeCell ref="A7:I7"/>
    <mergeCell ref="A8:I8"/>
    <mergeCell ref="A13:I13"/>
    <mergeCell ref="A14:I14"/>
    <mergeCell ref="C16:E16"/>
    <mergeCell ref="G16:H16"/>
    <mergeCell ref="B10:C10"/>
    <mergeCell ref="B11:C11"/>
    <mergeCell ref="E10:F10"/>
    <mergeCell ref="E11:F11"/>
    <mergeCell ref="G10:H10"/>
    <mergeCell ref="G11:H11"/>
  </mergeCells>
  <phoneticPr fontId="9" type="noConversion"/>
  <printOptions horizontalCentered="1" verticalCentered="1"/>
  <pageMargins left="0.39370078740157483" right="0.39370078740157483" top="0.78740157480314965" bottom="0" header="0" footer="0"/>
  <pageSetup paperSize="274" scale="7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45" t="s">
        <v>9</v>
      </c>
      <c r="B2" s="145"/>
      <c r="C2" s="6" t="s">
        <v>10</v>
      </c>
      <c r="D2" s="5" t="s">
        <v>2</v>
      </c>
      <c r="E2" s="5" t="s">
        <v>0</v>
      </c>
      <c r="F2" s="5" t="s">
        <v>1</v>
      </c>
      <c r="G2" s="5" t="s">
        <v>3</v>
      </c>
      <c r="H2" s="5" t="s">
        <v>4</v>
      </c>
      <c r="I2" s="5" t="s">
        <v>6</v>
      </c>
      <c r="J2" s="5" t="s">
        <v>5</v>
      </c>
      <c r="K2" s="5" t="s">
        <v>7</v>
      </c>
      <c r="L2" s="5" t="s">
        <v>8</v>
      </c>
      <c r="M2" s="5" t="s">
        <v>11</v>
      </c>
    </row>
    <row r="3" spans="1:13" ht="18.75" customHeight="1" x14ac:dyDescent="0.25">
      <c r="A3" s="8">
        <v>4400</v>
      </c>
      <c r="B3" s="2">
        <f>+A3+1</f>
        <v>4401</v>
      </c>
      <c r="C3" s="12" t="str">
        <f t="shared" ref="C3:C8" si="0">A3&amp;"-"&amp;B3</f>
        <v>4400-4401</v>
      </c>
      <c r="D3" s="8" t="s">
        <v>14</v>
      </c>
      <c r="E3" s="8">
        <v>350</v>
      </c>
      <c r="F3" s="9">
        <v>42347</v>
      </c>
      <c r="G3" s="2">
        <v>7</v>
      </c>
      <c r="H3" s="10">
        <v>15.05</v>
      </c>
      <c r="I3" s="8">
        <v>49900</v>
      </c>
      <c r="J3" s="3">
        <f t="shared" ref="J3:J8" si="1">H3*H3*PI()/4</f>
        <v>177.89464750493056</v>
      </c>
      <c r="K3" s="11">
        <f t="shared" ref="K3:K8" si="2">I3/J3</f>
        <v>280.50309944607505</v>
      </c>
      <c r="L3" s="4">
        <f t="shared" ref="L3:L8" si="3">+K3/E3</f>
        <v>0.80143742698878584</v>
      </c>
      <c r="M3" s="13" t="s">
        <v>12</v>
      </c>
    </row>
    <row r="4" spans="1:13" ht="18.75" customHeight="1" x14ac:dyDescent="0.25">
      <c r="A4" s="2"/>
      <c r="B4" s="2"/>
      <c r="C4" s="7" t="str">
        <f t="shared" si="0"/>
        <v>-</v>
      </c>
      <c r="D4" s="2"/>
      <c r="E4" s="8">
        <v>350</v>
      </c>
      <c r="F4" s="2"/>
      <c r="G4" s="2">
        <v>7</v>
      </c>
      <c r="H4" s="10">
        <v>15.06</v>
      </c>
      <c r="I4" s="8">
        <v>50310</v>
      </c>
      <c r="J4" s="3">
        <f t="shared" si="1"/>
        <v>178.1311308919295</v>
      </c>
      <c r="K4" s="11">
        <f t="shared" si="2"/>
        <v>282.43238421094742</v>
      </c>
      <c r="L4" s="4">
        <f t="shared" si="3"/>
        <v>0.80694966917413546</v>
      </c>
      <c r="M4" s="13" t="s">
        <v>13</v>
      </c>
    </row>
    <row r="5" spans="1:13" ht="18.75" customHeight="1" x14ac:dyDescent="0.25">
      <c r="A5" s="2">
        <f>+B3+1</f>
        <v>4402</v>
      </c>
      <c r="B5" s="2">
        <f>+A5+1</f>
        <v>4403</v>
      </c>
      <c r="C5" s="7" t="str">
        <f t="shared" si="0"/>
        <v>4402-4403</v>
      </c>
      <c r="D5" s="2"/>
      <c r="E5" s="8">
        <v>350</v>
      </c>
      <c r="F5" s="2"/>
      <c r="G5" s="2">
        <v>14</v>
      </c>
      <c r="H5" s="10">
        <v>15.04</v>
      </c>
      <c r="I5" s="8">
        <v>56450</v>
      </c>
      <c r="J5" s="3">
        <f t="shared" si="1"/>
        <v>177.65832119756422</v>
      </c>
      <c r="K5" s="11">
        <f t="shared" si="2"/>
        <v>317.74475644867209</v>
      </c>
      <c r="L5" s="4">
        <f t="shared" si="3"/>
        <v>0.9078421612819203</v>
      </c>
      <c r="M5" s="13" t="s">
        <v>13</v>
      </c>
    </row>
    <row r="6" spans="1:13" ht="18.75" customHeight="1" x14ac:dyDescent="0.25">
      <c r="A6" s="2"/>
      <c r="B6" s="2"/>
      <c r="C6" s="7" t="str">
        <f t="shared" si="0"/>
        <v>-</v>
      </c>
      <c r="D6" s="2"/>
      <c r="E6" s="8">
        <v>350</v>
      </c>
      <c r="F6" s="2"/>
      <c r="G6" s="2">
        <v>14</v>
      </c>
      <c r="H6" s="10">
        <v>15</v>
      </c>
      <c r="I6" s="8">
        <v>59630</v>
      </c>
      <c r="J6" s="3">
        <f t="shared" si="1"/>
        <v>176.71458676442586</v>
      </c>
      <c r="K6" s="11">
        <f t="shared" si="2"/>
        <v>337.43677356692336</v>
      </c>
      <c r="L6" s="4">
        <f t="shared" si="3"/>
        <v>0.96410506733406676</v>
      </c>
      <c r="M6" s="13" t="s">
        <v>13</v>
      </c>
    </row>
    <row r="7" spans="1:13" ht="18.75" customHeight="1" x14ac:dyDescent="0.25">
      <c r="A7" s="2">
        <f>+B5+1</f>
        <v>4404</v>
      </c>
      <c r="B7" s="2">
        <f>+A7+1</f>
        <v>4405</v>
      </c>
      <c r="C7" s="7" t="str">
        <f t="shared" si="0"/>
        <v>4404-4405</v>
      </c>
      <c r="D7" s="2"/>
      <c r="E7" s="8">
        <v>350</v>
      </c>
      <c r="F7" s="2"/>
      <c r="G7" s="2">
        <v>28</v>
      </c>
      <c r="H7" s="10">
        <v>15.11</v>
      </c>
      <c r="I7" s="8">
        <v>65310</v>
      </c>
      <c r="J7" s="3">
        <f t="shared" si="1"/>
        <v>179.31590402141455</v>
      </c>
      <c r="K7" s="11">
        <f t="shared" si="2"/>
        <v>364.21755424549764</v>
      </c>
      <c r="L7" s="4">
        <f t="shared" si="3"/>
        <v>1.0406215835585646</v>
      </c>
      <c r="M7" s="13" t="s">
        <v>13</v>
      </c>
    </row>
    <row r="8" spans="1:13" ht="18.75" customHeight="1" x14ac:dyDescent="0.25">
      <c r="A8" s="2"/>
      <c r="B8" s="2"/>
      <c r="C8" s="7" t="str">
        <f t="shared" si="0"/>
        <v>-</v>
      </c>
      <c r="D8" s="2"/>
      <c r="E8" s="8">
        <v>350</v>
      </c>
      <c r="F8" s="2"/>
      <c r="G8" s="2">
        <v>28</v>
      </c>
      <c r="H8" s="10">
        <v>15.05</v>
      </c>
      <c r="I8" s="8">
        <v>64730</v>
      </c>
      <c r="J8" s="3">
        <f t="shared" si="1"/>
        <v>177.89464750493056</v>
      </c>
      <c r="K8" s="11">
        <f t="shared" si="2"/>
        <v>363.86704663616104</v>
      </c>
      <c r="L8" s="4">
        <f t="shared" si="3"/>
        <v>1.0396201332461743</v>
      </c>
      <c r="M8" s="13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SULFATOS</vt:lpstr>
      <vt:lpstr>SULFATOS (2)</vt:lpstr>
      <vt:lpstr>Hoja1</vt:lpstr>
      <vt:lpstr>SULFATOS!Área_de_impresión</vt:lpstr>
      <vt:lpstr>'SULFATOS (2)'!Área_de_impresión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2025-11-15T14:28:46Z</cp:lastPrinted>
  <dcterms:created xsi:type="dcterms:W3CDTF">1999-11-07T15:11:55Z</dcterms:created>
  <dcterms:modified xsi:type="dcterms:W3CDTF">2026-03-12T16:06:50Z</dcterms:modified>
</cp:coreProperties>
</file>