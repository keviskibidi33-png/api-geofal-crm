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A46CE284-0456-4944-985F-D01DD5346B2D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TERRONES DE ARCILLA" sheetId="91" r:id="rId1"/>
    <sheet name="Hoja1" sheetId="49" state="hidden" r:id="rId2"/>
  </sheets>
  <definedNames>
    <definedName name="_xlnm.Print_Area" localSheetId="0">'TERRONES DE ARCILLA'!$A$1:$I$50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<sst xmlns="http://schemas.openxmlformats.org/spreadsheetml/2006/main" count="73" uniqueCount="54">
  <si>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</si>
  <si>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</si>
  <si>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</si>
  <si>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</si>
  <si>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</si>
  <si>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</si>
  <si>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</si>
  <si>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</si>
  <si>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</si>
  <si>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</si>
  <si>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</si>
  <si>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</si>
  <si>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</si>
  <si>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</si>
  <si>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</si>
  <si>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</si>
  <si>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 xml:space="preserve">      </t>
  </si>
  <si>
    <t>Página 1 de 1</t>
  </si>
  <si>
    <t>Equipo utilizado</t>
  </si>
  <si>
    <t>Código</t>
  </si>
  <si>
    <t>Versión : 01 (01-08-2022)</t>
  </si>
  <si>
    <t>STANDARD TEST METHOD FOR CLAY LUMPS AND FRIABLE PARTICLES IN AGGREGATES</t>
  </si>
  <si>
    <t>ASTM C142/C142M - 17</t>
  </si>
  <si>
    <t>Tamaño del Tamiz</t>
  </si>
  <si>
    <t>Perdida de Masa
g</t>
  </si>
  <si>
    <t>Arcilla y Particulas Friables
%</t>
  </si>
  <si>
    <t>No. 4</t>
  </si>
  <si>
    <t>Balanza  0.1 g</t>
  </si>
  <si>
    <t>Horno 110 ± 5°C</t>
  </si>
  <si>
    <t xml:space="preserve">La muestara se secó en horno a masa constante a 110 5°C. </t>
  </si>
  <si>
    <t>(a)</t>
  </si>
  <si>
    <t>(b)</t>
  </si>
  <si>
    <t>Prohibido reproducir sin  autorización</t>
  </si>
  <si>
    <t>Pasante
(in)</t>
  </si>
  <si>
    <t>Retenido
(in)</t>
  </si>
  <si>
    <t>Masa de Muestra antes de ensayo
g</t>
  </si>
  <si>
    <t>Masa seca despues de ensayo
g</t>
  </si>
  <si>
    <t>Masa seca a peso constante
g</t>
  </si>
  <si>
    <t>(c)</t>
  </si>
  <si>
    <t>d =(a-c)</t>
  </si>
  <si>
    <t>e = (d/a) x 100</t>
  </si>
  <si>
    <t>FORMATO N° F-LEM-P-AG-30.02</t>
  </si>
  <si>
    <t>Total de Arcilla y Particulas Friables  %</t>
  </si>
  <si>
    <t>No. 16</t>
  </si>
  <si>
    <t>ANALISIS AGREGADO FINO</t>
  </si>
  <si>
    <t>ANALISIS AGREAGADO GRUESO</t>
  </si>
  <si>
    <t>TABLA DE PESOS MINIMOS</t>
  </si>
  <si>
    <t>NOTA:</t>
  </si>
  <si>
    <t>SI o NO</t>
  </si>
  <si>
    <t>WEB: www.geofal.com.pe   E-MAIL: laboratorio@geofal.com.pe                                                                                                                                                                      Av. Marañon 763, Los Olivos-Lima / Teléfono  01 522-1851</t>
  </si>
  <si>
    <t>MUESTRA</t>
  </si>
  <si>
    <t>No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</si>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</sst>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\L\ \-\ 0000"/>
    <numFmt numFmtId="166" formatCode="dd\-mmm\-yyyy"/>
    <numFmt numFmtId="167" formatCode="0\ &quot;/ CO-06&quot;"/>
    <numFmt numFmtId="168" formatCode="0.000"/>
    <numFmt numFmtId="169" formatCode="&quot;CERTIFICADO N°&quot;000&quot;-20 AG06&quot;"/>
    <numFmt numFmtId="170" formatCode="0.0%"/>
  </numFmts>
  <fonts count="2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1"/>
      <color indexed="10"/>
      <name val="Times New Roman"/>
      <family val="1"/>
    </font>
    <font>
      <sz val="11"/>
      <color rgb="FFFF0000"/>
      <name val="Times New Roman"/>
      <family val="1"/>
    </font>
    <font>
      <b/>
      <sz val="11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u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8" fillId="0" borderId="0"/>
  </cellStyleXfs>
  <cellXfs count="130">
    <xf numFmtId="0" fontId="0" fillId="0" borderId="0" xfId="0"/>
    <xf numFmtId="0" fontId="5" fillId="0" borderId="0" xfId="0" applyFont="1" applyAlignment="1" applyProtection="1">
      <alignment horizontal="left"/>
      <protection hidden="1"/>
    </xf>
    <xf numFmtId="165" fontId="5" fillId="0" borderId="0" xfId="0" applyNumberFormat="1" applyFont="1" applyAlignment="1" applyProtection="1">
      <alignment horizontal="left" vertical="center"/>
      <protection hidden="1"/>
    </xf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16" fontId="13" fillId="0" borderId="1" xfId="0" applyNumberFormat="1" applyFont="1" applyBorder="1"/>
    <xf numFmtId="2" fontId="13" fillId="0" borderId="1" xfId="0" applyNumberFormat="1" applyFont="1" applyBorder="1"/>
    <xf numFmtId="2" fontId="14" fillId="3" borderId="1" xfId="0" applyNumberFormat="1" applyFont="1" applyFill="1" applyBorder="1" applyAlignment="1">
      <alignment vertical="center" wrapText="1"/>
    </xf>
    <xf numFmtId="167" fontId="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5" fillId="0" borderId="7" xfId="0" applyFont="1" applyBorder="1" applyProtection="1">
      <protection hidden="1"/>
    </xf>
    <xf numFmtId="0" fontId="4" fillId="2" borderId="9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5" fillId="2" borderId="0" xfId="3" applyFont="1" applyFill="1" applyAlignment="1">
      <alignment vertical="center"/>
    </xf>
    <xf numFmtId="0" fontId="15" fillId="2" borderId="0" xfId="3" applyFont="1" applyFill="1" applyAlignment="1">
      <alignment horizontal="center" vertical="center"/>
    </xf>
    <xf numFmtId="17" fontId="9" fillId="2" borderId="0" xfId="0" applyNumberFormat="1" applyFont="1" applyFill="1" applyAlignment="1">
      <alignment vertical="center"/>
    </xf>
    <xf numFmtId="0" fontId="9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2" fillId="2" borderId="0" xfId="4" applyFont="1" applyFill="1"/>
    <xf numFmtId="0" fontId="17" fillId="2" borderId="0" xfId="3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68" fontId="5" fillId="2" borderId="0" xfId="0" applyNumberFormat="1" applyFont="1" applyFill="1" applyAlignment="1" applyProtection="1">
      <alignment horizontal="center" vertical="center"/>
      <protection hidden="1"/>
    </xf>
    <xf numFmtId="1" fontId="4" fillId="2" borderId="0" xfId="0" quotePrefix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hidden="1"/>
    </xf>
    <xf numFmtId="12" fontId="5" fillId="2" borderId="0" xfId="0" applyNumberFormat="1" applyFont="1" applyFill="1" applyAlignment="1" applyProtection="1">
      <alignment horizontal="center" vertical="center"/>
      <protection hidden="1"/>
    </xf>
    <xf numFmtId="1" fontId="5" fillId="2" borderId="0" xfId="0" quotePrefix="1" applyNumberFormat="1" applyFont="1" applyFill="1" applyAlignment="1">
      <alignment horizontal="center" vertical="center"/>
    </xf>
    <xf numFmtId="164" fontId="5" fillId="2" borderId="0" xfId="0" quotePrefix="1" applyNumberFormat="1" applyFont="1" applyFill="1" applyAlignment="1">
      <alignment horizontal="center" vertical="center"/>
    </xf>
    <xf numFmtId="0" fontId="9" fillId="3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2" borderId="0" xfId="0" applyFont="1" applyFill="1" applyAlignment="1">
      <alignment horizontal="left" vertical="center" wrapText="1"/>
    </xf>
    <xf numFmtId="0" fontId="5" fillId="0" borderId="3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5" fillId="0" borderId="8" xfId="0" applyFont="1" applyBorder="1" applyProtection="1">
      <protection hidden="1"/>
    </xf>
    <xf numFmtId="0" fontId="9" fillId="3" borderId="0" xfId="5" applyFont="1" applyFill="1" applyAlignment="1" applyProtection="1">
      <alignment horizontal="center"/>
      <protection locked="0"/>
    </xf>
    <xf numFmtId="0" fontId="9" fillId="3" borderId="0" xfId="5" applyFont="1" applyFill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7" fillId="0" borderId="0" xfId="5" applyFont="1" applyAlignment="1">
      <alignment horizontal="center" vertical="center"/>
    </xf>
    <xf numFmtId="0" fontId="12" fillId="0" borderId="0" xfId="5" applyFont="1" applyAlignment="1">
      <alignment horizontal="center" vertical="center"/>
    </xf>
    <xf numFmtId="164" fontId="12" fillId="0" borderId="0" xfId="5" applyNumberFormat="1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4" fontId="12" fillId="0" borderId="0" xfId="5" applyNumberFormat="1" applyFont="1" applyAlignment="1" applyProtection="1">
      <alignment horizontal="center" vertical="center"/>
      <protection locked="0"/>
    </xf>
    <xf numFmtId="0" fontId="12" fillId="0" borderId="0" xfId="5" applyFont="1" applyAlignment="1" applyProtection="1">
      <alignment horizontal="center"/>
      <protection locked="0"/>
    </xf>
    <xf numFmtId="12" fontId="12" fillId="0" borderId="0" xfId="0" applyNumberFormat="1" applyFont="1" applyAlignment="1" applyProtection="1">
      <alignment horizontal="center" vertical="center"/>
      <protection hidden="1"/>
    </xf>
    <xf numFmtId="0" fontId="12" fillId="0" borderId="0" xfId="5" applyFont="1" applyAlignment="1" applyProtection="1">
      <alignment horizontal="center" vertical="center"/>
      <protection locked="0"/>
    </xf>
    <xf numFmtId="164" fontId="22" fillId="0" borderId="0" xfId="5" applyNumberFormat="1" applyFont="1" applyAlignment="1" applyProtection="1">
      <alignment horizontal="center" vertical="center"/>
      <protection locked="0"/>
    </xf>
    <xf numFmtId="0" fontId="22" fillId="0" borderId="0" xfId="5" applyFont="1" applyAlignment="1" applyProtection="1">
      <alignment horizontal="center" vertical="center"/>
      <protection locked="0"/>
    </xf>
    <xf numFmtId="0" fontId="12" fillId="0" borderId="0" xfId="5" applyFont="1" applyAlignment="1">
      <alignment horizontal="center" vertical="center" wrapText="1"/>
    </xf>
    <xf numFmtId="170" fontId="17" fillId="0" borderId="0" xfId="5" applyNumberFormat="1" applyFont="1" applyAlignment="1" applyProtection="1">
      <alignment horizontal="center" vertical="center"/>
      <protection hidden="1"/>
    </xf>
    <xf numFmtId="0" fontId="12" fillId="0" borderId="0" xfId="5" applyFont="1" applyAlignment="1">
      <alignment vertical="center"/>
    </xf>
    <xf numFmtId="0" fontId="12" fillId="0" borderId="0" xfId="5" applyFont="1" applyAlignment="1">
      <alignment vertical="center" wrapText="1"/>
    </xf>
    <xf numFmtId="0" fontId="12" fillId="0" borderId="0" xfId="0" applyFont="1" applyAlignment="1" applyProtection="1">
      <alignment vertical="center"/>
      <protection hidden="1"/>
    </xf>
    <xf numFmtId="12" fontId="12" fillId="0" borderId="0" xfId="5" applyNumberFormat="1" applyFont="1" applyAlignment="1">
      <alignment vertical="center"/>
    </xf>
    <xf numFmtId="0" fontId="12" fillId="0" borderId="1" xfId="5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 wrapText="1"/>
      <protection hidden="1"/>
    </xf>
    <xf numFmtId="3" fontId="21" fillId="0" borderId="1" xfId="5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 vertical="center"/>
      <protection hidden="1"/>
    </xf>
    <xf numFmtId="0" fontId="24" fillId="0" borderId="0" xfId="0" applyFont="1" applyProtection="1">
      <protection hidden="1"/>
    </xf>
    <xf numFmtId="0" fontId="17" fillId="0" borderId="17" xfId="5" applyFont="1" applyBorder="1" applyAlignment="1">
      <alignment horizontal="center" vertical="center" wrapText="1"/>
    </xf>
    <xf numFmtId="0" fontId="20" fillId="0" borderId="0" xfId="0" applyFont="1" applyProtection="1">
      <protection hidden="1"/>
    </xf>
    <xf numFmtId="12" fontId="12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vertical="center" wrapText="1"/>
      <protection hidden="1"/>
    </xf>
    <xf numFmtId="0" fontId="23" fillId="0" borderId="18" xfId="0" applyFont="1" applyBorder="1" applyAlignment="1">
      <alignment horizontal="left" vertical="center" indent="1"/>
    </xf>
    <xf numFmtId="0" fontId="23" fillId="0" borderId="1" xfId="0" applyFont="1" applyBorder="1" applyAlignment="1">
      <alignment vertical="center"/>
    </xf>
    <xf numFmtId="0" fontId="12" fillId="0" borderId="10" xfId="5" applyFont="1" applyBorder="1" applyAlignment="1">
      <alignment vertical="center" wrapText="1"/>
    </xf>
    <xf numFmtId="0" fontId="12" fillId="0" borderId="10" xfId="5" applyFont="1" applyBorder="1" applyAlignment="1">
      <alignment horizontal="center" vertical="center" wrapText="1"/>
    </xf>
    <xf numFmtId="164" fontId="12" fillId="0" borderId="10" xfId="5" applyNumberFormat="1" applyFont="1" applyBorder="1" applyAlignment="1" applyProtection="1">
      <alignment horizontal="center" vertical="center"/>
      <protection locked="0"/>
    </xf>
    <xf numFmtId="0" fontId="9" fillId="3" borderId="10" xfId="5" applyFont="1" applyFill="1" applyBorder="1" applyAlignment="1" applyProtection="1">
      <alignment horizontal="center"/>
      <protection hidden="1"/>
    </xf>
    <xf numFmtId="0" fontId="12" fillId="0" borderId="16" xfId="5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Protection="1">
      <protection hidden="1"/>
    </xf>
    <xf numFmtId="0" fontId="17" fillId="0" borderId="0" xfId="5" applyFont="1" applyAlignment="1">
      <alignment vertical="center" wrapText="1"/>
    </xf>
    <xf numFmtId="0" fontId="12" fillId="0" borderId="1" xfId="5" applyFont="1" applyBorder="1" applyAlignment="1" applyProtection="1">
      <alignment horizontal="center" vertical="center"/>
      <protection locked="0"/>
    </xf>
    <xf numFmtId="0" fontId="12" fillId="0" borderId="0" xfId="1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4" fillId="2" borderId="0" xfId="0" applyFont="1" applyFill="1" applyAlignment="1">
      <alignment horizontal="center" vertical="center"/>
    </xf>
    <xf numFmtId="0" fontId="12" fillId="0" borderId="0" xfId="5" applyFont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2" fillId="0" borderId="18" xfId="3" applyFont="1" applyBorder="1" applyAlignment="1">
      <alignment horizontal="center" vertical="center" wrapText="1"/>
    </xf>
    <xf numFmtId="0" fontId="12" fillId="0" borderId="19" xfId="3" applyFont="1" applyBorder="1" applyAlignment="1">
      <alignment horizontal="center" vertical="center" wrapText="1"/>
    </xf>
    <xf numFmtId="0" fontId="12" fillId="0" borderId="1" xfId="5" applyFont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16" fillId="2" borderId="0" xfId="0" applyFont="1" applyFill="1" applyAlignment="1">
      <alignment horizontal="center" vertical="center"/>
    </xf>
    <xf numFmtId="169" fontId="16" fillId="3" borderId="0" xfId="0" applyNumberFormat="1" applyFont="1" applyFill="1" applyAlignment="1" applyProtection="1">
      <alignment horizontal="center"/>
      <protection hidden="1"/>
    </xf>
    <xf numFmtId="0" fontId="15" fillId="2" borderId="0" xfId="3" applyFont="1" applyFill="1" applyAlignment="1">
      <alignment horizontal="center" vertical="center"/>
    </xf>
    <xf numFmtId="166" fontId="5" fillId="0" borderId="0" xfId="0" applyNumberFormat="1" applyFont="1" applyAlignment="1" applyProtection="1">
      <alignment horizontal="left"/>
      <protection hidden="1"/>
    </xf>
    <xf numFmtId="0" fontId="4" fillId="2" borderId="0" xfId="0" applyFont="1" applyFill="1" applyAlignment="1">
      <alignment horizontal="center" vertical="center" wrapText="1"/>
    </xf>
    <xf numFmtId="12" fontId="12" fillId="0" borderId="18" xfId="0" applyNumberFormat="1" applyFont="1" applyBorder="1" applyAlignment="1" applyProtection="1">
      <alignment horizontal="center" vertical="center" wrapText="1"/>
      <protection hidden="1"/>
    </xf>
    <xf numFmtId="0" fontId="12" fillId="0" borderId="19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/>
    </xf>
    <xf numFmtId="0" fontId="15" fillId="4" borderId="18" xfId="0" applyFont="1" applyFill="1" applyBorder="1" applyAlignment="1" applyProtection="1">
      <alignment horizontal="center" vertical="center"/>
      <protection locked="0"/>
    </xf>
    <xf numFmtId="0" fontId="15" fillId="4" borderId="19" xfId="0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 applyProtection="1">
      <alignment horizontal="center" vertical="center"/>
      <protection locked="0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ABG-01" xfId="5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18487</xdr:colOff>
      <xdr:row>48</xdr:row>
      <xdr:rowOff>121920</xdr:rowOff>
    </xdr:from>
    <xdr:to>
      <xdr:col>8</xdr:col>
      <xdr:colOff>767684</xdr:colOff>
      <xdr:row>48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18487" y="12294870"/>
          <a:ext cx="7111897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533400</xdr:colOff>
      <xdr:row>42</xdr:row>
      <xdr:rowOff>85725</xdr:rowOff>
    </xdr:from>
    <xdr:to>
      <xdr:col>4</xdr:col>
      <xdr:colOff>788491</xdr:colOff>
      <xdr:row>45</xdr:row>
      <xdr:rowOff>74957</xdr:rowOff>
    </xdr:to>
    <xdr:sp macro="" textlink="">
      <xdr:nvSpPr>
        <xdr:cNvPr id="14" name="12 Rectángulo">
          <a:extLst>
            <a:ext uri="{FF2B5EF4-FFF2-40B4-BE49-F238E27FC236}">
              <a16:creationId xmlns:a16="http://schemas.microsoft.com/office/drawing/2014/main" id="{4D824FB2-E541-4000-84A3-BA1592668AEA}"/>
            </a:ext>
          </a:extLst>
        </xdr:cNvPr>
        <xdr:cNvSpPr/>
      </xdr:nvSpPr>
      <xdr:spPr>
        <a:xfrm>
          <a:off x="1419225" y="9934575"/>
          <a:ext cx="2407741" cy="675032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/>
            <a:t>Revisado:</a:t>
          </a:r>
        </a:p>
        <a:p>
          <a:endParaRPr lang="es-PE"/>
        </a:p>
        <a:p>
          <a:r>
            <a:rPr lang="es-PE"/>
            <a:t>Fecha:</a:t>
          </a:r>
        </a:p>
      </xdr:txBody>
    </xdr:sp>
    <xdr:clientData/>
  </xdr:twoCellAnchor>
  <xdr:twoCellAnchor>
    <xdr:from>
      <xdr:col>4</xdr:col>
      <xdr:colOff>947102</xdr:colOff>
      <xdr:row>42</xdr:row>
      <xdr:rowOff>85727</xdr:rowOff>
    </xdr:from>
    <xdr:to>
      <xdr:col>7</xdr:col>
      <xdr:colOff>495300</xdr:colOff>
      <xdr:row>45</xdr:row>
      <xdr:rowOff>58402</xdr:rowOff>
    </xdr:to>
    <xdr:sp macro="" textlink="">
      <xdr:nvSpPr>
        <xdr:cNvPr id="15" name="12 Rectángulo">
          <a:extLst>
            <a:ext uri="{FF2B5EF4-FFF2-40B4-BE49-F238E27FC236}">
              <a16:creationId xmlns:a16="http://schemas.microsoft.com/office/drawing/2014/main" id="{2667279F-EC00-46FA-9C12-28A501C2741C}"/>
            </a:ext>
          </a:extLst>
        </xdr:cNvPr>
        <xdr:cNvSpPr/>
      </xdr:nvSpPr>
      <xdr:spPr>
        <a:xfrm>
          <a:off x="3985577" y="9934577"/>
          <a:ext cx="2462848" cy="6584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/>
            <a:t>Aprobado:</a:t>
          </a:r>
        </a:p>
        <a:p>
          <a:endParaRPr lang="es-PE"/>
        </a:p>
        <a:p>
          <a:r>
            <a:rPr lang="es-PE"/>
            <a:t>Fecha:</a:t>
          </a:r>
        </a:p>
      </xdr:txBody>
    </xdr:sp>
    <xdr:clientData/>
  </xdr:twoCellAnchor>
  <xdr:twoCellAnchor editAs="oneCell">
    <xdr:from>
      <xdr:col>1</xdr:col>
      <xdr:colOff>15240</xdr:colOff>
      <xdr:row>33</xdr:row>
      <xdr:rowOff>26670</xdr:rowOff>
    </xdr:from>
    <xdr:to>
      <xdr:col>5</xdr:col>
      <xdr:colOff>960120</xdr:colOff>
      <xdr:row>37</xdr:row>
      <xdr:rowOff>135255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A9744AE-2A22-4AA2-82B7-62B23228D23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8789670"/>
          <a:ext cx="4160520" cy="9467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361950</xdr:colOff>
      <xdr:row>0</xdr:row>
      <xdr:rowOff>47625</xdr:rowOff>
    </xdr:from>
    <xdr:to>
      <xdr:col>5</xdr:col>
      <xdr:colOff>750570</xdr:colOff>
      <xdr:row>4</xdr:row>
      <xdr:rowOff>146685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C97433F-7C71-4B33-A8B3-69134C1B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7625"/>
          <a:ext cx="1360170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W52"/>
  <sheetViews>
    <sheetView showGridLines="0" tabSelected="1" zoomScaleNormal="100" zoomScaleSheetLayoutView="100" workbookViewId="0">
      <selection activeCell="H11" sqref="H11"/>
    </sheetView>
  </sheetViews>
  <sheetFormatPr baseColWidth="10" defaultColWidth="10.33203125" defaultRowHeight="13.8" x14ac:dyDescent="0.25"/>
  <cols>
    <col min="1" max="1" width="12" style="3" customWidth="1"/>
    <col min="2" max="3" width="8.88671875" style="3" customWidth="1"/>
    <col min="4" max="6" width="14.5546875" style="3" customWidth="1"/>
    <col min="7" max="7" width="16.109375" style="3" customWidth="1"/>
    <col min="8" max="8" width="14.5546875" style="3" customWidth="1"/>
    <col min="9" max="9" width="11.44140625" style="3" customWidth="1"/>
    <col min="10" max="10" width="6.44140625" style="3" customWidth="1"/>
    <col min="11" max="11" width="4.109375" style="3" customWidth="1"/>
    <col min="12" max="12" width="8" style="3" customWidth="1"/>
    <col min="13" max="13" width="10.33203125" style="3"/>
    <col min="14" max="14" width="2.6640625" style="3" customWidth="1"/>
    <col min="15" max="17" width="10.33203125" style="3"/>
    <col min="18" max="18" width="3.33203125" style="3" customWidth="1"/>
    <col min="19" max="20" width="10.33203125" style="3"/>
    <col min="21" max="23" width="5.6640625" style="3" customWidth="1"/>
    <col min="24" max="16384" width="10.33203125" style="3"/>
  </cols>
  <sheetData>
    <row r="1" spans="1:22" ht="14.25" customHeight="1" thickTop="1" x14ac:dyDescent="0.25">
      <c r="A1" s="55"/>
      <c r="B1" s="22"/>
      <c r="C1" s="22"/>
      <c r="D1" s="23"/>
      <c r="E1" s="23"/>
      <c r="F1" s="23"/>
      <c r="G1" s="23"/>
      <c r="H1" s="23"/>
      <c r="I1" s="24"/>
    </row>
    <row r="2" spans="1:22" ht="14.25" customHeight="1" x14ac:dyDescent="0.25">
      <c r="A2" s="56"/>
      <c r="B2" s="19"/>
      <c r="C2" s="19"/>
      <c r="D2" s="20"/>
      <c r="E2" s="20"/>
      <c r="F2" s="20"/>
      <c r="G2" s="20"/>
      <c r="H2" s="20"/>
      <c r="I2" s="25"/>
    </row>
    <row r="3" spans="1:22" ht="14.25" customHeight="1" x14ac:dyDescent="0.25">
      <c r="A3" s="56"/>
      <c r="B3" s="19"/>
      <c r="C3" s="19"/>
      <c r="D3" s="20"/>
      <c r="E3" s="20"/>
      <c r="F3" s="20"/>
      <c r="G3" s="20"/>
      <c r="H3" s="20"/>
      <c r="I3" s="25"/>
    </row>
    <row r="4" spans="1:22" ht="14.25" customHeight="1" x14ac:dyDescent="0.25">
      <c r="A4" s="56"/>
      <c r="B4" s="19"/>
      <c r="C4" s="19"/>
      <c r="D4" s="20"/>
      <c r="E4" s="20"/>
      <c r="F4" s="20"/>
      <c r="G4" s="20"/>
      <c r="H4" s="20"/>
      <c r="I4" s="25"/>
    </row>
    <row r="5" spans="1:22" ht="14.25" customHeight="1" thickBot="1" x14ac:dyDescent="0.3">
      <c r="A5" s="57"/>
      <c r="B5" s="21"/>
      <c r="C5" s="21"/>
      <c r="D5" s="21"/>
      <c r="E5" s="21"/>
      <c r="F5" s="21"/>
      <c r="G5" s="21"/>
      <c r="H5" s="21"/>
      <c r="I5" s="26"/>
    </row>
    <row r="6" spans="1:22" ht="6" customHeight="1" thickTop="1" x14ac:dyDescent="0.25">
      <c r="B6" s="18"/>
      <c r="C6" s="18"/>
      <c r="D6" s="18"/>
      <c r="E6" s="18"/>
      <c r="F6" s="18"/>
      <c r="G6" s="18"/>
      <c r="H6" s="18"/>
      <c r="I6" s="18"/>
    </row>
    <row r="7" spans="1:22" ht="15.9" customHeight="1" x14ac:dyDescent="0.25">
      <c r="A7" s="119" t="s">
        <v>15</v>
      </c>
      <c r="B7" s="119"/>
      <c r="C7" s="119"/>
      <c r="D7" s="119"/>
      <c r="E7" s="119"/>
      <c r="F7" s="119"/>
      <c r="G7" s="119"/>
      <c r="H7" s="119"/>
      <c r="I7" s="119"/>
    </row>
    <row r="8" spans="1:22" ht="15.9" customHeight="1" x14ac:dyDescent="0.25">
      <c r="A8" s="120" t="s">
        <v>41</v>
      </c>
      <c r="B8" s="120"/>
      <c r="C8" s="120"/>
      <c r="D8" s="120"/>
      <c r="E8" s="120"/>
      <c r="F8" s="120"/>
      <c r="G8" s="120"/>
      <c r="H8" s="120"/>
      <c r="I8" s="120"/>
      <c r="Q8" s="121"/>
      <c r="R8" s="121"/>
      <c r="S8" s="121"/>
      <c r="T8" s="121"/>
      <c r="U8" s="121"/>
      <c r="V8" s="29"/>
    </row>
    <row r="9" spans="1:22" ht="15.9" customHeight="1" x14ac:dyDescent="0.25">
      <c r="B9" s="27"/>
      <c r="C9" s="27"/>
      <c r="D9" s="27"/>
      <c r="E9" s="27"/>
      <c r="F9" s="27"/>
      <c r="G9" s="27"/>
      <c r="H9" s="27"/>
      <c r="I9" s="27"/>
      <c r="L9"/>
      <c r="Q9" s="121"/>
      <c r="R9" s="121"/>
      <c r="S9" s="121"/>
      <c r="T9" s="121"/>
      <c r="U9" s="121"/>
      <c r="V9" s="29"/>
    </row>
    <row r="10" spans="1:22" ht="17.399999999999999" customHeight="1" x14ac:dyDescent="0.25">
      <c r="B10" s="127" t="s">
        <v>50</v>
      </c>
      <c r="C10" s="128"/>
      <c r="D10" s="127" t="s">
        <v>51</v>
      </c>
      <c r="E10" s="128"/>
      <c r="F10" s="127" t="s">
        <v>52</v>
      </c>
      <c r="G10" s="128"/>
      <c r="H10" s="129" t="s">
        <v>53</v>
      </c>
      <c r="I10"/>
      <c r="K10" s="17"/>
      <c r="L10" s="17"/>
    </row>
    <row r="11" spans="1:22" ht="17.399999999999999" customHeight="1" x14ac:dyDescent="0.25">
      <c r="B11" s="127"/>
      <c r="C11" s="128"/>
      <c r="D11" s="127"/>
      <c r="E11" s="128"/>
      <c r="F11" s="127"/>
      <c r="G11" s="128"/>
      <c r="H11" s="129"/>
      <c r="I11"/>
      <c r="K11" s="17"/>
      <c r="L11" s="17"/>
      <c r="N11" s="1"/>
      <c r="O11" s="2"/>
    </row>
    <row r="12" spans="1:22" ht="17.399999999999999" customHeight="1" x14ac:dyDescent="0.25">
      <c r="K12" s="17"/>
      <c r="L12" s="17"/>
      <c r="N12" s="122"/>
      <c r="O12" s="122"/>
    </row>
    <row r="13" spans="1:22" ht="17.399999999999999" customHeight="1" x14ac:dyDescent="0.25">
      <c r="A13" s="103" t="s">
        <v>21</v>
      </c>
      <c r="B13" s="104"/>
      <c r="C13" s="104"/>
      <c r="D13" s="104"/>
      <c r="E13" s="104"/>
      <c r="F13" s="104"/>
      <c r="G13" s="104"/>
      <c r="H13" s="104"/>
      <c r="I13" s="105"/>
      <c r="J13" s="17"/>
      <c r="K13" s="17"/>
    </row>
    <row r="14" spans="1:22" ht="15" customHeight="1" x14ac:dyDescent="0.25">
      <c r="A14" s="106" t="s">
        <v>22</v>
      </c>
      <c r="B14" s="107"/>
      <c r="C14" s="107"/>
      <c r="D14" s="107"/>
      <c r="E14" s="107"/>
      <c r="F14" s="107"/>
      <c r="G14" s="107"/>
      <c r="H14" s="107"/>
      <c r="I14" s="108"/>
      <c r="J14" s="17"/>
      <c r="K14" s="17"/>
    </row>
    <row r="15" spans="1:22" ht="10.5" customHeight="1" x14ac:dyDescent="0.25">
      <c r="B15" s="28"/>
      <c r="C15" s="54"/>
      <c r="D15" s="54"/>
      <c r="E15" s="54"/>
      <c r="F15" s="54"/>
      <c r="G15" s="54"/>
      <c r="H15" s="54"/>
      <c r="I15" s="30"/>
      <c r="J15" s="17"/>
      <c r="K15" s="17"/>
    </row>
    <row r="16" spans="1:22" ht="19.8" customHeight="1" x14ac:dyDescent="0.25">
      <c r="B16" s="111" t="s">
        <v>45</v>
      </c>
      <c r="C16" s="112"/>
      <c r="D16" s="112"/>
      <c r="E16" s="112"/>
      <c r="F16" s="112"/>
      <c r="G16" s="112"/>
      <c r="H16" s="113"/>
      <c r="I16" s="30"/>
      <c r="J16" s="17"/>
      <c r="K16" s="17"/>
    </row>
    <row r="17" spans="1:19" ht="60" customHeight="1" x14ac:dyDescent="0.25">
      <c r="B17" s="114" t="s">
        <v>23</v>
      </c>
      <c r="C17" s="115"/>
      <c r="D17" s="94" t="s">
        <v>35</v>
      </c>
      <c r="E17" s="94" t="s">
        <v>36</v>
      </c>
      <c r="F17" s="94" t="s">
        <v>37</v>
      </c>
      <c r="G17" s="95" t="s">
        <v>24</v>
      </c>
      <c r="H17" s="95" t="s">
        <v>25</v>
      </c>
      <c r="I17" s="30"/>
      <c r="J17" s="17"/>
      <c r="K17" s="17"/>
    </row>
    <row r="18" spans="1:19" ht="22.5" customHeight="1" x14ac:dyDescent="0.25">
      <c r="B18" s="80" t="s">
        <v>33</v>
      </c>
      <c r="C18" s="80" t="s">
        <v>34</v>
      </c>
      <c r="D18" s="84" t="s">
        <v>30</v>
      </c>
      <c r="E18" s="84" t="s">
        <v>31</v>
      </c>
      <c r="F18" s="84" t="s">
        <v>38</v>
      </c>
      <c r="G18" s="96" t="s">
        <v>39</v>
      </c>
      <c r="H18" s="96" t="s">
        <v>40</v>
      </c>
      <c r="I18" s="30"/>
      <c r="J18" s="17"/>
      <c r="K18" s="17"/>
    </row>
    <row r="19" spans="1:19" ht="28.5" customHeight="1" x14ac:dyDescent="0.25">
      <c r="B19" s="124">
        <v>1.5</v>
      </c>
      <c r="C19" s="125"/>
      <c r="D19" s="79"/>
      <c r="E19" s="81"/>
      <c r="F19" s="81"/>
      <c r="G19" s="97"/>
      <c r="H19" s="97"/>
      <c r="I19" s="30"/>
      <c r="J19" s="17"/>
      <c r="K19" s="17"/>
    </row>
    <row r="20" spans="1:19" ht="28.5" customHeight="1" x14ac:dyDescent="0.25">
      <c r="B20" s="86">
        <v>1.5</v>
      </c>
      <c r="C20" s="86">
        <v>0.75</v>
      </c>
      <c r="D20" s="79"/>
      <c r="E20" s="81"/>
      <c r="F20" s="81"/>
      <c r="G20" s="97"/>
      <c r="H20" s="97"/>
      <c r="I20" s="30"/>
      <c r="J20" s="17"/>
      <c r="K20" s="17"/>
    </row>
    <row r="21" spans="1:19" ht="28.5" customHeight="1" x14ac:dyDescent="0.25">
      <c r="B21" s="86">
        <v>0.75</v>
      </c>
      <c r="C21" s="86">
        <v>0.375</v>
      </c>
      <c r="D21" s="79"/>
      <c r="E21" s="81"/>
      <c r="F21" s="81"/>
      <c r="G21" s="97"/>
      <c r="H21" s="97"/>
      <c r="I21" s="30"/>
      <c r="J21" s="17"/>
      <c r="K21" s="17"/>
    </row>
    <row r="22" spans="1:19" ht="28.5" customHeight="1" x14ac:dyDescent="0.25">
      <c r="B22" s="86">
        <v>0.375</v>
      </c>
      <c r="C22" s="80" t="s">
        <v>26</v>
      </c>
      <c r="D22" s="79"/>
      <c r="E22" s="81"/>
      <c r="F22" s="81"/>
      <c r="G22" s="97"/>
      <c r="H22" s="97"/>
      <c r="I22" s="30"/>
      <c r="J22" s="17"/>
      <c r="K22" s="17"/>
    </row>
    <row r="23" spans="1:19" ht="22.2" customHeight="1" x14ac:dyDescent="0.25">
      <c r="B23" s="116" t="s">
        <v>42</v>
      </c>
      <c r="C23" s="116"/>
      <c r="D23" s="116"/>
      <c r="E23" s="116"/>
      <c r="F23" s="116"/>
      <c r="G23" s="116"/>
      <c r="H23" s="97"/>
      <c r="I23" s="30"/>
      <c r="J23" s="17"/>
      <c r="K23" s="17"/>
    </row>
    <row r="24" spans="1:19" x14ac:dyDescent="0.25">
      <c r="B24" s="75"/>
      <c r="C24" s="75"/>
      <c r="D24" s="64"/>
      <c r="E24" s="65"/>
      <c r="F24" s="65"/>
      <c r="G24" s="62"/>
      <c r="H24" s="62"/>
      <c r="I24" s="30"/>
      <c r="J24" s="17"/>
      <c r="K24" s="17"/>
    </row>
    <row r="25" spans="1:19" ht="18" customHeight="1" x14ac:dyDescent="0.25">
      <c r="B25" s="111" t="s">
        <v>44</v>
      </c>
      <c r="C25" s="112"/>
      <c r="D25" s="112"/>
      <c r="E25" s="112"/>
      <c r="F25" s="112"/>
      <c r="G25" s="112"/>
      <c r="H25" s="113"/>
      <c r="I25" s="30"/>
      <c r="J25" s="17"/>
      <c r="K25" s="17"/>
    </row>
    <row r="26" spans="1:19" ht="45.6" x14ac:dyDescent="0.25">
      <c r="B26" s="114" t="s">
        <v>23</v>
      </c>
      <c r="C26" s="115"/>
      <c r="D26" s="94" t="s">
        <v>35</v>
      </c>
      <c r="E26" s="94" t="s">
        <v>36</v>
      </c>
      <c r="F26" s="94" t="s">
        <v>37</v>
      </c>
      <c r="G26" s="95" t="s">
        <v>24</v>
      </c>
      <c r="H26" s="95" t="s">
        <v>25</v>
      </c>
      <c r="I26" s="30"/>
      <c r="J26" s="17"/>
      <c r="K26" s="17"/>
    </row>
    <row r="27" spans="1:19" ht="28.2" customHeight="1" x14ac:dyDescent="0.25">
      <c r="B27" s="80" t="s">
        <v>33</v>
      </c>
      <c r="C27" s="80" t="s">
        <v>34</v>
      </c>
      <c r="D27" s="84" t="s">
        <v>30</v>
      </c>
      <c r="E27" s="84" t="s">
        <v>31</v>
      </c>
      <c r="F27" s="84" t="s">
        <v>38</v>
      </c>
      <c r="G27" s="96" t="s">
        <v>39</v>
      </c>
      <c r="H27" s="96" t="s">
        <v>40</v>
      </c>
      <c r="I27" s="30"/>
      <c r="J27" s="17"/>
      <c r="K27" s="17"/>
    </row>
    <row r="28" spans="1:19" ht="27" customHeight="1" x14ac:dyDescent="0.25">
      <c r="B28" s="79" t="s">
        <v>26</v>
      </c>
      <c r="C28" s="79" t="s">
        <v>43</v>
      </c>
      <c r="D28" s="79"/>
      <c r="E28" s="81"/>
      <c r="F28" s="81"/>
      <c r="G28" s="97"/>
      <c r="H28" s="97"/>
      <c r="I28" s="30"/>
      <c r="J28" s="17"/>
      <c r="K28" s="17"/>
    </row>
    <row r="29" spans="1:19" ht="20.399999999999999" customHeight="1" x14ac:dyDescent="0.25">
      <c r="B29" s="116" t="s">
        <v>42</v>
      </c>
      <c r="C29" s="116"/>
      <c r="D29" s="116"/>
      <c r="E29" s="116"/>
      <c r="F29" s="116"/>
      <c r="G29" s="116"/>
      <c r="H29" s="97"/>
      <c r="I29" s="30"/>
      <c r="J29" s="17"/>
      <c r="K29" s="17"/>
    </row>
    <row r="30" spans="1:19" x14ac:dyDescent="0.25">
      <c r="B30" s="75"/>
      <c r="C30" s="75"/>
      <c r="D30" s="64"/>
      <c r="E30" s="65"/>
      <c r="F30" s="65"/>
      <c r="G30" s="98"/>
      <c r="H30" s="98"/>
      <c r="I30" s="30"/>
      <c r="J30" s="17"/>
      <c r="K30" s="17"/>
    </row>
    <row r="31" spans="1:19" ht="23.4" customHeight="1" x14ac:dyDescent="0.25">
      <c r="A31" s="82"/>
      <c r="B31" s="117" t="s">
        <v>29</v>
      </c>
      <c r="C31" s="117"/>
      <c r="D31" s="117"/>
      <c r="E31" s="117"/>
      <c r="F31" s="101" t="s">
        <v>48</v>
      </c>
      <c r="G31" s="99"/>
      <c r="H31" s="63"/>
      <c r="I31" s="58"/>
      <c r="J31" s="35"/>
      <c r="K31" s="32"/>
      <c r="L31" s="34"/>
      <c r="M31" s="35"/>
      <c r="O31" s="37"/>
      <c r="Q31" s="43"/>
      <c r="R31" s="35"/>
      <c r="S31" s="41"/>
    </row>
    <row r="32" spans="1:19" x14ac:dyDescent="0.25">
      <c r="B32" s="69"/>
      <c r="C32" s="78"/>
      <c r="D32" s="78"/>
      <c r="E32" s="67"/>
      <c r="F32" s="67"/>
      <c r="G32" s="68"/>
      <c r="H32" s="63"/>
      <c r="I32" s="58"/>
      <c r="J32" s="44"/>
      <c r="K32" s="32"/>
      <c r="L32" s="34"/>
      <c r="M32" s="44"/>
      <c r="N32" s="44"/>
      <c r="O32" s="44"/>
      <c r="P32" s="44"/>
      <c r="Q32" s="43"/>
      <c r="R32" s="35"/>
      <c r="S32" s="42"/>
    </row>
    <row r="33" spans="1:23" ht="26.4" customHeight="1" x14ac:dyDescent="0.25">
      <c r="A33" s="83"/>
      <c r="B33" s="118" t="s">
        <v>46</v>
      </c>
      <c r="C33" s="118"/>
      <c r="D33" s="118"/>
      <c r="E33" s="118"/>
      <c r="F33" s="118"/>
      <c r="G33" s="87" t="s">
        <v>18</v>
      </c>
      <c r="H33" s="60" t="s">
        <v>19</v>
      </c>
      <c r="J33" s="44"/>
      <c r="K33" s="32"/>
      <c r="L33" s="34"/>
      <c r="M33" s="44"/>
      <c r="N33" s="44"/>
      <c r="O33" s="44"/>
      <c r="P33" s="44"/>
      <c r="Q33" s="44"/>
      <c r="R33" s="44"/>
      <c r="S33" s="44"/>
      <c r="T33" s="44"/>
    </row>
    <row r="34" spans="1:23" ht="19.2" customHeight="1" x14ac:dyDescent="0.25">
      <c r="B34" s="66"/>
      <c r="C34" s="78"/>
      <c r="D34" s="78"/>
      <c r="E34" s="67"/>
      <c r="F34" s="67"/>
      <c r="G34" s="88" t="s">
        <v>27</v>
      </c>
      <c r="H34" s="89"/>
      <c r="J34" s="44"/>
      <c r="K34" s="32"/>
      <c r="L34" s="34"/>
      <c r="M34" s="44"/>
      <c r="N34" s="44"/>
      <c r="O34" s="44"/>
      <c r="P34" s="44"/>
      <c r="Q34" s="44"/>
      <c r="R34" s="44"/>
      <c r="S34" s="44"/>
      <c r="T34" s="44"/>
    </row>
    <row r="35" spans="1:23" ht="19.2" customHeight="1" x14ac:dyDescent="0.25">
      <c r="B35" s="66"/>
      <c r="C35" s="78"/>
      <c r="D35" s="78"/>
      <c r="E35" s="67"/>
      <c r="F35" s="67"/>
      <c r="G35" s="88" t="s">
        <v>28</v>
      </c>
      <c r="H35" s="89"/>
      <c r="J35" s="44"/>
      <c r="K35" s="32"/>
      <c r="L35" s="34"/>
      <c r="M35" s="44"/>
      <c r="N35" s="44"/>
      <c r="O35" s="44"/>
      <c r="P35" s="44"/>
      <c r="Q35" s="44"/>
      <c r="R35" s="44"/>
      <c r="S35" s="44"/>
      <c r="T35" s="44"/>
    </row>
    <row r="36" spans="1:23" x14ac:dyDescent="0.25">
      <c r="B36" s="69"/>
      <c r="C36" s="78"/>
      <c r="D36" s="78"/>
      <c r="E36" s="67"/>
      <c r="F36" s="67"/>
      <c r="G36" s="70"/>
      <c r="H36" s="63"/>
      <c r="J36" s="36"/>
      <c r="K36" s="32"/>
      <c r="L36" s="34"/>
      <c r="M36" s="109"/>
      <c r="N36" s="109"/>
      <c r="O36" s="109"/>
      <c r="P36" s="47"/>
      <c r="Q36" s="47"/>
      <c r="R36" s="109"/>
      <c r="S36" s="109"/>
      <c r="T36" s="47"/>
      <c r="U36" s="123"/>
      <c r="V36" s="123"/>
      <c r="W36" s="123"/>
    </row>
    <row r="37" spans="1:23" x14ac:dyDescent="0.25">
      <c r="B37" s="66"/>
      <c r="C37" s="78"/>
      <c r="D37" s="78"/>
      <c r="E37" s="67"/>
      <c r="F37" s="67"/>
      <c r="G37" s="70"/>
      <c r="H37" s="63"/>
      <c r="I37" s="58"/>
      <c r="J37" s="36"/>
      <c r="K37" s="32"/>
      <c r="L37" s="34"/>
      <c r="M37" s="47"/>
      <c r="N37" s="47"/>
      <c r="O37" s="47"/>
      <c r="P37" s="47"/>
      <c r="Q37" s="47"/>
      <c r="R37" s="47"/>
      <c r="S37" s="47"/>
      <c r="T37" s="47"/>
      <c r="U37" s="123"/>
      <c r="V37" s="123"/>
      <c r="W37" s="123"/>
    </row>
    <row r="38" spans="1:23" x14ac:dyDescent="0.25">
      <c r="B38" s="77"/>
      <c r="C38" s="77"/>
      <c r="D38" s="77"/>
      <c r="E38" s="71"/>
      <c r="F38" s="71"/>
      <c r="G38" s="72"/>
      <c r="H38" s="72"/>
      <c r="I38" s="58"/>
      <c r="J38" s="36"/>
      <c r="K38" s="32"/>
      <c r="L38" s="34"/>
      <c r="M38" s="47"/>
      <c r="N38" s="47"/>
      <c r="O38" s="47"/>
      <c r="P38" s="47"/>
      <c r="Q38" s="47"/>
      <c r="R38" s="47"/>
      <c r="S38" s="47"/>
      <c r="T38" s="47"/>
      <c r="U38" s="61"/>
      <c r="V38" s="61"/>
      <c r="W38" s="61"/>
    </row>
    <row r="39" spans="1:23" x14ac:dyDescent="0.25">
      <c r="A39" s="66"/>
      <c r="B39" s="76"/>
      <c r="C39" s="76"/>
      <c r="D39" s="73"/>
      <c r="E39" s="65"/>
      <c r="F39" s="65"/>
      <c r="G39" s="65"/>
      <c r="H39" s="65"/>
      <c r="I39" s="58"/>
      <c r="J39" s="38"/>
      <c r="K39" s="32"/>
      <c r="L39" s="34"/>
      <c r="M39" s="49"/>
      <c r="O39" s="45"/>
      <c r="P39" s="40"/>
      <c r="Q39" s="37"/>
      <c r="S39" s="37"/>
      <c r="T39" s="37"/>
      <c r="U39" s="36"/>
      <c r="V39" s="36"/>
      <c r="W39" s="36"/>
    </row>
    <row r="40" spans="1:23" x14ac:dyDescent="0.25">
      <c r="A40" s="64"/>
      <c r="B40" s="100" t="s">
        <v>47</v>
      </c>
      <c r="C40" s="90"/>
      <c r="D40" s="91"/>
      <c r="E40" s="92"/>
      <c r="F40" s="92"/>
      <c r="G40" s="92"/>
      <c r="H40" s="92"/>
      <c r="I40" s="93"/>
      <c r="K40" s="32"/>
      <c r="L40" s="34"/>
      <c r="M40" s="48"/>
      <c r="O40" s="45"/>
      <c r="P40" s="40"/>
      <c r="Q40" s="37"/>
      <c r="S40" s="37"/>
      <c r="T40" s="37"/>
      <c r="U40" s="37"/>
      <c r="V40" s="50"/>
      <c r="W40" s="37"/>
    </row>
    <row r="41" spans="1:23" x14ac:dyDescent="0.25">
      <c r="A41" s="64"/>
      <c r="B41" s="110"/>
      <c r="C41" s="110"/>
      <c r="D41" s="73"/>
      <c r="E41" s="74"/>
      <c r="F41" s="74"/>
      <c r="G41" s="74"/>
      <c r="H41" s="74"/>
      <c r="I41" s="59"/>
      <c r="K41" s="31"/>
      <c r="L41" s="34"/>
      <c r="M41" s="49"/>
      <c r="O41" s="45"/>
      <c r="P41" s="40"/>
      <c r="Q41" s="37"/>
      <c r="S41" s="37"/>
      <c r="T41" s="37"/>
      <c r="U41" s="39"/>
      <c r="V41" s="46"/>
      <c r="W41" s="39"/>
    </row>
    <row r="42" spans="1:23" ht="10.5" customHeight="1" x14ac:dyDescent="0.25">
      <c r="K42" s="17"/>
      <c r="L42" s="34"/>
      <c r="M42" s="48"/>
      <c r="O42" s="45"/>
      <c r="P42" s="40"/>
      <c r="Q42" s="37"/>
      <c r="S42" s="37"/>
      <c r="T42" s="37"/>
      <c r="U42" s="39"/>
      <c r="V42" s="46"/>
      <c r="W42" s="39"/>
    </row>
    <row r="43" spans="1:23" ht="18" customHeight="1" x14ac:dyDescent="0.25">
      <c r="A43" s="85"/>
      <c r="K43" s="17"/>
      <c r="L43" s="34"/>
      <c r="M43" s="48"/>
      <c r="O43" s="45"/>
      <c r="P43" s="40"/>
      <c r="Q43" s="37"/>
      <c r="S43" s="37"/>
      <c r="T43" s="37"/>
      <c r="U43" s="39"/>
      <c r="V43" s="46"/>
      <c r="W43" s="39"/>
    </row>
    <row r="44" spans="1:23" ht="18" customHeight="1" x14ac:dyDescent="0.25">
      <c r="C44" s="53"/>
      <c r="D44" s="53"/>
      <c r="E44" s="53"/>
      <c r="F44" s="53"/>
      <c r="G44" s="53"/>
      <c r="H44" s="53"/>
      <c r="K44" s="17"/>
      <c r="L44" s="33"/>
      <c r="M44" s="48"/>
      <c r="O44" s="45"/>
      <c r="P44" s="40"/>
      <c r="Q44" s="37"/>
      <c r="S44" s="37"/>
      <c r="T44" s="37"/>
      <c r="U44" s="39"/>
      <c r="V44" s="46"/>
      <c r="W44" s="39"/>
    </row>
    <row r="45" spans="1:23" ht="18" customHeight="1" x14ac:dyDescent="0.25">
      <c r="D45" s="53"/>
      <c r="E45" s="53"/>
      <c r="F45" s="53"/>
      <c r="K45" s="17"/>
      <c r="M45" s="48"/>
      <c r="O45" s="45"/>
      <c r="P45" s="40"/>
      <c r="Q45" s="37"/>
      <c r="S45" s="37"/>
      <c r="T45" s="37"/>
      <c r="U45" s="37"/>
      <c r="V45" s="51"/>
      <c r="W45" s="37"/>
    </row>
    <row r="46" spans="1:23" ht="18" customHeight="1" x14ac:dyDescent="0.25">
      <c r="B46" s="3" t="s">
        <v>16</v>
      </c>
      <c r="C46" s="53"/>
      <c r="D46" s="53"/>
      <c r="E46" s="53"/>
      <c r="F46" s="53"/>
      <c r="G46" s="53"/>
      <c r="H46" s="53"/>
      <c r="K46" s="17"/>
      <c r="M46" s="48"/>
      <c r="O46" s="45"/>
      <c r="P46" s="40"/>
      <c r="Q46" s="37"/>
      <c r="S46" s="37"/>
      <c r="T46" s="37"/>
    </row>
    <row r="47" spans="1:23" ht="16.95" customHeight="1" x14ac:dyDescent="0.25">
      <c r="A47" s="52" t="s">
        <v>17</v>
      </c>
      <c r="B47" s="52"/>
      <c r="D47" s="77"/>
      <c r="E47" s="77" t="s">
        <v>32</v>
      </c>
      <c r="J47" s="37"/>
      <c r="K47" s="17"/>
    </row>
    <row r="48" spans="1:23" ht="13.95" customHeight="1" x14ac:dyDescent="0.25">
      <c r="A48" s="52" t="s">
        <v>20</v>
      </c>
      <c r="B48" s="52"/>
      <c r="C48" s="16"/>
      <c r="D48" s="16"/>
      <c r="E48" s="16"/>
      <c r="F48" s="16"/>
      <c r="G48" s="16"/>
      <c r="H48" s="16"/>
      <c r="I48" s="16"/>
      <c r="J48" s="17"/>
      <c r="K48" s="17"/>
      <c r="L48" s="17"/>
    </row>
    <row r="49" spans="1:9" ht="13.95" customHeight="1" x14ac:dyDescent="0.25"/>
    <row r="50" spans="1:9" ht="30.75" customHeight="1" x14ac:dyDescent="0.25">
      <c r="A50" s="102" t="s">
        <v>49</v>
      </c>
      <c r="B50" s="102"/>
      <c r="C50" s="102"/>
      <c r="D50" s="102"/>
      <c r="E50" s="102"/>
      <c r="F50" s="102"/>
      <c r="G50" s="102"/>
      <c r="H50" s="102"/>
      <c r="I50" s="102"/>
    </row>
    <row r="51" spans="1:9" ht="15.9" customHeight="1" x14ac:dyDescent="0.25"/>
    <row r="52" spans="1:9" ht="15.9" customHeight="1" x14ac:dyDescent="0.25"/>
  </sheetData>
  <protectedRanges>
    <protectedRange sqref="D16 C17 C15" name="Rango3_3_1_1_1_1_1_1_1_1"/>
    <protectedRange sqref="C11" name="Rango3_3_1_1_1_1_1_1_1_1_1_1"/>
    <protectedRange sqref="R8:R9" name="Rango3_3_1_1_1_1_1_2_1"/>
    <protectedRange sqref="D25 C26" name="Rango3_3_1_1_1_1_1_1_1_1_1"/>
  </protectedRanges>
  <mergeCells count="29">
    <mergeCell ref="B10:C10"/>
    <mergeCell ref="D10:E10"/>
    <mergeCell ref="F10:G10"/>
    <mergeCell ref="B11:C11"/>
    <mergeCell ref="D11:E11"/>
    <mergeCell ref="F11:G11"/>
    <mergeCell ref="N12:O12"/>
    <mergeCell ref="U36:W37"/>
    <mergeCell ref="B17:C17"/>
    <mergeCell ref="B23:G23"/>
    <mergeCell ref="B16:H16"/>
    <mergeCell ref="B19:C19"/>
    <mergeCell ref="A7:I7"/>
    <mergeCell ref="A8:I8"/>
    <mergeCell ref="T8:U8"/>
    <mergeCell ref="T9:U9"/>
    <mergeCell ref="Q8:S8"/>
    <mergeCell ref="Q9:S9"/>
    <mergeCell ref="A50:I50"/>
    <mergeCell ref="A13:I13"/>
    <mergeCell ref="A14:I14"/>
    <mergeCell ref="R36:S36"/>
    <mergeCell ref="M36:O36"/>
    <mergeCell ref="B41:C41"/>
    <mergeCell ref="B25:H25"/>
    <mergeCell ref="B26:C26"/>
    <mergeCell ref="B29:G29"/>
    <mergeCell ref="B31:E31"/>
    <mergeCell ref="B33:F33"/>
  </mergeCells>
  <printOptions horizontalCentered="1"/>
  <pageMargins left="0.39370078740157483" right="0.39370078740157483" top="0.78740157480314965" bottom="0.39370078740157483" header="0" footer="0"/>
  <pageSetup paperSize="9" scale="8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26" t="s">
        <v>9</v>
      </c>
      <c r="B2" s="126"/>
      <c r="C2" s="8" t="s">
        <v>10</v>
      </c>
      <c r="D2" s="7" t="s">
        <v>2</v>
      </c>
      <c r="E2" s="7" t="s">
        <v>0</v>
      </c>
      <c r="F2" s="7" t="s">
        <v>1</v>
      </c>
      <c r="G2" s="7" t="s">
        <v>3</v>
      </c>
      <c r="H2" s="7" t="s">
        <v>4</v>
      </c>
      <c r="I2" s="7" t="s">
        <v>6</v>
      </c>
      <c r="J2" s="7" t="s">
        <v>5</v>
      </c>
      <c r="K2" s="7" t="s">
        <v>7</v>
      </c>
      <c r="L2" s="7" t="s">
        <v>8</v>
      </c>
      <c r="M2" s="7" t="s">
        <v>11</v>
      </c>
    </row>
    <row r="3" spans="1:13" ht="18.75" customHeight="1" x14ac:dyDescent="0.25">
      <c r="A3" s="10">
        <v>4400</v>
      </c>
      <c r="B3" s="4">
        <f>+A3+1</f>
        <v>4401</v>
      </c>
      <c r="C3" s="14" t="str">
        <f t="shared" ref="C3:C8" si="0">A3&amp;"-"&amp;B3</f>
        <v>4400-4401</v>
      </c>
      <c r="D3" s="10" t="s">
        <v>14</v>
      </c>
      <c r="E3" s="10">
        <v>350</v>
      </c>
      <c r="F3" s="11">
        <v>42347</v>
      </c>
      <c r="G3" s="4">
        <v>7</v>
      </c>
      <c r="H3" s="12">
        <v>15.05</v>
      </c>
      <c r="I3" s="10">
        <v>49900</v>
      </c>
      <c r="J3" s="5">
        <f t="shared" ref="J3:J8" si="1">H3*H3*PI()/4</f>
        <v>177.89464750493056</v>
      </c>
      <c r="K3" s="13">
        <f t="shared" ref="K3:K8" si="2">I3/J3</f>
        <v>280.50309944607505</v>
      </c>
      <c r="L3" s="6">
        <f t="shared" ref="L3:L8" si="3">+K3/E3</f>
        <v>0.80143742698878584</v>
      </c>
      <c r="M3" s="15" t="s">
        <v>12</v>
      </c>
    </row>
    <row r="4" spans="1:13" ht="18.75" customHeight="1" x14ac:dyDescent="0.25">
      <c r="A4" s="4"/>
      <c r="B4" s="4"/>
      <c r="C4" s="9" t="str">
        <f t="shared" si="0"/>
        <v>-</v>
      </c>
      <c r="D4" s="4"/>
      <c r="E4" s="10">
        <v>350</v>
      </c>
      <c r="F4" s="4"/>
      <c r="G4" s="4">
        <v>7</v>
      </c>
      <c r="H4" s="12">
        <v>15.06</v>
      </c>
      <c r="I4" s="10">
        <v>50310</v>
      </c>
      <c r="J4" s="5">
        <f t="shared" si="1"/>
        <v>178.1311308919295</v>
      </c>
      <c r="K4" s="13">
        <f t="shared" si="2"/>
        <v>282.43238421094742</v>
      </c>
      <c r="L4" s="6">
        <f t="shared" si="3"/>
        <v>0.80694966917413546</v>
      </c>
      <c r="M4" s="15" t="s">
        <v>13</v>
      </c>
    </row>
    <row r="5" spans="1:13" ht="18.75" customHeight="1" x14ac:dyDescent="0.25">
      <c r="A5" s="4">
        <f>+B3+1</f>
        <v>4402</v>
      </c>
      <c r="B5" s="4">
        <f>+A5+1</f>
        <v>4403</v>
      </c>
      <c r="C5" s="9" t="str">
        <f t="shared" si="0"/>
        <v>4402-4403</v>
      </c>
      <c r="D5" s="4"/>
      <c r="E5" s="10">
        <v>350</v>
      </c>
      <c r="F5" s="4"/>
      <c r="G5" s="4">
        <v>14</v>
      </c>
      <c r="H5" s="12">
        <v>15.04</v>
      </c>
      <c r="I5" s="10">
        <v>56450</v>
      </c>
      <c r="J5" s="5">
        <f t="shared" si="1"/>
        <v>177.65832119756422</v>
      </c>
      <c r="K5" s="13">
        <f t="shared" si="2"/>
        <v>317.74475644867209</v>
      </c>
      <c r="L5" s="6">
        <f t="shared" si="3"/>
        <v>0.9078421612819203</v>
      </c>
      <c r="M5" s="15" t="s">
        <v>13</v>
      </c>
    </row>
    <row r="6" spans="1:13" ht="18.75" customHeight="1" x14ac:dyDescent="0.25">
      <c r="A6" s="4"/>
      <c r="B6" s="4"/>
      <c r="C6" s="9" t="str">
        <f t="shared" si="0"/>
        <v>-</v>
      </c>
      <c r="D6" s="4"/>
      <c r="E6" s="10">
        <v>350</v>
      </c>
      <c r="F6" s="4"/>
      <c r="G6" s="4">
        <v>14</v>
      </c>
      <c r="H6" s="12">
        <v>15</v>
      </c>
      <c r="I6" s="10">
        <v>59630</v>
      </c>
      <c r="J6" s="5">
        <f t="shared" si="1"/>
        <v>176.71458676442586</v>
      </c>
      <c r="K6" s="13">
        <f t="shared" si="2"/>
        <v>337.43677356692336</v>
      </c>
      <c r="L6" s="6">
        <f t="shared" si="3"/>
        <v>0.96410506733406676</v>
      </c>
      <c r="M6" s="15" t="s">
        <v>13</v>
      </c>
    </row>
    <row r="7" spans="1:13" ht="18.75" customHeight="1" x14ac:dyDescent="0.25">
      <c r="A7" s="4">
        <f>+B5+1</f>
        <v>4404</v>
      </c>
      <c r="B7" s="4">
        <f>+A7+1</f>
        <v>4405</v>
      </c>
      <c r="C7" s="9" t="str">
        <f t="shared" si="0"/>
        <v>4404-4405</v>
      </c>
      <c r="D7" s="4"/>
      <c r="E7" s="10">
        <v>350</v>
      </c>
      <c r="F7" s="4"/>
      <c r="G7" s="4">
        <v>28</v>
      </c>
      <c r="H7" s="12">
        <v>15.11</v>
      </c>
      <c r="I7" s="10">
        <v>65310</v>
      </c>
      <c r="J7" s="5">
        <f t="shared" si="1"/>
        <v>179.31590402141455</v>
      </c>
      <c r="K7" s="13">
        <f t="shared" si="2"/>
        <v>364.21755424549764</v>
      </c>
      <c r="L7" s="6">
        <f t="shared" si="3"/>
        <v>1.0406215835585646</v>
      </c>
      <c r="M7" s="15" t="s">
        <v>13</v>
      </c>
    </row>
    <row r="8" spans="1:13" ht="18.75" customHeight="1" x14ac:dyDescent="0.25">
      <c r="A8" s="4"/>
      <c r="B8" s="4"/>
      <c r="C8" s="9" t="str">
        <f t="shared" si="0"/>
        <v>-</v>
      </c>
      <c r="D8" s="4"/>
      <c r="E8" s="10">
        <v>350</v>
      </c>
      <c r="F8" s="4"/>
      <c r="G8" s="4">
        <v>28</v>
      </c>
      <c r="H8" s="12">
        <v>15.05</v>
      </c>
      <c r="I8" s="10">
        <v>64730</v>
      </c>
      <c r="J8" s="5">
        <f t="shared" si="1"/>
        <v>177.89464750493056</v>
      </c>
      <c r="K8" s="13">
        <f t="shared" si="2"/>
        <v>363.86704663616104</v>
      </c>
      <c r="L8" s="6">
        <f t="shared" si="3"/>
        <v>1.0396201332461743</v>
      </c>
      <c r="M8" s="15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TERRONES DE ARCILLA</vt:lpstr>
      <vt:lpstr>Hoja1</vt:lpstr>
      <vt:lpstr>'TERRONES DE ARCILLA'!Área_de_impresión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2026-03-21T15:57:58Z</cp:lastPrinted>
  <dcterms:created xsi:type="dcterms:W3CDTF">1999-11-07T15:11:55Z</dcterms:created>
  <dcterms:modified xsi:type="dcterms:W3CDTF">2026-03-21T16:27:37Z</dcterms:modified>
</cp:coreProperties>
</file>